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ss\vidrios-saas\docs\fabricacion\Kompen Thermowin\"/>
    </mc:Choice>
  </mc:AlternateContent>
  <xr:revisionPtr revIDLastSave="0" documentId="8_{29F40974-A8C8-452A-A27A-7B8212EEF755}" xr6:coauthVersionLast="47" xr6:coauthVersionMax="47" xr10:uidLastSave="{00000000-0000-0000-0000-000000000000}"/>
  <bookViews>
    <workbookView xWindow="-120" yWindow="-120" windowWidth="29040" windowHeight="15720" tabRatio="959" xr2:uid="{00000000-000D-0000-FFFF-FFFF00000000}"/>
  </bookViews>
  <sheets>
    <sheet name="500 y 802" sheetId="2" r:id="rId1"/>
    <sheet name="Pauta Original" sheetId="1" r:id="rId2"/>
    <sheet name="Hoja1" sheetId="3" r:id="rId3"/>
    <sheet name="Hoja2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86" i="3" l="1"/>
  <c r="F286" i="3"/>
  <c r="L286" i="3"/>
  <c r="R286" i="3"/>
  <c r="F282" i="3"/>
  <c r="F287" i="3"/>
  <c r="R287" i="3"/>
  <c r="D282" i="3"/>
  <c r="D286" i="3"/>
  <c r="J286" i="3"/>
  <c r="P286" i="3"/>
  <c r="S275" i="3"/>
  <c r="F275" i="3"/>
  <c r="L275" i="3"/>
  <c r="R275" i="3"/>
  <c r="H275" i="3"/>
  <c r="H274" i="3"/>
  <c r="F274" i="3"/>
  <c r="D271" i="3"/>
  <c r="D275" i="3"/>
  <c r="J275" i="3"/>
  <c r="P275" i="3"/>
  <c r="S264" i="3"/>
  <c r="F264" i="3"/>
  <c r="L264" i="3"/>
  <c r="R264" i="3"/>
  <c r="F260" i="3"/>
  <c r="F265" i="3"/>
  <c r="R265" i="3"/>
  <c r="D260" i="3"/>
  <c r="D264" i="3"/>
  <c r="J264" i="3"/>
  <c r="P264" i="3"/>
  <c r="F254" i="3"/>
  <c r="F256" i="3"/>
  <c r="S254" i="3"/>
  <c r="F255" i="3"/>
  <c r="D254" i="3"/>
  <c r="D255" i="3"/>
  <c r="S248" i="3"/>
  <c r="D248" i="3"/>
  <c r="P248" i="3"/>
  <c r="F248" i="3"/>
  <c r="F249" i="3"/>
  <c r="D250" i="3"/>
  <c r="S244" i="3"/>
  <c r="L244" i="3"/>
  <c r="R244" i="3"/>
  <c r="D244" i="3"/>
  <c r="J244" i="3"/>
  <c r="P244" i="3"/>
  <c r="M234" i="3"/>
  <c r="S234" i="3"/>
  <c r="L234" i="3"/>
  <c r="R234" i="3"/>
  <c r="J234" i="3"/>
  <c r="P234" i="3"/>
  <c r="L228" i="3"/>
  <c r="R228" i="3"/>
  <c r="J228" i="3"/>
  <c r="P228" i="3"/>
  <c r="M228" i="3"/>
  <c r="S228" i="3"/>
  <c r="N222" i="3"/>
  <c r="S222" i="3"/>
  <c r="F222" i="3"/>
  <c r="L222" i="3"/>
  <c r="R222" i="3"/>
  <c r="D222" i="3"/>
  <c r="J222" i="3"/>
  <c r="P222" i="3"/>
  <c r="N215" i="3"/>
  <c r="S215" i="3"/>
  <c r="F215" i="3"/>
  <c r="L215" i="3"/>
  <c r="R215" i="3"/>
  <c r="D215" i="3"/>
  <c r="J215" i="3"/>
  <c r="P215" i="3"/>
  <c r="N206" i="3"/>
  <c r="S206" i="3"/>
  <c r="L206" i="3"/>
  <c r="J206" i="3"/>
  <c r="P206" i="3"/>
  <c r="U202" i="3"/>
  <c r="V202" i="3"/>
  <c r="N197" i="3"/>
  <c r="S197" i="3"/>
  <c r="L197" i="3"/>
  <c r="R197" i="3"/>
  <c r="J197" i="3"/>
  <c r="P197" i="3"/>
  <c r="F190" i="3"/>
  <c r="R190" i="3"/>
  <c r="D190" i="3"/>
  <c r="P190" i="3"/>
  <c r="S189" i="3"/>
  <c r="F189" i="3"/>
  <c r="L189" i="3"/>
  <c r="R189" i="3"/>
  <c r="D189" i="3"/>
  <c r="J189" i="3"/>
  <c r="P189" i="3"/>
  <c r="N189" i="3"/>
  <c r="H189" i="3"/>
  <c r="S188" i="3"/>
  <c r="F188" i="3"/>
  <c r="R188" i="3"/>
  <c r="D188" i="3"/>
  <c r="P188" i="3"/>
  <c r="H188" i="3"/>
  <c r="S182" i="3"/>
  <c r="F182" i="3"/>
  <c r="L182" i="3"/>
  <c r="R182" i="3"/>
  <c r="D182" i="3"/>
  <c r="J182" i="3"/>
  <c r="P182" i="3"/>
  <c r="S181" i="3"/>
  <c r="F181" i="3"/>
  <c r="R181" i="3"/>
  <c r="D181" i="3"/>
  <c r="P181" i="3"/>
  <c r="H171" i="3"/>
  <c r="H172" i="3"/>
  <c r="S172" i="3"/>
  <c r="F172" i="3"/>
  <c r="R172" i="3"/>
  <c r="D172" i="3"/>
  <c r="P172" i="3"/>
  <c r="S171" i="3"/>
  <c r="F171" i="3"/>
  <c r="L171" i="3"/>
  <c r="R171" i="3"/>
  <c r="N171" i="3"/>
  <c r="D171" i="3"/>
  <c r="J171" i="3"/>
  <c r="P171" i="3"/>
  <c r="H160" i="3"/>
  <c r="H161" i="3"/>
  <c r="S161" i="3"/>
  <c r="F161" i="3"/>
  <c r="R161" i="3"/>
  <c r="D161" i="3"/>
  <c r="P161" i="3"/>
  <c r="F160" i="3"/>
  <c r="L160" i="3"/>
  <c r="R160" i="3"/>
  <c r="D160" i="3"/>
  <c r="J160" i="3"/>
  <c r="P160" i="3"/>
  <c r="N160" i="3"/>
  <c r="S160" i="3"/>
  <c r="N152" i="3"/>
  <c r="S152" i="3"/>
  <c r="F152" i="3"/>
  <c r="L152" i="3"/>
  <c r="R152" i="3"/>
  <c r="D152" i="3"/>
  <c r="J152" i="3"/>
  <c r="P152" i="3"/>
  <c r="H145" i="3"/>
  <c r="F145" i="3"/>
  <c r="D140" i="3"/>
  <c r="D145" i="3"/>
  <c r="D144" i="3"/>
  <c r="J144" i="3"/>
  <c r="P144" i="3"/>
  <c r="H144" i="3"/>
  <c r="N144" i="3"/>
  <c r="S144" i="3"/>
  <c r="B143" i="3"/>
  <c r="F144" i="3"/>
  <c r="L144" i="3"/>
  <c r="R144" i="3"/>
  <c r="D129" i="3"/>
  <c r="D134" i="3"/>
  <c r="P134" i="3"/>
  <c r="H134" i="3"/>
  <c r="S134" i="3"/>
  <c r="F129" i="3"/>
  <c r="F134" i="3"/>
  <c r="R134" i="3"/>
  <c r="F133" i="3"/>
  <c r="L133" i="3"/>
  <c r="R133" i="3"/>
  <c r="D133" i="3"/>
  <c r="J133" i="3"/>
  <c r="P133" i="3"/>
  <c r="H133" i="3"/>
  <c r="N133" i="3"/>
  <c r="S133" i="3"/>
  <c r="F124" i="3"/>
  <c r="L124" i="3"/>
  <c r="R124" i="3"/>
  <c r="D124" i="3"/>
  <c r="J124" i="3"/>
  <c r="P124" i="3"/>
  <c r="M124" i="3"/>
  <c r="S124" i="3"/>
  <c r="L118" i="3"/>
  <c r="R118" i="3"/>
  <c r="J118" i="3"/>
  <c r="P118" i="3"/>
  <c r="N118" i="3"/>
  <c r="S118" i="3"/>
  <c r="N113" i="3"/>
  <c r="S113" i="3"/>
  <c r="L113" i="3"/>
  <c r="R113" i="3"/>
  <c r="J113" i="3"/>
  <c r="P113" i="3"/>
  <c r="F107" i="3"/>
  <c r="R107" i="3"/>
  <c r="S106" i="3"/>
  <c r="J106" i="3"/>
  <c r="P106" i="3"/>
  <c r="N106" i="3"/>
  <c r="H106" i="3"/>
  <c r="H107" i="3"/>
  <c r="S107" i="3"/>
  <c r="F106" i="3"/>
  <c r="R105" i="3"/>
  <c r="D106" i="3"/>
  <c r="D107" i="3"/>
  <c r="P107" i="3"/>
  <c r="S105" i="3"/>
  <c r="D105" i="3"/>
  <c r="P105" i="3"/>
  <c r="H97" i="3"/>
  <c r="H98" i="3"/>
  <c r="S98" i="3"/>
  <c r="F98" i="3"/>
  <c r="R98" i="3"/>
  <c r="S97" i="3"/>
  <c r="N97" i="3"/>
  <c r="F97" i="3"/>
  <c r="L97" i="3"/>
  <c r="R97" i="3"/>
  <c r="J97" i="3"/>
  <c r="P97" i="3"/>
  <c r="R96" i="3"/>
  <c r="D97" i="3"/>
  <c r="D98" i="3"/>
  <c r="P98" i="3"/>
  <c r="S96" i="3"/>
  <c r="D96" i="3"/>
  <c r="P96" i="3"/>
  <c r="S88" i="3"/>
  <c r="N88" i="3"/>
  <c r="H88" i="3"/>
  <c r="F84" i="3"/>
  <c r="F88" i="3"/>
  <c r="R87" i="3"/>
  <c r="D84" i="3"/>
  <c r="D88" i="3"/>
  <c r="S87" i="3"/>
  <c r="H87" i="3"/>
  <c r="C84" i="3"/>
  <c r="D87" i="3"/>
  <c r="P87" i="3"/>
  <c r="J88" i="3"/>
  <c r="P88" i="3"/>
  <c r="S79" i="3"/>
  <c r="N79" i="3"/>
  <c r="H79" i="3"/>
  <c r="F79" i="3"/>
  <c r="R78" i="3"/>
  <c r="D79" i="3"/>
  <c r="S78" i="3"/>
  <c r="H78" i="3"/>
  <c r="C75" i="3"/>
  <c r="J79" i="3"/>
  <c r="P79" i="3"/>
  <c r="F70" i="3"/>
  <c r="D70" i="3"/>
  <c r="F69" i="3"/>
  <c r="D69" i="3"/>
  <c r="S68" i="3"/>
  <c r="R68" i="3"/>
  <c r="P68" i="3"/>
  <c r="N64" i="3"/>
  <c r="S64" i="3"/>
  <c r="F64" i="3"/>
  <c r="L64" i="3"/>
  <c r="R64" i="3"/>
  <c r="D64" i="3"/>
  <c r="J64" i="3"/>
  <c r="P64" i="3"/>
  <c r="N58" i="3"/>
  <c r="S58" i="3"/>
  <c r="L58" i="3"/>
  <c r="R58" i="3"/>
  <c r="J58" i="3"/>
  <c r="P58" i="3"/>
  <c r="D52" i="3"/>
  <c r="J52" i="3"/>
  <c r="P52" i="3"/>
  <c r="N52" i="3"/>
  <c r="S52" i="3"/>
  <c r="F52" i="3"/>
  <c r="L52" i="3"/>
  <c r="R52" i="3"/>
  <c r="D47" i="3"/>
  <c r="J47" i="3"/>
  <c r="P47" i="3"/>
  <c r="M47" i="3"/>
  <c r="S47" i="3"/>
  <c r="F47" i="3"/>
  <c r="L47" i="3"/>
  <c r="R47" i="3"/>
  <c r="N40" i="3"/>
  <c r="S40" i="3"/>
  <c r="L40" i="3"/>
  <c r="R40" i="3"/>
  <c r="J40" i="3"/>
  <c r="P40" i="3"/>
  <c r="N31" i="3"/>
  <c r="S31" i="3"/>
  <c r="L31" i="3"/>
  <c r="R31" i="3"/>
  <c r="J31" i="3"/>
  <c r="P31" i="3"/>
  <c r="S24" i="3"/>
  <c r="R24" i="3"/>
  <c r="P24" i="3"/>
  <c r="N20" i="3"/>
  <c r="S20" i="3"/>
  <c r="L20" i="3"/>
  <c r="R20" i="3"/>
  <c r="J20" i="3"/>
  <c r="P20" i="3"/>
  <c r="N14" i="3"/>
  <c r="S14" i="3"/>
  <c r="L14" i="3"/>
  <c r="R14" i="3"/>
  <c r="J14" i="3"/>
  <c r="P14" i="3"/>
  <c r="N9" i="3"/>
  <c r="S9" i="3"/>
  <c r="L9" i="3"/>
  <c r="R9" i="3"/>
  <c r="J9" i="3"/>
  <c r="P9" i="3"/>
  <c r="J4" i="3"/>
  <c r="P4" i="3"/>
  <c r="N4" i="3"/>
  <c r="S4" i="3"/>
  <c r="L4" i="3"/>
  <c r="R4" i="3"/>
  <c r="F250" i="3"/>
  <c r="D256" i="3"/>
  <c r="D274" i="3"/>
  <c r="D78" i="3"/>
  <c r="P78" i="3"/>
  <c r="R248" i="3"/>
  <c r="P254" i="3"/>
  <c r="D265" i="3"/>
  <c r="P265" i="3"/>
  <c r="L79" i="3"/>
  <c r="R79" i="3"/>
  <c r="R254" i="3"/>
  <c r="D287" i="3"/>
  <c r="P287" i="3"/>
  <c r="L88" i="3"/>
  <c r="R88" i="3"/>
  <c r="L106" i="3"/>
  <c r="R106" i="3"/>
  <c r="D249" i="3"/>
  <c r="J234" i="1"/>
  <c r="L228" i="1"/>
  <c r="L206" i="1"/>
  <c r="U202" i="1"/>
  <c r="V202" i="1"/>
  <c r="J4" i="1"/>
  <c r="S286" i="1"/>
  <c r="F286" i="1"/>
  <c r="L286" i="1"/>
  <c r="R286" i="1"/>
  <c r="F282" i="1"/>
  <c r="F287" i="1"/>
  <c r="R287" i="1"/>
  <c r="D282" i="1"/>
  <c r="D287" i="1"/>
  <c r="P287" i="1"/>
  <c r="S275" i="1"/>
  <c r="H275" i="1"/>
  <c r="F275" i="1"/>
  <c r="L275" i="1"/>
  <c r="R275" i="1"/>
  <c r="H274" i="1"/>
  <c r="F274" i="1"/>
  <c r="D271" i="1"/>
  <c r="D275" i="1"/>
  <c r="J275" i="1"/>
  <c r="P275" i="1"/>
  <c r="S264" i="1"/>
  <c r="F264" i="1"/>
  <c r="L264" i="1"/>
  <c r="R264" i="1"/>
  <c r="F260" i="1"/>
  <c r="F265" i="1"/>
  <c r="R265" i="1"/>
  <c r="D260" i="1"/>
  <c r="D265" i="1"/>
  <c r="P265" i="1"/>
  <c r="S254" i="1"/>
  <c r="F254" i="1"/>
  <c r="R254" i="1"/>
  <c r="F255" i="1"/>
  <c r="D254" i="1"/>
  <c r="P254" i="1"/>
  <c r="F248" i="1"/>
  <c r="F250" i="1"/>
  <c r="S248" i="1"/>
  <c r="R248" i="1"/>
  <c r="D248" i="1"/>
  <c r="D250" i="1"/>
  <c r="S244" i="1"/>
  <c r="L244" i="1"/>
  <c r="R244" i="1"/>
  <c r="D244" i="1"/>
  <c r="J244" i="1"/>
  <c r="P244" i="1"/>
  <c r="M234" i="1"/>
  <c r="S234" i="1"/>
  <c r="L234" i="1"/>
  <c r="R234" i="1"/>
  <c r="P234" i="1"/>
  <c r="M228" i="1"/>
  <c r="S228" i="1"/>
  <c r="R228" i="1"/>
  <c r="J228" i="1"/>
  <c r="P228" i="1"/>
  <c r="N222" i="1"/>
  <c r="S222" i="1"/>
  <c r="F222" i="1"/>
  <c r="L222" i="1"/>
  <c r="R222" i="1"/>
  <c r="D222" i="1"/>
  <c r="J222" i="1"/>
  <c r="P222" i="1"/>
  <c r="N215" i="1"/>
  <c r="S215" i="1"/>
  <c r="F215" i="1"/>
  <c r="L215" i="1"/>
  <c r="R215" i="1"/>
  <c r="D215" i="1"/>
  <c r="J215" i="1"/>
  <c r="P215" i="1"/>
  <c r="N206" i="1"/>
  <c r="S206" i="1"/>
  <c r="R206" i="1"/>
  <c r="J206" i="1"/>
  <c r="P206" i="1"/>
  <c r="J197" i="1"/>
  <c r="P197" i="1"/>
  <c r="N197" i="1"/>
  <c r="S197" i="1"/>
  <c r="L197" i="1"/>
  <c r="R197" i="1"/>
  <c r="D190" i="1"/>
  <c r="P190" i="1"/>
  <c r="F190" i="1"/>
  <c r="R190" i="1"/>
  <c r="S189" i="1"/>
  <c r="N189" i="1"/>
  <c r="D189" i="1"/>
  <c r="J189" i="1"/>
  <c r="P189" i="1"/>
  <c r="H189" i="1"/>
  <c r="F189" i="1"/>
  <c r="L189" i="1"/>
  <c r="R189" i="1"/>
  <c r="S188" i="1"/>
  <c r="H188" i="1"/>
  <c r="F188" i="1"/>
  <c r="R188" i="1"/>
  <c r="D188" i="1"/>
  <c r="P188" i="1"/>
  <c r="S182" i="1"/>
  <c r="F182" i="1"/>
  <c r="L182" i="1"/>
  <c r="R182" i="1"/>
  <c r="D182" i="1"/>
  <c r="J182" i="1"/>
  <c r="P182" i="1"/>
  <c r="S181" i="1"/>
  <c r="D181" i="1"/>
  <c r="P181" i="1"/>
  <c r="F181" i="1"/>
  <c r="R181" i="1"/>
  <c r="D172" i="1"/>
  <c r="P172" i="1"/>
  <c r="F172" i="1"/>
  <c r="R172" i="1"/>
  <c r="F171" i="1"/>
  <c r="L171" i="1"/>
  <c r="R171" i="1"/>
  <c r="H171" i="1"/>
  <c r="H172" i="1"/>
  <c r="S172" i="1"/>
  <c r="D171" i="1"/>
  <c r="J171" i="1"/>
  <c r="P171" i="1"/>
  <c r="D161" i="1"/>
  <c r="P161" i="1"/>
  <c r="F161" i="1"/>
  <c r="R161" i="1"/>
  <c r="H160" i="1"/>
  <c r="N160" i="1"/>
  <c r="S160" i="1"/>
  <c r="F160" i="1"/>
  <c r="L160" i="1"/>
  <c r="R160" i="1"/>
  <c r="D160" i="1"/>
  <c r="J160" i="1"/>
  <c r="P160" i="1"/>
  <c r="N152" i="1"/>
  <c r="S152" i="1"/>
  <c r="F152" i="1"/>
  <c r="L152" i="1"/>
  <c r="R152" i="1"/>
  <c r="D152" i="1"/>
  <c r="J152" i="1"/>
  <c r="P152" i="1"/>
  <c r="H145" i="1"/>
  <c r="F145" i="1"/>
  <c r="H144" i="1"/>
  <c r="N144" i="1"/>
  <c r="S144" i="1"/>
  <c r="D140" i="1"/>
  <c r="D144" i="1"/>
  <c r="J144" i="1"/>
  <c r="P144" i="1"/>
  <c r="B143" i="1"/>
  <c r="F144" i="1"/>
  <c r="L144" i="1"/>
  <c r="R144" i="1"/>
  <c r="D145" i="1"/>
  <c r="H134" i="1"/>
  <c r="S134" i="1"/>
  <c r="F133" i="1"/>
  <c r="L133" i="1"/>
  <c r="R133" i="1"/>
  <c r="H133" i="1"/>
  <c r="N133" i="1"/>
  <c r="S133" i="1"/>
  <c r="F129" i="1"/>
  <c r="F134" i="1"/>
  <c r="R134" i="1"/>
  <c r="D129" i="1"/>
  <c r="D133" i="1"/>
  <c r="J133" i="1"/>
  <c r="P133" i="1"/>
  <c r="M124" i="1"/>
  <c r="S124" i="1"/>
  <c r="F124" i="1"/>
  <c r="L124" i="1"/>
  <c r="R124" i="1"/>
  <c r="D124" i="1"/>
  <c r="J124" i="1"/>
  <c r="P124" i="1"/>
  <c r="N118" i="1"/>
  <c r="S118" i="1"/>
  <c r="L118" i="1"/>
  <c r="R118" i="1"/>
  <c r="J118" i="1"/>
  <c r="P118" i="1"/>
  <c r="N113" i="1"/>
  <c r="S113" i="1"/>
  <c r="L113" i="1"/>
  <c r="R113" i="1"/>
  <c r="J113" i="1"/>
  <c r="P113" i="1"/>
  <c r="F107" i="1"/>
  <c r="R107" i="1"/>
  <c r="S106" i="1"/>
  <c r="N106" i="1"/>
  <c r="J106" i="1"/>
  <c r="P106" i="1"/>
  <c r="H106" i="1"/>
  <c r="H107" i="1"/>
  <c r="S107" i="1"/>
  <c r="F106" i="1"/>
  <c r="L106" i="1"/>
  <c r="R106" i="1"/>
  <c r="D106" i="1"/>
  <c r="D107" i="1"/>
  <c r="P107" i="1"/>
  <c r="S105" i="1"/>
  <c r="D105" i="1"/>
  <c r="P105" i="1"/>
  <c r="F98" i="1"/>
  <c r="R98" i="1"/>
  <c r="S97" i="1"/>
  <c r="N97" i="1"/>
  <c r="F97" i="1"/>
  <c r="L97" i="1"/>
  <c r="R97" i="1"/>
  <c r="J97" i="1"/>
  <c r="P97" i="1"/>
  <c r="H97" i="1"/>
  <c r="H98" i="1"/>
  <c r="S98" i="1"/>
  <c r="R96" i="1"/>
  <c r="D97" i="1"/>
  <c r="D98" i="1"/>
  <c r="P98" i="1"/>
  <c r="S96" i="1"/>
  <c r="D96" i="1"/>
  <c r="P96" i="1"/>
  <c r="S88" i="1"/>
  <c r="N88" i="1"/>
  <c r="H88" i="1"/>
  <c r="S87" i="1"/>
  <c r="H87" i="1"/>
  <c r="F84" i="1"/>
  <c r="F88" i="1"/>
  <c r="L88" i="1"/>
  <c r="R88" i="1"/>
  <c r="D84" i="1"/>
  <c r="D88" i="1"/>
  <c r="S79" i="1"/>
  <c r="N79" i="1"/>
  <c r="H79" i="1"/>
  <c r="F79" i="1"/>
  <c r="L79" i="1"/>
  <c r="R79" i="1"/>
  <c r="D79" i="1"/>
  <c r="S78" i="1"/>
  <c r="H78" i="1"/>
  <c r="C75" i="1"/>
  <c r="J79" i="1"/>
  <c r="P79" i="1"/>
  <c r="F70" i="1"/>
  <c r="D70" i="1"/>
  <c r="F69" i="1"/>
  <c r="D69" i="1"/>
  <c r="S68" i="1"/>
  <c r="R68" i="1"/>
  <c r="P68" i="1"/>
  <c r="N64" i="1"/>
  <c r="S64" i="1"/>
  <c r="F64" i="1"/>
  <c r="L64" i="1"/>
  <c r="R64" i="1"/>
  <c r="D64" i="1"/>
  <c r="J64" i="1"/>
  <c r="P64" i="1"/>
  <c r="N58" i="1"/>
  <c r="S58" i="1"/>
  <c r="L58" i="1"/>
  <c r="R58" i="1"/>
  <c r="J58" i="1"/>
  <c r="P58" i="1"/>
  <c r="N52" i="1"/>
  <c r="S52" i="1"/>
  <c r="F52" i="1"/>
  <c r="L52" i="1"/>
  <c r="R52" i="1"/>
  <c r="D52" i="1"/>
  <c r="J52" i="1"/>
  <c r="P52" i="1"/>
  <c r="M47" i="1"/>
  <c r="S47" i="1"/>
  <c r="F47" i="1"/>
  <c r="L47" i="1"/>
  <c r="R47" i="1"/>
  <c r="D47" i="1"/>
  <c r="J47" i="1"/>
  <c r="P47" i="1"/>
  <c r="R78" i="1"/>
  <c r="N171" i="1"/>
  <c r="D134" i="1"/>
  <c r="P134" i="1"/>
  <c r="S171" i="1"/>
  <c r="D256" i="1"/>
  <c r="D264" i="1"/>
  <c r="J264" i="1"/>
  <c r="P264" i="1"/>
  <c r="H161" i="1"/>
  <c r="S161" i="1"/>
  <c r="F256" i="1"/>
  <c r="D274" i="1"/>
  <c r="D286" i="1"/>
  <c r="J286" i="1"/>
  <c r="P286" i="1"/>
  <c r="R87" i="1"/>
  <c r="P248" i="1"/>
  <c r="F249" i="1"/>
  <c r="D255" i="1"/>
  <c r="D78" i="1"/>
  <c r="P78" i="1"/>
  <c r="R105" i="1"/>
  <c r="D249" i="1"/>
  <c r="C84" i="1"/>
  <c r="J88" i="1"/>
  <c r="P88" i="1"/>
  <c r="D87" i="1"/>
  <c r="P87" i="1"/>
  <c r="N40" i="1"/>
  <c r="S40" i="1"/>
  <c r="L40" i="1"/>
  <c r="R40" i="1"/>
  <c r="J40" i="1"/>
  <c r="P40" i="1"/>
  <c r="N31" i="1"/>
  <c r="S31" i="1"/>
  <c r="L31" i="1"/>
  <c r="R31" i="1"/>
  <c r="J31" i="1"/>
  <c r="P31" i="1"/>
  <c r="S24" i="1"/>
  <c r="R24" i="1"/>
  <c r="N20" i="1"/>
  <c r="S20" i="1"/>
  <c r="L20" i="1"/>
  <c r="R20" i="1"/>
  <c r="J20" i="1"/>
  <c r="P20" i="1"/>
  <c r="P24" i="1"/>
  <c r="C102" i="2"/>
  <c r="J103" i="2"/>
  <c r="P98" i="2"/>
  <c r="J150" i="2"/>
  <c r="J83" i="2"/>
  <c r="L4" i="1"/>
  <c r="R4" i="1"/>
  <c r="P4" i="1"/>
  <c r="N4" i="1"/>
  <c r="S4" i="1"/>
  <c r="J168" i="2"/>
  <c r="P168" i="2"/>
  <c r="J162" i="2"/>
  <c r="P162" i="2"/>
  <c r="M168" i="2"/>
  <c r="S168" i="2"/>
  <c r="F168" i="2"/>
  <c r="L168" i="2"/>
  <c r="R168" i="2"/>
  <c r="M162" i="2"/>
  <c r="S162" i="2"/>
  <c r="F162" i="2"/>
  <c r="L162" i="2"/>
  <c r="R162" i="2"/>
  <c r="M180" i="2"/>
  <c r="S180" i="2"/>
  <c r="J180" i="2"/>
  <c r="P180" i="2"/>
  <c r="M174" i="2"/>
  <c r="L180" i="2"/>
  <c r="R180" i="2"/>
  <c r="J174" i="2"/>
  <c r="P174" i="2"/>
  <c r="S174" i="2"/>
  <c r="L174" i="2"/>
  <c r="R174" i="2"/>
  <c r="M156" i="2"/>
  <c r="S156" i="2"/>
  <c r="J156" i="2"/>
  <c r="P156" i="2"/>
  <c r="F156" i="2"/>
  <c r="L156" i="2"/>
  <c r="R156" i="2"/>
  <c r="C134" i="2"/>
  <c r="P150" i="2"/>
  <c r="M150" i="2"/>
  <c r="S150" i="2"/>
  <c r="L150" i="2"/>
  <c r="R150" i="2"/>
  <c r="J142" i="2"/>
  <c r="P142" i="2"/>
  <c r="R143" i="2"/>
  <c r="P143" i="2"/>
  <c r="L143" i="2"/>
  <c r="N142" i="2"/>
  <c r="S142" i="2"/>
  <c r="L142" i="2"/>
  <c r="R142" i="2"/>
  <c r="P136" i="2"/>
  <c r="J135" i="2"/>
  <c r="P135" i="2"/>
  <c r="R136" i="2"/>
  <c r="L136" i="2"/>
  <c r="N135" i="2"/>
  <c r="S135" i="2"/>
  <c r="L135" i="2"/>
  <c r="R135" i="2"/>
  <c r="R116" i="2"/>
  <c r="P116" i="2"/>
  <c r="S115" i="2"/>
  <c r="S116" i="2"/>
  <c r="J115" i="2"/>
  <c r="P115" i="2"/>
  <c r="N115" i="2"/>
  <c r="N116" i="2"/>
  <c r="S109" i="2"/>
  <c r="S110" i="2"/>
  <c r="N109" i="2"/>
  <c r="N110" i="2"/>
  <c r="J109" i="2"/>
  <c r="P109" i="2"/>
  <c r="L116" i="2"/>
  <c r="L115" i="2"/>
  <c r="R115" i="2"/>
  <c r="R110" i="2"/>
  <c r="P110" i="2"/>
  <c r="L110" i="2"/>
  <c r="L109" i="2"/>
  <c r="R109" i="2"/>
  <c r="R104" i="2"/>
  <c r="P104" i="2"/>
  <c r="S103" i="2"/>
  <c r="L103" i="2"/>
  <c r="R103" i="2"/>
  <c r="P103" i="2"/>
  <c r="J97" i="2"/>
  <c r="P97" i="2"/>
  <c r="J121" i="2"/>
  <c r="P121" i="2"/>
  <c r="P122" i="2"/>
  <c r="P129" i="2"/>
  <c r="J128" i="2"/>
  <c r="R129" i="2"/>
  <c r="L128" i="2"/>
  <c r="R128" i="2"/>
  <c r="S129" i="2"/>
  <c r="N129" i="2"/>
  <c r="L129" i="2"/>
  <c r="N128" i="2"/>
  <c r="S128" i="2"/>
  <c r="P128" i="2"/>
  <c r="S122" i="2"/>
  <c r="N122" i="2"/>
  <c r="N121" i="2"/>
  <c r="S121" i="2"/>
  <c r="R122" i="2"/>
  <c r="L122" i="2"/>
  <c r="L121" i="2"/>
  <c r="R121" i="2"/>
  <c r="F32" i="2"/>
  <c r="R32" i="2"/>
  <c r="F23" i="2"/>
  <c r="R23" i="2"/>
  <c r="D82" i="2"/>
  <c r="S33" i="2"/>
  <c r="H33" i="2"/>
  <c r="N33" i="2"/>
  <c r="D33" i="2"/>
  <c r="P32" i="2"/>
  <c r="B33" i="2"/>
  <c r="F33" i="2"/>
  <c r="L33" i="2"/>
  <c r="H32" i="2"/>
  <c r="S32" i="2"/>
  <c r="H22" i="2"/>
  <c r="S23" i="2"/>
  <c r="D22" i="2"/>
  <c r="J22" i="2"/>
  <c r="P22" i="2"/>
  <c r="B21" i="2"/>
  <c r="F22" i="2"/>
  <c r="S91" i="2"/>
  <c r="J92" i="2"/>
  <c r="P92" i="2"/>
  <c r="N22" i="2"/>
  <c r="S22" i="2"/>
  <c r="J33" i="2"/>
  <c r="P33" i="2"/>
  <c r="P23" i="2"/>
  <c r="L22" i="2"/>
  <c r="R22" i="2"/>
  <c r="R33" i="2"/>
  <c r="P83" i="2"/>
  <c r="N92" i="2"/>
  <c r="S92" i="2"/>
  <c r="H92" i="2"/>
  <c r="F92" i="2"/>
  <c r="R91" i="2"/>
  <c r="D92" i="2"/>
  <c r="D91" i="2"/>
  <c r="P91" i="2"/>
  <c r="F83" i="2"/>
  <c r="L83" i="2"/>
  <c r="D83" i="2"/>
  <c r="S83" i="2"/>
  <c r="H55" i="2"/>
  <c r="N55" i="2"/>
  <c r="S55" i="2"/>
  <c r="D55" i="2"/>
  <c r="J55" i="2"/>
  <c r="P55" i="2"/>
  <c r="B55" i="2"/>
  <c r="F55" i="2"/>
  <c r="L55" i="2"/>
  <c r="R55" i="2"/>
  <c r="H54" i="2"/>
  <c r="S54" i="2"/>
  <c r="F54" i="2"/>
  <c r="R54" i="2"/>
  <c r="D54" i="2"/>
  <c r="P54" i="2"/>
  <c r="H74" i="2"/>
  <c r="S74" i="2"/>
  <c r="D74" i="2"/>
  <c r="P74" i="2"/>
  <c r="H73" i="2"/>
  <c r="N73" i="2"/>
  <c r="S73" i="2"/>
  <c r="F73" i="2"/>
  <c r="F74" i="2"/>
  <c r="R74" i="2"/>
  <c r="D73" i="2"/>
  <c r="J73" i="2"/>
  <c r="P73" i="2"/>
  <c r="D65" i="2"/>
  <c r="P65" i="2"/>
  <c r="F43" i="2"/>
  <c r="R43" i="2"/>
  <c r="D64" i="2"/>
  <c r="J64" i="2"/>
  <c r="P64" i="2"/>
  <c r="F64" i="2"/>
  <c r="F65" i="2"/>
  <c r="R65" i="2"/>
  <c r="H65" i="2"/>
  <c r="S65" i="2"/>
  <c r="H64" i="2"/>
  <c r="N64" i="2"/>
  <c r="S64" i="2"/>
  <c r="S12" i="2"/>
  <c r="L73" i="2"/>
  <c r="R73" i="2"/>
  <c r="L92" i="2"/>
  <c r="R92" i="2"/>
  <c r="R83" i="2"/>
  <c r="L64" i="2"/>
  <c r="R64" i="2"/>
  <c r="H43" i="2"/>
  <c r="S43" i="2"/>
  <c r="H42" i="2"/>
  <c r="N42" i="2"/>
  <c r="S42" i="2"/>
  <c r="B41" i="2"/>
  <c r="F42" i="2"/>
  <c r="L42" i="2"/>
  <c r="R42" i="2"/>
  <c r="D43" i="2"/>
  <c r="P43" i="2"/>
  <c r="R98" i="2"/>
  <c r="S97" i="2"/>
  <c r="L97" i="2"/>
  <c r="R97" i="2"/>
  <c r="R12" i="2"/>
  <c r="N8" i="2"/>
  <c r="S8" i="2"/>
  <c r="L8" i="2"/>
  <c r="R8" i="2"/>
  <c r="J8" i="2"/>
  <c r="P8" i="2"/>
  <c r="N9" i="1"/>
  <c r="S9" i="1"/>
  <c r="L9" i="1"/>
  <c r="R9" i="1"/>
  <c r="J9" i="1"/>
  <c r="P9" i="1"/>
  <c r="N14" i="1"/>
  <c r="S14" i="1"/>
  <c r="L14" i="1"/>
  <c r="R14" i="1"/>
  <c r="J14" i="1"/>
  <c r="P14" i="1"/>
  <c r="P12" i="2"/>
  <c r="D42" i="2"/>
  <c r="J42" i="2"/>
  <c r="P42" i="2"/>
</calcChain>
</file>

<file path=xl/sharedStrings.xml><?xml version="1.0" encoding="utf-8"?>
<sst xmlns="http://schemas.openxmlformats.org/spreadsheetml/2006/main" count="1372" uniqueCount="123">
  <si>
    <t>Perfil Kompen</t>
  </si>
  <si>
    <t>TP</t>
  </si>
  <si>
    <t>Marco</t>
  </si>
  <si>
    <t>Hoja</t>
  </si>
  <si>
    <t>TMP</t>
  </si>
  <si>
    <t>Ancho</t>
  </si>
  <si>
    <t>Alto</t>
  </si>
  <si>
    <t>Semilla</t>
  </si>
  <si>
    <t>x</t>
  </si>
  <si>
    <t>ABATIR DOS HOJA INTERIOR O EXTERIOR</t>
  </si>
  <si>
    <t>Hoja Exterior</t>
  </si>
  <si>
    <t>OSCILANTE</t>
  </si>
  <si>
    <t xml:space="preserve">OSCILOBATIENTE </t>
  </si>
  <si>
    <t>Alta</t>
  </si>
  <si>
    <t>PVC</t>
  </si>
  <si>
    <t>Ref</t>
  </si>
  <si>
    <t>OSCILOBATIENTE MAS POSTE FIJO DERECHO</t>
  </si>
  <si>
    <t>Ancho Hoja</t>
  </si>
  <si>
    <t>Marco Fabricacion</t>
  </si>
  <si>
    <t>Ensamblar</t>
  </si>
  <si>
    <t>H</t>
  </si>
  <si>
    <t>Eje Poste</t>
  </si>
  <si>
    <t>DORM 4</t>
  </si>
  <si>
    <t xml:space="preserve">Alto </t>
  </si>
  <si>
    <t>Hojas</t>
  </si>
  <si>
    <t>F</t>
  </si>
  <si>
    <t>Ensamble los Fijos con Poste</t>
  </si>
  <si>
    <t>V10</t>
  </si>
  <si>
    <t>DORM 3</t>
  </si>
  <si>
    <t>Corredera Hoja Grande</t>
  </si>
  <si>
    <t>Hoja Corredera Grande</t>
  </si>
  <si>
    <t>V22</t>
  </si>
  <si>
    <t>Corredera Hoja Chica</t>
  </si>
  <si>
    <t xml:space="preserve"> </t>
  </si>
  <si>
    <t>V4</t>
  </si>
  <si>
    <t>PUERTA CORREDERA CON FIJO CENTRAL</t>
  </si>
  <si>
    <t>V11</t>
  </si>
  <si>
    <t>Dos Proyectante Superior mas fijo Inferior</t>
  </si>
  <si>
    <t>Alto Hoja</t>
  </si>
  <si>
    <t>Ensamble Conector Marco</t>
  </si>
  <si>
    <t>Fijo</t>
  </si>
  <si>
    <t>V14</t>
  </si>
  <si>
    <t>1 Proyectante Superior mas fijo Inferior</t>
  </si>
  <si>
    <t>Por Verificar</t>
  </si>
  <si>
    <t>V18</t>
  </si>
  <si>
    <t>MARCO CON POSTE</t>
  </si>
  <si>
    <t>V5</t>
  </si>
  <si>
    <t>3 PROYECTANTES SUPERIOR MAS 3 FIJO INFERIORES</t>
  </si>
  <si>
    <t>V6</t>
  </si>
  <si>
    <t>2 Proyectantes Superior mas 2 Fijos Inferiores</t>
  </si>
  <si>
    <t>V1</t>
  </si>
  <si>
    <t>Ancianos Mirasol</t>
  </si>
  <si>
    <t>Baño</t>
  </si>
  <si>
    <t>V3</t>
  </si>
  <si>
    <t>Medida Terminada</t>
  </si>
  <si>
    <t>A</t>
  </si>
  <si>
    <t>B</t>
  </si>
  <si>
    <t>C</t>
  </si>
  <si>
    <t>PUERTA ABATIR EXTERIOR MARCO INFERIOR ABIERTO</t>
  </si>
  <si>
    <t>ALETA SUPERIOR Y LATERALES</t>
  </si>
  <si>
    <t>Rebajar Pestañna Inferior Hoja</t>
  </si>
  <si>
    <t>Ext</t>
  </si>
  <si>
    <t>PUERTA ABATIR EXTERIOR MARCO CERRADO</t>
  </si>
  <si>
    <t>PV1</t>
  </si>
  <si>
    <t>PUERTA ABATIR DOBLE HOJA EXTERIOR MARCO ABIERTO</t>
  </si>
  <si>
    <t xml:space="preserve">Hoja </t>
  </si>
  <si>
    <t>PUERTA ABATIR DOBLE HOJA EXTERIOR MARCO CERRADO</t>
  </si>
  <si>
    <t>V7</t>
  </si>
  <si>
    <t>Baño Ppal</t>
  </si>
  <si>
    <t>V15</t>
  </si>
  <si>
    <t>Caja Escala</t>
  </si>
  <si>
    <t>E15</t>
  </si>
  <si>
    <t>Extr Caja Escala</t>
  </si>
  <si>
    <t>Home Office</t>
  </si>
  <si>
    <t>V13</t>
  </si>
  <si>
    <t>Sala Estar</t>
  </si>
  <si>
    <t>2 DE 4</t>
  </si>
  <si>
    <t>V12</t>
  </si>
  <si>
    <t>Corredera Hoja Chica Mono Riel</t>
  </si>
  <si>
    <t>TF</t>
  </si>
  <si>
    <t>Corredera Hoja Grande Mono Riel</t>
  </si>
  <si>
    <t>PROYECTANTE 700</t>
  </si>
  <si>
    <t>PROYECTANTE 500</t>
  </si>
  <si>
    <t>Manilla Parche</t>
  </si>
  <si>
    <t>Cremona E25mm</t>
  </si>
  <si>
    <t>Pauta se Debe Sumar fusion en marco</t>
  </si>
  <si>
    <t>FIJO 700</t>
  </si>
  <si>
    <t>FIJO 500</t>
  </si>
  <si>
    <t>Ensamble Conector Marco Cod 417</t>
  </si>
  <si>
    <t>1 Proyectante 500 Superior mas fijo Inferior</t>
  </si>
  <si>
    <t>1 Proyectante 500 mas Fijo Derecho</t>
  </si>
  <si>
    <t>1 Proyectante 500 mas Fijo Izquierdo</t>
  </si>
  <si>
    <t>PROYECTANTE MAS POSTE FIJO DERECHO</t>
  </si>
  <si>
    <t>1 Proyectante 500 Superior mas poste fijo Inferior</t>
  </si>
  <si>
    <t>1 Proyectante 500 Superior mas fijo Superior</t>
  </si>
  <si>
    <t>Ventanas Compuesta Ingrears medida Final</t>
  </si>
  <si>
    <t>1 Proyectante 500 Superior mas poste fijo Superior</t>
  </si>
  <si>
    <t>CORREDERA MONORIEL CON FIJO CENTRAL HOJA GRANDE</t>
  </si>
  <si>
    <t>CORREDERA MONORIEL CON FIJO CENTRAL HOJA CHICA</t>
  </si>
  <si>
    <t>Ancho Eje Poste</t>
  </si>
  <si>
    <t>mas 37</t>
  </si>
  <si>
    <t>iguala ancho TMP</t>
  </si>
  <si>
    <t>mas 26</t>
  </si>
  <si>
    <t>mas 42</t>
  </si>
  <si>
    <t>V2</t>
  </si>
  <si>
    <t>Ancho Eje Poste Lateral</t>
  </si>
  <si>
    <t>menos 14</t>
  </si>
  <si>
    <t>CORREDERA MONORIEL 2 HOJA CENTRAL CHICA</t>
  </si>
  <si>
    <t>CORREDERA MONORIEL 2 HOJA CENTRAL GRANDE</t>
  </si>
  <si>
    <t>menos 30</t>
  </si>
  <si>
    <t>PUERTA CORREDERA TRIPLE RIEL 3 HOJAS CHICAS</t>
  </si>
  <si>
    <t>PUERTA CORREDERA TRIPLE RIEL 6 HOJA GRANDE</t>
  </si>
  <si>
    <t>PUERTA CORREDERA TRIPLE RIEL 3 HOJA CHICA</t>
  </si>
  <si>
    <t>PUERTA CORREDERA TRIPLE RIEL 6 HOJA CHICA</t>
  </si>
  <si>
    <t>PUERTA CORREDERA TRIPLE RIEL 3 HOJA GRANDE</t>
  </si>
  <si>
    <t>Guarin Cea</t>
  </si>
  <si>
    <t>Color Blanco</t>
  </si>
  <si>
    <t>Abatir 700</t>
  </si>
  <si>
    <t>SIN ALETA</t>
  </si>
  <si>
    <t>PROYECTANTE MAS POSTE</t>
  </si>
  <si>
    <t>Hojas Exterior</t>
  </si>
  <si>
    <t>PV2</t>
  </si>
  <si>
    <t>Agregar Perfil 2010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</si>
</sst>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0"/>
      <color rgb="FFC00000"/>
      <name val="Arial"/>
      <family val="2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/>
    <xf numFmtId="14" fontId="0" fillId="0" borderId="0" xfId="0" applyNumberFormat="1" applyFill="1" applyAlignment="1">
      <alignment horizontal="left"/>
    </xf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/>
    <xf numFmtId="1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4" fillId="0" borderId="0" xfId="0" applyFont="1" applyFill="1" applyAlignment="1">
      <alignment horizontal="center"/>
    </xf>
    <xf numFmtId="12" fontId="3" fillId="0" borderId="0" xfId="0" applyNumberFormat="1" applyFont="1" applyFill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1" fontId="0" fillId="0" borderId="0" xfId="0" applyNumberFormat="1" applyFill="1" applyAlignment="1">
      <alignment horizontal="center"/>
    </xf>
    <xf numFmtId="1" fontId="0" fillId="0" borderId="0" xfId="0" applyNumberFormat="1" applyFill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Fill="1" applyAlignment="1">
      <alignment horizontal="left"/>
    </xf>
    <xf numFmtId="0" fontId="6" fillId="0" borderId="0" xfId="0" applyFont="1" applyFill="1"/>
    <xf numFmtId="3" fontId="0" fillId="0" borderId="0" xfId="0" applyNumberFormat="1" applyFill="1" applyAlignment="1">
      <alignment horizontal="center"/>
    </xf>
    <xf numFmtId="0" fontId="3" fillId="0" borderId="0" xfId="0" applyFont="1" applyFill="1"/>
    <xf numFmtId="0" fontId="1" fillId="0" borderId="0" xfId="0" applyFont="1"/>
    <xf numFmtId="0" fontId="0" fillId="0" borderId="1" xfId="0" applyBorder="1" applyAlignment="1">
      <alignment horizontal="center"/>
    </xf>
    <xf numFmtId="1" fontId="1" fillId="0" borderId="0" xfId="0" applyNumberFormat="1" applyFont="1" applyFill="1"/>
    <xf numFmtId="0" fontId="1" fillId="0" borderId="0" xfId="0" applyFont="1" applyFill="1" applyBorder="1" applyAlignment="1">
      <alignment horizontal="center"/>
    </xf>
    <xf numFmtId="3" fontId="1" fillId="0" borderId="0" xfId="0" applyNumberFormat="1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Font="1" applyFill="1" applyBorder="1" applyAlignment="1">
      <alignment horizontal="center"/>
    </xf>
    <xf numFmtId="1" fontId="0" fillId="0" borderId="0" xfId="0" applyNumberFormat="1"/>
    <xf numFmtId="0" fontId="6" fillId="0" borderId="0" xfId="0" applyFont="1" applyFill="1" applyAlignment="1">
      <alignment horizontal="center"/>
    </xf>
    <xf numFmtId="0" fontId="6" fillId="0" borderId="0" xfId="0" applyFont="1" applyFill="1" applyBorder="1"/>
    <xf numFmtId="0" fontId="0" fillId="0" borderId="0" xfId="0" applyFill="1" applyBorder="1"/>
    <xf numFmtId="0" fontId="0" fillId="0" borderId="0" xfId="0" applyFill="1" applyAlignment="1">
      <alignment horizontal="center" textRotation="255"/>
    </xf>
    <xf numFmtId="0" fontId="9" fillId="0" borderId="0" xfId="0" applyFont="1" applyFill="1" applyAlignment="1">
      <alignment horizontal="right"/>
    </xf>
    <xf numFmtId="0" fontId="10" fillId="0" borderId="1" xfId="0" applyFont="1" applyFill="1" applyBorder="1" applyAlignment="1">
      <alignment horizontal="center"/>
    </xf>
    <xf numFmtId="0" fontId="0" fillId="0" borderId="0" xfId="0" applyNumberFormat="1" applyFill="1"/>
    <xf numFmtId="0" fontId="10" fillId="0" borderId="3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0" fillId="0" borderId="6" xfId="0" applyFill="1" applyBorder="1"/>
    <xf numFmtId="1" fontId="0" fillId="0" borderId="0" xfId="0" applyNumberFormat="1" applyFont="1" applyFill="1" applyAlignment="1">
      <alignment horizontal="center"/>
    </xf>
    <xf numFmtId="0" fontId="0" fillId="0" borderId="0" xfId="0" applyFont="1" applyFill="1"/>
    <xf numFmtId="0" fontId="11" fillId="0" borderId="0" xfId="0" applyFont="1" applyFill="1"/>
    <xf numFmtId="0" fontId="11" fillId="0" borderId="0" xfId="0" applyFont="1" applyFill="1" applyAlignment="1">
      <alignment horizontal="center"/>
    </xf>
    <xf numFmtId="1" fontId="11" fillId="0" borderId="0" xfId="0" applyNumberFormat="1" applyFont="1" applyFill="1" applyAlignment="1">
      <alignment horizontal="center"/>
    </xf>
    <xf numFmtId="0" fontId="12" fillId="0" borderId="0" xfId="0" applyFont="1" applyFill="1"/>
    <xf numFmtId="0" fontId="12" fillId="0" borderId="0" xfId="0" applyFont="1" applyFill="1" applyAlignment="1">
      <alignment horizontal="center"/>
    </xf>
    <xf numFmtId="1" fontId="12" fillId="0" borderId="0" xfId="0" applyNumberFormat="1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8" fillId="0" borderId="0" xfId="0" applyFont="1" applyFill="1"/>
    <xf numFmtId="0" fontId="0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10" fillId="0" borderId="0" xfId="0" applyFont="1" applyFill="1"/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2" fontId="3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/>
    <xf numFmtId="0" fontId="13" fillId="0" borderId="0" xfId="0" applyFont="1" applyFill="1" applyAlignment="1">
      <alignment horizontal="left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/>
    <xf numFmtId="1" fontId="0" fillId="0" borderId="0" xfId="0" applyNumberFormat="1" applyFont="1" applyFill="1"/>
    <xf numFmtId="0" fontId="14" fillId="0" borderId="0" xfId="1" applyFill="1"/>
    <xf numFmtId="1" fontId="1" fillId="2" borderId="0" xfId="0" applyNumberFormat="1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11</xdr:row>
      <xdr:rowOff>66675</xdr:rowOff>
    </xdr:from>
    <xdr:to>
      <xdr:col>2</xdr:col>
      <xdr:colOff>619125</xdr:colOff>
      <xdr:row>14</xdr:row>
      <xdr:rowOff>133350</xdr:rowOff>
    </xdr:to>
    <xdr:sp macro="" textlink="">
      <xdr:nvSpPr>
        <xdr:cNvPr id="78" name="Rectangle 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rrowheads="1"/>
        </xdr:cNvSpPr>
      </xdr:nvSpPr>
      <xdr:spPr bwMode="auto">
        <a:xfrm>
          <a:off x="485775" y="8067675"/>
          <a:ext cx="552450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145073</xdr:colOff>
      <xdr:row>96</xdr:row>
      <xdr:rowOff>13189</xdr:rowOff>
    </xdr:from>
    <xdr:to>
      <xdr:col>2</xdr:col>
      <xdr:colOff>868973</xdr:colOff>
      <xdr:row>98</xdr:row>
      <xdr:rowOff>146539</xdr:rowOff>
    </xdr:to>
    <xdr:sp macro="" textlink="">
      <xdr:nvSpPr>
        <xdr:cNvPr id="210" name="Rectangle 137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rrowheads="1"/>
        </xdr:cNvSpPr>
      </xdr:nvSpPr>
      <xdr:spPr bwMode="auto">
        <a:xfrm>
          <a:off x="562708" y="18301189"/>
          <a:ext cx="723900" cy="514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507023</xdr:colOff>
      <xdr:row>96</xdr:row>
      <xdr:rowOff>22714</xdr:rowOff>
    </xdr:from>
    <xdr:to>
      <xdr:col>2</xdr:col>
      <xdr:colOff>507023</xdr:colOff>
      <xdr:row>98</xdr:row>
      <xdr:rowOff>146539</xdr:rowOff>
    </xdr:to>
    <xdr:sp macro="" textlink="">
      <xdr:nvSpPr>
        <xdr:cNvPr id="211" name="Line 138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ShapeType="1"/>
        </xdr:cNvSpPr>
      </xdr:nvSpPr>
      <xdr:spPr bwMode="auto">
        <a:xfrm>
          <a:off x="924658" y="18310714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183173</xdr:colOff>
      <xdr:row>97</xdr:row>
      <xdr:rowOff>51289</xdr:rowOff>
    </xdr:from>
    <xdr:to>
      <xdr:col>2</xdr:col>
      <xdr:colOff>430823</xdr:colOff>
      <xdr:row>97</xdr:row>
      <xdr:rowOff>51289</xdr:rowOff>
    </xdr:to>
    <xdr:sp macro="" textlink="">
      <xdr:nvSpPr>
        <xdr:cNvPr id="212" name="Line 139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ShapeType="1"/>
        </xdr:cNvSpPr>
      </xdr:nvSpPr>
      <xdr:spPr bwMode="auto">
        <a:xfrm>
          <a:off x="600808" y="18529789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85725</xdr:colOff>
      <xdr:row>5</xdr:row>
      <xdr:rowOff>104775</xdr:rowOff>
    </xdr:from>
    <xdr:to>
      <xdr:col>2</xdr:col>
      <xdr:colOff>638175</xdr:colOff>
      <xdr:row>8</xdr:row>
      <xdr:rowOff>152400</xdr:rowOff>
    </xdr:to>
    <xdr:sp macro="" textlink="">
      <xdr:nvSpPr>
        <xdr:cNvPr id="220" name="Rectangle 2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rrowheads="1"/>
        </xdr:cNvSpPr>
      </xdr:nvSpPr>
      <xdr:spPr bwMode="auto">
        <a:xfrm>
          <a:off x="504825" y="2200275"/>
          <a:ext cx="5524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5</xdr:row>
      <xdr:rowOff>104775</xdr:rowOff>
    </xdr:from>
    <xdr:to>
      <xdr:col>2</xdr:col>
      <xdr:colOff>638175</xdr:colOff>
      <xdr:row>8</xdr:row>
      <xdr:rowOff>152400</xdr:rowOff>
    </xdr:to>
    <xdr:sp macro="" textlink="">
      <xdr:nvSpPr>
        <xdr:cNvPr id="221" name="Rectangle 3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rrowheads="1"/>
        </xdr:cNvSpPr>
      </xdr:nvSpPr>
      <xdr:spPr bwMode="auto">
        <a:xfrm>
          <a:off x="504825" y="2200275"/>
          <a:ext cx="5524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95250</xdr:colOff>
      <xdr:row>5</xdr:row>
      <xdr:rowOff>95250</xdr:rowOff>
    </xdr:from>
    <xdr:to>
      <xdr:col>2</xdr:col>
      <xdr:colOff>361950</xdr:colOff>
      <xdr:row>8</xdr:row>
      <xdr:rowOff>123825</xdr:rowOff>
    </xdr:to>
    <xdr:sp macro="" textlink="">
      <xdr:nvSpPr>
        <xdr:cNvPr id="222" name="Line 4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ShapeType="1"/>
        </xdr:cNvSpPr>
      </xdr:nvSpPr>
      <xdr:spPr bwMode="auto">
        <a:xfrm>
          <a:off x="514350" y="2190750"/>
          <a:ext cx="26670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381000</xdr:colOff>
      <xdr:row>5</xdr:row>
      <xdr:rowOff>95250</xdr:rowOff>
    </xdr:from>
    <xdr:to>
      <xdr:col>2</xdr:col>
      <xdr:colOff>619125</xdr:colOff>
      <xdr:row>8</xdr:row>
      <xdr:rowOff>123825</xdr:rowOff>
    </xdr:to>
    <xdr:sp macro="" textlink="">
      <xdr:nvSpPr>
        <xdr:cNvPr id="223" name="Line 5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ShapeType="1"/>
        </xdr:cNvSpPr>
      </xdr:nvSpPr>
      <xdr:spPr bwMode="auto">
        <a:xfrm flipH="1">
          <a:off x="800100" y="2190750"/>
          <a:ext cx="238125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220562</xdr:colOff>
      <xdr:row>38</xdr:row>
      <xdr:rowOff>46622</xdr:rowOff>
    </xdr:from>
    <xdr:to>
      <xdr:col>2</xdr:col>
      <xdr:colOff>459803</xdr:colOff>
      <xdr:row>38</xdr:row>
      <xdr:rowOff>157442</xdr:rowOff>
    </xdr:to>
    <xdr:sp macro="" textlink="">
      <xdr:nvSpPr>
        <xdr:cNvPr id="226" name="8 Abrir llav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 rot="5400000">
          <a:off x="703873" y="2608091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111245</xdr:colOff>
      <xdr:row>39</xdr:row>
      <xdr:rowOff>2006</xdr:rowOff>
    </xdr:from>
    <xdr:to>
      <xdr:col>2</xdr:col>
      <xdr:colOff>619125</xdr:colOff>
      <xdr:row>41</xdr:row>
      <xdr:rowOff>47626</xdr:rowOff>
    </xdr:to>
    <xdr:sp macro="" textlink="">
      <xdr:nvSpPr>
        <xdr:cNvPr id="227" name="Rectangle 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rrowheads="1"/>
        </xdr:cNvSpPr>
      </xdr:nvSpPr>
      <xdr:spPr bwMode="auto">
        <a:xfrm>
          <a:off x="530345" y="26291006"/>
          <a:ext cx="507880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114623</xdr:colOff>
      <xdr:row>41</xdr:row>
      <xdr:rowOff>66675</xdr:rowOff>
    </xdr:from>
    <xdr:to>
      <xdr:col>2</xdr:col>
      <xdr:colOff>619125</xdr:colOff>
      <xdr:row>43</xdr:row>
      <xdr:rowOff>134744</xdr:rowOff>
    </xdr:to>
    <xdr:sp macro="" textlink="">
      <xdr:nvSpPr>
        <xdr:cNvPr id="228" name="Rectangle 1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rrowheads="1"/>
        </xdr:cNvSpPr>
      </xdr:nvSpPr>
      <xdr:spPr bwMode="auto">
        <a:xfrm>
          <a:off x="533723" y="7877175"/>
          <a:ext cx="504502" cy="44906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361948</xdr:colOff>
      <xdr:row>39</xdr:row>
      <xdr:rowOff>5444</xdr:rowOff>
    </xdr:from>
    <xdr:to>
      <xdr:col>2</xdr:col>
      <xdr:colOff>620484</xdr:colOff>
      <xdr:row>41</xdr:row>
      <xdr:rowOff>47626</xdr:rowOff>
    </xdr:to>
    <xdr:sp macro="" textlink="">
      <xdr:nvSpPr>
        <xdr:cNvPr id="229" name="Line 133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ShapeType="1"/>
        </xdr:cNvSpPr>
      </xdr:nvSpPr>
      <xdr:spPr bwMode="auto">
        <a:xfrm flipH="1">
          <a:off x="781048" y="26294444"/>
          <a:ext cx="258536" cy="42318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39</xdr:row>
      <xdr:rowOff>14046</xdr:rowOff>
    </xdr:from>
    <xdr:to>
      <xdr:col>2</xdr:col>
      <xdr:colOff>352425</xdr:colOff>
      <xdr:row>41</xdr:row>
      <xdr:rowOff>47625</xdr:rowOff>
    </xdr:to>
    <xdr:sp macro="" textlink="">
      <xdr:nvSpPr>
        <xdr:cNvPr id="230" name="Line 134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ShapeType="1"/>
        </xdr:cNvSpPr>
      </xdr:nvSpPr>
      <xdr:spPr bwMode="auto">
        <a:xfrm>
          <a:off x="523875" y="26303046"/>
          <a:ext cx="247650" cy="41457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220562</xdr:colOff>
      <xdr:row>60</xdr:row>
      <xdr:rowOff>46622</xdr:rowOff>
    </xdr:from>
    <xdr:to>
      <xdr:col>2</xdr:col>
      <xdr:colOff>459803</xdr:colOff>
      <xdr:row>60</xdr:row>
      <xdr:rowOff>157442</xdr:rowOff>
    </xdr:to>
    <xdr:sp macro="" textlink="">
      <xdr:nvSpPr>
        <xdr:cNvPr id="231" name="8 Abrir llav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 rot="5400000">
          <a:off x="707253" y="363110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1</xdr:col>
      <xdr:colOff>149345</xdr:colOff>
      <xdr:row>61</xdr:row>
      <xdr:rowOff>182981</xdr:rowOff>
    </xdr:from>
    <xdr:to>
      <xdr:col>2</xdr:col>
      <xdr:colOff>304800</xdr:colOff>
      <xdr:row>64</xdr:row>
      <xdr:rowOff>38101</xdr:rowOff>
    </xdr:to>
    <xdr:sp macro="" textlink="">
      <xdr:nvSpPr>
        <xdr:cNvPr id="232" name="Rectangle 6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rrowheads="1"/>
        </xdr:cNvSpPr>
      </xdr:nvSpPr>
      <xdr:spPr bwMode="auto">
        <a:xfrm>
          <a:off x="216020" y="6088481"/>
          <a:ext cx="507880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343223</xdr:colOff>
      <xdr:row>61</xdr:row>
      <xdr:rowOff>180975</xdr:rowOff>
    </xdr:from>
    <xdr:to>
      <xdr:col>2</xdr:col>
      <xdr:colOff>847725</xdr:colOff>
      <xdr:row>64</xdr:row>
      <xdr:rowOff>38100</xdr:rowOff>
    </xdr:to>
    <xdr:sp macro="" textlink="">
      <xdr:nvSpPr>
        <xdr:cNvPr id="233" name="Rectangle 1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rrowheads="1"/>
        </xdr:cNvSpPr>
      </xdr:nvSpPr>
      <xdr:spPr bwMode="auto">
        <a:xfrm>
          <a:off x="762323" y="6086475"/>
          <a:ext cx="504502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47623</xdr:colOff>
      <xdr:row>61</xdr:row>
      <xdr:rowOff>186419</xdr:rowOff>
    </xdr:from>
    <xdr:to>
      <xdr:col>2</xdr:col>
      <xdr:colOff>306159</xdr:colOff>
      <xdr:row>64</xdr:row>
      <xdr:rowOff>38101</xdr:rowOff>
    </xdr:to>
    <xdr:sp macro="" textlink="">
      <xdr:nvSpPr>
        <xdr:cNvPr id="234" name="Line 1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ShapeType="1"/>
        </xdr:cNvSpPr>
      </xdr:nvSpPr>
      <xdr:spPr bwMode="auto">
        <a:xfrm flipH="1">
          <a:off x="466723" y="6091919"/>
          <a:ext cx="258536" cy="42318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62</xdr:row>
      <xdr:rowOff>4521</xdr:rowOff>
    </xdr:from>
    <xdr:to>
      <xdr:col>2</xdr:col>
      <xdr:colOff>38100</xdr:colOff>
      <xdr:row>64</xdr:row>
      <xdr:rowOff>38100</xdr:rowOff>
    </xdr:to>
    <xdr:sp macro="" textlink="">
      <xdr:nvSpPr>
        <xdr:cNvPr id="235" name="Line 1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ShapeType="1"/>
        </xdr:cNvSpPr>
      </xdr:nvSpPr>
      <xdr:spPr bwMode="auto">
        <a:xfrm>
          <a:off x="209550" y="6100521"/>
          <a:ext cx="247650" cy="41457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220562</xdr:colOff>
      <xdr:row>69</xdr:row>
      <xdr:rowOff>46622</xdr:rowOff>
    </xdr:from>
    <xdr:to>
      <xdr:col>2</xdr:col>
      <xdr:colOff>459803</xdr:colOff>
      <xdr:row>69</xdr:row>
      <xdr:rowOff>157442</xdr:rowOff>
    </xdr:to>
    <xdr:sp macro="" textlink="">
      <xdr:nvSpPr>
        <xdr:cNvPr id="236" name="8 Abrir llav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 rot="5400000">
          <a:off x="703873" y="569741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435095</xdr:colOff>
      <xdr:row>70</xdr:row>
      <xdr:rowOff>163931</xdr:rowOff>
    </xdr:from>
    <xdr:to>
      <xdr:col>2</xdr:col>
      <xdr:colOff>942975</xdr:colOff>
      <xdr:row>73</xdr:row>
      <xdr:rowOff>19051</xdr:rowOff>
    </xdr:to>
    <xdr:sp macro="" textlink="">
      <xdr:nvSpPr>
        <xdr:cNvPr id="237" name="Rectangle 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rrowheads="1"/>
        </xdr:cNvSpPr>
      </xdr:nvSpPr>
      <xdr:spPr bwMode="auto">
        <a:xfrm>
          <a:off x="854195" y="7783931"/>
          <a:ext cx="507880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228923</xdr:colOff>
      <xdr:row>70</xdr:row>
      <xdr:rowOff>161925</xdr:rowOff>
    </xdr:from>
    <xdr:to>
      <xdr:col>2</xdr:col>
      <xdr:colOff>381000</xdr:colOff>
      <xdr:row>73</xdr:row>
      <xdr:rowOff>19050</xdr:rowOff>
    </xdr:to>
    <xdr:sp macro="" textlink="">
      <xdr:nvSpPr>
        <xdr:cNvPr id="238" name="Rectangle 1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rrowheads="1"/>
        </xdr:cNvSpPr>
      </xdr:nvSpPr>
      <xdr:spPr bwMode="auto">
        <a:xfrm>
          <a:off x="295598" y="7781925"/>
          <a:ext cx="504502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673893</xdr:colOff>
      <xdr:row>70</xdr:row>
      <xdr:rowOff>164305</xdr:rowOff>
    </xdr:from>
    <xdr:to>
      <xdr:col>2</xdr:col>
      <xdr:colOff>940592</xdr:colOff>
      <xdr:row>73</xdr:row>
      <xdr:rowOff>16668</xdr:rowOff>
    </xdr:to>
    <xdr:sp macro="" textlink="">
      <xdr:nvSpPr>
        <xdr:cNvPr id="239" name="Line 133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ShapeType="1"/>
        </xdr:cNvSpPr>
      </xdr:nvSpPr>
      <xdr:spPr bwMode="auto">
        <a:xfrm flipH="1">
          <a:off x="1092993" y="7784305"/>
          <a:ext cx="266699" cy="42386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440531</xdr:colOff>
      <xdr:row>70</xdr:row>
      <xdr:rowOff>169069</xdr:rowOff>
    </xdr:from>
    <xdr:to>
      <xdr:col>2</xdr:col>
      <xdr:colOff>676275</xdr:colOff>
      <xdr:row>73</xdr:row>
      <xdr:rowOff>21431</xdr:rowOff>
    </xdr:to>
    <xdr:sp macro="" textlink="">
      <xdr:nvSpPr>
        <xdr:cNvPr id="240" name="Line 134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ShapeType="1"/>
        </xdr:cNvSpPr>
      </xdr:nvSpPr>
      <xdr:spPr bwMode="auto">
        <a:xfrm>
          <a:off x="859631" y="7789069"/>
          <a:ext cx="235744" cy="42386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53</xdr:row>
      <xdr:rowOff>47625</xdr:rowOff>
    </xdr:from>
    <xdr:to>
      <xdr:col>2</xdr:col>
      <xdr:colOff>217576</xdr:colOff>
      <xdr:row>55</xdr:row>
      <xdr:rowOff>54166</xdr:rowOff>
    </xdr:to>
    <xdr:sp macro="" textlink="">
      <xdr:nvSpPr>
        <xdr:cNvPr id="241" name="8 Abrir llav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438150" y="6524625"/>
          <a:ext cx="198526" cy="387541"/>
        </a:xfrm>
        <a:prstGeom prst="leftBrace">
          <a:avLst>
            <a:gd name="adj1" fmla="val 39137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263645</xdr:colOff>
      <xdr:row>53</xdr:row>
      <xdr:rowOff>30581</xdr:rowOff>
    </xdr:from>
    <xdr:to>
      <xdr:col>2</xdr:col>
      <xdr:colOff>771525</xdr:colOff>
      <xdr:row>55</xdr:row>
      <xdr:rowOff>76201</xdr:rowOff>
    </xdr:to>
    <xdr:sp macro="" textlink="">
      <xdr:nvSpPr>
        <xdr:cNvPr id="242" name="Rectangle 6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rrowheads="1"/>
        </xdr:cNvSpPr>
      </xdr:nvSpPr>
      <xdr:spPr bwMode="auto">
        <a:xfrm>
          <a:off x="682745" y="6507581"/>
          <a:ext cx="507880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276548</xdr:colOff>
      <xdr:row>51</xdr:row>
      <xdr:rowOff>0</xdr:rowOff>
    </xdr:from>
    <xdr:to>
      <xdr:col>2</xdr:col>
      <xdr:colOff>781050</xdr:colOff>
      <xdr:row>53</xdr:row>
      <xdr:rowOff>11906</xdr:rowOff>
    </xdr:to>
    <xdr:sp macro="" textlink="">
      <xdr:nvSpPr>
        <xdr:cNvPr id="243" name="Rectangle 1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rrowheads="1"/>
        </xdr:cNvSpPr>
      </xdr:nvSpPr>
      <xdr:spPr bwMode="auto">
        <a:xfrm>
          <a:off x="694027" y="9715500"/>
          <a:ext cx="504502" cy="3929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514348</xdr:colOff>
      <xdr:row>53</xdr:row>
      <xdr:rowOff>34019</xdr:rowOff>
    </xdr:from>
    <xdr:to>
      <xdr:col>2</xdr:col>
      <xdr:colOff>772884</xdr:colOff>
      <xdr:row>55</xdr:row>
      <xdr:rowOff>76201</xdr:rowOff>
    </xdr:to>
    <xdr:sp macro="" textlink="">
      <xdr:nvSpPr>
        <xdr:cNvPr id="244" name="Line 13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ShapeType="1"/>
        </xdr:cNvSpPr>
      </xdr:nvSpPr>
      <xdr:spPr bwMode="auto">
        <a:xfrm flipH="1">
          <a:off x="933448" y="6511019"/>
          <a:ext cx="258536" cy="42318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257175</xdr:colOff>
      <xdr:row>53</xdr:row>
      <xdr:rowOff>42621</xdr:rowOff>
    </xdr:from>
    <xdr:to>
      <xdr:col>2</xdr:col>
      <xdr:colOff>504825</xdr:colOff>
      <xdr:row>55</xdr:row>
      <xdr:rowOff>76200</xdr:rowOff>
    </xdr:to>
    <xdr:sp macro="" textlink="">
      <xdr:nvSpPr>
        <xdr:cNvPr id="245" name="Line 13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ShapeType="1"/>
        </xdr:cNvSpPr>
      </xdr:nvSpPr>
      <xdr:spPr bwMode="auto">
        <a:xfrm>
          <a:off x="676275" y="6519621"/>
          <a:ext cx="247650" cy="41457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201512</xdr:colOff>
      <xdr:row>79</xdr:row>
      <xdr:rowOff>18050</xdr:rowOff>
    </xdr:from>
    <xdr:to>
      <xdr:col>2</xdr:col>
      <xdr:colOff>440753</xdr:colOff>
      <xdr:row>79</xdr:row>
      <xdr:rowOff>128870</xdr:rowOff>
    </xdr:to>
    <xdr:sp macro="" textlink="">
      <xdr:nvSpPr>
        <xdr:cNvPr id="247" name="79 Abrir llav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 rot="5400000">
          <a:off x="684823" y="22813839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483973</xdr:colOff>
      <xdr:row>79</xdr:row>
      <xdr:rowOff>132781</xdr:rowOff>
    </xdr:from>
    <xdr:to>
      <xdr:col>2</xdr:col>
      <xdr:colOff>898474</xdr:colOff>
      <xdr:row>83</xdr:row>
      <xdr:rowOff>47056</xdr:rowOff>
    </xdr:to>
    <xdr:sp macro="" textlink="">
      <xdr:nvSpPr>
        <xdr:cNvPr id="248" name="Rectangle 6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rrowheads="1"/>
        </xdr:cNvSpPr>
      </xdr:nvSpPr>
      <xdr:spPr bwMode="auto">
        <a:xfrm>
          <a:off x="903588" y="11562781"/>
          <a:ext cx="414501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63072</xdr:colOff>
      <xdr:row>79</xdr:row>
      <xdr:rowOff>133864</xdr:rowOff>
    </xdr:from>
    <xdr:to>
      <xdr:col>2</xdr:col>
      <xdr:colOff>482172</xdr:colOff>
      <xdr:row>83</xdr:row>
      <xdr:rowOff>47431</xdr:rowOff>
    </xdr:to>
    <xdr:sp macro="" textlink="">
      <xdr:nvSpPr>
        <xdr:cNvPr id="249" name="Rectangle 1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rrowheads="1"/>
        </xdr:cNvSpPr>
      </xdr:nvSpPr>
      <xdr:spPr bwMode="auto">
        <a:xfrm>
          <a:off x="482687" y="11563864"/>
          <a:ext cx="419100" cy="67556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endParaRPr lang="es-CL"/>
        </a:p>
        <a:p>
          <a:pPr algn="ctr"/>
          <a:endParaRPr lang="es-CL"/>
        </a:p>
      </xdr:txBody>
    </xdr:sp>
    <xdr:clientData/>
  </xdr:twoCellAnchor>
  <xdr:twoCellAnchor>
    <xdr:from>
      <xdr:col>2</xdr:col>
      <xdr:colOff>267729</xdr:colOff>
      <xdr:row>79</xdr:row>
      <xdr:rowOff>136437</xdr:rowOff>
    </xdr:from>
    <xdr:to>
      <xdr:col>2</xdr:col>
      <xdr:colOff>475218</xdr:colOff>
      <xdr:row>83</xdr:row>
      <xdr:rowOff>46336</xdr:rowOff>
    </xdr:to>
    <xdr:sp macro="" textlink="">
      <xdr:nvSpPr>
        <xdr:cNvPr id="250" name="Line 133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ShapeType="1"/>
        </xdr:cNvSpPr>
      </xdr:nvSpPr>
      <xdr:spPr bwMode="auto">
        <a:xfrm flipH="1">
          <a:off x="681078" y="15043961"/>
          <a:ext cx="207489" cy="6647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72503</xdr:colOff>
      <xdr:row>79</xdr:row>
      <xdr:rowOff>134167</xdr:rowOff>
    </xdr:from>
    <xdr:to>
      <xdr:col>2</xdr:col>
      <xdr:colOff>265155</xdr:colOff>
      <xdr:row>83</xdr:row>
      <xdr:rowOff>51487</xdr:rowOff>
    </xdr:to>
    <xdr:sp macro="" textlink="">
      <xdr:nvSpPr>
        <xdr:cNvPr id="251" name="Line 134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ShapeType="1"/>
        </xdr:cNvSpPr>
      </xdr:nvSpPr>
      <xdr:spPr bwMode="auto">
        <a:xfrm>
          <a:off x="492118" y="11564167"/>
          <a:ext cx="192652" cy="6793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556236</xdr:colOff>
      <xdr:row>88</xdr:row>
      <xdr:rowOff>11482</xdr:rowOff>
    </xdr:from>
    <xdr:to>
      <xdr:col>2</xdr:col>
      <xdr:colOff>795477</xdr:colOff>
      <xdr:row>88</xdr:row>
      <xdr:rowOff>122302</xdr:rowOff>
    </xdr:to>
    <xdr:sp macro="" textlink="">
      <xdr:nvSpPr>
        <xdr:cNvPr id="262" name="79 Abrir llav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 rot="5400000">
          <a:off x="1040861" y="1309177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483973</xdr:colOff>
      <xdr:row>88</xdr:row>
      <xdr:rowOff>132781</xdr:rowOff>
    </xdr:from>
    <xdr:to>
      <xdr:col>2</xdr:col>
      <xdr:colOff>898474</xdr:colOff>
      <xdr:row>92</xdr:row>
      <xdr:rowOff>47056</xdr:rowOff>
    </xdr:to>
    <xdr:sp macro="" textlink="">
      <xdr:nvSpPr>
        <xdr:cNvPr id="263" name="Rectangle 6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rrowheads="1"/>
        </xdr:cNvSpPr>
      </xdr:nvSpPr>
      <xdr:spPr bwMode="auto">
        <a:xfrm>
          <a:off x="904387" y="11562781"/>
          <a:ext cx="414501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63072</xdr:colOff>
      <xdr:row>88</xdr:row>
      <xdr:rowOff>133864</xdr:rowOff>
    </xdr:from>
    <xdr:to>
      <xdr:col>2</xdr:col>
      <xdr:colOff>482172</xdr:colOff>
      <xdr:row>92</xdr:row>
      <xdr:rowOff>47431</xdr:rowOff>
    </xdr:to>
    <xdr:sp macro="" textlink="">
      <xdr:nvSpPr>
        <xdr:cNvPr id="264" name="Rectangle 1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rrowheads="1"/>
        </xdr:cNvSpPr>
      </xdr:nvSpPr>
      <xdr:spPr bwMode="auto">
        <a:xfrm>
          <a:off x="483486" y="11563864"/>
          <a:ext cx="419100" cy="67556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endParaRPr lang="es-CL"/>
        </a:p>
        <a:p>
          <a:pPr algn="ctr"/>
          <a:endParaRPr lang="es-CL"/>
        </a:p>
      </xdr:txBody>
    </xdr:sp>
    <xdr:clientData/>
  </xdr:twoCellAnchor>
  <xdr:twoCellAnchor>
    <xdr:from>
      <xdr:col>2</xdr:col>
      <xdr:colOff>675005</xdr:colOff>
      <xdr:row>88</xdr:row>
      <xdr:rowOff>129869</xdr:rowOff>
    </xdr:from>
    <xdr:to>
      <xdr:col>2</xdr:col>
      <xdr:colOff>882494</xdr:colOff>
      <xdr:row>92</xdr:row>
      <xdr:rowOff>39768</xdr:rowOff>
    </xdr:to>
    <xdr:sp macro="" textlink="">
      <xdr:nvSpPr>
        <xdr:cNvPr id="265" name="Line 133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ShapeType="1"/>
        </xdr:cNvSpPr>
      </xdr:nvSpPr>
      <xdr:spPr bwMode="auto">
        <a:xfrm flipH="1">
          <a:off x="1095419" y="13274369"/>
          <a:ext cx="207489" cy="6718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486348</xdr:colOff>
      <xdr:row>88</xdr:row>
      <xdr:rowOff>134167</xdr:rowOff>
    </xdr:from>
    <xdr:to>
      <xdr:col>2</xdr:col>
      <xdr:colOff>679000</xdr:colOff>
      <xdr:row>92</xdr:row>
      <xdr:rowOff>51487</xdr:rowOff>
    </xdr:to>
    <xdr:sp macro="" textlink="">
      <xdr:nvSpPr>
        <xdr:cNvPr id="266" name="Line 134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ShapeType="1"/>
        </xdr:cNvSpPr>
      </xdr:nvSpPr>
      <xdr:spPr bwMode="auto">
        <a:xfrm>
          <a:off x="906762" y="13278667"/>
          <a:ext cx="192652" cy="6793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220562</xdr:colOff>
      <xdr:row>18</xdr:row>
      <xdr:rowOff>46622</xdr:rowOff>
    </xdr:from>
    <xdr:to>
      <xdr:col>2</xdr:col>
      <xdr:colOff>459803</xdr:colOff>
      <xdr:row>18</xdr:row>
      <xdr:rowOff>157442</xdr:rowOff>
    </xdr:to>
    <xdr:sp macro="" textlink="">
      <xdr:nvSpPr>
        <xdr:cNvPr id="277" name="8 Abrir llav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 rot="5400000">
          <a:off x="703873" y="760241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111245</xdr:colOff>
      <xdr:row>19</xdr:row>
      <xdr:rowOff>2006</xdr:rowOff>
    </xdr:from>
    <xdr:to>
      <xdr:col>2</xdr:col>
      <xdr:colOff>619125</xdr:colOff>
      <xdr:row>21</xdr:row>
      <xdr:rowOff>47626</xdr:rowOff>
    </xdr:to>
    <xdr:sp macro="" textlink="">
      <xdr:nvSpPr>
        <xdr:cNvPr id="278" name="Rectangle 6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rrowheads="1"/>
        </xdr:cNvSpPr>
      </xdr:nvSpPr>
      <xdr:spPr bwMode="auto">
        <a:xfrm>
          <a:off x="530345" y="7812506"/>
          <a:ext cx="507880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108164</xdr:colOff>
      <xdr:row>21</xdr:row>
      <xdr:rowOff>50531</xdr:rowOff>
    </xdr:from>
    <xdr:to>
      <xdr:col>2</xdr:col>
      <xdr:colOff>619931</xdr:colOff>
      <xdr:row>23</xdr:row>
      <xdr:rowOff>155306</xdr:rowOff>
    </xdr:to>
    <xdr:sp macro="" textlink="">
      <xdr:nvSpPr>
        <xdr:cNvPr id="279" name="Rectangle 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rrowheads="1"/>
        </xdr:cNvSpPr>
      </xdr:nvSpPr>
      <xdr:spPr bwMode="auto">
        <a:xfrm>
          <a:off x="527910" y="4051031"/>
          <a:ext cx="511767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361948</xdr:colOff>
      <xdr:row>19</xdr:row>
      <xdr:rowOff>5444</xdr:rowOff>
    </xdr:from>
    <xdr:to>
      <xdr:col>2</xdr:col>
      <xdr:colOff>620484</xdr:colOff>
      <xdr:row>21</xdr:row>
      <xdr:rowOff>47626</xdr:rowOff>
    </xdr:to>
    <xdr:sp macro="" textlink="">
      <xdr:nvSpPr>
        <xdr:cNvPr id="280" name="Line 133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ShapeType="1"/>
        </xdr:cNvSpPr>
      </xdr:nvSpPr>
      <xdr:spPr bwMode="auto">
        <a:xfrm flipH="1">
          <a:off x="781048" y="7815944"/>
          <a:ext cx="258536" cy="42318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19</xdr:row>
      <xdr:rowOff>14046</xdr:rowOff>
    </xdr:from>
    <xdr:to>
      <xdr:col>2</xdr:col>
      <xdr:colOff>352425</xdr:colOff>
      <xdr:row>21</xdr:row>
      <xdr:rowOff>47625</xdr:rowOff>
    </xdr:to>
    <xdr:sp macro="" textlink="">
      <xdr:nvSpPr>
        <xdr:cNvPr id="281" name="Line 134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ShapeType="1"/>
        </xdr:cNvSpPr>
      </xdr:nvSpPr>
      <xdr:spPr bwMode="auto">
        <a:xfrm>
          <a:off x="523875" y="7824546"/>
          <a:ext cx="247650" cy="41457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31</xdr:row>
      <xdr:rowOff>47625</xdr:rowOff>
    </xdr:from>
    <xdr:to>
      <xdr:col>2</xdr:col>
      <xdr:colOff>217576</xdr:colOff>
      <xdr:row>33</xdr:row>
      <xdr:rowOff>54166</xdr:rowOff>
    </xdr:to>
    <xdr:sp macro="" textlink="">
      <xdr:nvSpPr>
        <xdr:cNvPr id="282" name="8 Abrir llav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438150" y="10525125"/>
          <a:ext cx="198526" cy="387541"/>
        </a:xfrm>
        <a:prstGeom prst="leftBrace">
          <a:avLst>
            <a:gd name="adj1" fmla="val 39137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263645</xdr:colOff>
      <xdr:row>31</xdr:row>
      <xdr:rowOff>30581</xdr:rowOff>
    </xdr:from>
    <xdr:to>
      <xdr:col>2</xdr:col>
      <xdr:colOff>771525</xdr:colOff>
      <xdr:row>33</xdr:row>
      <xdr:rowOff>76201</xdr:rowOff>
    </xdr:to>
    <xdr:sp macro="" textlink="">
      <xdr:nvSpPr>
        <xdr:cNvPr id="283" name="Rectangle 6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rrowheads="1"/>
        </xdr:cNvSpPr>
      </xdr:nvSpPr>
      <xdr:spPr bwMode="auto">
        <a:xfrm>
          <a:off x="682745" y="10508081"/>
          <a:ext cx="507880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263319</xdr:colOff>
      <xdr:row>29</xdr:row>
      <xdr:rowOff>0</xdr:rowOff>
    </xdr:from>
    <xdr:to>
      <xdr:col>2</xdr:col>
      <xdr:colOff>772583</xdr:colOff>
      <xdr:row>31</xdr:row>
      <xdr:rowOff>30427</xdr:rowOff>
    </xdr:to>
    <xdr:sp macro="" textlink="">
      <xdr:nvSpPr>
        <xdr:cNvPr id="284" name="Rectangle 1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rrowheads="1"/>
        </xdr:cNvSpPr>
      </xdr:nvSpPr>
      <xdr:spPr bwMode="auto">
        <a:xfrm>
          <a:off x="681361" y="5524500"/>
          <a:ext cx="509264" cy="41142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514348</xdr:colOff>
      <xdr:row>31</xdr:row>
      <xdr:rowOff>34019</xdr:rowOff>
    </xdr:from>
    <xdr:to>
      <xdr:col>2</xdr:col>
      <xdr:colOff>772884</xdr:colOff>
      <xdr:row>33</xdr:row>
      <xdr:rowOff>76201</xdr:rowOff>
    </xdr:to>
    <xdr:sp macro="" textlink="">
      <xdr:nvSpPr>
        <xdr:cNvPr id="285" name="Line 133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ShapeType="1"/>
        </xdr:cNvSpPr>
      </xdr:nvSpPr>
      <xdr:spPr bwMode="auto">
        <a:xfrm flipH="1">
          <a:off x="933448" y="10511519"/>
          <a:ext cx="258536" cy="42318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269875</xdr:colOff>
      <xdr:row>31</xdr:row>
      <xdr:rowOff>34397</xdr:rowOff>
    </xdr:from>
    <xdr:to>
      <xdr:col>2</xdr:col>
      <xdr:colOff>504825</xdr:colOff>
      <xdr:row>33</xdr:row>
      <xdr:rowOff>76201</xdr:rowOff>
    </xdr:to>
    <xdr:sp macro="" textlink="">
      <xdr:nvSpPr>
        <xdr:cNvPr id="286" name="Line 134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ShapeType="1"/>
        </xdr:cNvSpPr>
      </xdr:nvSpPr>
      <xdr:spPr bwMode="auto">
        <a:xfrm>
          <a:off x="687917" y="5939897"/>
          <a:ext cx="234950" cy="42280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314325</xdr:colOff>
      <xdr:row>120</xdr:row>
      <xdr:rowOff>66675</xdr:rowOff>
    </xdr:from>
    <xdr:to>
      <xdr:col>2</xdr:col>
      <xdr:colOff>228600</xdr:colOff>
      <xdr:row>120</xdr:row>
      <xdr:rowOff>66675</xdr:rowOff>
    </xdr:to>
    <xdr:sp macro="" textlink="">
      <xdr:nvSpPr>
        <xdr:cNvPr id="289" name="Line 16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ShapeType="1"/>
        </xdr:cNvSpPr>
      </xdr:nvSpPr>
      <xdr:spPr bwMode="auto">
        <a:xfrm>
          <a:off x="381000" y="219741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140535</xdr:colOff>
      <xdr:row>120</xdr:row>
      <xdr:rowOff>16711</xdr:rowOff>
    </xdr:from>
    <xdr:to>
      <xdr:col>2</xdr:col>
      <xdr:colOff>934285</xdr:colOff>
      <xdr:row>122</xdr:row>
      <xdr:rowOff>159586</xdr:rowOff>
    </xdr:to>
    <xdr:sp macro="" textlink="">
      <xdr:nvSpPr>
        <xdr:cNvPr id="290" name="Rectangle 165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rrowheads="1"/>
        </xdr:cNvSpPr>
      </xdr:nvSpPr>
      <xdr:spPr bwMode="auto">
        <a:xfrm>
          <a:off x="205706" y="20590711"/>
          <a:ext cx="1144671" cy="523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</a:t>
          </a:r>
        </a:p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F</a:t>
          </a:r>
        </a:p>
      </xdr:txBody>
    </xdr:sp>
    <xdr:clientData/>
  </xdr:twoCellAnchor>
  <xdr:twoCellAnchor>
    <xdr:from>
      <xdr:col>2</xdr:col>
      <xdr:colOff>146885</xdr:colOff>
      <xdr:row>120</xdr:row>
      <xdr:rowOff>20679</xdr:rowOff>
    </xdr:from>
    <xdr:to>
      <xdr:col>2</xdr:col>
      <xdr:colOff>150060</xdr:colOff>
      <xdr:row>122</xdr:row>
      <xdr:rowOff>150060</xdr:rowOff>
    </xdr:to>
    <xdr:sp macro="" textlink="">
      <xdr:nvSpPr>
        <xdr:cNvPr id="291" name="Line 166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ShapeType="1"/>
        </xdr:cNvSpPr>
      </xdr:nvSpPr>
      <xdr:spPr bwMode="auto">
        <a:xfrm>
          <a:off x="562977" y="20594679"/>
          <a:ext cx="3175" cy="5103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568366</xdr:colOff>
      <xdr:row>120</xdr:row>
      <xdr:rowOff>18298</xdr:rowOff>
    </xdr:from>
    <xdr:to>
      <xdr:col>2</xdr:col>
      <xdr:colOff>569160</xdr:colOff>
      <xdr:row>122</xdr:row>
      <xdr:rowOff>159585</xdr:rowOff>
    </xdr:to>
    <xdr:sp macro="" textlink="">
      <xdr:nvSpPr>
        <xdr:cNvPr id="292" name="Line 167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ShapeType="1"/>
        </xdr:cNvSpPr>
      </xdr:nvSpPr>
      <xdr:spPr bwMode="auto">
        <a:xfrm>
          <a:off x="984458" y="20592298"/>
          <a:ext cx="794" cy="52228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178635</xdr:colOff>
      <xdr:row>121</xdr:row>
      <xdr:rowOff>121485</xdr:rowOff>
    </xdr:from>
    <xdr:to>
      <xdr:col>2</xdr:col>
      <xdr:colOff>92910</xdr:colOff>
      <xdr:row>121</xdr:row>
      <xdr:rowOff>121485</xdr:rowOff>
    </xdr:to>
    <xdr:sp macro="" textlink="">
      <xdr:nvSpPr>
        <xdr:cNvPr id="293" name="Line 168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ShapeType="1"/>
        </xdr:cNvSpPr>
      </xdr:nvSpPr>
      <xdr:spPr bwMode="auto">
        <a:xfrm>
          <a:off x="243806" y="20885985"/>
          <a:ext cx="26519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607258</xdr:colOff>
      <xdr:row>121</xdr:row>
      <xdr:rowOff>111960</xdr:rowOff>
    </xdr:from>
    <xdr:to>
      <xdr:col>2</xdr:col>
      <xdr:colOff>889834</xdr:colOff>
      <xdr:row>121</xdr:row>
      <xdr:rowOff>113548</xdr:rowOff>
    </xdr:to>
    <xdr:sp macro="" textlink="">
      <xdr:nvSpPr>
        <xdr:cNvPr id="294" name="Line 168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ShapeType="1"/>
        </xdr:cNvSpPr>
      </xdr:nvSpPr>
      <xdr:spPr bwMode="auto">
        <a:xfrm flipH="1" flipV="1">
          <a:off x="1023350" y="20876460"/>
          <a:ext cx="282576" cy="158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314325</xdr:colOff>
      <xdr:row>127</xdr:row>
      <xdr:rowOff>66675</xdr:rowOff>
    </xdr:from>
    <xdr:to>
      <xdr:col>2</xdr:col>
      <xdr:colOff>228600</xdr:colOff>
      <xdr:row>127</xdr:row>
      <xdr:rowOff>66675</xdr:rowOff>
    </xdr:to>
    <xdr:sp macro="" textlink="">
      <xdr:nvSpPr>
        <xdr:cNvPr id="267" name="Line 168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ShapeType="1"/>
        </xdr:cNvSpPr>
      </xdr:nvSpPr>
      <xdr:spPr bwMode="auto">
        <a:xfrm>
          <a:off x="383598" y="20640675"/>
          <a:ext cx="269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140535</xdr:colOff>
      <xdr:row>127</xdr:row>
      <xdr:rowOff>16711</xdr:rowOff>
    </xdr:from>
    <xdr:to>
      <xdr:col>2</xdr:col>
      <xdr:colOff>934285</xdr:colOff>
      <xdr:row>129</xdr:row>
      <xdr:rowOff>159586</xdr:rowOff>
    </xdr:to>
    <xdr:sp macro="" textlink="">
      <xdr:nvSpPr>
        <xdr:cNvPr id="268" name="Rectangle 165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rrowheads="1"/>
        </xdr:cNvSpPr>
      </xdr:nvSpPr>
      <xdr:spPr bwMode="auto">
        <a:xfrm>
          <a:off x="209808" y="20590711"/>
          <a:ext cx="1148772" cy="523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</a:t>
          </a:r>
        </a:p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F</a:t>
          </a:r>
        </a:p>
      </xdr:txBody>
    </xdr:sp>
    <xdr:clientData/>
  </xdr:twoCellAnchor>
  <xdr:twoCellAnchor>
    <xdr:from>
      <xdr:col>2</xdr:col>
      <xdr:colOff>146885</xdr:colOff>
      <xdr:row>127</xdr:row>
      <xdr:rowOff>20679</xdr:rowOff>
    </xdr:from>
    <xdr:to>
      <xdr:col>2</xdr:col>
      <xdr:colOff>150060</xdr:colOff>
      <xdr:row>129</xdr:row>
      <xdr:rowOff>150060</xdr:rowOff>
    </xdr:to>
    <xdr:sp macro="" textlink="">
      <xdr:nvSpPr>
        <xdr:cNvPr id="269" name="Line 166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ShapeType="1"/>
        </xdr:cNvSpPr>
      </xdr:nvSpPr>
      <xdr:spPr bwMode="auto">
        <a:xfrm>
          <a:off x="571180" y="20594679"/>
          <a:ext cx="3175" cy="5103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568366</xdr:colOff>
      <xdr:row>127</xdr:row>
      <xdr:rowOff>18298</xdr:rowOff>
    </xdr:from>
    <xdr:to>
      <xdr:col>2</xdr:col>
      <xdr:colOff>569160</xdr:colOff>
      <xdr:row>129</xdr:row>
      <xdr:rowOff>159585</xdr:rowOff>
    </xdr:to>
    <xdr:sp macro="" textlink="">
      <xdr:nvSpPr>
        <xdr:cNvPr id="270" name="Line 167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ShapeType="1"/>
        </xdr:cNvSpPr>
      </xdr:nvSpPr>
      <xdr:spPr bwMode="auto">
        <a:xfrm>
          <a:off x="992661" y="20592298"/>
          <a:ext cx="794" cy="52228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178635</xdr:colOff>
      <xdr:row>128</xdr:row>
      <xdr:rowOff>121485</xdr:rowOff>
    </xdr:from>
    <xdr:to>
      <xdr:col>2</xdr:col>
      <xdr:colOff>92910</xdr:colOff>
      <xdr:row>128</xdr:row>
      <xdr:rowOff>121485</xdr:rowOff>
    </xdr:to>
    <xdr:sp macro="" textlink="">
      <xdr:nvSpPr>
        <xdr:cNvPr id="271" name="Line 168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ShapeType="1"/>
        </xdr:cNvSpPr>
      </xdr:nvSpPr>
      <xdr:spPr bwMode="auto">
        <a:xfrm>
          <a:off x="247908" y="20885985"/>
          <a:ext cx="269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607258</xdr:colOff>
      <xdr:row>128</xdr:row>
      <xdr:rowOff>111960</xdr:rowOff>
    </xdr:from>
    <xdr:to>
      <xdr:col>2</xdr:col>
      <xdr:colOff>889834</xdr:colOff>
      <xdr:row>128</xdr:row>
      <xdr:rowOff>113548</xdr:rowOff>
    </xdr:to>
    <xdr:sp macro="" textlink="">
      <xdr:nvSpPr>
        <xdr:cNvPr id="272" name="Line 168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ShapeType="1"/>
        </xdr:cNvSpPr>
      </xdr:nvSpPr>
      <xdr:spPr bwMode="auto">
        <a:xfrm flipH="1" flipV="1">
          <a:off x="1031553" y="20876460"/>
          <a:ext cx="282576" cy="158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145073</xdr:colOff>
      <xdr:row>102</xdr:row>
      <xdr:rowOff>13189</xdr:rowOff>
    </xdr:from>
    <xdr:to>
      <xdr:col>2</xdr:col>
      <xdr:colOff>868973</xdr:colOff>
      <xdr:row>104</xdr:row>
      <xdr:rowOff>146539</xdr:rowOff>
    </xdr:to>
    <xdr:sp macro="" textlink="">
      <xdr:nvSpPr>
        <xdr:cNvPr id="273" name="Rectangle 137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rrowheads="1"/>
        </xdr:cNvSpPr>
      </xdr:nvSpPr>
      <xdr:spPr bwMode="auto">
        <a:xfrm>
          <a:off x="562708" y="18301189"/>
          <a:ext cx="723900" cy="514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507023</xdr:colOff>
      <xdr:row>102</xdr:row>
      <xdr:rowOff>22714</xdr:rowOff>
    </xdr:from>
    <xdr:to>
      <xdr:col>2</xdr:col>
      <xdr:colOff>507023</xdr:colOff>
      <xdr:row>104</xdr:row>
      <xdr:rowOff>146539</xdr:rowOff>
    </xdr:to>
    <xdr:sp macro="" textlink="">
      <xdr:nvSpPr>
        <xdr:cNvPr id="274" name="Line 138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ShapeType="1"/>
        </xdr:cNvSpPr>
      </xdr:nvSpPr>
      <xdr:spPr bwMode="auto">
        <a:xfrm>
          <a:off x="924658" y="18310714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526072</xdr:colOff>
      <xdr:row>103</xdr:row>
      <xdr:rowOff>51287</xdr:rowOff>
    </xdr:from>
    <xdr:to>
      <xdr:col>2</xdr:col>
      <xdr:colOff>842595</xdr:colOff>
      <xdr:row>103</xdr:row>
      <xdr:rowOff>58614</xdr:rowOff>
    </xdr:to>
    <xdr:sp macro="" textlink="">
      <xdr:nvSpPr>
        <xdr:cNvPr id="275" name="Line 139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ShapeType="1"/>
        </xdr:cNvSpPr>
      </xdr:nvSpPr>
      <xdr:spPr bwMode="auto">
        <a:xfrm flipH="1" flipV="1">
          <a:off x="943707" y="19672787"/>
          <a:ext cx="316523" cy="732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145073</xdr:colOff>
      <xdr:row>108</xdr:row>
      <xdr:rowOff>13189</xdr:rowOff>
    </xdr:from>
    <xdr:to>
      <xdr:col>2</xdr:col>
      <xdr:colOff>868973</xdr:colOff>
      <xdr:row>110</xdr:row>
      <xdr:rowOff>146539</xdr:rowOff>
    </xdr:to>
    <xdr:sp macro="" textlink="">
      <xdr:nvSpPr>
        <xdr:cNvPr id="276" name="Rectangle 137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rrowheads="1"/>
        </xdr:cNvSpPr>
      </xdr:nvSpPr>
      <xdr:spPr bwMode="auto">
        <a:xfrm>
          <a:off x="562708" y="18301189"/>
          <a:ext cx="723900" cy="514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507023</xdr:colOff>
      <xdr:row>108</xdr:row>
      <xdr:rowOff>22714</xdr:rowOff>
    </xdr:from>
    <xdr:to>
      <xdr:col>2</xdr:col>
      <xdr:colOff>507023</xdr:colOff>
      <xdr:row>110</xdr:row>
      <xdr:rowOff>146539</xdr:rowOff>
    </xdr:to>
    <xdr:sp macro="" textlink="">
      <xdr:nvSpPr>
        <xdr:cNvPr id="287" name="Line 138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ShapeType="1"/>
        </xdr:cNvSpPr>
      </xdr:nvSpPr>
      <xdr:spPr bwMode="auto">
        <a:xfrm>
          <a:off x="924658" y="18310714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183173</xdr:colOff>
      <xdr:row>109</xdr:row>
      <xdr:rowOff>51289</xdr:rowOff>
    </xdr:from>
    <xdr:to>
      <xdr:col>2</xdr:col>
      <xdr:colOff>430823</xdr:colOff>
      <xdr:row>109</xdr:row>
      <xdr:rowOff>51289</xdr:rowOff>
    </xdr:to>
    <xdr:sp macro="" textlink="">
      <xdr:nvSpPr>
        <xdr:cNvPr id="288" name="Line 139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ShapeType="1"/>
        </xdr:cNvSpPr>
      </xdr:nvSpPr>
      <xdr:spPr bwMode="auto">
        <a:xfrm>
          <a:off x="600808" y="18529789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145073</xdr:colOff>
      <xdr:row>114</xdr:row>
      <xdr:rowOff>13189</xdr:rowOff>
    </xdr:from>
    <xdr:to>
      <xdr:col>2</xdr:col>
      <xdr:colOff>868973</xdr:colOff>
      <xdr:row>116</xdr:row>
      <xdr:rowOff>146539</xdr:rowOff>
    </xdr:to>
    <xdr:sp macro="" textlink="">
      <xdr:nvSpPr>
        <xdr:cNvPr id="295" name="Rectangle 137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rrowheads="1"/>
        </xdr:cNvSpPr>
      </xdr:nvSpPr>
      <xdr:spPr bwMode="auto">
        <a:xfrm>
          <a:off x="562708" y="19444189"/>
          <a:ext cx="723900" cy="514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507023</xdr:colOff>
      <xdr:row>114</xdr:row>
      <xdr:rowOff>22714</xdr:rowOff>
    </xdr:from>
    <xdr:to>
      <xdr:col>2</xdr:col>
      <xdr:colOff>507023</xdr:colOff>
      <xdr:row>116</xdr:row>
      <xdr:rowOff>146539</xdr:rowOff>
    </xdr:to>
    <xdr:sp macro="" textlink="">
      <xdr:nvSpPr>
        <xdr:cNvPr id="296" name="Line 138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ShapeType="1"/>
        </xdr:cNvSpPr>
      </xdr:nvSpPr>
      <xdr:spPr bwMode="auto">
        <a:xfrm>
          <a:off x="924658" y="19453714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526072</xdr:colOff>
      <xdr:row>115</xdr:row>
      <xdr:rowOff>51287</xdr:rowOff>
    </xdr:from>
    <xdr:to>
      <xdr:col>2</xdr:col>
      <xdr:colOff>842595</xdr:colOff>
      <xdr:row>115</xdr:row>
      <xdr:rowOff>58614</xdr:rowOff>
    </xdr:to>
    <xdr:sp macro="" textlink="">
      <xdr:nvSpPr>
        <xdr:cNvPr id="297" name="Line 139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ShapeType="1"/>
        </xdr:cNvSpPr>
      </xdr:nvSpPr>
      <xdr:spPr bwMode="auto">
        <a:xfrm flipH="1" flipV="1">
          <a:off x="943707" y="19672787"/>
          <a:ext cx="316523" cy="732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314325</xdr:colOff>
      <xdr:row>134</xdr:row>
      <xdr:rowOff>66675</xdr:rowOff>
    </xdr:from>
    <xdr:to>
      <xdr:col>2</xdr:col>
      <xdr:colOff>228600</xdr:colOff>
      <xdr:row>134</xdr:row>
      <xdr:rowOff>66675</xdr:rowOff>
    </xdr:to>
    <xdr:sp macro="" textlink="">
      <xdr:nvSpPr>
        <xdr:cNvPr id="310" name="Line 168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ShapeType="1"/>
        </xdr:cNvSpPr>
      </xdr:nvSpPr>
      <xdr:spPr bwMode="auto">
        <a:xfrm>
          <a:off x="380267" y="22926675"/>
          <a:ext cx="26596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140535</xdr:colOff>
      <xdr:row>134</xdr:row>
      <xdr:rowOff>16711</xdr:rowOff>
    </xdr:from>
    <xdr:to>
      <xdr:col>2</xdr:col>
      <xdr:colOff>934285</xdr:colOff>
      <xdr:row>136</xdr:row>
      <xdr:rowOff>159586</xdr:rowOff>
    </xdr:to>
    <xdr:sp macro="" textlink="">
      <xdr:nvSpPr>
        <xdr:cNvPr id="311" name="Rectangle 165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rrowheads="1"/>
        </xdr:cNvSpPr>
      </xdr:nvSpPr>
      <xdr:spPr bwMode="auto">
        <a:xfrm>
          <a:off x="206477" y="22876711"/>
          <a:ext cx="1145443" cy="523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</a:p>
      </xdr:txBody>
    </xdr:sp>
    <xdr:clientData/>
  </xdr:twoCellAnchor>
  <xdr:twoCellAnchor>
    <xdr:from>
      <xdr:col>2</xdr:col>
      <xdr:colOff>80210</xdr:colOff>
      <xdr:row>134</xdr:row>
      <xdr:rowOff>20679</xdr:rowOff>
    </xdr:from>
    <xdr:to>
      <xdr:col>2</xdr:col>
      <xdr:colOff>83385</xdr:colOff>
      <xdr:row>136</xdr:row>
      <xdr:rowOff>150060</xdr:rowOff>
    </xdr:to>
    <xdr:sp macro="" textlink="">
      <xdr:nvSpPr>
        <xdr:cNvPr id="312" name="Line 166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ShapeType="1"/>
        </xdr:cNvSpPr>
      </xdr:nvSpPr>
      <xdr:spPr bwMode="auto">
        <a:xfrm>
          <a:off x="499310" y="25547679"/>
          <a:ext cx="3175" cy="5103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377866</xdr:colOff>
      <xdr:row>134</xdr:row>
      <xdr:rowOff>27823</xdr:rowOff>
    </xdr:from>
    <xdr:to>
      <xdr:col>2</xdr:col>
      <xdr:colOff>378660</xdr:colOff>
      <xdr:row>136</xdr:row>
      <xdr:rowOff>169110</xdr:rowOff>
    </xdr:to>
    <xdr:sp macro="" textlink="">
      <xdr:nvSpPr>
        <xdr:cNvPr id="313" name="Line 167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ShapeType="1"/>
        </xdr:cNvSpPr>
      </xdr:nvSpPr>
      <xdr:spPr bwMode="auto">
        <a:xfrm>
          <a:off x="796966" y="25554823"/>
          <a:ext cx="794" cy="52228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390566</xdr:colOff>
      <xdr:row>135</xdr:row>
      <xdr:rowOff>123866</xdr:rowOff>
    </xdr:from>
    <xdr:to>
      <xdr:col>2</xdr:col>
      <xdr:colOff>657266</xdr:colOff>
      <xdr:row>135</xdr:row>
      <xdr:rowOff>123866</xdr:rowOff>
    </xdr:to>
    <xdr:sp macro="" textlink="">
      <xdr:nvSpPr>
        <xdr:cNvPr id="314" name="Line 168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ShapeType="1"/>
        </xdr:cNvSpPr>
      </xdr:nvSpPr>
      <xdr:spPr bwMode="auto">
        <a:xfrm>
          <a:off x="809666" y="25841366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85764</xdr:colOff>
      <xdr:row>135</xdr:row>
      <xdr:rowOff>121485</xdr:rowOff>
    </xdr:from>
    <xdr:to>
      <xdr:col>2</xdr:col>
      <xdr:colOff>368340</xdr:colOff>
      <xdr:row>135</xdr:row>
      <xdr:rowOff>123073</xdr:rowOff>
    </xdr:to>
    <xdr:sp macro="" textlink="">
      <xdr:nvSpPr>
        <xdr:cNvPr id="315" name="Line 168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ShapeType="1"/>
        </xdr:cNvSpPr>
      </xdr:nvSpPr>
      <xdr:spPr bwMode="auto">
        <a:xfrm flipH="1" flipV="1">
          <a:off x="504864" y="25838985"/>
          <a:ext cx="282576" cy="158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314325</xdr:colOff>
      <xdr:row>141</xdr:row>
      <xdr:rowOff>66675</xdr:rowOff>
    </xdr:from>
    <xdr:to>
      <xdr:col>2</xdr:col>
      <xdr:colOff>228600</xdr:colOff>
      <xdr:row>141</xdr:row>
      <xdr:rowOff>66675</xdr:rowOff>
    </xdr:to>
    <xdr:sp macro="" textlink="">
      <xdr:nvSpPr>
        <xdr:cNvPr id="316" name="Line 168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ShapeType="1"/>
        </xdr:cNvSpPr>
      </xdr:nvSpPr>
      <xdr:spPr bwMode="auto">
        <a:xfrm>
          <a:off x="380267" y="24260175"/>
          <a:ext cx="26596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140535</xdr:colOff>
      <xdr:row>141</xdr:row>
      <xdr:rowOff>16711</xdr:rowOff>
    </xdr:from>
    <xdr:to>
      <xdr:col>2</xdr:col>
      <xdr:colOff>934285</xdr:colOff>
      <xdr:row>143</xdr:row>
      <xdr:rowOff>159586</xdr:rowOff>
    </xdr:to>
    <xdr:sp macro="" textlink="">
      <xdr:nvSpPr>
        <xdr:cNvPr id="317" name="Rectangle 165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rrowheads="1"/>
        </xdr:cNvSpPr>
      </xdr:nvSpPr>
      <xdr:spPr bwMode="auto">
        <a:xfrm>
          <a:off x="206477" y="24210211"/>
          <a:ext cx="1145443" cy="523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</a:t>
          </a:r>
        </a:p>
      </xdr:txBody>
    </xdr:sp>
    <xdr:clientData/>
  </xdr:twoCellAnchor>
  <xdr:twoCellAnchor>
    <xdr:from>
      <xdr:col>2</xdr:col>
      <xdr:colOff>69131</xdr:colOff>
      <xdr:row>141</xdr:row>
      <xdr:rowOff>20679</xdr:rowOff>
    </xdr:from>
    <xdr:to>
      <xdr:col>2</xdr:col>
      <xdr:colOff>72306</xdr:colOff>
      <xdr:row>143</xdr:row>
      <xdr:rowOff>150060</xdr:rowOff>
    </xdr:to>
    <xdr:sp macro="" textlink="">
      <xdr:nvSpPr>
        <xdr:cNvPr id="318" name="Line 166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ShapeType="1"/>
        </xdr:cNvSpPr>
      </xdr:nvSpPr>
      <xdr:spPr bwMode="auto">
        <a:xfrm>
          <a:off x="487065" y="27429352"/>
          <a:ext cx="3175" cy="51815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386952</xdr:colOff>
      <xdr:row>142</xdr:row>
      <xdr:rowOff>101201</xdr:rowOff>
    </xdr:from>
    <xdr:to>
      <xdr:col>2</xdr:col>
      <xdr:colOff>684608</xdr:colOff>
      <xdr:row>142</xdr:row>
      <xdr:rowOff>101202</xdr:rowOff>
    </xdr:to>
    <xdr:sp macro="" textlink="">
      <xdr:nvSpPr>
        <xdr:cNvPr id="321" name="Line 168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ShapeType="1"/>
        </xdr:cNvSpPr>
      </xdr:nvSpPr>
      <xdr:spPr bwMode="auto">
        <a:xfrm>
          <a:off x="803671" y="27152201"/>
          <a:ext cx="297656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145420</xdr:colOff>
      <xdr:row>120</xdr:row>
      <xdr:rowOff>20679</xdr:rowOff>
    </xdr:from>
    <xdr:to>
      <xdr:col>2</xdr:col>
      <xdr:colOff>148595</xdr:colOff>
      <xdr:row>122</xdr:row>
      <xdr:rowOff>150060</xdr:rowOff>
    </xdr:to>
    <xdr:sp macro="" textlink="">
      <xdr:nvSpPr>
        <xdr:cNvPr id="322" name="Line 166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ShapeType="1"/>
        </xdr:cNvSpPr>
      </xdr:nvSpPr>
      <xdr:spPr bwMode="auto">
        <a:xfrm>
          <a:off x="564520" y="22880679"/>
          <a:ext cx="3175" cy="5103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663616</xdr:colOff>
      <xdr:row>134</xdr:row>
      <xdr:rowOff>18298</xdr:rowOff>
    </xdr:from>
    <xdr:to>
      <xdr:col>2</xdr:col>
      <xdr:colOff>664410</xdr:colOff>
      <xdr:row>136</xdr:row>
      <xdr:rowOff>159585</xdr:rowOff>
    </xdr:to>
    <xdr:sp macro="" textlink="">
      <xdr:nvSpPr>
        <xdr:cNvPr id="323" name="Line 167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ShapeType="1"/>
        </xdr:cNvSpPr>
      </xdr:nvSpPr>
      <xdr:spPr bwMode="auto">
        <a:xfrm>
          <a:off x="1082716" y="25545298"/>
          <a:ext cx="794" cy="52228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</xdr:col>
      <xdr:colOff>174912</xdr:colOff>
      <xdr:row>132</xdr:row>
      <xdr:rowOff>113401</xdr:rowOff>
    </xdr:from>
    <xdr:ext cx="184731" cy="937629"/>
    <xdr:sp macro="" textlink="">
      <xdr:nvSpPr>
        <xdr:cNvPr id="70" name="Rectángulo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1574504" y="2577258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2</xdr:col>
      <xdr:colOff>367322</xdr:colOff>
      <xdr:row>141</xdr:row>
      <xdr:rowOff>17568</xdr:rowOff>
    </xdr:from>
    <xdr:to>
      <xdr:col>2</xdr:col>
      <xdr:colOff>370497</xdr:colOff>
      <xdr:row>143</xdr:row>
      <xdr:rowOff>146949</xdr:rowOff>
    </xdr:to>
    <xdr:sp macro="" textlink="">
      <xdr:nvSpPr>
        <xdr:cNvPr id="331" name="Line 166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ShapeType="1"/>
        </xdr:cNvSpPr>
      </xdr:nvSpPr>
      <xdr:spPr bwMode="auto">
        <a:xfrm>
          <a:off x="785256" y="27426241"/>
          <a:ext cx="3175" cy="51815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663935</xdr:colOff>
      <xdr:row>141</xdr:row>
      <xdr:rowOff>16037</xdr:rowOff>
    </xdr:from>
    <xdr:to>
      <xdr:col>2</xdr:col>
      <xdr:colOff>667110</xdr:colOff>
      <xdr:row>143</xdr:row>
      <xdr:rowOff>145418</xdr:rowOff>
    </xdr:to>
    <xdr:sp macro="" textlink="">
      <xdr:nvSpPr>
        <xdr:cNvPr id="332" name="Line 166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ShapeType="1"/>
        </xdr:cNvSpPr>
      </xdr:nvSpPr>
      <xdr:spPr bwMode="auto">
        <a:xfrm>
          <a:off x="1080654" y="26876537"/>
          <a:ext cx="3175" cy="5103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75486</xdr:colOff>
      <xdr:row>142</xdr:row>
      <xdr:rowOff>98474</xdr:rowOff>
    </xdr:from>
    <xdr:to>
      <xdr:col>2</xdr:col>
      <xdr:colOff>358062</xdr:colOff>
      <xdr:row>142</xdr:row>
      <xdr:rowOff>100062</xdr:rowOff>
    </xdr:to>
    <xdr:sp macro="" textlink="">
      <xdr:nvSpPr>
        <xdr:cNvPr id="333" name="Line 168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ShapeType="1"/>
        </xdr:cNvSpPr>
      </xdr:nvSpPr>
      <xdr:spPr bwMode="auto">
        <a:xfrm flipH="1" flipV="1">
          <a:off x="492205" y="27149474"/>
          <a:ext cx="282576" cy="158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314325</xdr:colOff>
      <xdr:row>148</xdr:row>
      <xdr:rowOff>66675</xdr:rowOff>
    </xdr:from>
    <xdr:to>
      <xdr:col>2</xdr:col>
      <xdr:colOff>228600</xdr:colOff>
      <xdr:row>148</xdr:row>
      <xdr:rowOff>66675</xdr:rowOff>
    </xdr:to>
    <xdr:sp macro="" textlink="">
      <xdr:nvSpPr>
        <xdr:cNvPr id="336" name="Line 168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ShapeType="1"/>
        </xdr:cNvSpPr>
      </xdr:nvSpPr>
      <xdr:spPr bwMode="auto">
        <a:xfrm>
          <a:off x="381000" y="219741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68984</xdr:colOff>
      <xdr:row>146</xdr:row>
      <xdr:rowOff>127001</xdr:rowOff>
    </xdr:from>
    <xdr:to>
      <xdr:col>2</xdr:col>
      <xdr:colOff>862734</xdr:colOff>
      <xdr:row>149</xdr:row>
      <xdr:rowOff>79376</xdr:rowOff>
    </xdr:to>
    <xdr:sp macro="" textlink="">
      <xdr:nvSpPr>
        <xdr:cNvPr id="337" name="Rectangle 165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rrowheads="1"/>
        </xdr:cNvSpPr>
      </xdr:nvSpPr>
      <xdr:spPr bwMode="auto">
        <a:xfrm>
          <a:off x="138257" y="27974637"/>
          <a:ext cx="1148772" cy="523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</a:t>
          </a:r>
        </a:p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</a:t>
          </a:r>
        </a:p>
      </xdr:txBody>
    </xdr:sp>
    <xdr:clientData/>
  </xdr:twoCellAnchor>
  <xdr:twoCellAnchor>
    <xdr:from>
      <xdr:col>2</xdr:col>
      <xdr:colOff>84693</xdr:colOff>
      <xdr:row>146</xdr:row>
      <xdr:rowOff>128651</xdr:rowOff>
    </xdr:from>
    <xdr:to>
      <xdr:col>2</xdr:col>
      <xdr:colOff>89064</xdr:colOff>
      <xdr:row>149</xdr:row>
      <xdr:rowOff>79747</xdr:rowOff>
    </xdr:to>
    <xdr:sp macro="" textlink="">
      <xdr:nvSpPr>
        <xdr:cNvPr id="338" name="Line 166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ShapeType="1"/>
        </xdr:cNvSpPr>
      </xdr:nvSpPr>
      <xdr:spPr bwMode="auto">
        <a:xfrm flipH="1">
          <a:off x="502803" y="27981235"/>
          <a:ext cx="4371" cy="52259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479053</xdr:colOff>
      <xdr:row>146</xdr:row>
      <xdr:rowOff>128650</xdr:rowOff>
    </xdr:from>
    <xdr:to>
      <xdr:col>2</xdr:col>
      <xdr:colOff>479961</xdr:colOff>
      <xdr:row>149</xdr:row>
      <xdr:rowOff>81849</xdr:rowOff>
    </xdr:to>
    <xdr:sp macro="" textlink="">
      <xdr:nvSpPr>
        <xdr:cNvPr id="339" name="Line 167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ShapeType="1"/>
        </xdr:cNvSpPr>
      </xdr:nvSpPr>
      <xdr:spPr bwMode="auto">
        <a:xfrm flipH="1">
          <a:off x="897163" y="27981234"/>
          <a:ext cx="908" cy="5246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148441</xdr:colOff>
      <xdr:row>148</xdr:row>
      <xdr:rowOff>6639</xdr:rowOff>
    </xdr:from>
    <xdr:to>
      <xdr:col>2</xdr:col>
      <xdr:colOff>417574</xdr:colOff>
      <xdr:row>148</xdr:row>
      <xdr:rowOff>7423</xdr:rowOff>
    </xdr:to>
    <xdr:sp macro="" textlink="">
      <xdr:nvSpPr>
        <xdr:cNvPr id="340" name="Line 168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ShapeType="1"/>
        </xdr:cNvSpPr>
      </xdr:nvSpPr>
      <xdr:spPr bwMode="auto">
        <a:xfrm flipH="1">
          <a:off x="566551" y="28240223"/>
          <a:ext cx="269133" cy="7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525977</xdr:colOff>
      <xdr:row>148</xdr:row>
      <xdr:rowOff>3175</xdr:rowOff>
    </xdr:from>
    <xdr:to>
      <xdr:col>2</xdr:col>
      <xdr:colOff>795110</xdr:colOff>
      <xdr:row>148</xdr:row>
      <xdr:rowOff>3959</xdr:rowOff>
    </xdr:to>
    <xdr:sp macro="" textlink="">
      <xdr:nvSpPr>
        <xdr:cNvPr id="342" name="Line 168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ShapeType="1"/>
        </xdr:cNvSpPr>
      </xdr:nvSpPr>
      <xdr:spPr bwMode="auto">
        <a:xfrm flipH="1">
          <a:off x="944087" y="28236759"/>
          <a:ext cx="269133" cy="7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314325</xdr:colOff>
      <xdr:row>154</xdr:row>
      <xdr:rowOff>66675</xdr:rowOff>
    </xdr:from>
    <xdr:to>
      <xdr:col>2</xdr:col>
      <xdr:colOff>228600</xdr:colOff>
      <xdr:row>154</xdr:row>
      <xdr:rowOff>66675</xdr:rowOff>
    </xdr:to>
    <xdr:sp macro="" textlink="">
      <xdr:nvSpPr>
        <xdr:cNvPr id="343" name="Line 168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ShapeType="1"/>
        </xdr:cNvSpPr>
      </xdr:nvSpPr>
      <xdr:spPr bwMode="auto">
        <a:xfrm>
          <a:off x="381000" y="282987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68984</xdr:colOff>
      <xdr:row>152</xdr:row>
      <xdr:rowOff>127001</xdr:rowOff>
    </xdr:from>
    <xdr:to>
      <xdr:col>2</xdr:col>
      <xdr:colOff>862734</xdr:colOff>
      <xdr:row>155</xdr:row>
      <xdr:rowOff>79376</xdr:rowOff>
    </xdr:to>
    <xdr:sp macro="" textlink="">
      <xdr:nvSpPr>
        <xdr:cNvPr id="344" name="Rectangle 165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rrowheads="1"/>
        </xdr:cNvSpPr>
      </xdr:nvSpPr>
      <xdr:spPr bwMode="auto">
        <a:xfrm>
          <a:off x="135659" y="27978101"/>
          <a:ext cx="1146175" cy="523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</a:t>
          </a:r>
        </a:p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</a:t>
          </a:r>
        </a:p>
      </xdr:txBody>
    </xdr:sp>
    <xdr:clientData/>
  </xdr:twoCellAnchor>
  <xdr:twoCellAnchor>
    <xdr:from>
      <xdr:col>2</xdr:col>
      <xdr:colOff>84693</xdr:colOff>
      <xdr:row>152</xdr:row>
      <xdr:rowOff>128651</xdr:rowOff>
    </xdr:from>
    <xdr:to>
      <xdr:col>2</xdr:col>
      <xdr:colOff>89064</xdr:colOff>
      <xdr:row>155</xdr:row>
      <xdr:rowOff>79747</xdr:rowOff>
    </xdr:to>
    <xdr:sp macro="" textlink="">
      <xdr:nvSpPr>
        <xdr:cNvPr id="345" name="Line 166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ShapeType="1"/>
        </xdr:cNvSpPr>
      </xdr:nvSpPr>
      <xdr:spPr bwMode="auto">
        <a:xfrm flipH="1">
          <a:off x="503793" y="27979751"/>
          <a:ext cx="4371" cy="52259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479053</xdr:colOff>
      <xdr:row>152</xdr:row>
      <xdr:rowOff>128650</xdr:rowOff>
    </xdr:from>
    <xdr:to>
      <xdr:col>2</xdr:col>
      <xdr:colOff>479961</xdr:colOff>
      <xdr:row>155</xdr:row>
      <xdr:rowOff>81849</xdr:rowOff>
    </xdr:to>
    <xdr:sp macro="" textlink="">
      <xdr:nvSpPr>
        <xdr:cNvPr id="346" name="Line 167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ShapeType="1"/>
        </xdr:cNvSpPr>
      </xdr:nvSpPr>
      <xdr:spPr bwMode="auto">
        <a:xfrm flipH="1">
          <a:off x="898153" y="27979750"/>
          <a:ext cx="908" cy="5246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540543</xdr:colOff>
      <xdr:row>154</xdr:row>
      <xdr:rowOff>26194</xdr:rowOff>
    </xdr:from>
    <xdr:to>
      <xdr:col>2</xdr:col>
      <xdr:colOff>821530</xdr:colOff>
      <xdr:row>154</xdr:row>
      <xdr:rowOff>28575</xdr:rowOff>
    </xdr:to>
    <xdr:sp macro="" textlink="">
      <xdr:nvSpPr>
        <xdr:cNvPr id="349" name="Line 16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ShapeType="1"/>
        </xdr:cNvSpPr>
      </xdr:nvSpPr>
      <xdr:spPr bwMode="auto">
        <a:xfrm>
          <a:off x="959643" y="29401294"/>
          <a:ext cx="280987" cy="23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147636</xdr:colOff>
      <xdr:row>154</xdr:row>
      <xdr:rowOff>30957</xdr:rowOff>
    </xdr:from>
    <xdr:to>
      <xdr:col>2</xdr:col>
      <xdr:colOff>428623</xdr:colOff>
      <xdr:row>154</xdr:row>
      <xdr:rowOff>33338</xdr:rowOff>
    </xdr:to>
    <xdr:sp macro="" textlink="">
      <xdr:nvSpPr>
        <xdr:cNvPr id="350" name="Line 168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ShapeType="1"/>
        </xdr:cNvSpPr>
      </xdr:nvSpPr>
      <xdr:spPr bwMode="auto">
        <a:xfrm>
          <a:off x="566736" y="29406057"/>
          <a:ext cx="280987" cy="23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116680</xdr:colOff>
      <xdr:row>154</xdr:row>
      <xdr:rowOff>33337</xdr:rowOff>
    </xdr:from>
    <xdr:to>
      <xdr:col>2</xdr:col>
      <xdr:colOff>45242</xdr:colOff>
      <xdr:row>154</xdr:row>
      <xdr:rowOff>35718</xdr:rowOff>
    </xdr:to>
    <xdr:sp macro="" textlink="">
      <xdr:nvSpPr>
        <xdr:cNvPr id="351" name="Line 168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ShapeType="1"/>
        </xdr:cNvSpPr>
      </xdr:nvSpPr>
      <xdr:spPr bwMode="auto">
        <a:xfrm>
          <a:off x="183355" y="29408437"/>
          <a:ext cx="280987" cy="23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314325</xdr:colOff>
      <xdr:row>172</xdr:row>
      <xdr:rowOff>66675</xdr:rowOff>
    </xdr:from>
    <xdr:to>
      <xdr:col>2</xdr:col>
      <xdr:colOff>228600</xdr:colOff>
      <xdr:row>172</xdr:row>
      <xdr:rowOff>66675</xdr:rowOff>
    </xdr:to>
    <xdr:sp macro="" textlink="">
      <xdr:nvSpPr>
        <xdr:cNvPr id="300" name="Line 168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ShapeType="1"/>
        </xdr:cNvSpPr>
      </xdr:nvSpPr>
      <xdr:spPr bwMode="auto">
        <a:xfrm>
          <a:off x="381000" y="294417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28576</xdr:colOff>
      <xdr:row>170</xdr:row>
      <xdr:rowOff>127001</xdr:rowOff>
    </xdr:from>
    <xdr:to>
      <xdr:col>3</xdr:col>
      <xdr:colOff>66676</xdr:colOff>
      <xdr:row>173</xdr:row>
      <xdr:rowOff>79376</xdr:rowOff>
    </xdr:to>
    <xdr:sp macro="" textlink="">
      <xdr:nvSpPr>
        <xdr:cNvPr id="301" name="Rectangle 165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rrowheads="1"/>
        </xdr:cNvSpPr>
      </xdr:nvSpPr>
      <xdr:spPr bwMode="auto">
        <a:xfrm>
          <a:off x="95251" y="30264101"/>
          <a:ext cx="1371600" cy="523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</a:t>
          </a:r>
        </a:p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</a:t>
          </a:r>
        </a:p>
      </xdr:txBody>
    </xdr:sp>
    <xdr:clientData/>
  </xdr:twoCellAnchor>
  <xdr:twoCellAnchor>
    <xdr:from>
      <xdr:col>2</xdr:col>
      <xdr:colOff>344022</xdr:colOff>
      <xdr:row>170</xdr:row>
      <xdr:rowOff>128650</xdr:rowOff>
    </xdr:from>
    <xdr:to>
      <xdr:col>2</xdr:col>
      <xdr:colOff>344930</xdr:colOff>
      <xdr:row>173</xdr:row>
      <xdr:rowOff>81849</xdr:rowOff>
    </xdr:to>
    <xdr:sp macro="" textlink="">
      <xdr:nvSpPr>
        <xdr:cNvPr id="303" name="Line 167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ShapeType="1"/>
        </xdr:cNvSpPr>
      </xdr:nvSpPr>
      <xdr:spPr bwMode="auto">
        <a:xfrm flipH="1">
          <a:off x="764243" y="30261268"/>
          <a:ext cx="908" cy="5246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812426</xdr:colOff>
      <xdr:row>172</xdr:row>
      <xdr:rowOff>31936</xdr:rowOff>
    </xdr:from>
    <xdr:to>
      <xdr:col>3</xdr:col>
      <xdr:colOff>10785</xdr:colOff>
      <xdr:row>172</xdr:row>
      <xdr:rowOff>33617</xdr:rowOff>
    </xdr:to>
    <xdr:sp macro="" textlink="">
      <xdr:nvSpPr>
        <xdr:cNvPr id="304" name="Line 168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ShapeType="1"/>
        </xdr:cNvSpPr>
      </xdr:nvSpPr>
      <xdr:spPr bwMode="auto">
        <a:xfrm flipV="1">
          <a:off x="1232647" y="30545554"/>
          <a:ext cx="178873" cy="16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588308</xdr:colOff>
      <xdr:row>172</xdr:row>
      <xdr:rowOff>30813</xdr:rowOff>
    </xdr:from>
    <xdr:to>
      <xdr:col>2</xdr:col>
      <xdr:colOff>776007</xdr:colOff>
      <xdr:row>172</xdr:row>
      <xdr:rowOff>30815</xdr:rowOff>
    </xdr:to>
    <xdr:sp macro="" textlink="">
      <xdr:nvSpPr>
        <xdr:cNvPr id="305" name="Line 168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ShapeType="1"/>
        </xdr:cNvSpPr>
      </xdr:nvSpPr>
      <xdr:spPr bwMode="auto">
        <a:xfrm>
          <a:off x="1008529" y="30544431"/>
          <a:ext cx="187699" cy="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350184</xdr:colOff>
      <xdr:row>172</xdr:row>
      <xdr:rowOff>28013</xdr:rowOff>
    </xdr:from>
    <xdr:to>
      <xdr:col>2</xdr:col>
      <xdr:colOff>530457</xdr:colOff>
      <xdr:row>172</xdr:row>
      <xdr:rowOff>28432</xdr:rowOff>
    </xdr:to>
    <xdr:sp macro="" textlink="">
      <xdr:nvSpPr>
        <xdr:cNvPr id="306" name="Line 168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ShapeType="1"/>
        </xdr:cNvSpPr>
      </xdr:nvSpPr>
      <xdr:spPr bwMode="auto">
        <a:xfrm>
          <a:off x="770405" y="30541631"/>
          <a:ext cx="180273" cy="41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248187</xdr:colOff>
      <xdr:row>170</xdr:row>
      <xdr:rowOff>132573</xdr:rowOff>
    </xdr:from>
    <xdr:to>
      <xdr:col>1</xdr:col>
      <xdr:colOff>249330</xdr:colOff>
      <xdr:row>173</xdr:row>
      <xdr:rowOff>81242</xdr:rowOff>
    </xdr:to>
    <xdr:sp macro="" textlink="">
      <xdr:nvSpPr>
        <xdr:cNvPr id="308" name="Line 166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ShapeType="1"/>
        </xdr:cNvSpPr>
      </xdr:nvSpPr>
      <xdr:spPr bwMode="auto">
        <a:xfrm>
          <a:off x="315422" y="30265191"/>
          <a:ext cx="1143" cy="52016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114747</xdr:colOff>
      <xdr:row>170</xdr:row>
      <xdr:rowOff>132789</xdr:rowOff>
    </xdr:from>
    <xdr:to>
      <xdr:col>2</xdr:col>
      <xdr:colOff>117660</xdr:colOff>
      <xdr:row>173</xdr:row>
      <xdr:rowOff>84042</xdr:rowOff>
    </xdr:to>
    <xdr:sp macro="" textlink="">
      <xdr:nvSpPr>
        <xdr:cNvPr id="319" name="Line 166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ShapeType="1"/>
        </xdr:cNvSpPr>
      </xdr:nvSpPr>
      <xdr:spPr bwMode="auto">
        <a:xfrm>
          <a:off x="534968" y="30265407"/>
          <a:ext cx="2913" cy="52275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574300</xdr:colOff>
      <xdr:row>170</xdr:row>
      <xdr:rowOff>125506</xdr:rowOff>
    </xdr:from>
    <xdr:to>
      <xdr:col>2</xdr:col>
      <xdr:colOff>575310</xdr:colOff>
      <xdr:row>173</xdr:row>
      <xdr:rowOff>75639</xdr:rowOff>
    </xdr:to>
    <xdr:sp macro="" textlink="">
      <xdr:nvSpPr>
        <xdr:cNvPr id="320" name="Line 166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ShapeType="1"/>
        </xdr:cNvSpPr>
      </xdr:nvSpPr>
      <xdr:spPr bwMode="auto">
        <a:xfrm flipH="1">
          <a:off x="994521" y="30258124"/>
          <a:ext cx="1010" cy="52163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791582</xdr:colOff>
      <xdr:row>170</xdr:row>
      <xdr:rowOff>123265</xdr:rowOff>
    </xdr:from>
    <xdr:to>
      <xdr:col>2</xdr:col>
      <xdr:colOff>792815</xdr:colOff>
      <xdr:row>173</xdr:row>
      <xdr:rowOff>72838</xdr:rowOff>
    </xdr:to>
    <xdr:sp macro="" textlink="">
      <xdr:nvSpPr>
        <xdr:cNvPr id="324" name="Line 166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ShapeType="1"/>
        </xdr:cNvSpPr>
      </xdr:nvSpPr>
      <xdr:spPr bwMode="auto">
        <a:xfrm>
          <a:off x="1211803" y="30255883"/>
          <a:ext cx="1233" cy="52107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170890</xdr:colOff>
      <xdr:row>172</xdr:row>
      <xdr:rowOff>26893</xdr:rowOff>
    </xdr:from>
    <xdr:to>
      <xdr:col>2</xdr:col>
      <xdr:colOff>352985</xdr:colOff>
      <xdr:row>172</xdr:row>
      <xdr:rowOff>28013</xdr:rowOff>
    </xdr:to>
    <xdr:sp macro="" textlink="">
      <xdr:nvSpPr>
        <xdr:cNvPr id="325" name="Line 168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ShapeType="1"/>
        </xdr:cNvSpPr>
      </xdr:nvSpPr>
      <xdr:spPr bwMode="auto">
        <a:xfrm flipH="1">
          <a:off x="591111" y="30540511"/>
          <a:ext cx="182095" cy="11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263338</xdr:colOff>
      <xdr:row>172</xdr:row>
      <xdr:rowOff>30816</xdr:rowOff>
    </xdr:from>
    <xdr:to>
      <xdr:col>2</xdr:col>
      <xdr:colOff>100852</xdr:colOff>
      <xdr:row>172</xdr:row>
      <xdr:rowOff>33617</xdr:rowOff>
    </xdr:to>
    <xdr:sp macro="" textlink="">
      <xdr:nvSpPr>
        <xdr:cNvPr id="326" name="Line 168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ShapeType="1"/>
        </xdr:cNvSpPr>
      </xdr:nvSpPr>
      <xdr:spPr bwMode="auto">
        <a:xfrm flipH="1">
          <a:off x="330573" y="30544434"/>
          <a:ext cx="190500" cy="28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42022</xdr:colOff>
      <xdr:row>172</xdr:row>
      <xdr:rowOff>33616</xdr:rowOff>
    </xdr:from>
    <xdr:to>
      <xdr:col>1</xdr:col>
      <xdr:colOff>232522</xdr:colOff>
      <xdr:row>172</xdr:row>
      <xdr:rowOff>33617</xdr:rowOff>
    </xdr:to>
    <xdr:sp macro="" textlink="">
      <xdr:nvSpPr>
        <xdr:cNvPr id="327" name="Line 168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ShapeType="1"/>
        </xdr:cNvSpPr>
      </xdr:nvSpPr>
      <xdr:spPr bwMode="auto">
        <a:xfrm flipH="1" flipV="1">
          <a:off x="109257" y="30547234"/>
          <a:ext cx="190500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314325</xdr:colOff>
      <xdr:row>178</xdr:row>
      <xdr:rowOff>66675</xdr:rowOff>
    </xdr:from>
    <xdr:to>
      <xdr:col>2</xdr:col>
      <xdr:colOff>228600</xdr:colOff>
      <xdr:row>178</xdr:row>
      <xdr:rowOff>66675</xdr:rowOff>
    </xdr:to>
    <xdr:sp macro="" textlink="">
      <xdr:nvSpPr>
        <xdr:cNvPr id="328" name="Line 168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ShapeType="1"/>
        </xdr:cNvSpPr>
      </xdr:nvSpPr>
      <xdr:spPr bwMode="auto">
        <a:xfrm>
          <a:off x="377226" y="30295071"/>
          <a:ext cx="2647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28576</xdr:colOff>
      <xdr:row>176</xdr:row>
      <xdr:rowOff>127001</xdr:rowOff>
    </xdr:from>
    <xdr:to>
      <xdr:col>3</xdr:col>
      <xdr:colOff>66676</xdr:colOff>
      <xdr:row>179</xdr:row>
      <xdr:rowOff>79376</xdr:rowOff>
    </xdr:to>
    <xdr:sp macro="" textlink="">
      <xdr:nvSpPr>
        <xdr:cNvPr id="329" name="Rectangle 165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rrowheads="1"/>
        </xdr:cNvSpPr>
      </xdr:nvSpPr>
      <xdr:spPr bwMode="auto">
        <a:xfrm>
          <a:off x="91477" y="29977992"/>
          <a:ext cx="1368006" cy="5184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</a:t>
          </a:r>
        </a:p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</a:t>
          </a:r>
        </a:p>
      </xdr:txBody>
    </xdr:sp>
    <xdr:clientData/>
  </xdr:twoCellAnchor>
  <xdr:twoCellAnchor>
    <xdr:from>
      <xdr:col>2</xdr:col>
      <xdr:colOff>344022</xdr:colOff>
      <xdr:row>176</xdr:row>
      <xdr:rowOff>128650</xdr:rowOff>
    </xdr:from>
    <xdr:to>
      <xdr:col>2</xdr:col>
      <xdr:colOff>344930</xdr:colOff>
      <xdr:row>179</xdr:row>
      <xdr:rowOff>81849</xdr:rowOff>
    </xdr:to>
    <xdr:sp macro="" textlink="">
      <xdr:nvSpPr>
        <xdr:cNvPr id="330" name="Line 167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ShapeType="1"/>
        </xdr:cNvSpPr>
      </xdr:nvSpPr>
      <xdr:spPr bwMode="auto">
        <a:xfrm flipH="1">
          <a:off x="757371" y="29979641"/>
          <a:ext cx="908" cy="51930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812426</xdr:colOff>
      <xdr:row>178</xdr:row>
      <xdr:rowOff>31936</xdr:rowOff>
    </xdr:from>
    <xdr:to>
      <xdr:col>3</xdr:col>
      <xdr:colOff>10785</xdr:colOff>
      <xdr:row>178</xdr:row>
      <xdr:rowOff>33617</xdr:rowOff>
    </xdr:to>
    <xdr:sp macro="" textlink="">
      <xdr:nvSpPr>
        <xdr:cNvPr id="334" name="Line 168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ShapeType="1"/>
        </xdr:cNvSpPr>
      </xdr:nvSpPr>
      <xdr:spPr bwMode="auto">
        <a:xfrm flipV="1">
          <a:off x="1225775" y="30260332"/>
          <a:ext cx="177817" cy="16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588308</xdr:colOff>
      <xdr:row>178</xdr:row>
      <xdr:rowOff>30813</xdr:rowOff>
    </xdr:from>
    <xdr:to>
      <xdr:col>2</xdr:col>
      <xdr:colOff>776007</xdr:colOff>
      <xdr:row>178</xdr:row>
      <xdr:rowOff>30815</xdr:rowOff>
    </xdr:to>
    <xdr:sp macro="" textlink="">
      <xdr:nvSpPr>
        <xdr:cNvPr id="335" name="Line 168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ShapeType="1"/>
        </xdr:cNvSpPr>
      </xdr:nvSpPr>
      <xdr:spPr bwMode="auto">
        <a:xfrm>
          <a:off x="1001657" y="30259209"/>
          <a:ext cx="187699" cy="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350184</xdr:colOff>
      <xdr:row>178</xdr:row>
      <xdr:rowOff>28013</xdr:rowOff>
    </xdr:from>
    <xdr:to>
      <xdr:col>2</xdr:col>
      <xdr:colOff>530457</xdr:colOff>
      <xdr:row>178</xdr:row>
      <xdr:rowOff>28432</xdr:rowOff>
    </xdr:to>
    <xdr:sp macro="" textlink="">
      <xdr:nvSpPr>
        <xdr:cNvPr id="347" name="Line 168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ShapeType="1"/>
        </xdr:cNvSpPr>
      </xdr:nvSpPr>
      <xdr:spPr bwMode="auto">
        <a:xfrm>
          <a:off x="763533" y="30256409"/>
          <a:ext cx="180273" cy="41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248187</xdr:colOff>
      <xdr:row>176</xdr:row>
      <xdr:rowOff>132573</xdr:rowOff>
    </xdr:from>
    <xdr:to>
      <xdr:col>1</xdr:col>
      <xdr:colOff>249330</xdr:colOff>
      <xdr:row>179</xdr:row>
      <xdr:rowOff>81242</xdr:rowOff>
    </xdr:to>
    <xdr:sp macro="" textlink="">
      <xdr:nvSpPr>
        <xdr:cNvPr id="348" name="Line 166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ShapeType="1"/>
        </xdr:cNvSpPr>
      </xdr:nvSpPr>
      <xdr:spPr bwMode="auto">
        <a:xfrm>
          <a:off x="311088" y="29983564"/>
          <a:ext cx="1143" cy="5147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114747</xdr:colOff>
      <xdr:row>176</xdr:row>
      <xdr:rowOff>132789</xdr:rowOff>
    </xdr:from>
    <xdr:to>
      <xdr:col>2</xdr:col>
      <xdr:colOff>117660</xdr:colOff>
      <xdr:row>179</xdr:row>
      <xdr:rowOff>84042</xdr:rowOff>
    </xdr:to>
    <xdr:sp macro="" textlink="">
      <xdr:nvSpPr>
        <xdr:cNvPr id="352" name="Line 166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ShapeType="1"/>
        </xdr:cNvSpPr>
      </xdr:nvSpPr>
      <xdr:spPr bwMode="auto">
        <a:xfrm>
          <a:off x="528096" y="29983780"/>
          <a:ext cx="2913" cy="51736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574300</xdr:colOff>
      <xdr:row>176</xdr:row>
      <xdr:rowOff>125506</xdr:rowOff>
    </xdr:from>
    <xdr:to>
      <xdr:col>2</xdr:col>
      <xdr:colOff>575310</xdr:colOff>
      <xdr:row>179</xdr:row>
      <xdr:rowOff>75639</xdr:rowOff>
    </xdr:to>
    <xdr:sp macro="" textlink="">
      <xdr:nvSpPr>
        <xdr:cNvPr id="353" name="Line 166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ShapeType="1"/>
        </xdr:cNvSpPr>
      </xdr:nvSpPr>
      <xdr:spPr bwMode="auto">
        <a:xfrm flipH="1">
          <a:off x="987649" y="29976497"/>
          <a:ext cx="1010" cy="5162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791582</xdr:colOff>
      <xdr:row>176</xdr:row>
      <xdr:rowOff>123265</xdr:rowOff>
    </xdr:from>
    <xdr:to>
      <xdr:col>2</xdr:col>
      <xdr:colOff>792815</xdr:colOff>
      <xdr:row>179</xdr:row>
      <xdr:rowOff>72838</xdr:rowOff>
    </xdr:to>
    <xdr:sp macro="" textlink="">
      <xdr:nvSpPr>
        <xdr:cNvPr id="354" name="Line 166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ShapeType="1"/>
        </xdr:cNvSpPr>
      </xdr:nvSpPr>
      <xdr:spPr bwMode="auto">
        <a:xfrm>
          <a:off x="1204931" y="29974256"/>
          <a:ext cx="1233" cy="5156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170890</xdr:colOff>
      <xdr:row>178</xdr:row>
      <xdr:rowOff>26893</xdr:rowOff>
    </xdr:from>
    <xdr:to>
      <xdr:col>2</xdr:col>
      <xdr:colOff>352985</xdr:colOff>
      <xdr:row>178</xdr:row>
      <xdr:rowOff>28013</xdr:rowOff>
    </xdr:to>
    <xdr:sp macro="" textlink="">
      <xdr:nvSpPr>
        <xdr:cNvPr id="355" name="Line 168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ShapeType="1"/>
        </xdr:cNvSpPr>
      </xdr:nvSpPr>
      <xdr:spPr bwMode="auto">
        <a:xfrm flipH="1">
          <a:off x="584239" y="30255289"/>
          <a:ext cx="182095" cy="11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263338</xdr:colOff>
      <xdr:row>178</xdr:row>
      <xdr:rowOff>30816</xdr:rowOff>
    </xdr:from>
    <xdr:to>
      <xdr:col>2</xdr:col>
      <xdr:colOff>100852</xdr:colOff>
      <xdr:row>178</xdr:row>
      <xdr:rowOff>33617</xdr:rowOff>
    </xdr:to>
    <xdr:sp macro="" textlink="">
      <xdr:nvSpPr>
        <xdr:cNvPr id="356" name="Line 168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ShapeType="1"/>
        </xdr:cNvSpPr>
      </xdr:nvSpPr>
      <xdr:spPr bwMode="auto">
        <a:xfrm flipH="1">
          <a:off x="326239" y="30259212"/>
          <a:ext cx="187962" cy="28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42022</xdr:colOff>
      <xdr:row>178</xdr:row>
      <xdr:rowOff>33616</xdr:rowOff>
    </xdr:from>
    <xdr:to>
      <xdr:col>1</xdr:col>
      <xdr:colOff>232522</xdr:colOff>
      <xdr:row>178</xdr:row>
      <xdr:rowOff>33617</xdr:rowOff>
    </xdr:to>
    <xdr:sp macro="" textlink="">
      <xdr:nvSpPr>
        <xdr:cNvPr id="357" name="Line 168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ShapeType="1"/>
        </xdr:cNvSpPr>
      </xdr:nvSpPr>
      <xdr:spPr bwMode="auto">
        <a:xfrm flipH="1" flipV="1">
          <a:off x="104923" y="30262012"/>
          <a:ext cx="190500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314325</xdr:colOff>
      <xdr:row>160</xdr:row>
      <xdr:rowOff>66675</xdr:rowOff>
    </xdr:from>
    <xdr:to>
      <xdr:col>2</xdr:col>
      <xdr:colOff>228600</xdr:colOff>
      <xdr:row>160</xdr:row>
      <xdr:rowOff>66675</xdr:rowOff>
    </xdr:to>
    <xdr:sp macro="" textlink="">
      <xdr:nvSpPr>
        <xdr:cNvPr id="358" name="Line 168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ShapeType="1"/>
        </xdr:cNvSpPr>
      </xdr:nvSpPr>
      <xdr:spPr bwMode="auto">
        <a:xfrm>
          <a:off x="377226" y="28030637"/>
          <a:ext cx="2647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68984</xdr:colOff>
      <xdr:row>158</xdr:row>
      <xdr:rowOff>127001</xdr:rowOff>
    </xdr:from>
    <xdr:to>
      <xdr:col>2</xdr:col>
      <xdr:colOff>862734</xdr:colOff>
      <xdr:row>161</xdr:row>
      <xdr:rowOff>79376</xdr:rowOff>
    </xdr:to>
    <xdr:sp macro="" textlink="">
      <xdr:nvSpPr>
        <xdr:cNvPr id="359" name="Rectangle 165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rrowheads="1"/>
        </xdr:cNvSpPr>
      </xdr:nvSpPr>
      <xdr:spPr bwMode="auto">
        <a:xfrm>
          <a:off x="131885" y="27713558"/>
          <a:ext cx="1144198" cy="5184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</a:t>
          </a:r>
        </a:p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</a:t>
          </a:r>
        </a:p>
      </xdr:txBody>
    </xdr:sp>
    <xdr:clientData/>
  </xdr:twoCellAnchor>
  <xdr:twoCellAnchor>
    <xdr:from>
      <xdr:col>2</xdr:col>
      <xdr:colOff>84693</xdr:colOff>
      <xdr:row>158</xdr:row>
      <xdr:rowOff>128651</xdr:rowOff>
    </xdr:from>
    <xdr:to>
      <xdr:col>2</xdr:col>
      <xdr:colOff>89064</xdr:colOff>
      <xdr:row>161</xdr:row>
      <xdr:rowOff>79747</xdr:rowOff>
    </xdr:to>
    <xdr:sp macro="" textlink="">
      <xdr:nvSpPr>
        <xdr:cNvPr id="360" name="Line 166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ShapeType="1"/>
        </xdr:cNvSpPr>
      </xdr:nvSpPr>
      <xdr:spPr bwMode="auto">
        <a:xfrm flipH="1">
          <a:off x="498042" y="27715208"/>
          <a:ext cx="4371" cy="51720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479053</xdr:colOff>
      <xdr:row>158</xdr:row>
      <xdr:rowOff>128650</xdr:rowOff>
    </xdr:from>
    <xdr:to>
      <xdr:col>2</xdr:col>
      <xdr:colOff>479961</xdr:colOff>
      <xdr:row>161</xdr:row>
      <xdr:rowOff>81849</xdr:rowOff>
    </xdr:to>
    <xdr:sp macro="" textlink="">
      <xdr:nvSpPr>
        <xdr:cNvPr id="361" name="Line 167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ShapeType="1"/>
        </xdr:cNvSpPr>
      </xdr:nvSpPr>
      <xdr:spPr bwMode="auto">
        <a:xfrm flipH="1">
          <a:off x="892402" y="27715207"/>
          <a:ext cx="908" cy="51930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148441</xdr:colOff>
      <xdr:row>160</xdr:row>
      <xdr:rowOff>6639</xdr:rowOff>
    </xdr:from>
    <xdr:to>
      <xdr:col>2</xdr:col>
      <xdr:colOff>417574</xdr:colOff>
      <xdr:row>160</xdr:row>
      <xdr:rowOff>7423</xdr:rowOff>
    </xdr:to>
    <xdr:sp macro="" textlink="">
      <xdr:nvSpPr>
        <xdr:cNvPr id="362" name="Line 168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ShapeType="1"/>
        </xdr:cNvSpPr>
      </xdr:nvSpPr>
      <xdr:spPr bwMode="auto">
        <a:xfrm flipH="1">
          <a:off x="561790" y="27970601"/>
          <a:ext cx="269133" cy="7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106463</xdr:colOff>
      <xdr:row>160</xdr:row>
      <xdr:rowOff>12371</xdr:rowOff>
    </xdr:from>
    <xdr:to>
      <xdr:col>2</xdr:col>
      <xdr:colOff>27214</xdr:colOff>
      <xdr:row>160</xdr:row>
      <xdr:rowOff>14432</xdr:rowOff>
    </xdr:to>
    <xdr:sp macro="" textlink="">
      <xdr:nvSpPr>
        <xdr:cNvPr id="363" name="Line 168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ShapeType="1"/>
        </xdr:cNvSpPr>
      </xdr:nvSpPr>
      <xdr:spPr bwMode="auto">
        <a:xfrm flipH="1">
          <a:off x="169364" y="27976333"/>
          <a:ext cx="271199" cy="206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525977</xdr:colOff>
      <xdr:row>160</xdr:row>
      <xdr:rowOff>3175</xdr:rowOff>
    </xdr:from>
    <xdr:to>
      <xdr:col>2</xdr:col>
      <xdr:colOff>795110</xdr:colOff>
      <xdr:row>160</xdr:row>
      <xdr:rowOff>3959</xdr:rowOff>
    </xdr:to>
    <xdr:sp macro="" textlink="">
      <xdr:nvSpPr>
        <xdr:cNvPr id="364" name="Line 168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ShapeType="1"/>
        </xdr:cNvSpPr>
      </xdr:nvSpPr>
      <xdr:spPr bwMode="auto">
        <a:xfrm flipH="1">
          <a:off x="939326" y="27967137"/>
          <a:ext cx="269133" cy="7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314325</xdr:colOff>
      <xdr:row>166</xdr:row>
      <xdr:rowOff>66675</xdr:rowOff>
    </xdr:from>
    <xdr:to>
      <xdr:col>2</xdr:col>
      <xdr:colOff>228600</xdr:colOff>
      <xdr:row>166</xdr:row>
      <xdr:rowOff>66675</xdr:rowOff>
    </xdr:to>
    <xdr:sp macro="" textlink="">
      <xdr:nvSpPr>
        <xdr:cNvPr id="365" name="Line 168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ShapeType="1"/>
        </xdr:cNvSpPr>
      </xdr:nvSpPr>
      <xdr:spPr bwMode="auto">
        <a:xfrm>
          <a:off x="377226" y="29162854"/>
          <a:ext cx="26472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68984</xdr:colOff>
      <xdr:row>164</xdr:row>
      <xdr:rowOff>127001</xdr:rowOff>
    </xdr:from>
    <xdr:to>
      <xdr:col>2</xdr:col>
      <xdr:colOff>862734</xdr:colOff>
      <xdr:row>167</xdr:row>
      <xdr:rowOff>79376</xdr:rowOff>
    </xdr:to>
    <xdr:sp macro="" textlink="">
      <xdr:nvSpPr>
        <xdr:cNvPr id="366" name="Rectangle 1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rrowheads="1"/>
        </xdr:cNvSpPr>
      </xdr:nvSpPr>
      <xdr:spPr bwMode="auto">
        <a:xfrm>
          <a:off x="131885" y="28845775"/>
          <a:ext cx="1144198" cy="5184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</a:t>
          </a:r>
        </a:p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</a:t>
          </a:r>
        </a:p>
      </xdr:txBody>
    </xdr:sp>
    <xdr:clientData/>
  </xdr:twoCellAnchor>
  <xdr:twoCellAnchor>
    <xdr:from>
      <xdr:col>2</xdr:col>
      <xdr:colOff>84693</xdr:colOff>
      <xdr:row>164</xdr:row>
      <xdr:rowOff>128651</xdr:rowOff>
    </xdr:from>
    <xdr:to>
      <xdr:col>2</xdr:col>
      <xdr:colOff>89064</xdr:colOff>
      <xdr:row>167</xdr:row>
      <xdr:rowOff>79747</xdr:rowOff>
    </xdr:to>
    <xdr:sp macro="" textlink="">
      <xdr:nvSpPr>
        <xdr:cNvPr id="367" name="Line 1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ShapeType="1"/>
        </xdr:cNvSpPr>
      </xdr:nvSpPr>
      <xdr:spPr bwMode="auto">
        <a:xfrm flipH="1">
          <a:off x="498042" y="28847425"/>
          <a:ext cx="4371" cy="51720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479053</xdr:colOff>
      <xdr:row>164</xdr:row>
      <xdr:rowOff>128650</xdr:rowOff>
    </xdr:from>
    <xdr:to>
      <xdr:col>2</xdr:col>
      <xdr:colOff>479961</xdr:colOff>
      <xdr:row>167</xdr:row>
      <xdr:rowOff>81849</xdr:rowOff>
    </xdr:to>
    <xdr:sp macro="" textlink="">
      <xdr:nvSpPr>
        <xdr:cNvPr id="368" name="Line 1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ShapeType="1"/>
        </xdr:cNvSpPr>
      </xdr:nvSpPr>
      <xdr:spPr bwMode="auto">
        <a:xfrm flipH="1">
          <a:off x="892402" y="28847424"/>
          <a:ext cx="908" cy="51930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540543</xdr:colOff>
      <xdr:row>166</xdr:row>
      <xdr:rowOff>26194</xdr:rowOff>
    </xdr:from>
    <xdr:to>
      <xdr:col>2</xdr:col>
      <xdr:colOff>821530</xdr:colOff>
      <xdr:row>166</xdr:row>
      <xdr:rowOff>28575</xdr:rowOff>
    </xdr:to>
    <xdr:sp macro="" textlink="">
      <xdr:nvSpPr>
        <xdr:cNvPr id="369" name="Line 1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ShapeType="1"/>
        </xdr:cNvSpPr>
      </xdr:nvSpPr>
      <xdr:spPr bwMode="auto">
        <a:xfrm>
          <a:off x="953892" y="29122373"/>
          <a:ext cx="280987" cy="23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147636</xdr:colOff>
      <xdr:row>166</xdr:row>
      <xdr:rowOff>30957</xdr:rowOff>
    </xdr:from>
    <xdr:to>
      <xdr:col>2</xdr:col>
      <xdr:colOff>428623</xdr:colOff>
      <xdr:row>166</xdr:row>
      <xdr:rowOff>33338</xdr:rowOff>
    </xdr:to>
    <xdr:sp macro="" textlink="">
      <xdr:nvSpPr>
        <xdr:cNvPr id="370" name="Line 168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ShapeType="1"/>
        </xdr:cNvSpPr>
      </xdr:nvSpPr>
      <xdr:spPr bwMode="auto">
        <a:xfrm>
          <a:off x="560985" y="29127136"/>
          <a:ext cx="280987" cy="23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116680</xdr:colOff>
      <xdr:row>166</xdr:row>
      <xdr:rowOff>33337</xdr:rowOff>
    </xdr:from>
    <xdr:to>
      <xdr:col>2</xdr:col>
      <xdr:colOff>45242</xdr:colOff>
      <xdr:row>166</xdr:row>
      <xdr:rowOff>35718</xdr:rowOff>
    </xdr:to>
    <xdr:sp macro="" textlink="">
      <xdr:nvSpPr>
        <xdr:cNvPr id="371" name="Line 168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ShapeType="1"/>
        </xdr:cNvSpPr>
      </xdr:nvSpPr>
      <xdr:spPr bwMode="auto">
        <a:xfrm>
          <a:off x="179581" y="29129516"/>
          <a:ext cx="279010" cy="23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662747</xdr:colOff>
      <xdr:row>79</xdr:row>
      <xdr:rowOff>145064</xdr:rowOff>
    </xdr:from>
    <xdr:to>
      <xdr:col>2</xdr:col>
      <xdr:colOff>870236</xdr:colOff>
      <xdr:row>83</xdr:row>
      <xdr:rowOff>54963</xdr:rowOff>
    </xdr:to>
    <xdr:sp macro="" textlink="">
      <xdr:nvSpPr>
        <xdr:cNvPr id="374" name="Line 13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ShapeType="1"/>
        </xdr:cNvSpPr>
      </xdr:nvSpPr>
      <xdr:spPr bwMode="auto">
        <a:xfrm flipH="1">
          <a:off x="1076096" y="15052588"/>
          <a:ext cx="207489" cy="6647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492470</xdr:colOff>
      <xdr:row>79</xdr:row>
      <xdr:rowOff>171662</xdr:rowOff>
    </xdr:from>
    <xdr:to>
      <xdr:col>2</xdr:col>
      <xdr:colOff>664952</xdr:colOff>
      <xdr:row>83</xdr:row>
      <xdr:rowOff>44929</xdr:rowOff>
    </xdr:to>
    <xdr:sp macro="" textlink="">
      <xdr:nvSpPr>
        <xdr:cNvPr id="375" name="Line 133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ShapeType="1"/>
        </xdr:cNvSpPr>
      </xdr:nvSpPr>
      <xdr:spPr bwMode="auto">
        <a:xfrm>
          <a:off x="905819" y="15079186"/>
          <a:ext cx="172482" cy="62807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11</xdr:row>
      <xdr:rowOff>104775</xdr:rowOff>
    </xdr:from>
    <xdr:to>
      <xdr:col>2</xdr:col>
      <xdr:colOff>638175</xdr:colOff>
      <xdr:row>14</xdr:row>
      <xdr:rowOff>152400</xdr:rowOff>
    </xdr:to>
    <xdr:sp macro="" textlink="">
      <xdr:nvSpPr>
        <xdr:cNvPr id="70" name="Rectangle 2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>
          <a:spLocks noChangeArrowheads="1"/>
        </xdr:cNvSpPr>
      </xdr:nvSpPr>
      <xdr:spPr bwMode="auto">
        <a:xfrm>
          <a:off x="504825" y="914400"/>
          <a:ext cx="55245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11</xdr:row>
      <xdr:rowOff>104775</xdr:rowOff>
    </xdr:from>
    <xdr:to>
      <xdr:col>2</xdr:col>
      <xdr:colOff>638175</xdr:colOff>
      <xdr:row>14</xdr:row>
      <xdr:rowOff>152400</xdr:rowOff>
    </xdr:to>
    <xdr:sp macro="" textlink="">
      <xdr:nvSpPr>
        <xdr:cNvPr id="71" name="Rectangle 3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>
          <a:spLocks noChangeArrowheads="1"/>
        </xdr:cNvSpPr>
      </xdr:nvSpPr>
      <xdr:spPr bwMode="auto">
        <a:xfrm>
          <a:off x="504825" y="914400"/>
          <a:ext cx="55245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95250</xdr:colOff>
      <xdr:row>11</xdr:row>
      <xdr:rowOff>95251</xdr:rowOff>
    </xdr:from>
    <xdr:to>
      <xdr:col>2</xdr:col>
      <xdr:colOff>647700</xdr:colOff>
      <xdr:row>13</xdr:row>
      <xdr:rowOff>38101</xdr:rowOff>
    </xdr:to>
    <xdr:sp macro="" textlink="">
      <xdr:nvSpPr>
        <xdr:cNvPr id="72" name="Line 4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ChangeShapeType="1"/>
        </xdr:cNvSpPr>
      </xdr:nvSpPr>
      <xdr:spPr bwMode="auto">
        <a:xfrm>
          <a:off x="514350" y="1047751"/>
          <a:ext cx="5524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85724</xdr:colOff>
      <xdr:row>13</xdr:row>
      <xdr:rowOff>47625</xdr:rowOff>
    </xdr:from>
    <xdr:to>
      <xdr:col>2</xdr:col>
      <xdr:colOff>628649</xdr:colOff>
      <xdr:row>14</xdr:row>
      <xdr:rowOff>133350</xdr:rowOff>
    </xdr:to>
    <xdr:sp macro="" textlink="">
      <xdr:nvSpPr>
        <xdr:cNvPr id="73" name="Line 5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ShapeType="1"/>
        </xdr:cNvSpPr>
      </xdr:nvSpPr>
      <xdr:spPr bwMode="auto">
        <a:xfrm flipH="1">
          <a:off x="504824" y="1381125"/>
          <a:ext cx="542925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152400</xdr:colOff>
      <xdr:row>6</xdr:row>
      <xdr:rowOff>57150</xdr:rowOff>
    </xdr:from>
    <xdr:to>
      <xdr:col>2</xdr:col>
      <xdr:colOff>876300</xdr:colOff>
      <xdr:row>9</xdr:row>
      <xdr:rowOff>0</xdr:rowOff>
    </xdr:to>
    <xdr:sp macro="" textlink="">
      <xdr:nvSpPr>
        <xdr:cNvPr id="121" name="Rectangle 137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>
          <a:spLocks noChangeArrowheads="1"/>
        </xdr:cNvSpPr>
      </xdr:nvSpPr>
      <xdr:spPr bwMode="auto">
        <a:xfrm>
          <a:off x="571500" y="13658850"/>
          <a:ext cx="723900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514350</xdr:colOff>
      <xdr:row>6</xdr:row>
      <xdr:rowOff>66675</xdr:rowOff>
    </xdr:from>
    <xdr:to>
      <xdr:col>2</xdr:col>
      <xdr:colOff>514350</xdr:colOff>
      <xdr:row>9</xdr:row>
      <xdr:rowOff>0</xdr:rowOff>
    </xdr:to>
    <xdr:sp macro="" textlink="">
      <xdr:nvSpPr>
        <xdr:cNvPr id="122" name="Line 138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>
          <a:spLocks noChangeShapeType="1"/>
        </xdr:cNvSpPr>
      </xdr:nvSpPr>
      <xdr:spPr bwMode="auto">
        <a:xfrm>
          <a:off x="933450" y="13668375"/>
          <a:ext cx="0" cy="419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190500</xdr:colOff>
      <xdr:row>7</xdr:row>
      <xdr:rowOff>95250</xdr:rowOff>
    </xdr:from>
    <xdr:to>
      <xdr:col>2</xdr:col>
      <xdr:colOff>438150</xdr:colOff>
      <xdr:row>7</xdr:row>
      <xdr:rowOff>95250</xdr:rowOff>
    </xdr:to>
    <xdr:sp macro="" textlink="">
      <xdr:nvSpPr>
        <xdr:cNvPr id="123" name="Line 139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>
          <a:spLocks noChangeShapeType="1"/>
        </xdr:cNvSpPr>
      </xdr:nvSpPr>
      <xdr:spPr bwMode="auto">
        <a:xfrm>
          <a:off x="609600" y="1385887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590550</xdr:colOff>
      <xdr:row>7</xdr:row>
      <xdr:rowOff>95250</xdr:rowOff>
    </xdr:from>
    <xdr:to>
      <xdr:col>2</xdr:col>
      <xdr:colOff>838200</xdr:colOff>
      <xdr:row>7</xdr:row>
      <xdr:rowOff>95250</xdr:rowOff>
    </xdr:to>
    <xdr:sp macro="" textlink="">
      <xdr:nvSpPr>
        <xdr:cNvPr id="124" name="Line 140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 noChangeShapeType="1"/>
        </xdr:cNvSpPr>
      </xdr:nvSpPr>
      <xdr:spPr bwMode="auto">
        <a:xfrm flipH="1">
          <a:off x="1009650" y="1385887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152400</xdr:colOff>
      <xdr:row>6</xdr:row>
      <xdr:rowOff>57150</xdr:rowOff>
    </xdr:from>
    <xdr:to>
      <xdr:col>2</xdr:col>
      <xdr:colOff>876300</xdr:colOff>
      <xdr:row>9</xdr:row>
      <xdr:rowOff>0</xdr:rowOff>
    </xdr:to>
    <xdr:sp macro="" textlink="">
      <xdr:nvSpPr>
        <xdr:cNvPr id="125" name="Rectangle 137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ChangeArrowheads="1"/>
        </xdr:cNvSpPr>
      </xdr:nvSpPr>
      <xdr:spPr bwMode="auto">
        <a:xfrm>
          <a:off x="571500" y="13658850"/>
          <a:ext cx="723900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514350</xdr:colOff>
      <xdr:row>6</xdr:row>
      <xdr:rowOff>66675</xdr:rowOff>
    </xdr:from>
    <xdr:to>
      <xdr:col>2</xdr:col>
      <xdr:colOff>514350</xdr:colOff>
      <xdr:row>9</xdr:row>
      <xdr:rowOff>0</xdr:rowOff>
    </xdr:to>
    <xdr:sp macro="" textlink="">
      <xdr:nvSpPr>
        <xdr:cNvPr id="126" name="Line 138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ChangeShapeType="1"/>
        </xdr:cNvSpPr>
      </xdr:nvSpPr>
      <xdr:spPr bwMode="auto">
        <a:xfrm>
          <a:off x="933450" y="13668375"/>
          <a:ext cx="0" cy="419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190500</xdr:colOff>
      <xdr:row>7</xdr:row>
      <xdr:rowOff>95250</xdr:rowOff>
    </xdr:from>
    <xdr:to>
      <xdr:col>2</xdr:col>
      <xdr:colOff>438150</xdr:colOff>
      <xdr:row>7</xdr:row>
      <xdr:rowOff>95250</xdr:rowOff>
    </xdr:to>
    <xdr:sp macro="" textlink="">
      <xdr:nvSpPr>
        <xdr:cNvPr id="127" name="Line 139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ShapeType="1"/>
        </xdr:cNvSpPr>
      </xdr:nvSpPr>
      <xdr:spPr bwMode="auto">
        <a:xfrm>
          <a:off x="609600" y="1385887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152400</xdr:colOff>
      <xdr:row>1</xdr:row>
      <xdr:rowOff>57150</xdr:rowOff>
    </xdr:from>
    <xdr:to>
      <xdr:col>2</xdr:col>
      <xdr:colOff>876300</xdr:colOff>
      <xdr:row>4</xdr:row>
      <xdr:rowOff>0</xdr:rowOff>
    </xdr:to>
    <xdr:sp macro="" textlink="">
      <xdr:nvSpPr>
        <xdr:cNvPr id="232" name="Rectangle 137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>
          <a:spLocks noChangeArrowheads="1"/>
        </xdr:cNvSpPr>
      </xdr:nvSpPr>
      <xdr:spPr bwMode="auto">
        <a:xfrm>
          <a:off x="571500" y="18345150"/>
          <a:ext cx="723900" cy="514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514350</xdr:colOff>
      <xdr:row>1</xdr:row>
      <xdr:rowOff>66675</xdr:rowOff>
    </xdr:from>
    <xdr:to>
      <xdr:col>2</xdr:col>
      <xdr:colOff>514350</xdr:colOff>
      <xdr:row>4</xdr:row>
      <xdr:rowOff>0</xdr:rowOff>
    </xdr:to>
    <xdr:sp macro="" textlink="">
      <xdr:nvSpPr>
        <xdr:cNvPr id="233" name="Line 138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>
          <a:spLocks noChangeShapeType="1"/>
        </xdr:cNvSpPr>
      </xdr:nvSpPr>
      <xdr:spPr bwMode="auto">
        <a:xfrm>
          <a:off x="933450" y="18354675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190500</xdr:colOff>
      <xdr:row>2</xdr:row>
      <xdr:rowOff>95250</xdr:rowOff>
    </xdr:from>
    <xdr:to>
      <xdr:col>2</xdr:col>
      <xdr:colOff>438150</xdr:colOff>
      <xdr:row>2</xdr:row>
      <xdr:rowOff>95250</xdr:rowOff>
    </xdr:to>
    <xdr:sp macro="" textlink="">
      <xdr:nvSpPr>
        <xdr:cNvPr id="234" name="Line 139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>
          <a:spLocks noChangeShapeType="1"/>
        </xdr:cNvSpPr>
      </xdr:nvSpPr>
      <xdr:spPr bwMode="auto">
        <a:xfrm>
          <a:off x="609600" y="185737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581025</xdr:colOff>
      <xdr:row>2</xdr:row>
      <xdr:rowOff>85725</xdr:rowOff>
    </xdr:from>
    <xdr:to>
      <xdr:col>2</xdr:col>
      <xdr:colOff>828675</xdr:colOff>
      <xdr:row>2</xdr:row>
      <xdr:rowOff>85725</xdr:rowOff>
    </xdr:to>
    <xdr:sp macro="" textlink="">
      <xdr:nvSpPr>
        <xdr:cNvPr id="235" name="Line 140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>
          <a:spLocks noChangeShapeType="1"/>
        </xdr:cNvSpPr>
      </xdr:nvSpPr>
      <xdr:spPr bwMode="auto">
        <a:xfrm flipH="1">
          <a:off x="1000125" y="46672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600075</xdr:colOff>
      <xdr:row>7</xdr:row>
      <xdr:rowOff>85725</xdr:rowOff>
    </xdr:from>
    <xdr:to>
      <xdr:col>2</xdr:col>
      <xdr:colOff>847725</xdr:colOff>
      <xdr:row>7</xdr:row>
      <xdr:rowOff>85725</xdr:rowOff>
    </xdr:to>
    <xdr:sp macro="" textlink="">
      <xdr:nvSpPr>
        <xdr:cNvPr id="245" name="Line 140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>
          <a:spLocks noChangeShapeType="1"/>
        </xdr:cNvSpPr>
      </xdr:nvSpPr>
      <xdr:spPr bwMode="auto">
        <a:xfrm flipH="1">
          <a:off x="1019175" y="141922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66675</xdr:colOff>
      <xdr:row>23</xdr:row>
      <xdr:rowOff>66675</xdr:rowOff>
    </xdr:from>
    <xdr:to>
      <xdr:col>2</xdr:col>
      <xdr:colOff>619125</xdr:colOff>
      <xdr:row>26</xdr:row>
      <xdr:rowOff>133350</xdr:rowOff>
    </xdr:to>
    <xdr:sp macro="" textlink="">
      <xdr:nvSpPr>
        <xdr:cNvPr id="20" name="Rectangle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rrowheads="1"/>
        </xdr:cNvSpPr>
      </xdr:nvSpPr>
      <xdr:spPr bwMode="auto">
        <a:xfrm>
          <a:off x="485775" y="9782175"/>
          <a:ext cx="552450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17</xdr:row>
      <xdr:rowOff>104775</xdr:rowOff>
    </xdr:from>
    <xdr:to>
      <xdr:col>2</xdr:col>
      <xdr:colOff>638175</xdr:colOff>
      <xdr:row>20</xdr:row>
      <xdr:rowOff>152400</xdr:rowOff>
    </xdr:to>
    <xdr:sp macro="" textlink="">
      <xdr:nvSpPr>
        <xdr:cNvPr id="21" name="Rectangle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rrowheads="1"/>
        </xdr:cNvSpPr>
      </xdr:nvSpPr>
      <xdr:spPr bwMode="auto">
        <a:xfrm>
          <a:off x="504825" y="8677275"/>
          <a:ext cx="5524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17</xdr:row>
      <xdr:rowOff>104775</xdr:rowOff>
    </xdr:from>
    <xdr:to>
      <xdr:col>2</xdr:col>
      <xdr:colOff>638175</xdr:colOff>
      <xdr:row>20</xdr:row>
      <xdr:rowOff>152400</xdr:rowOff>
    </xdr:to>
    <xdr:sp macro="" textlink="">
      <xdr:nvSpPr>
        <xdr:cNvPr id="22" name="Rectangle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rrowheads="1"/>
        </xdr:cNvSpPr>
      </xdr:nvSpPr>
      <xdr:spPr bwMode="auto">
        <a:xfrm>
          <a:off x="504825" y="8677275"/>
          <a:ext cx="5524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376115</xdr:colOff>
      <xdr:row>17</xdr:row>
      <xdr:rowOff>119673</xdr:rowOff>
    </xdr:from>
    <xdr:to>
      <xdr:col>2</xdr:col>
      <xdr:colOff>642815</xdr:colOff>
      <xdr:row>20</xdr:row>
      <xdr:rowOff>148248</xdr:rowOff>
    </xdr:to>
    <xdr:sp macro="" textlink="">
      <xdr:nvSpPr>
        <xdr:cNvPr id="23" name="Line 4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ShapeType="1"/>
        </xdr:cNvSpPr>
      </xdr:nvSpPr>
      <xdr:spPr bwMode="auto">
        <a:xfrm>
          <a:off x="795215" y="8692173"/>
          <a:ext cx="26670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112346</xdr:colOff>
      <xdr:row>17</xdr:row>
      <xdr:rowOff>107461</xdr:rowOff>
    </xdr:from>
    <xdr:to>
      <xdr:col>2</xdr:col>
      <xdr:colOff>350471</xdr:colOff>
      <xdr:row>20</xdr:row>
      <xdr:rowOff>136036</xdr:rowOff>
    </xdr:to>
    <xdr:sp macro="" textlink="">
      <xdr:nvSpPr>
        <xdr:cNvPr id="24" name="Line 5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ShapeType="1"/>
        </xdr:cNvSpPr>
      </xdr:nvSpPr>
      <xdr:spPr bwMode="auto">
        <a:xfrm flipH="1">
          <a:off x="531446" y="8679961"/>
          <a:ext cx="238125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90363</xdr:colOff>
      <xdr:row>19</xdr:row>
      <xdr:rowOff>38100</xdr:rowOff>
    </xdr:from>
    <xdr:to>
      <xdr:col>2</xdr:col>
      <xdr:colOff>641349</xdr:colOff>
      <xdr:row>20</xdr:row>
      <xdr:rowOff>141898</xdr:rowOff>
    </xdr:to>
    <xdr:sp macro="" textlink="">
      <xdr:nvSpPr>
        <xdr:cNvPr id="25" name="Line 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ShapeType="1"/>
        </xdr:cNvSpPr>
      </xdr:nvSpPr>
      <xdr:spPr bwMode="auto">
        <a:xfrm flipH="1">
          <a:off x="509463" y="8991600"/>
          <a:ext cx="550986" cy="29429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77665</xdr:colOff>
      <xdr:row>17</xdr:row>
      <xdr:rowOff>100623</xdr:rowOff>
    </xdr:from>
    <xdr:to>
      <xdr:col>2</xdr:col>
      <xdr:colOff>615951</xdr:colOff>
      <xdr:row>19</xdr:row>
      <xdr:rowOff>25400</xdr:rowOff>
    </xdr:to>
    <xdr:sp macro="" textlink="">
      <xdr:nvSpPr>
        <xdr:cNvPr id="26" name="Line 4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ShapeType="1"/>
        </xdr:cNvSpPr>
      </xdr:nvSpPr>
      <xdr:spPr bwMode="auto">
        <a:xfrm>
          <a:off x="496765" y="8673123"/>
          <a:ext cx="538286" cy="3057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29</xdr:row>
      <xdr:rowOff>104775</xdr:rowOff>
    </xdr:from>
    <xdr:to>
      <xdr:col>2</xdr:col>
      <xdr:colOff>638175</xdr:colOff>
      <xdr:row>32</xdr:row>
      <xdr:rowOff>152400</xdr:rowOff>
    </xdr:to>
    <xdr:sp macro="" textlink="">
      <xdr:nvSpPr>
        <xdr:cNvPr id="27" name="Rectangle 3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rrowheads="1"/>
        </xdr:cNvSpPr>
      </xdr:nvSpPr>
      <xdr:spPr bwMode="auto">
        <a:xfrm>
          <a:off x="504825" y="6391275"/>
          <a:ext cx="5524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95250</xdr:colOff>
      <xdr:row>29</xdr:row>
      <xdr:rowOff>95250</xdr:rowOff>
    </xdr:from>
    <xdr:to>
      <xdr:col>2</xdr:col>
      <xdr:colOff>361950</xdr:colOff>
      <xdr:row>32</xdr:row>
      <xdr:rowOff>123825</xdr:rowOff>
    </xdr:to>
    <xdr:sp macro="" textlink="">
      <xdr:nvSpPr>
        <xdr:cNvPr id="28" name="Line 4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ShapeType="1"/>
        </xdr:cNvSpPr>
      </xdr:nvSpPr>
      <xdr:spPr bwMode="auto">
        <a:xfrm>
          <a:off x="514350" y="6381750"/>
          <a:ext cx="26670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381000</xdr:colOff>
      <xdr:row>29</xdr:row>
      <xdr:rowOff>95250</xdr:rowOff>
    </xdr:from>
    <xdr:to>
      <xdr:col>2</xdr:col>
      <xdr:colOff>619125</xdr:colOff>
      <xdr:row>32</xdr:row>
      <xdr:rowOff>123825</xdr:rowOff>
    </xdr:to>
    <xdr:sp macro="" textlink="">
      <xdr:nvSpPr>
        <xdr:cNvPr id="29" name="Line 5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ShapeType="1"/>
        </xdr:cNvSpPr>
      </xdr:nvSpPr>
      <xdr:spPr bwMode="auto">
        <a:xfrm flipH="1">
          <a:off x="800100" y="6381750"/>
          <a:ext cx="238125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361949</xdr:colOff>
      <xdr:row>35</xdr:row>
      <xdr:rowOff>66676</xdr:rowOff>
    </xdr:from>
    <xdr:to>
      <xdr:col>2</xdr:col>
      <xdr:colOff>714374</xdr:colOff>
      <xdr:row>39</xdr:row>
      <xdr:rowOff>142876</xdr:rowOff>
    </xdr:to>
    <xdr:sp macro="" textlink="">
      <xdr:nvSpPr>
        <xdr:cNvPr id="30" name="Rectangle 38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781049" y="3305176"/>
          <a:ext cx="352425" cy="838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352425</xdr:colOff>
      <xdr:row>35</xdr:row>
      <xdr:rowOff>76200</xdr:rowOff>
    </xdr:from>
    <xdr:to>
      <xdr:col>2</xdr:col>
      <xdr:colOff>704850</xdr:colOff>
      <xdr:row>37</xdr:row>
      <xdr:rowOff>152400</xdr:rowOff>
    </xdr:to>
    <xdr:sp macro="" textlink="">
      <xdr:nvSpPr>
        <xdr:cNvPr id="31" name="Line 39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ShapeType="1"/>
        </xdr:cNvSpPr>
      </xdr:nvSpPr>
      <xdr:spPr bwMode="auto">
        <a:xfrm flipV="1">
          <a:off x="771525" y="3314700"/>
          <a:ext cx="35242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361949</xdr:colOff>
      <xdr:row>38</xdr:row>
      <xdr:rowOff>0</xdr:rowOff>
    </xdr:from>
    <xdr:to>
      <xdr:col>2</xdr:col>
      <xdr:colOff>714374</xdr:colOff>
      <xdr:row>39</xdr:row>
      <xdr:rowOff>142875</xdr:rowOff>
    </xdr:to>
    <xdr:sp macro="" textlink="">
      <xdr:nvSpPr>
        <xdr:cNvPr id="32" name="Line 40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ShapeType="1"/>
        </xdr:cNvSpPr>
      </xdr:nvSpPr>
      <xdr:spPr bwMode="auto">
        <a:xfrm>
          <a:off x="781049" y="3810000"/>
          <a:ext cx="35242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514350</xdr:colOff>
      <xdr:row>149</xdr:row>
      <xdr:rowOff>95929</xdr:rowOff>
    </xdr:from>
    <xdr:to>
      <xdr:col>2</xdr:col>
      <xdr:colOff>915760</xdr:colOff>
      <xdr:row>151</xdr:row>
      <xdr:rowOff>159884</xdr:rowOff>
    </xdr:to>
    <xdr:sp macro="" textlink="">
      <xdr:nvSpPr>
        <xdr:cNvPr id="33" name="Rectangle 6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rrowheads="1"/>
        </xdr:cNvSpPr>
      </xdr:nvSpPr>
      <xdr:spPr bwMode="auto">
        <a:xfrm>
          <a:off x="933450" y="55379029"/>
          <a:ext cx="401410" cy="44495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98295</xdr:colOff>
      <xdr:row>149</xdr:row>
      <xdr:rowOff>95964</xdr:rowOff>
    </xdr:from>
    <xdr:to>
      <xdr:col>2</xdr:col>
      <xdr:colOff>514349</xdr:colOff>
      <xdr:row>152</xdr:row>
      <xdr:rowOff>0</xdr:rowOff>
    </xdr:to>
    <xdr:sp macro="" textlink="">
      <xdr:nvSpPr>
        <xdr:cNvPr id="34" name="Rectangle 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rrowheads="1"/>
        </xdr:cNvSpPr>
      </xdr:nvSpPr>
      <xdr:spPr bwMode="auto">
        <a:xfrm>
          <a:off x="517395" y="55379064"/>
          <a:ext cx="416054" cy="4755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723899</xdr:colOff>
      <xdr:row>149</xdr:row>
      <xdr:rowOff>104094</xdr:rowOff>
    </xdr:from>
    <xdr:to>
      <xdr:col>2</xdr:col>
      <xdr:colOff>906235</xdr:colOff>
      <xdr:row>151</xdr:row>
      <xdr:rowOff>153079</xdr:rowOff>
    </xdr:to>
    <xdr:sp macro="" textlink="">
      <xdr:nvSpPr>
        <xdr:cNvPr id="35" name="Line 133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ShapeType="1"/>
        </xdr:cNvSpPr>
      </xdr:nvSpPr>
      <xdr:spPr bwMode="auto">
        <a:xfrm flipH="1">
          <a:off x="1142999" y="55387194"/>
          <a:ext cx="182336" cy="4299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523861</xdr:colOff>
      <xdr:row>149</xdr:row>
      <xdr:rowOff>92505</xdr:rowOff>
    </xdr:from>
    <xdr:to>
      <xdr:col>2</xdr:col>
      <xdr:colOff>727982</xdr:colOff>
      <xdr:row>151</xdr:row>
      <xdr:rowOff>156482</xdr:rowOff>
    </xdr:to>
    <xdr:sp macro="" textlink="">
      <xdr:nvSpPr>
        <xdr:cNvPr id="36" name="Line 134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ShapeType="1"/>
        </xdr:cNvSpPr>
      </xdr:nvSpPr>
      <xdr:spPr bwMode="auto">
        <a:xfrm>
          <a:off x="942961" y="55375605"/>
          <a:ext cx="204121" cy="4449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295274</xdr:colOff>
      <xdr:row>149</xdr:row>
      <xdr:rowOff>95250</xdr:rowOff>
    </xdr:from>
    <xdr:to>
      <xdr:col>2</xdr:col>
      <xdr:colOff>510267</xdr:colOff>
      <xdr:row>151</xdr:row>
      <xdr:rowOff>153760</xdr:rowOff>
    </xdr:to>
    <xdr:sp macro="" textlink="">
      <xdr:nvSpPr>
        <xdr:cNvPr id="37" name="Line 133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ShapeType="1"/>
        </xdr:cNvSpPr>
      </xdr:nvSpPr>
      <xdr:spPr bwMode="auto">
        <a:xfrm flipH="1">
          <a:off x="714374" y="55378350"/>
          <a:ext cx="214993" cy="4395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149</xdr:row>
      <xdr:rowOff>85725</xdr:rowOff>
    </xdr:from>
    <xdr:to>
      <xdr:col>2</xdr:col>
      <xdr:colOff>299358</xdr:colOff>
      <xdr:row>152</xdr:row>
      <xdr:rowOff>3402</xdr:rowOff>
    </xdr:to>
    <xdr:sp macro="" textlink="">
      <xdr:nvSpPr>
        <xdr:cNvPr id="38" name="Line 134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ShapeType="1"/>
        </xdr:cNvSpPr>
      </xdr:nvSpPr>
      <xdr:spPr bwMode="auto">
        <a:xfrm>
          <a:off x="514350" y="55368825"/>
          <a:ext cx="204108" cy="4891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143</xdr:row>
      <xdr:rowOff>38100</xdr:rowOff>
    </xdr:from>
    <xdr:to>
      <xdr:col>1</xdr:col>
      <xdr:colOff>0</xdr:colOff>
      <xdr:row>143</xdr:row>
      <xdr:rowOff>38100</xdr:rowOff>
    </xdr:to>
    <xdr:sp macro="" textlink="">
      <xdr:nvSpPr>
        <xdr:cNvPr id="39" name="Line 246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66675" y="54178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140</xdr:row>
      <xdr:rowOff>46622</xdr:rowOff>
    </xdr:from>
    <xdr:to>
      <xdr:col>2</xdr:col>
      <xdr:colOff>459803</xdr:colOff>
      <xdr:row>140</xdr:row>
      <xdr:rowOff>157442</xdr:rowOff>
    </xdr:to>
    <xdr:sp macro="" textlink="">
      <xdr:nvSpPr>
        <xdr:cNvPr id="40" name="8 Abrir llave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 rot="5400000">
          <a:off x="703873" y="5355101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111245</xdr:colOff>
      <xdr:row>141</xdr:row>
      <xdr:rowOff>2006</xdr:rowOff>
    </xdr:from>
    <xdr:to>
      <xdr:col>2</xdr:col>
      <xdr:colOff>619125</xdr:colOff>
      <xdr:row>143</xdr:row>
      <xdr:rowOff>47626</xdr:rowOff>
    </xdr:to>
    <xdr:sp macro="" textlink="">
      <xdr:nvSpPr>
        <xdr:cNvPr id="41" name="Rectangle 6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rrowheads="1"/>
        </xdr:cNvSpPr>
      </xdr:nvSpPr>
      <xdr:spPr bwMode="auto">
        <a:xfrm>
          <a:off x="530345" y="53761106"/>
          <a:ext cx="507880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114623</xdr:colOff>
      <xdr:row>143</xdr:row>
      <xdr:rowOff>66675</xdr:rowOff>
    </xdr:from>
    <xdr:to>
      <xdr:col>2</xdr:col>
      <xdr:colOff>619125</xdr:colOff>
      <xdr:row>146</xdr:row>
      <xdr:rowOff>145256</xdr:rowOff>
    </xdr:to>
    <xdr:sp macro="" textlink="">
      <xdr:nvSpPr>
        <xdr:cNvPr id="42" name="Rectangle 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rrowheads="1"/>
        </xdr:cNvSpPr>
      </xdr:nvSpPr>
      <xdr:spPr bwMode="auto">
        <a:xfrm>
          <a:off x="533723" y="54206775"/>
          <a:ext cx="504502" cy="6500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361948</xdr:colOff>
      <xdr:row>141</xdr:row>
      <xdr:rowOff>5444</xdr:rowOff>
    </xdr:from>
    <xdr:to>
      <xdr:col>2</xdr:col>
      <xdr:colOff>620484</xdr:colOff>
      <xdr:row>143</xdr:row>
      <xdr:rowOff>47626</xdr:rowOff>
    </xdr:to>
    <xdr:sp macro="" textlink="">
      <xdr:nvSpPr>
        <xdr:cNvPr id="43" name="Line 133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ShapeType="1"/>
        </xdr:cNvSpPr>
      </xdr:nvSpPr>
      <xdr:spPr bwMode="auto">
        <a:xfrm flipH="1">
          <a:off x="781048" y="53764544"/>
          <a:ext cx="258536" cy="42318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141</xdr:row>
      <xdr:rowOff>14046</xdr:rowOff>
    </xdr:from>
    <xdr:to>
      <xdr:col>2</xdr:col>
      <xdr:colOff>352425</xdr:colOff>
      <xdr:row>143</xdr:row>
      <xdr:rowOff>47625</xdr:rowOff>
    </xdr:to>
    <xdr:sp macro="" textlink="">
      <xdr:nvSpPr>
        <xdr:cNvPr id="44" name="Line 134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ShapeType="1"/>
        </xdr:cNvSpPr>
      </xdr:nvSpPr>
      <xdr:spPr bwMode="auto">
        <a:xfrm>
          <a:off x="523875" y="53773146"/>
          <a:ext cx="247650" cy="41457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241</xdr:row>
      <xdr:rowOff>104775</xdr:rowOff>
    </xdr:from>
    <xdr:to>
      <xdr:col>2</xdr:col>
      <xdr:colOff>638175</xdr:colOff>
      <xdr:row>244</xdr:row>
      <xdr:rowOff>152400</xdr:rowOff>
    </xdr:to>
    <xdr:sp macro="" textlink="">
      <xdr:nvSpPr>
        <xdr:cNvPr id="45" name="Rectangle 2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rrowheads="1"/>
        </xdr:cNvSpPr>
      </xdr:nvSpPr>
      <xdr:spPr bwMode="auto">
        <a:xfrm>
          <a:off x="504825" y="72599550"/>
          <a:ext cx="5524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241</xdr:row>
      <xdr:rowOff>104775</xdr:rowOff>
    </xdr:from>
    <xdr:to>
      <xdr:col>2</xdr:col>
      <xdr:colOff>638175</xdr:colOff>
      <xdr:row>244</xdr:row>
      <xdr:rowOff>152400</xdr:rowOff>
    </xdr:to>
    <xdr:sp macro="" textlink="">
      <xdr:nvSpPr>
        <xdr:cNvPr id="46" name="Rectangle 3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rrowheads="1"/>
        </xdr:cNvSpPr>
      </xdr:nvSpPr>
      <xdr:spPr bwMode="auto">
        <a:xfrm>
          <a:off x="504825" y="72599550"/>
          <a:ext cx="5524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95250</xdr:colOff>
      <xdr:row>241</xdr:row>
      <xdr:rowOff>95250</xdr:rowOff>
    </xdr:from>
    <xdr:to>
      <xdr:col>2</xdr:col>
      <xdr:colOff>361950</xdr:colOff>
      <xdr:row>244</xdr:row>
      <xdr:rowOff>123825</xdr:rowOff>
    </xdr:to>
    <xdr:sp macro="" textlink="">
      <xdr:nvSpPr>
        <xdr:cNvPr id="47" name="Line 4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ShapeType="1"/>
        </xdr:cNvSpPr>
      </xdr:nvSpPr>
      <xdr:spPr bwMode="auto">
        <a:xfrm>
          <a:off x="514350" y="72590025"/>
          <a:ext cx="26670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381000</xdr:colOff>
      <xdr:row>241</xdr:row>
      <xdr:rowOff>95250</xdr:rowOff>
    </xdr:from>
    <xdr:to>
      <xdr:col>2</xdr:col>
      <xdr:colOff>619125</xdr:colOff>
      <xdr:row>244</xdr:row>
      <xdr:rowOff>123825</xdr:rowOff>
    </xdr:to>
    <xdr:sp macro="" textlink="">
      <xdr:nvSpPr>
        <xdr:cNvPr id="48" name="Line 5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ShapeType="1"/>
        </xdr:cNvSpPr>
      </xdr:nvSpPr>
      <xdr:spPr bwMode="auto">
        <a:xfrm flipH="1">
          <a:off x="800100" y="72590025"/>
          <a:ext cx="238125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</xdr:colOff>
      <xdr:row>247</xdr:row>
      <xdr:rowOff>66675</xdr:rowOff>
    </xdr:from>
    <xdr:to>
      <xdr:col>2</xdr:col>
      <xdr:colOff>619125</xdr:colOff>
      <xdr:row>250</xdr:row>
      <xdr:rowOff>133350</xdr:rowOff>
    </xdr:to>
    <xdr:sp macro="" textlink="">
      <xdr:nvSpPr>
        <xdr:cNvPr id="49" name="Rectangle 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485775" y="73704450"/>
          <a:ext cx="552450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85724</xdr:colOff>
      <xdr:row>249</xdr:row>
      <xdr:rowOff>133349</xdr:rowOff>
    </xdr:from>
    <xdr:to>
      <xdr:col>2</xdr:col>
      <xdr:colOff>638174</xdr:colOff>
      <xdr:row>249</xdr:row>
      <xdr:rowOff>142874</xdr:rowOff>
    </xdr:to>
    <xdr:sp macro="" textlink="">
      <xdr:nvSpPr>
        <xdr:cNvPr id="50" name="Line 5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ShapeType="1"/>
        </xdr:cNvSpPr>
      </xdr:nvSpPr>
      <xdr:spPr bwMode="auto">
        <a:xfrm flipH="1">
          <a:off x="504824" y="74152124"/>
          <a:ext cx="5524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66674</xdr:colOff>
      <xdr:row>248</xdr:row>
      <xdr:rowOff>85725</xdr:rowOff>
    </xdr:from>
    <xdr:to>
      <xdr:col>2</xdr:col>
      <xdr:colOff>609599</xdr:colOff>
      <xdr:row>248</xdr:row>
      <xdr:rowOff>104775</xdr:rowOff>
    </xdr:to>
    <xdr:sp macro="" textlink="">
      <xdr:nvSpPr>
        <xdr:cNvPr id="51" name="Line 5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ShapeType="1"/>
        </xdr:cNvSpPr>
      </xdr:nvSpPr>
      <xdr:spPr bwMode="auto">
        <a:xfrm flipH="1">
          <a:off x="485774" y="73914000"/>
          <a:ext cx="5429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263</xdr:row>
      <xdr:rowOff>38100</xdr:rowOff>
    </xdr:from>
    <xdr:to>
      <xdr:col>1</xdr:col>
      <xdr:colOff>0</xdr:colOff>
      <xdr:row>263</xdr:row>
      <xdr:rowOff>38100</xdr:rowOff>
    </xdr:to>
    <xdr:sp macro="" textlink="">
      <xdr:nvSpPr>
        <xdr:cNvPr id="52" name="Line 246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ShapeType="1"/>
        </xdr:cNvSpPr>
      </xdr:nvSpPr>
      <xdr:spPr bwMode="auto">
        <a:xfrm flipH="1" flipV="1">
          <a:off x="66675" y="76723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260</xdr:row>
      <xdr:rowOff>46622</xdr:rowOff>
    </xdr:from>
    <xdr:to>
      <xdr:col>2</xdr:col>
      <xdr:colOff>459803</xdr:colOff>
      <xdr:row>260</xdr:row>
      <xdr:rowOff>157442</xdr:rowOff>
    </xdr:to>
    <xdr:sp macro="" textlink="">
      <xdr:nvSpPr>
        <xdr:cNvPr id="53" name="21 Abrir llave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 rot="5400000">
          <a:off x="703873" y="76096686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595993</xdr:colOff>
      <xdr:row>261</xdr:row>
      <xdr:rowOff>13606</xdr:rowOff>
    </xdr:from>
    <xdr:to>
      <xdr:col>3</xdr:col>
      <xdr:colOff>16328</xdr:colOff>
      <xdr:row>263</xdr:row>
      <xdr:rowOff>76200</xdr:rowOff>
    </xdr:to>
    <xdr:sp macro="" textlink="">
      <xdr:nvSpPr>
        <xdr:cNvPr id="54" name="Rectangle 6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rrowheads="1"/>
        </xdr:cNvSpPr>
      </xdr:nvSpPr>
      <xdr:spPr bwMode="auto">
        <a:xfrm>
          <a:off x="1015093" y="76318381"/>
          <a:ext cx="401410" cy="44359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145920</xdr:colOff>
      <xdr:row>261</xdr:row>
      <xdr:rowOff>10239</xdr:rowOff>
    </xdr:from>
    <xdr:to>
      <xdr:col>2</xdr:col>
      <xdr:colOff>561974</xdr:colOff>
      <xdr:row>263</xdr:row>
      <xdr:rowOff>76200</xdr:rowOff>
    </xdr:to>
    <xdr:sp macro="" textlink="">
      <xdr:nvSpPr>
        <xdr:cNvPr id="55" name="Rectangle 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 bwMode="auto">
        <a:xfrm>
          <a:off x="565020" y="76315014"/>
          <a:ext cx="416054" cy="44696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805542</xdr:colOff>
      <xdr:row>261</xdr:row>
      <xdr:rowOff>21771</xdr:rowOff>
    </xdr:from>
    <xdr:to>
      <xdr:col>3</xdr:col>
      <xdr:colOff>6803</xdr:colOff>
      <xdr:row>263</xdr:row>
      <xdr:rowOff>70756</xdr:rowOff>
    </xdr:to>
    <xdr:sp macro="" textlink="">
      <xdr:nvSpPr>
        <xdr:cNvPr id="56" name="Line 133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ShapeType="1"/>
        </xdr:cNvSpPr>
      </xdr:nvSpPr>
      <xdr:spPr bwMode="auto">
        <a:xfrm flipH="1">
          <a:off x="1224642" y="76326546"/>
          <a:ext cx="182336" cy="4299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608240</xdr:colOff>
      <xdr:row>261</xdr:row>
      <xdr:rowOff>14967</xdr:rowOff>
    </xdr:from>
    <xdr:to>
      <xdr:col>2</xdr:col>
      <xdr:colOff>800966</xdr:colOff>
      <xdr:row>263</xdr:row>
      <xdr:rowOff>69273</xdr:rowOff>
    </xdr:to>
    <xdr:sp macro="" textlink="">
      <xdr:nvSpPr>
        <xdr:cNvPr id="57" name="Line 134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ShapeType="1"/>
        </xdr:cNvSpPr>
      </xdr:nvSpPr>
      <xdr:spPr bwMode="auto">
        <a:xfrm>
          <a:off x="1027340" y="76319742"/>
          <a:ext cx="192726" cy="43530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263</xdr:row>
      <xdr:rowOff>95250</xdr:rowOff>
    </xdr:from>
    <xdr:to>
      <xdr:col>3</xdr:col>
      <xdr:colOff>31295</xdr:colOff>
      <xdr:row>266</xdr:row>
      <xdr:rowOff>123825</xdr:rowOff>
    </xdr:to>
    <xdr:sp macro="" textlink="">
      <xdr:nvSpPr>
        <xdr:cNvPr id="58" name="Rectangle 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rrowheads="1"/>
        </xdr:cNvSpPr>
      </xdr:nvSpPr>
      <xdr:spPr bwMode="auto">
        <a:xfrm>
          <a:off x="561975" y="76781025"/>
          <a:ext cx="869495" cy="600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605505</xdr:colOff>
      <xdr:row>261</xdr:row>
      <xdr:rowOff>10182</xdr:rowOff>
    </xdr:from>
    <xdr:to>
      <xdr:col>2</xdr:col>
      <xdr:colOff>798231</xdr:colOff>
      <xdr:row>263</xdr:row>
      <xdr:rowOff>64488</xdr:rowOff>
    </xdr:to>
    <xdr:sp macro="" textlink="">
      <xdr:nvSpPr>
        <xdr:cNvPr id="59" name="Line 134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ShapeType="1"/>
        </xdr:cNvSpPr>
      </xdr:nvSpPr>
      <xdr:spPr bwMode="auto">
        <a:xfrm>
          <a:off x="1024605" y="76314957"/>
          <a:ext cx="192726" cy="43530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342900</xdr:colOff>
      <xdr:row>261</xdr:row>
      <xdr:rowOff>19050</xdr:rowOff>
    </xdr:from>
    <xdr:to>
      <xdr:col>2</xdr:col>
      <xdr:colOff>534761</xdr:colOff>
      <xdr:row>263</xdr:row>
      <xdr:rowOff>68035</xdr:rowOff>
    </xdr:to>
    <xdr:sp macro="" textlink="">
      <xdr:nvSpPr>
        <xdr:cNvPr id="60" name="Line 133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ShapeType="1"/>
        </xdr:cNvSpPr>
      </xdr:nvSpPr>
      <xdr:spPr bwMode="auto">
        <a:xfrm flipH="1">
          <a:off x="762000" y="76323825"/>
          <a:ext cx="191861" cy="4299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261</xdr:row>
      <xdr:rowOff>0</xdr:rowOff>
    </xdr:from>
    <xdr:to>
      <xdr:col>2</xdr:col>
      <xdr:colOff>335601</xdr:colOff>
      <xdr:row>263</xdr:row>
      <xdr:rowOff>54306</xdr:rowOff>
    </xdr:to>
    <xdr:sp macro="" textlink="">
      <xdr:nvSpPr>
        <xdr:cNvPr id="61" name="Line 134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ShapeType="1"/>
        </xdr:cNvSpPr>
      </xdr:nvSpPr>
      <xdr:spPr bwMode="auto">
        <a:xfrm>
          <a:off x="561975" y="76304775"/>
          <a:ext cx="192726" cy="43530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38100</xdr:rowOff>
    </xdr:from>
    <xdr:to>
      <xdr:col>1</xdr:col>
      <xdr:colOff>0</xdr:colOff>
      <xdr:row>274</xdr:row>
      <xdr:rowOff>38100</xdr:rowOff>
    </xdr:to>
    <xdr:sp macro="" textlink="">
      <xdr:nvSpPr>
        <xdr:cNvPr id="62" name="Line 246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ShapeType="1"/>
        </xdr:cNvSpPr>
      </xdr:nvSpPr>
      <xdr:spPr bwMode="auto">
        <a:xfrm flipH="1" flipV="1">
          <a:off x="66675" y="78819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271</xdr:row>
      <xdr:rowOff>46622</xdr:rowOff>
    </xdr:from>
    <xdr:to>
      <xdr:col>2</xdr:col>
      <xdr:colOff>459803</xdr:colOff>
      <xdr:row>271</xdr:row>
      <xdr:rowOff>157442</xdr:rowOff>
    </xdr:to>
    <xdr:sp macro="" textlink="">
      <xdr:nvSpPr>
        <xdr:cNvPr id="63" name="31 Abrir llave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 rot="5400000">
          <a:off x="703873" y="78192186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111245</xdr:colOff>
      <xdr:row>272</xdr:row>
      <xdr:rowOff>2006</xdr:rowOff>
    </xdr:from>
    <xdr:to>
      <xdr:col>2</xdr:col>
      <xdr:colOff>619125</xdr:colOff>
      <xdr:row>274</xdr:row>
      <xdr:rowOff>47626</xdr:rowOff>
    </xdr:to>
    <xdr:sp macro="" textlink="">
      <xdr:nvSpPr>
        <xdr:cNvPr id="64" name="Rectangle 6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Arrowheads="1"/>
        </xdr:cNvSpPr>
      </xdr:nvSpPr>
      <xdr:spPr bwMode="auto">
        <a:xfrm>
          <a:off x="530345" y="78402281"/>
          <a:ext cx="507880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114623</xdr:colOff>
      <xdr:row>274</xdr:row>
      <xdr:rowOff>66675</xdr:rowOff>
    </xdr:from>
    <xdr:to>
      <xdr:col>2</xdr:col>
      <xdr:colOff>619125</xdr:colOff>
      <xdr:row>277</xdr:row>
      <xdr:rowOff>145256</xdr:rowOff>
    </xdr:to>
    <xdr:sp macro="" textlink="">
      <xdr:nvSpPr>
        <xdr:cNvPr id="65" name="Rectangle 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Arrowheads="1"/>
        </xdr:cNvSpPr>
      </xdr:nvSpPr>
      <xdr:spPr bwMode="auto">
        <a:xfrm>
          <a:off x="533723" y="78847950"/>
          <a:ext cx="504502" cy="6500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361948</xdr:colOff>
      <xdr:row>272</xdr:row>
      <xdr:rowOff>5444</xdr:rowOff>
    </xdr:from>
    <xdr:to>
      <xdr:col>2</xdr:col>
      <xdr:colOff>620484</xdr:colOff>
      <xdr:row>274</xdr:row>
      <xdr:rowOff>47626</xdr:rowOff>
    </xdr:to>
    <xdr:sp macro="" textlink="">
      <xdr:nvSpPr>
        <xdr:cNvPr id="66" name="Line 133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ShapeType="1"/>
        </xdr:cNvSpPr>
      </xdr:nvSpPr>
      <xdr:spPr bwMode="auto">
        <a:xfrm flipH="1">
          <a:off x="781048" y="78405719"/>
          <a:ext cx="258536" cy="42318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272</xdr:row>
      <xdr:rowOff>14046</xdr:rowOff>
    </xdr:from>
    <xdr:to>
      <xdr:col>2</xdr:col>
      <xdr:colOff>352425</xdr:colOff>
      <xdr:row>274</xdr:row>
      <xdr:rowOff>47625</xdr:rowOff>
    </xdr:to>
    <xdr:sp macro="" textlink="">
      <xdr:nvSpPr>
        <xdr:cNvPr id="67" name="Line 134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ChangeShapeType="1"/>
        </xdr:cNvSpPr>
      </xdr:nvSpPr>
      <xdr:spPr bwMode="auto">
        <a:xfrm>
          <a:off x="523875" y="78414321"/>
          <a:ext cx="247650" cy="41457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285</xdr:row>
      <xdr:rowOff>38100</xdr:rowOff>
    </xdr:from>
    <xdr:to>
      <xdr:col>1</xdr:col>
      <xdr:colOff>0</xdr:colOff>
      <xdr:row>285</xdr:row>
      <xdr:rowOff>38100</xdr:rowOff>
    </xdr:to>
    <xdr:sp macro="" textlink="">
      <xdr:nvSpPr>
        <xdr:cNvPr id="68" name="Line 246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ShapeType="1"/>
        </xdr:cNvSpPr>
      </xdr:nvSpPr>
      <xdr:spPr bwMode="auto">
        <a:xfrm flipH="1" flipV="1">
          <a:off x="66675" y="80914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282</xdr:row>
      <xdr:rowOff>46622</xdr:rowOff>
    </xdr:from>
    <xdr:to>
      <xdr:col>2</xdr:col>
      <xdr:colOff>459803</xdr:colOff>
      <xdr:row>282</xdr:row>
      <xdr:rowOff>157442</xdr:rowOff>
    </xdr:to>
    <xdr:sp macro="" textlink="">
      <xdr:nvSpPr>
        <xdr:cNvPr id="69" name="37 Abrir llave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 rot="5400000">
          <a:off x="703873" y="80287686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595993</xdr:colOff>
      <xdr:row>283</xdr:row>
      <xdr:rowOff>13606</xdr:rowOff>
    </xdr:from>
    <xdr:to>
      <xdr:col>3</xdr:col>
      <xdr:colOff>16328</xdr:colOff>
      <xdr:row>285</xdr:row>
      <xdr:rowOff>76200</xdr:rowOff>
    </xdr:to>
    <xdr:sp macro="" textlink="">
      <xdr:nvSpPr>
        <xdr:cNvPr id="74" name="Rectangle 6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rrowheads="1"/>
        </xdr:cNvSpPr>
      </xdr:nvSpPr>
      <xdr:spPr bwMode="auto">
        <a:xfrm>
          <a:off x="1015093" y="80509381"/>
          <a:ext cx="401410" cy="44359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145920</xdr:colOff>
      <xdr:row>283</xdr:row>
      <xdr:rowOff>10239</xdr:rowOff>
    </xdr:from>
    <xdr:to>
      <xdr:col>2</xdr:col>
      <xdr:colOff>561974</xdr:colOff>
      <xdr:row>285</xdr:row>
      <xdr:rowOff>76200</xdr:rowOff>
    </xdr:to>
    <xdr:sp macro="" textlink="">
      <xdr:nvSpPr>
        <xdr:cNvPr id="75" name="Rectangle 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rrowheads="1"/>
        </xdr:cNvSpPr>
      </xdr:nvSpPr>
      <xdr:spPr bwMode="auto">
        <a:xfrm>
          <a:off x="565020" y="80506014"/>
          <a:ext cx="416054" cy="44696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805542</xdr:colOff>
      <xdr:row>283</xdr:row>
      <xdr:rowOff>21771</xdr:rowOff>
    </xdr:from>
    <xdr:to>
      <xdr:col>3</xdr:col>
      <xdr:colOff>6803</xdr:colOff>
      <xdr:row>285</xdr:row>
      <xdr:rowOff>70756</xdr:rowOff>
    </xdr:to>
    <xdr:sp macro="" textlink="">
      <xdr:nvSpPr>
        <xdr:cNvPr id="76" name="Line 133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ShapeType="1"/>
        </xdr:cNvSpPr>
      </xdr:nvSpPr>
      <xdr:spPr bwMode="auto">
        <a:xfrm flipH="1">
          <a:off x="1224642" y="80517546"/>
          <a:ext cx="182336" cy="4299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608240</xdr:colOff>
      <xdr:row>283</xdr:row>
      <xdr:rowOff>14967</xdr:rowOff>
    </xdr:from>
    <xdr:to>
      <xdr:col>2</xdr:col>
      <xdr:colOff>800966</xdr:colOff>
      <xdr:row>285</xdr:row>
      <xdr:rowOff>69273</xdr:rowOff>
    </xdr:to>
    <xdr:sp macro="" textlink="">
      <xdr:nvSpPr>
        <xdr:cNvPr id="77" name="Line 134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ShapeType="1"/>
        </xdr:cNvSpPr>
      </xdr:nvSpPr>
      <xdr:spPr bwMode="auto">
        <a:xfrm>
          <a:off x="1027340" y="80510742"/>
          <a:ext cx="192726" cy="43530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285</xdr:row>
      <xdr:rowOff>95250</xdr:rowOff>
    </xdr:from>
    <xdr:to>
      <xdr:col>3</xdr:col>
      <xdr:colOff>31295</xdr:colOff>
      <xdr:row>288</xdr:row>
      <xdr:rowOff>123825</xdr:rowOff>
    </xdr:to>
    <xdr:sp macro="" textlink="">
      <xdr:nvSpPr>
        <xdr:cNvPr id="78" name="Rectangle 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>
          <a:spLocks noChangeArrowheads="1"/>
        </xdr:cNvSpPr>
      </xdr:nvSpPr>
      <xdr:spPr bwMode="auto">
        <a:xfrm>
          <a:off x="561975" y="80972025"/>
          <a:ext cx="869495" cy="600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605505</xdr:colOff>
      <xdr:row>283</xdr:row>
      <xdr:rowOff>10182</xdr:rowOff>
    </xdr:from>
    <xdr:to>
      <xdr:col>2</xdr:col>
      <xdr:colOff>798231</xdr:colOff>
      <xdr:row>285</xdr:row>
      <xdr:rowOff>64488</xdr:rowOff>
    </xdr:to>
    <xdr:sp macro="" textlink="">
      <xdr:nvSpPr>
        <xdr:cNvPr id="79" name="Line 134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>
          <a:spLocks noChangeShapeType="1"/>
        </xdr:cNvSpPr>
      </xdr:nvSpPr>
      <xdr:spPr bwMode="auto">
        <a:xfrm>
          <a:off x="1024605" y="80505957"/>
          <a:ext cx="192726" cy="43530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342900</xdr:colOff>
      <xdr:row>283</xdr:row>
      <xdr:rowOff>19050</xdr:rowOff>
    </xdr:from>
    <xdr:to>
      <xdr:col>2</xdr:col>
      <xdr:colOff>534761</xdr:colOff>
      <xdr:row>285</xdr:row>
      <xdr:rowOff>68035</xdr:rowOff>
    </xdr:to>
    <xdr:sp macro="" textlink="">
      <xdr:nvSpPr>
        <xdr:cNvPr id="80" name="Line 133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ShapeType="1"/>
        </xdr:cNvSpPr>
      </xdr:nvSpPr>
      <xdr:spPr bwMode="auto">
        <a:xfrm flipH="1">
          <a:off x="762000" y="80514825"/>
          <a:ext cx="191861" cy="4299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283</xdr:row>
      <xdr:rowOff>0</xdr:rowOff>
    </xdr:from>
    <xdr:to>
      <xdr:col>2</xdr:col>
      <xdr:colOff>335601</xdr:colOff>
      <xdr:row>285</xdr:row>
      <xdr:rowOff>54306</xdr:rowOff>
    </xdr:to>
    <xdr:sp macro="" textlink="">
      <xdr:nvSpPr>
        <xdr:cNvPr id="81" name="Line 134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ShapeType="1"/>
        </xdr:cNvSpPr>
      </xdr:nvSpPr>
      <xdr:spPr bwMode="auto">
        <a:xfrm>
          <a:off x="561975" y="80495775"/>
          <a:ext cx="192726" cy="43530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</xdr:colOff>
      <xdr:row>253</xdr:row>
      <xdr:rowOff>66675</xdr:rowOff>
    </xdr:from>
    <xdr:to>
      <xdr:col>2</xdr:col>
      <xdr:colOff>619125</xdr:colOff>
      <xdr:row>256</xdr:row>
      <xdr:rowOff>133350</xdr:rowOff>
    </xdr:to>
    <xdr:sp macro="" textlink="">
      <xdr:nvSpPr>
        <xdr:cNvPr id="82" name="Rectangle 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ChangeArrowheads="1"/>
        </xdr:cNvSpPr>
      </xdr:nvSpPr>
      <xdr:spPr bwMode="auto">
        <a:xfrm>
          <a:off x="485775" y="74847450"/>
          <a:ext cx="552450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85724</xdr:colOff>
      <xdr:row>255</xdr:row>
      <xdr:rowOff>133349</xdr:rowOff>
    </xdr:from>
    <xdr:to>
      <xdr:col>2</xdr:col>
      <xdr:colOff>638174</xdr:colOff>
      <xdr:row>255</xdr:row>
      <xdr:rowOff>142874</xdr:rowOff>
    </xdr:to>
    <xdr:sp macro="" textlink="">
      <xdr:nvSpPr>
        <xdr:cNvPr id="83" name="Line 5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ShapeType="1"/>
        </xdr:cNvSpPr>
      </xdr:nvSpPr>
      <xdr:spPr bwMode="auto">
        <a:xfrm flipH="1">
          <a:off x="504824" y="75295124"/>
          <a:ext cx="5524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66674</xdr:colOff>
      <xdr:row>254</xdr:row>
      <xdr:rowOff>85725</xdr:rowOff>
    </xdr:from>
    <xdr:to>
      <xdr:col>2</xdr:col>
      <xdr:colOff>609599</xdr:colOff>
      <xdr:row>254</xdr:row>
      <xdr:rowOff>104775</xdr:rowOff>
    </xdr:to>
    <xdr:sp macro="" textlink="">
      <xdr:nvSpPr>
        <xdr:cNvPr id="84" name="Line 5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ShapeType="1"/>
        </xdr:cNvSpPr>
      </xdr:nvSpPr>
      <xdr:spPr bwMode="auto">
        <a:xfrm flipH="1">
          <a:off x="485774" y="75057000"/>
          <a:ext cx="5429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132</xdr:row>
      <xdr:rowOff>38100</xdr:rowOff>
    </xdr:from>
    <xdr:to>
      <xdr:col>1</xdr:col>
      <xdr:colOff>0</xdr:colOff>
      <xdr:row>132</xdr:row>
      <xdr:rowOff>38100</xdr:rowOff>
    </xdr:to>
    <xdr:sp macro="" textlink="">
      <xdr:nvSpPr>
        <xdr:cNvPr id="85" name="Line 246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ShapeType="1"/>
        </xdr:cNvSpPr>
      </xdr:nvSpPr>
      <xdr:spPr bwMode="auto">
        <a:xfrm flipH="1" flipV="1">
          <a:off x="66675" y="52082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129</xdr:row>
      <xdr:rowOff>46622</xdr:rowOff>
    </xdr:from>
    <xdr:to>
      <xdr:col>2</xdr:col>
      <xdr:colOff>459803</xdr:colOff>
      <xdr:row>129</xdr:row>
      <xdr:rowOff>157442</xdr:rowOff>
    </xdr:to>
    <xdr:sp macro="" textlink="">
      <xdr:nvSpPr>
        <xdr:cNvPr id="86" name="50 Abrir llave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 rot="5400000">
          <a:off x="703873" y="5145551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595993</xdr:colOff>
      <xdr:row>130</xdr:row>
      <xdr:rowOff>13606</xdr:rowOff>
    </xdr:from>
    <xdr:to>
      <xdr:col>3</xdr:col>
      <xdr:colOff>16328</xdr:colOff>
      <xdr:row>132</xdr:row>
      <xdr:rowOff>76200</xdr:rowOff>
    </xdr:to>
    <xdr:sp macro="" textlink="">
      <xdr:nvSpPr>
        <xdr:cNvPr id="87" name="Rectangle 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rrowheads="1"/>
        </xdr:cNvSpPr>
      </xdr:nvSpPr>
      <xdr:spPr bwMode="auto">
        <a:xfrm>
          <a:off x="1015093" y="51677206"/>
          <a:ext cx="401410" cy="44359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145920</xdr:colOff>
      <xdr:row>130</xdr:row>
      <xdr:rowOff>10239</xdr:rowOff>
    </xdr:from>
    <xdr:to>
      <xdr:col>2</xdr:col>
      <xdr:colOff>561974</xdr:colOff>
      <xdr:row>132</xdr:row>
      <xdr:rowOff>76200</xdr:rowOff>
    </xdr:to>
    <xdr:sp macro="" textlink="">
      <xdr:nvSpPr>
        <xdr:cNvPr id="88" name="Rectangle 1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>
          <a:spLocks noChangeArrowheads="1"/>
        </xdr:cNvSpPr>
      </xdr:nvSpPr>
      <xdr:spPr bwMode="auto">
        <a:xfrm>
          <a:off x="565020" y="51673839"/>
          <a:ext cx="416054" cy="44696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805542</xdr:colOff>
      <xdr:row>130</xdr:row>
      <xdr:rowOff>21771</xdr:rowOff>
    </xdr:from>
    <xdr:to>
      <xdr:col>3</xdr:col>
      <xdr:colOff>6803</xdr:colOff>
      <xdr:row>132</xdr:row>
      <xdr:rowOff>70756</xdr:rowOff>
    </xdr:to>
    <xdr:sp macro="" textlink="">
      <xdr:nvSpPr>
        <xdr:cNvPr id="89" name="Line 133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ChangeShapeType="1"/>
        </xdr:cNvSpPr>
      </xdr:nvSpPr>
      <xdr:spPr bwMode="auto">
        <a:xfrm flipH="1">
          <a:off x="1224642" y="51685371"/>
          <a:ext cx="182336" cy="4299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608240</xdr:colOff>
      <xdr:row>130</xdr:row>
      <xdr:rowOff>14967</xdr:rowOff>
    </xdr:from>
    <xdr:to>
      <xdr:col>2</xdr:col>
      <xdr:colOff>800966</xdr:colOff>
      <xdr:row>132</xdr:row>
      <xdr:rowOff>69273</xdr:rowOff>
    </xdr:to>
    <xdr:sp macro="" textlink="">
      <xdr:nvSpPr>
        <xdr:cNvPr id="90" name="Line 134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ShapeType="1"/>
        </xdr:cNvSpPr>
      </xdr:nvSpPr>
      <xdr:spPr bwMode="auto">
        <a:xfrm>
          <a:off x="1027340" y="51678567"/>
          <a:ext cx="192726" cy="43530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132</xdr:row>
      <xdr:rowOff>95250</xdr:rowOff>
    </xdr:from>
    <xdr:to>
      <xdr:col>3</xdr:col>
      <xdr:colOff>31295</xdr:colOff>
      <xdr:row>135</xdr:row>
      <xdr:rowOff>123825</xdr:rowOff>
    </xdr:to>
    <xdr:sp macro="" textlink="">
      <xdr:nvSpPr>
        <xdr:cNvPr id="91" name="Rectangle 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rrowheads="1"/>
        </xdr:cNvSpPr>
      </xdr:nvSpPr>
      <xdr:spPr bwMode="auto">
        <a:xfrm>
          <a:off x="561975" y="52139850"/>
          <a:ext cx="869495" cy="600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605505</xdr:colOff>
      <xdr:row>130</xdr:row>
      <xdr:rowOff>10182</xdr:rowOff>
    </xdr:from>
    <xdr:to>
      <xdr:col>2</xdr:col>
      <xdr:colOff>798231</xdr:colOff>
      <xdr:row>132</xdr:row>
      <xdr:rowOff>64488</xdr:rowOff>
    </xdr:to>
    <xdr:sp macro="" textlink="">
      <xdr:nvSpPr>
        <xdr:cNvPr id="92" name="Line 134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ShapeType="1"/>
        </xdr:cNvSpPr>
      </xdr:nvSpPr>
      <xdr:spPr bwMode="auto">
        <a:xfrm>
          <a:off x="1024605" y="51673782"/>
          <a:ext cx="192726" cy="43530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342900</xdr:colOff>
      <xdr:row>130</xdr:row>
      <xdr:rowOff>19050</xdr:rowOff>
    </xdr:from>
    <xdr:to>
      <xdr:col>2</xdr:col>
      <xdr:colOff>534761</xdr:colOff>
      <xdr:row>132</xdr:row>
      <xdr:rowOff>68035</xdr:rowOff>
    </xdr:to>
    <xdr:sp macro="" textlink="">
      <xdr:nvSpPr>
        <xdr:cNvPr id="93" name="Line 133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ShapeType="1"/>
        </xdr:cNvSpPr>
      </xdr:nvSpPr>
      <xdr:spPr bwMode="auto">
        <a:xfrm flipH="1">
          <a:off x="762000" y="51682650"/>
          <a:ext cx="191861" cy="4299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130</xdr:row>
      <xdr:rowOff>0</xdr:rowOff>
    </xdr:from>
    <xdr:to>
      <xdr:col>2</xdr:col>
      <xdr:colOff>335601</xdr:colOff>
      <xdr:row>132</xdr:row>
      <xdr:rowOff>54306</xdr:rowOff>
    </xdr:to>
    <xdr:sp macro="" textlink="">
      <xdr:nvSpPr>
        <xdr:cNvPr id="94" name="Line 134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ShapeType="1"/>
        </xdr:cNvSpPr>
      </xdr:nvSpPr>
      <xdr:spPr bwMode="auto">
        <a:xfrm>
          <a:off x="561975" y="51663600"/>
          <a:ext cx="192726" cy="43530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152400</xdr:colOff>
      <xdr:row>110</xdr:row>
      <xdr:rowOff>57150</xdr:rowOff>
    </xdr:from>
    <xdr:to>
      <xdr:col>2</xdr:col>
      <xdr:colOff>876300</xdr:colOff>
      <xdr:row>113</xdr:row>
      <xdr:rowOff>0</xdr:rowOff>
    </xdr:to>
    <xdr:sp macro="" textlink="">
      <xdr:nvSpPr>
        <xdr:cNvPr id="97" name="Rectangle 137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>
          <a:spLocks noChangeArrowheads="1"/>
        </xdr:cNvSpPr>
      </xdr:nvSpPr>
      <xdr:spPr bwMode="auto">
        <a:xfrm>
          <a:off x="571500" y="47910750"/>
          <a:ext cx="723900" cy="514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514350</xdr:colOff>
      <xdr:row>110</xdr:row>
      <xdr:rowOff>66675</xdr:rowOff>
    </xdr:from>
    <xdr:to>
      <xdr:col>2</xdr:col>
      <xdr:colOff>514350</xdr:colOff>
      <xdr:row>113</xdr:row>
      <xdr:rowOff>0</xdr:rowOff>
    </xdr:to>
    <xdr:sp macro="" textlink="">
      <xdr:nvSpPr>
        <xdr:cNvPr id="98" name="Line 138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ShapeType="1"/>
        </xdr:cNvSpPr>
      </xdr:nvSpPr>
      <xdr:spPr bwMode="auto">
        <a:xfrm>
          <a:off x="933450" y="47920275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190500</xdr:colOff>
      <xdr:row>111</xdr:row>
      <xdr:rowOff>95250</xdr:rowOff>
    </xdr:from>
    <xdr:to>
      <xdr:col>2</xdr:col>
      <xdr:colOff>438150</xdr:colOff>
      <xdr:row>111</xdr:row>
      <xdr:rowOff>95250</xdr:rowOff>
    </xdr:to>
    <xdr:sp macro="" textlink="">
      <xdr:nvSpPr>
        <xdr:cNvPr id="99" name="Line 139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ShapeType="1"/>
        </xdr:cNvSpPr>
      </xdr:nvSpPr>
      <xdr:spPr bwMode="auto">
        <a:xfrm>
          <a:off x="609600" y="481393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590550</xdr:colOff>
      <xdr:row>111</xdr:row>
      <xdr:rowOff>95250</xdr:rowOff>
    </xdr:from>
    <xdr:to>
      <xdr:col>2</xdr:col>
      <xdr:colOff>838200</xdr:colOff>
      <xdr:row>111</xdr:row>
      <xdr:rowOff>95250</xdr:rowOff>
    </xdr:to>
    <xdr:sp macro="" textlink="">
      <xdr:nvSpPr>
        <xdr:cNvPr id="100" name="Line 140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ShapeType="1"/>
        </xdr:cNvSpPr>
      </xdr:nvSpPr>
      <xdr:spPr bwMode="auto">
        <a:xfrm flipH="1">
          <a:off x="1009650" y="481393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180975</xdr:colOff>
      <xdr:row>43</xdr:row>
      <xdr:rowOff>66675</xdr:rowOff>
    </xdr:from>
    <xdr:to>
      <xdr:col>2</xdr:col>
      <xdr:colOff>981075</xdr:colOff>
      <xdr:row>46</xdr:row>
      <xdr:rowOff>0</xdr:rowOff>
    </xdr:to>
    <xdr:sp macro="" textlink="">
      <xdr:nvSpPr>
        <xdr:cNvPr id="101" name="Rectangle 4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rrowheads="1"/>
        </xdr:cNvSpPr>
      </xdr:nvSpPr>
      <xdr:spPr bwMode="auto">
        <a:xfrm>
          <a:off x="600075" y="35156775"/>
          <a:ext cx="800100" cy="504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590550</xdr:colOff>
      <xdr:row>43</xdr:row>
      <xdr:rowOff>76200</xdr:rowOff>
    </xdr:from>
    <xdr:to>
      <xdr:col>2</xdr:col>
      <xdr:colOff>590550</xdr:colOff>
      <xdr:row>45</xdr:row>
      <xdr:rowOff>152400</xdr:rowOff>
    </xdr:to>
    <xdr:sp macro="" textlink="">
      <xdr:nvSpPr>
        <xdr:cNvPr id="102" name="Line 42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ShapeType="1"/>
        </xdr:cNvSpPr>
      </xdr:nvSpPr>
      <xdr:spPr bwMode="auto">
        <a:xfrm>
          <a:off x="1009650" y="35166300"/>
          <a:ext cx="0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43</xdr:row>
      <xdr:rowOff>76200</xdr:rowOff>
    </xdr:from>
    <xdr:to>
      <xdr:col>2</xdr:col>
      <xdr:colOff>981075</xdr:colOff>
      <xdr:row>46</xdr:row>
      <xdr:rowOff>0</xdr:rowOff>
    </xdr:to>
    <xdr:sp macro="" textlink="">
      <xdr:nvSpPr>
        <xdr:cNvPr id="103" name="Line 43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>
          <a:spLocks noChangeShapeType="1"/>
        </xdr:cNvSpPr>
      </xdr:nvSpPr>
      <xdr:spPr bwMode="auto">
        <a:xfrm>
          <a:off x="600075" y="35166300"/>
          <a:ext cx="80010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43</xdr:row>
      <xdr:rowOff>76200</xdr:rowOff>
    </xdr:from>
    <xdr:to>
      <xdr:col>2</xdr:col>
      <xdr:colOff>981075</xdr:colOff>
      <xdr:row>46</xdr:row>
      <xdr:rowOff>9525</xdr:rowOff>
    </xdr:to>
    <xdr:sp macro="" textlink="">
      <xdr:nvSpPr>
        <xdr:cNvPr id="104" name="Line 44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>
          <a:spLocks noChangeShapeType="1"/>
        </xdr:cNvSpPr>
      </xdr:nvSpPr>
      <xdr:spPr bwMode="auto">
        <a:xfrm flipV="1">
          <a:off x="600075" y="35166300"/>
          <a:ext cx="80010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104775</xdr:rowOff>
    </xdr:from>
    <xdr:to>
      <xdr:col>2</xdr:col>
      <xdr:colOff>638175</xdr:colOff>
      <xdr:row>52</xdr:row>
      <xdr:rowOff>152400</xdr:rowOff>
    </xdr:to>
    <xdr:sp macro="" textlink="">
      <xdr:nvSpPr>
        <xdr:cNvPr id="105" name="Rectangle 2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>
          <a:spLocks noChangeArrowheads="1"/>
        </xdr:cNvSpPr>
      </xdr:nvSpPr>
      <xdr:spPr bwMode="auto">
        <a:xfrm>
          <a:off x="504825" y="36337875"/>
          <a:ext cx="5524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104775</xdr:rowOff>
    </xdr:from>
    <xdr:to>
      <xdr:col>2</xdr:col>
      <xdr:colOff>638175</xdr:colOff>
      <xdr:row>52</xdr:row>
      <xdr:rowOff>152400</xdr:rowOff>
    </xdr:to>
    <xdr:sp macro="" textlink="">
      <xdr:nvSpPr>
        <xdr:cNvPr id="106" name="Rectangle 3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>
          <a:spLocks noChangeArrowheads="1"/>
        </xdr:cNvSpPr>
      </xdr:nvSpPr>
      <xdr:spPr bwMode="auto">
        <a:xfrm>
          <a:off x="504825" y="36337875"/>
          <a:ext cx="5524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376115</xdr:colOff>
      <xdr:row>49</xdr:row>
      <xdr:rowOff>119673</xdr:rowOff>
    </xdr:from>
    <xdr:to>
      <xdr:col>2</xdr:col>
      <xdr:colOff>642815</xdr:colOff>
      <xdr:row>52</xdr:row>
      <xdr:rowOff>148248</xdr:rowOff>
    </xdr:to>
    <xdr:sp macro="" textlink="">
      <xdr:nvSpPr>
        <xdr:cNvPr id="107" name="Line 4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>
          <a:spLocks noChangeShapeType="1"/>
        </xdr:cNvSpPr>
      </xdr:nvSpPr>
      <xdr:spPr bwMode="auto">
        <a:xfrm>
          <a:off x="795215" y="36352773"/>
          <a:ext cx="26670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112346</xdr:colOff>
      <xdr:row>49</xdr:row>
      <xdr:rowOff>107461</xdr:rowOff>
    </xdr:from>
    <xdr:to>
      <xdr:col>2</xdr:col>
      <xdr:colOff>350471</xdr:colOff>
      <xdr:row>52</xdr:row>
      <xdr:rowOff>136036</xdr:rowOff>
    </xdr:to>
    <xdr:sp macro="" textlink="">
      <xdr:nvSpPr>
        <xdr:cNvPr id="108" name="Line 5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>
          <a:spLocks noChangeShapeType="1"/>
        </xdr:cNvSpPr>
      </xdr:nvSpPr>
      <xdr:spPr bwMode="auto">
        <a:xfrm flipH="1">
          <a:off x="531446" y="36340561"/>
          <a:ext cx="238125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78</xdr:row>
      <xdr:rowOff>38100</xdr:rowOff>
    </xdr:from>
    <xdr:to>
      <xdr:col>1</xdr:col>
      <xdr:colOff>0</xdr:colOff>
      <xdr:row>78</xdr:row>
      <xdr:rowOff>38100</xdr:rowOff>
    </xdr:to>
    <xdr:sp macro="" textlink="">
      <xdr:nvSpPr>
        <xdr:cNvPr id="109" name="Line 246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>
          <a:spLocks noChangeShapeType="1"/>
        </xdr:cNvSpPr>
      </xdr:nvSpPr>
      <xdr:spPr bwMode="auto">
        <a:xfrm flipH="1" flipV="1">
          <a:off x="66675" y="41795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201512</xdr:colOff>
      <xdr:row>75</xdr:row>
      <xdr:rowOff>18050</xdr:rowOff>
    </xdr:from>
    <xdr:to>
      <xdr:col>2</xdr:col>
      <xdr:colOff>440753</xdr:colOff>
      <xdr:row>75</xdr:row>
      <xdr:rowOff>128870</xdr:rowOff>
    </xdr:to>
    <xdr:sp macro="" textlink="">
      <xdr:nvSpPr>
        <xdr:cNvPr id="110" name="79 Abrir llave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 rot="5400000">
          <a:off x="684823" y="41139939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561975</xdr:colOff>
      <xdr:row>75</xdr:row>
      <xdr:rowOff>135355</xdr:rowOff>
    </xdr:from>
    <xdr:to>
      <xdr:col>2</xdr:col>
      <xdr:colOff>911345</xdr:colOff>
      <xdr:row>79</xdr:row>
      <xdr:rowOff>49630</xdr:rowOff>
    </xdr:to>
    <xdr:sp macro="" textlink="">
      <xdr:nvSpPr>
        <xdr:cNvPr id="111" name="Rectangle 6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>
          <a:spLocks noChangeArrowheads="1"/>
        </xdr:cNvSpPr>
      </xdr:nvSpPr>
      <xdr:spPr bwMode="auto">
        <a:xfrm>
          <a:off x="981075" y="41321455"/>
          <a:ext cx="349370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142876</xdr:colOff>
      <xdr:row>75</xdr:row>
      <xdr:rowOff>133350</xdr:rowOff>
    </xdr:from>
    <xdr:to>
      <xdr:col>2</xdr:col>
      <xdr:colOff>561976</xdr:colOff>
      <xdr:row>79</xdr:row>
      <xdr:rowOff>50006</xdr:rowOff>
    </xdr:to>
    <xdr:sp macro="" textlink="">
      <xdr:nvSpPr>
        <xdr:cNvPr id="112" name="Rectangle 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>
          <a:spLocks noChangeArrowheads="1"/>
        </xdr:cNvSpPr>
      </xdr:nvSpPr>
      <xdr:spPr bwMode="auto">
        <a:xfrm>
          <a:off x="561976" y="41319450"/>
          <a:ext cx="419100" cy="6786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endParaRPr lang="es-CL"/>
        </a:p>
        <a:p>
          <a:pPr algn="ctr"/>
          <a:endParaRPr lang="es-CL"/>
        </a:p>
      </xdr:txBody>
    </xdr:sp>
    <xdr:clientData/>
  </xdr:twoCellAnchor>
  <xdr:twoCellAnchor>
    <xdr:from>
      <xdr:col>2</xdr:col>
      <xdr:colOff>142874</xdr:colOff>
      <xdr:row>76</xdr:row>
      <xdr:rowOff>0</xdr:rowOff>
    </xdr:from>
    <xdr:to>
      <xdr:col>2</xdr:col>
      <xdr:colOff>361950</xdr:colOff>
      <xdr:row>79</xdr:row>
      <xdr:rowOff>57150</xdr:rowOff>
    </xdr:to>
    <xdr:sp macro="" textlink="">
      <xdr:nvSpPr>
        <xdr:cNvPr id="113" name="Line 133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>
          <a:spLocks noChangeShapeType="1"/>
        </xdr:cNvSpPr>
      </xdr:nvSpPr>
      <xdr:spPr bwMode="auto">
        <a:xfrm flipH="1">
          <a:off x="561974" y="41376600"/>
          <a:ext cx="219076" cy="628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363402</xdr:colOff>
      <xdr:row>75</xdr:row>
      <xdr:rowOff>139314</xdr:rowOff>
    </xdr:from>
    <xdr:to>
      <xdr:col>2</xdr:col>
      <xdr:colOff>552450</xdr:colOff>
      <xdr:row>79</xdr:row>
      <xdr:rowOff>66675</xdr:rowOff>
    </xdr:to>
    <xdr:sp macro="" textlink="">
      <xdr:nvSpPr>
        <xdr:cNvPr id="114" name="Line 134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>
          <a:spLocks noChangeShapeType="1"/>
        </xdr:cNvSpPr>
      </xdr:nvSpPr>
      <xdr:spPr bwMode="auto">
        <a:xfrm>
          <a:off x="782502" y="41325414"/>
          <a:ext cx="189048" cy="68936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152400</xdr:colOff>
      <xdr:row>75</xdr:row>
      <xdr:rowOff>142875</xdr:rowOff>
    </xdr:from>
    <xdr:to>
      <xdr:col>2</xdr:col>
      <xdr:colOff>563591</xdr:colOff>
      <xdr:row>77</xdr:row>
      <xdr:rowOff>88977</xdr:rowOff>
    </xdr:to>
    <xdr:sp macro="" textlink="">
      <xdr:nvSpPr>
        <xdr:cNvPr id="115" name="Line 13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>
          <a:spLocks noChangeShapeType="1"/>
        </xdr:cNvSpPr>
      </xdr:nvSpPr>
      <xdr:spPr bwMode="auto">
        <a:xfrm>
          <a:off x="571500" y="41328975"/>
          <a:ext cx="411191" cy="32710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163944</xdr:colOff>
      <xdr:row>77</xdr:row>
      <xdr:rowOff>85725</xdr:rowOff>
    </xdr:from>
    <xdr:to>
      <xdr:col>2</xdr:col>
      <xdr:colOff>552449</xdr:colOff>
      <xdr:row>79</xdr:row>
      <xdr:rowOff>44450</xdr:rowOff>
    </xdr:to>
    <xdr:sp macro="" textlink="">
      <xdr:nvSpPr>
        <xdr:cNvPr id="116" name="Line 134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>
          <a:spLocks noChangeShapeType="1"/>
        </xdr:cNvSpPr>
      </xdr:nvSpPr>
      <xdr:spPr bwMode="auto">
        <a:xfrm flipH="1">
          <a:off x="583044" y="41652825"/>
          <a:ext cx="388505" cy="339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601562</xdr:colOff>
      <xdr:row>83</xdr:row>
      <xdr:rowOff>164101</xdr:rowOff>
    </xdr:from>
    <xdr:to>
      <xdr:col>2</xdr:col>
      <xdr:colOff>840803</xdr:colOff>
      <xdr:row>84</xdr:row>
      <xdr:rowOff>109821</xdr:rowOff>
    </xdr:to>
    <xdr:sp macro="" textlink="">
      <xdr:nvSpPr>
        <xdr:cNvPr id="117" name="87 Abrir llave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 rot="5400000">
          <a:off x="1072173" y="42822690"/>
          <a:ext cx="1362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535998</xdr:colOff>
      <xdr:row>84</xdr:row>
      <xdr:rowOff>126696</xdr:rowOff>
    </xdr:from>
    <xdr:to>
      <xdr:col>2</xdr:col>
      <xdr:colOff>935182</xdr:colOff>
      <xdr:row>88</xdr:row>
      <xdr:rowOff>40971</xdr:rowOff>
    </xdr:to>
    <xdr:sp macro="" textlink="">
      <xdr:nvSpPr>
        <xdr:cNvPr id="118" name="Rectangle 6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>
          <a:spLocks noChangeArrowheads="1"/>
        </xdr:cNvSpPr>
      </xdr:nvSpPr>
      <xdr:spPr bwMode="auto">
        <a:xfrm>
          <a:off x="955098" y="43027296"/>
          <a:ext cx="399184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103044</xdr:colOff>
      <xdr:row>84</xdr:row>
      <xdr:rowOff>124691</xdr:rowOff>
    </xdr:from>
    <xdr:to>
      <xdr:col>2</xdr:col>
      <xdr:colOff>522722</xdr:colOff>
      <xdr:row>88</xdr:row>
      <xdr:rowOff>41347</xdr:rowOff>
    </xdr:to>
    <xdr:sp macro="" textlink="">
      <xdr:nvSpPr>
        <xdr:cNvPr id="119" name="Rectangle 1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>
          <a:spLocks noChangeArrowheads="1"/>
        </xdr:cNvSpPr>
      </xdr:nvSpPr>
      <xdr:spPr bwMode="auto">
        <a:xfrm>
          <a:off x="522144" y="43025291"/>
          <a:ext cx="419678" cy="6786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endParaRPr lang="es-CL"/>
        </a:p>
        <a:p>
          <a:pPr algn="ctr"/>
          <a:endParaRPr lang="es-CL"/>
        </a:p>
      </xdr:txBody>
    </xdr:sp>
    <xdr:clientData/>
  </xdr:twoCellAnchor>
  <xdr:twoCellAnchor>
    <xdr:from>
      <xdr:col>2</xdr:col>
      <xdr:colOff>525606</xdr:colOff>
      <xdr:row>84</xdr:row>
      <xdr:rowOff>129309</xdr:rowOff>
    </xdr:from>
    <xdr:to>
      <xdr:col>2</xdr:col>
      <xdr:colOff>744682</xdr:colOff>
      <xdr:row>88</xdr:row>
      <xdr:rowOff>21359</xdr:rowOff>
    </xdr:to>
    <xdr:sp macro="" textlink="">
      <xdr:nvSpPr>
        <xdr:cNvPr id="120" name="Line 133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>
          <a:spLocks noChangeShapeType="1"/>
        </xdr:cNvSpPr>
      </xdr:nvSpPr>
      <xdr:spPr bwMode="auto">
        <a:xfrm flipH="1">
          <a:off x="944706" y="43029909"/>
          <a:ext cx="219076" cy="654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724775</xdr:colOff>
      <xdr:row>84</xdr:row>
      <xdr:rowOff>117378</xdr:rowOff>
    </xdr:from>
    <xdr:to>
      <xdr:col>2</xdr:col>
      <xdr:colOff>913823</xdr:colOff>
      <xdr:row>88</xdr:row>
      <xdr:rowOff>44162</xdr:rowOff>
    </xdr:to>
    <xdr:sp macro="" textlink="">
      <xdr:nvSpPr>
        <xdr:cNvPr id="128" name="Line 134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ShapeType="1"/>
        </xdr:cNvSpPr>
      </xdr:nvSpPr>
      <xdr:spPr bwMode="auto">
        <a:xfrm>
          <a:off x="1143875" y="43017978"/>
          <a:ext cx="189048" cy="6887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516083</xdr:colOff>
      <xdr:row>86</xdr:row>
      <xdr:rowOff>108239</xdr:rowOff>
    </xdr:from>
    <xdr:to>
      <xdr:col>2</xdr:col>
      <xdr:colOff>927101</xdr:colOff>
      <xdr:row>88</xdr:row>
      <xdr:rowOff>31750</xdr:rowOff>
    </xdr:to>
    <xdr:sp macro="" textlink="">
      <xdr:nvSpPr>
        <xdr:cNvPr id="129" name="Line 134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ShapeType="1"/>
        </xdr:cNvSpPr>
      </xdr:nvSpPr>
      <xdr:spPr bwMode="auto">
        <a:xfrm>
          <a:off x="935183" y="43389839"/>
          <a:ext cx="411018" cy="3045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540327</xdr:colOff>
      <xdr:row>84</xdr:row>
      <xdr:rowOff>154997</xdr:rowOff>
    </xdr:from>
    <xdr:to>
      <xdr:col>2</xdr:col>
      <xdr:colOff>928832</xdr:colOff>
      <xdr:row>86</xdr:row>
      <xdr:rowOff>113723</xdr:rowOff>
    </xdr:to>
    <xdr:sp macro="" textlink="">
      <xdr:nvSpPr>
        <xdr:cNvPr id="130" name="Line 134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ChangeShapeType="1"/>
        </xdr:cNvSpPr>
      </xdr:nvSpPr>
      <xdr:spPr bwMode="auto">
        <a:xfrm flipH="1">
          <a:off x="959427" y="43055597"/>
          <a:ext cx="388505" cy="33972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55</xdr:row>
      <xdr:rowOff>104775</xdr:rowOff>
    </xdr:from>
    <xdr:to>
      <xdr:col>2</xdr:col>
      <xdr:colOff>638175</xdr:colOff>
      <xdr:row>58</xdr:row>
      <xdr:rowOff>152400</xdr:rowOff>
    </xdr:to>
    <xdr:sp macro="" textlink="">
      <xdr:nvSpPr>
        <xdr:cNvPr id="131" name="Rectangle 2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Arrowheads="1"/>
        </xdr:cNvSpPr>
      </xdr:nvSpPr>
      <xdr:spPr bwMode="auto">
        <a:xfrm>
          <a:off x="504825" y="37480875"/>
          <a:ext cx="5524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55</xdr:row>
      <xdr:rowOff>104775</xdr:rowOff>
    </xdr:from>
    <xdr:to>
      <xdr:col>2</xdr:col>
      <xdr:colOff>638175</xdr:colOff>
      <xdr:row>58</xdr:row>
      <xdr:rowOff>152400</xdr:rowOff>
    </xdr:to>
    <xdr:sp macro="" textlink="">
      <xdr:nvSpPr>
        <xdr:cNvPr id="132" name="Rectangle 3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>
          <a:spLocks noChangeArrowheads="1"/>
        </xdr:cNvSpPr>
      </xdr:nvSpPr>
      <xdr:spPr bwMode="auto">
        <a:xfrm>
          <a:off x="504825" y="37480875"/>
          <a:ext cx="5524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376115</xdr:colOff>
      <xdr:row>55</xdr:row>
      <xdr:rowOff>119673</xdr:rowOff>
    </xdr:from>
    <xdr:to>
      <xdr:col>2</xdr:col>
      <xdr:colOff>642815</xdr:colOff>
      <xdr:row>58</xdr:row>
      <xdr:rowOff>148248</xdr:rowOff>
    </xdr:to>
    <xdr:sp macro="" textlink="">
      <xdr:nvSpPr>
        <xdr:cNvPr id="133" name="Line 4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ChangeShapeType="1"/>
        </xdr:cNvSpPr>
      </xdr:nvSpPr>
      <xdr:spPr bwMode="auto">
        <a:xfrm>
          <a:off x="795215" y="37495773"/>
          <a:ext cx="26670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112346</xdr:colOff>
      <xdr:row>55</xdr:row>
      <xdr:rowOff>107461</xdr:rowOff>
    </xdr:from>
    <xdr:to>
      <xdr:col>2</xdr:col>
      <xdr:colOff>350471</xdr:colOff>
      <xdr:row>58</xdr:row>
      <xdr:rowOff>136036</xdr:rowOff>
    </xdr:to>
    <xdr:sp macro="" textlink="">
      <xdr:nvSpPr>
        <xdr:cNvPr id="134" name="Line 5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 noChangeShapeType="1"/>
        </xdr:cNvSpPr>
      </xdr:nvSpPr>
      <xdr:spPr bwMode="auto">
        <a:xfrm flipH="1">
          <a:off x="531446" y="37483561"/>
          <a:ext cx="238125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96714</xdr:colOff>
      <xdr:row>55</xdr:row>
      <xdr:rowOff>133350</xdr:rowOff>
    </xdr:from>
    <xdr:to>
      <xdr:col>2</xdr:col>
      <xdr:colOff>628649</xdr:colOff>
      <xdr:row>56</xdr:row>
      <xdr:rowOff>148248</xdr:rowOff>
    </xdr:to>
    <xdr:sp macro="" textlink="">
      <xdr:nvSpPr>
        <xdr:cNvPr id="135" name="Line 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>
          <a:spLocks noChangeShapeType="1"/>
        </xdr:cNvSpPr>
      </xdr:nvSpPr>
      <xdr:spPr bwMode="auto">
        <a:xfrm flipH="1">
          <a:off x="515814" y="37509450"/>
          <a:ext cx="531935" cy="20539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90364</xdr:colOff>
      <xdr:row>56</xdr:row>
      <xdr:rowOff>145073</xdr:rowOff>
    </xdr:from>
    <xdr:to>
      <xdr:col>2</xdr:col>
      <xdr:colOff>641349</xdr:colOff>
      <xdr:row>58</xdr:row>
      <xdr:rowOff>146050</xdr:rowOff>
    </xdr:to>
    <xdr:sp macro="" textlink="">
      <xdr:nvSpPr>
        <xdr:cNvPr id="136" name="Line 4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>
          <a:spLocks noChangeShapeType="1"/>
        </xdr:cNvSpPr>
      </xdr:nvSpPr>
      <xdr:spPr bwMode="auto">
        <a:xfrm>
          <a:off x="509464" y="37711673"/>
          <a:ext cx="550985" cy="3819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61</xdr:row>
      <xdr:rowOff>104775</xdr:rowOff>
    </xdr:from>
    <xdr:to>
      <xdr:col>2</xdr:col>
      <xdr:colOff>638175</xdr:colOff>
      <xdr:row>64</xdr:row>
      <xdr:rowOff>152400</xdr:rowOff>
    </xdr:to>
    <xdr:sp macro="" textlink="">
      <xdr:nvSpPr>
        <xdr:cNvPr id="137" name="Rectangle 2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ChangeArrowheads="1"/>
        </xdr:cNvSpPr>
      </xdr:nvSpPr>
      <xdr:spPr bwMode="auto">
        <a:xfrm>
          <a:off x="504825" y="38623875"/>
          <a:ext cx="5524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61</xdr:row>
      <xdr:rowOff>104775</xdr:rowOff>
    </xdr:from>
    <xdr:to>
      <xdr:col>2</xdr:col>
      <xdr:colOff>638175</xdr:colOff>
      <xdr:row>64</xdr:row>
      <xdr:rowOff>152400</xdr:rowOff>
    </xdr:to>
    <xdr:sp macro="" textlink="">
      <xdr:nvSpPr>
        <xdr:cNvPr id="138" name="Rectangle 3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ChangeArrowheads="1"/>
        </xdr:cNvSpPr>
      </xdr:nvSpPr>
      <xdr:spPr bwMode="auto">
        <a:xfrm>
          <a:off x="504825" y="38623875"/>
          <a:ext cx="5524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376115</xdr:colOff>
      <xdr:row>61</xdr:row>
      <xdr:rowOff>119673</xdr:rowOff>
    </xdr:from>
    <xdr:to>
      <xdr:col>2</xdr:col>
      <xdr:colOff>642815</xdr:colOff>
      <xdr:row>64</xdr:row>
      <xdr:rowOff>148248</xdr:rowOff>
    </xdr:to>
    <xdr:sp macro="" textlink="">
      <xdr:nvSpPr>
        <xdr:cNvPr id="139" name="Line 4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ShapeType="1"/>
        </xdr:cNvSpPr>
      </xdr:nvSpPr>
      <xdr:spPr bwMode="auto">
        <a:xfrm>
          <a:off x="795215" y="38638773"/>
          <a:ext cx="26670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112346</xdr:colOff>
      <xdr:row>61</xdr:row>
      <xdr:rowOff>107461</xdr:rowOff>
    </xdr:from>
    <xdr:to>
      <xdr:col>2</xdr:col>
      <xdr:colOff>350471</xdr:colOff>
      <xdr:row>64</xdr:row>
      <xdr:rowOff>136036</xdr:rowOff>
    </xdr:to>
    <xdr:sp macro="" textlink="">
      <xdr:nvSpPr>
        <xdr:cNvPr id="140" name="Line 5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ShapeType="1"/>
        </xdr:cNvSpPr>
      </xdr:nvSpPr>
      <xdr:spPr bwMode="auto">
        <a:xfrm flipH="1">
          <a:off x="531446" y="38626561"/>
          <a:ext cx="238125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90363</xdr:colOff>
      <xdr:row>63</xdr:row>
      <xdr:rowOff>38100</xdr:rowOff>
    </xdr:from>
    <xdr:to>
      <xdr:col>2</xdr:col>
      <xdr:colOff>641349</xdr:colOff>
      <xdr:row>64</xdr:row>
      <xdr:rowOff>141898</xdr:rowOff>
    </xdr:to>
    <xdr:sp macro="" textlink="">
      <xdr:nvSpPr>
        <xdr:cNvPr id="141" name="Line 4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ShapeType="1"/>
        </xdr:cNvSpPr>
      </xdr:nvSpPr>
      <xdr:spPr bwMode="auto">
        <a:xfrm flipH="1">
          <a:off x="509463" y="38938200"/>
          <a:ext cx="550986" cy="29429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77665</xdr:colOff>
      <xdr:row>61</xdr:row>
      <xdr:rowOff>100623</xdr:rowOff>
    </xdr:from>
    <xdr:to>
      <xdr:col>2</xdr:col>
      <xdr:colOff>615951</xdr:colOff>
      <xdr:row>63</xdr:row>
      <xdr:rowOff>25400</xdr:rowOff>
    </xdr:to>
    <xdr:sp macro="" textlink="">
      <xdr:nvSpPr>
        <xdr:cNvPr id="142" name="Line 4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ShapeType="1"/>
        </xdr:cNvSpPr>
      </xdr:nvSpPr>
      <xdr:spPr bwMode="auto">
        <a:xfrm>
          <a:off x="496765" y="38619723"/>
          <a:ext cx="538286" cy="3057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159</xdr:row>
      <xdr:rowOff>38100</xdr:rowOff>
    </xdr:from>
    <xdr:to>
      <xdr:col>1</xdr:col>
      <xdr:colOff>0</xdr:colOff>
      <xdr:row>159</xdr:row>
      <xdr:rowOff>38100</xdr:rowOff>
    </xdr:to>
    <xdr:sp macro="" textlink="">
      <xdr:nvSpPr>
        <xdr:cNvPr id="143" name="Line 246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ShapeType="1"/>
        </xdr:cNvSpPr>
      </xdr:nvSpPr>
      <xdr:spPr bwMode="auto">
        <a:xfrm flipH="1" flipV="1">
          <a:off x="66675" y="5722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156</xdr:row>
      <xdr:rowOff>46622</xdr:rowOff>
    </xdr:from>
    <xdr:to>
      <xdr:col>2</xdr:col>
      <xdr:colOff>459803</xdr:colOff>
      <xdr:row>156</xdr:row>
      <xdr:rowOff>157442</xdr:rowOff>
    </xdr:to>
    <xdr:sp macro="" textlink="">
      <xdr:nvSpPr>
        <xdr:cNvPr id="144" name="107 Abrir llave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 rot="5400000">
          <a:off x="703873" y="5659901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547006</xdr:colOff>
      <xdr:row>157</xdr:row>
      <xdr:rowOff>23132</xdr:rowOff>
    </xdr:from>
    <xdr:to>
      <xdr:col>2</xdr:col>
      <xdr:colOff>956581</xdr:colOff>
      <xdr:row>159</xdr:row>
      <xdr:rowOff>68752</xdr:rowOff>
    </xdr:to>
    <xdr:sp macro="" textlink="">
      <xdr:nvSpPr>
        <xdr:cNvPr id="145" name="Rectangle 6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Arrowheads="1"/>
        </xdr:cNvSpPr>
      </xdr:nvSpPr>
      <xdr:spPr bwMode="auto">
        <a:xfrm>
          <a:off x="966106" y="56830232"/>
          <a:ext cx="409575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554133</xdr:colOff>
      <xdr:row>159</xdr:row>
      <xdr:rowOff>95965</xdr:rowOff>
    </xdr:from>
    <xdr:to>
      <xdr:col>2</xdr:col>
      <xdr:colOff>968827</xdr:colOff>
      <xdr:row>163</xdr:row>
      <xdr:rowOff>12621</xdr:rowOff>
    </xdr:to>
    <xdr:sp macro="" textlink="">
      <xdr:nvSpPr>
        <xdr:cNvPr id="146" name="Rectangle 1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Arrowheads="1"/>
        </xdr:cNvSpPr>
      </xdr:nvSpPr>
      <xdr:spPr bwMode="auto">
        <a:xfrm>
          <a:off x="973233" y="57284065"/>
          <a:ext cx="414694" cy="6786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756555</xdr:colOff>
      <xdr:row>157</xdr:row>
      <xdr:rowOff>21772</xdr:rowOff>
    </xdr:from>
    <xdr:to>
      <xdr:col>2</xdr:col>
      <xdr:colOff>947056</xdr:colOff>
      <xdr:row>159</xdr:row>
      <xdr:rowOff>70757</xdr:rowOff>
    </xdr:to>
    <xdr:sp macro="" textlink="">
      <xdr:nvSpPr>
        <xdr:cNvPr id="147" name="Line 133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ShapeType="1"/>
        </xdr:cNvSpPr>
      </xdr:nvSpPr>
      <xdr:spPr bwMode="auto">
        <a:xfrm flipH="1">
          <a:off x="1175655" y="56828872"/>
          <a:ext cx="190501" cy="4299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549728</xdr:colOff>
      <xdr:row>157</xdr:row>
      <xdr:rowOff>43543</xdr:rowOff>
    </xdr:from>
    <xdr:to>
      <xdr:col>2</xdr:col>
      <xdr:colOff>747032</xdr:colOff>
      <xdr:row>159</xdr:row>
      <xdr:rowOff>68751</xdr:rowOff>
    </xdr:to>
    <xdr:sp macro="" textlink="">
      <xdr:nvSpPr>
        <xdr:cNvPr id="148" name="Line 134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ShapeType="1"/>
        </xdr:cNvSpPr>
      </xdr:nvSpPr>
      <xdr:spPr bwMode="auto">
        <a:xfrm>
          <a:off x="968828" y="56850643"/>
          <a:ext cx="197304" cy="40620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5443</xdr:colOff>
      <xdr:row>157</xdr:row>
      <xdr:rowOff>23131</xdr:rowOff>
    </xdr:from>
    <xdr:to>
      <xdr:col>2</xdr:col>
      <xdr:colOff>83003</xdr:colOff>
      <xdr:row>159</xdr:row>
      <xdr:rowOff>68751</xdr:rowOff>
    </xdr:to>
    <xdr:sp macro="" textlink="">
      <xdr:nvSpPr>
        <xdr:cNvPr id="149" name="Rectangle 6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Arrowheads="1"/>
        </xdr:cNvSpPr>
      </xdr:nvSpPr>
      <xdr:spPr bwMode="auto">
        <a:xfrm>
          <a:off x="72118" y="56830231"/>
          <a:ext cx="429985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12570</xdr:colOff>
      <xdr:row>159</xdr:row>
      <xdr:rowOff>95964</xdr:rowOff>
    </xdr:from>
    <xdr:to>
      <xdr:col>2</xdr:col>
      <xdr:colOff>95249</xdr:colOff>
      <xdr:row>163</xdr:row>
      <xdr:rowOff>12620</xdr:rowOff>
    </xdr:to>
    <xdr:sp macro="" textlink="">
      <xdr:nvSpPr>
        <xdr:cNvPr id="150" name="Rectangle 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Arrowheads="1"/>
        </xdr:cNvSpPr>
      </xdr:nvSpPr>
      <xdr:spPr bwMode="auto">
        <a:xfrm>
          <a:off x="79245" y="57284064"/>
          <a:ext cx="435104" cy="6786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1</xdr:col>
      <xdr:colOff>214992</xdr:colOff>
      <xdr:row>157</xdr:row>
      <xdr:rowOff>21771</xdr:rowOff>
    </xdr:from>
    <xdr:to>
      <xdr:col>2</xdr:col>
      <xdr:colOff>73478</xdr:colOff>
      <xdr:row>159</xdr:row>
      <xdr:rowOff>70756</xdr:rowOff>
    </xdr:to>
    <xdr:sp macro="" textlink="">
      <xdr:nvSpPr>
        <xdr:cNvPr id="151" name="Line 133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>
          <a:spLocks noChangeShapeType="1"/>
        </xdr:cNvSpPr>
      </xdr:nvSpPr>
      <xdr:spPr bwMode="auto">
        <a:xfrm flipH="1">
          <a:off x="281667" y="56828871"/>
          <a:ext cx="210911" cy="4299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8165</xdr:colOff>
      <xdr:row>157</xdr:row>
      <xdr:rowOff>43542</xdr:rowOff>
    </xdr:from>
    <xdr:to>
      <xdr:col>1</xdr:col>
      <xdr:colOff>205469</xdr:colOff>
      <xdr:row>159</xdr:row>
      <xdr:rowOff>68750</xdr:rowOff>
    </xdr:to>
    <xdr:sp macro="" textlink="">
      <xdr:nvSpPr>
        <xdr:cNvPr id="152" name="Line 134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ShapeType="1"/>
        </xdr:cNvSpPr>
      </xdr:nvSpPr>
      <xdr:spPr bwMode="auto">
        <a:xfrm>
          <a:off x="74840" y="56850642"/>
          <a:ext cx="197304" cy="40620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114299</xdr:colOff>
      <xdr:row>157</xdr:row>
      <xdr:rowOff>23131</xdr:rowOff>
    </xdr:from>
    <xdr:to>
      <xdr:col>2</xdr:col>
      <xdr:colOff>523874</xdr:colOff>
      <xdr:row>159</xdr:row>
      <xdr:rowOff>68751</xdr:rowOff>
    </xdr:to>
    <xdr:sp macro="" textlink="">
      <xdr:nvSpPr>
        <xdr:cNvPr id="153" name="Rectangle 6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ChangeArrowheads="1"/>
        </xdr:cNvSpPr>
      </xdr:nvSpPr>
      <xdr:spPr bwMode="auto">
        <a:xfrm>
          <a:off x="533399" y="56830231"/>
          <a:ext cx="409575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126869</xdr:colOff>
      <xdr:row>159</xdr:row>
      <xdr:rowOff>97971</xdr:rowOff>
    </xdr:from>
    <xdr:to>
      <xdr:col>2</xdr:col>
      <xdr:colOff>522514</xdr:colOff>
      <xdr:row>163</xdr:row>
      <xdr:rowOff>10886</xdr:rowOff>
    </xdr:to>
    <xdr:sp macro="" textlink="">
      <xdr:nvSpPr>
        <xdr:cNvPr id="154" name="Rectangle 1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ChangeArrowheads="1"/>
        </xdr:cNvSpPr>
      </xdr:nvSpPr>
      <xdr:spPr bwMode="auto">
        <a:xfrm>
          <a:off x="545969" y="57286071"/>
          <a:ext cx="395645" cy="6749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326569</xdr:colOff>
      <xdr:row>157</xdr:row>
      <xdr:rowOff>27216</xdr:rowOff>
    </xdr:from>
    <xdr:to>
      <xdr:col>2</xdr:col>
      <xdr:colOff>517070</xdr:colOff>
      <xdr:row>159</xdr:row>
      <xdr:rowOff>76200</xdr:rowOff>
    </xdr:to>
    <xdr:sp macro="" textlink="">
      <xdr:nvSpPr>
        <xdr:cNvPr id="155" name="Line 133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>
          <a:spLocks noChangeShapeType="1"/>
        </xdr:cNvSpPr>
      </xdr:nvSpPr>
      <xdr:spPr bwMode="auto">
        <a:xfrm flipH="1">
          <a:off x="745669" y="56834316"/>
          <a:ext cx="190501" cy="4299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119739</xdr:colOff>
      <xdr:row>157</xdr:row>
      <xdr:rowOff>43544</xdr:rowOff>
    </xdr:from>
    <xdr:to>
      <xdr:col>2</xdr:col>
      <xdr:colOff>326570</xdr:colOff>
      <xdr:row>159</xdr:row>
      <xdr:rowOff>76200</xdr:rowOff>
    </xdr:to>
    <xdr:sp macro="" textlink="">
      <xdr:nvSpPr>
        <xdr:cNvPr id="156" name="Line 133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ChangeShapeType="1"/>
        </xdr:cNvSpPr>
      </xdr:nvSpPr>
      <xdr:spPr bwMode="auto">
        <a:xfrm flipH="1" flipV="1">
          <a:off x="538839" y="56850644"/>
          <a:ext cx="206831" cy="41365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152400</xdr:colOff>
      <xdr:row>115</xdr:row>
      <xdr:rowOff>57150</xdr:rowOff>
    </xdr:from>
    <xdr:to>
      <xdr:col>2</xdr:col>
      <xdr:colOff>876300</xdr:colOff>
      <xdr:row>118</xdr:row>
      <xdr:rowOff>0</xdr:rowOff>
    </xdr:to>
    <xdr:sp macro="" textlink="">
      <xdr:nvSpPr>
        <xdr:cNvPr id="157" name="Rectangle 137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>
          <a:spLocks noChangeArrowheads="1"/>
        </xdr:cNvSpPr>
      </xdr:nvSpPr>
      <xdr:spPr bwMode="auto">
        <a:xfrm>
          <a:off x="571500" y="48863250"/>
          <a:ext cx="723900" cy="514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514350</xdr:colOff>
      <xdr:row>115</xdr:row>
      <xdr:rowOff>66675</xdr:rowOff>
    </xdr:from>
    <xdr:to>
      <xdr:col>2</xdr:col>
      <xdr:colOff>514350</xdr:colOff>
      <xdr:row>118</xdr:row>
      <xdr:rowOff>0</xdr:rowOff>
    </xdr:to>
    <xdr:sp macro="" textlink="">
      <xdr:nvSpPr>
        <xdr:cNvPr id="158" name="Line 138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>
          <a:spLocks noChangeShapeType="1"/>
        </xdr:cNvSpPr>
      </xdr:nvSpPr>
      <xdr:spPr bwMode="auto">
        <a:xfrm>
          <a:off x="933450" y="48872775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190500</xdr:colOff>
      <xdr:row>116</xdr:row>
      <xdr:rowOff>95250</xdr:rowOff>
    </xdr:from>
    <xdr:to>
      <xdr:col>2</xdr:col>
      <xdr:colOff>438150</xdr:colOff>
      <xdr:row>116</xdr:row>
      <xdr:rowOff>95250</xdr:rowOff>
    </xdr:to>
    <xdr:sp macro="" textlink="">
      <xdr:nvSpPr>
        <xdr:cNvPr id="159" name="Line 139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>
          <a:spLocks noChangeShapeType="1"/>
        </xdr:cNvSpPr>
      </xdr:nvSpPr>
      <xdr:spPr bwMode="auto">
        <a:xfrm>
          <a:off x="609600" y="490918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590550</xdr:colOff>
      <xdr:row>116</xdr:row>
      <xdr:rowOff>95250</xdr:rowOff>
    </xdr:from>
    <xdr:to>
      <xdr:col>2</xdr:col>
      <xdr:colOff>838200</xdr:colOff>
      <xdr:row>116</xdr:row>
      <xdr:rowOff>95250</xdr:rowOff>
    </xdr:to>
    <xdr:sp macro="" textlink="">
      <xdr:nvSpPr>
        <xdr:cNvPr id="160" name="Line 140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ChangeShapeType="1"/>
        </xdr:cNvSpPr>
      </xdr:nvSpPr>
      <xdr:spPr bwMode="auto">
        <a:xfrm flipH="1">
          <a:off x="1009650" y="490918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152400</xdr:colOff>
      <xdr:row>115</xdr:row>
      <xdr:rowOff>57150</xdr:rowOff>
    </xdr:from>
    <xdr:to>
      <xdr:col>2</xdr:col>
      <xdr:colOff>876300</xdr:colOff>
      <xdr:row>118</xdr:row>
      <xdr:rowOff>0</xdr:rowOff>
    </xdr:to>
    <xdr:sp macro="" textlink="">
      <xdr:nvSpPr>
        <xdr:cNvPr id="161" name="Rectangle 137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>
          <a:spLocks noChangeArrowheads="1"/>
        </xdr:cNvSpPr>
      </xdr:nvSpPr>
      <xdr:spPr bwMode="auto">
        <a:xfrm>
          <a:off x="571500" y="48863250"/>
          <a:ext cx="723900" cy="514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514350</xdr:colOff>
      <xdr:row>115</xdr:row>
      <xdr:rowOff>66675</xdr:rowOff>
    </xdr:from>
    <xdr:to>
      <xdr:col>2</xdr:col>
      <xdr:colOff>514350</xdr:colOff>
      <xdr:row>118</xdr:row>
      <xdr:rowOff>0</xdr:rowOff>
    </xdr:to>
    <xdr:sp macro="" textlink="">
      <xdr:nvSpPr>
        <xdr:cNvPr id="162" name="Line 138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ChangeShapeType="1"/>
        </xdr:cNvSpPr>
      </xdr:nvSpPr>
      <xdr:spPr bwMode="auto">
        <a:xfrm>
          <a:off x="933450" y="48872775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190500</xdr:colOff>
      <xdr:row>116</xdr:row>
      <xdr:rowOff>95250</xdr:rowOff>
    </xdr:from>
    <xdr:to>
      <xdr:col>2</xdr:col>
      <xdr:colOff>438150</xdr:colOff>
      <xdr:row>116</xdr:row>
      <xdr:rowOff>95250</xdr:rowOff>
    </xdr:to>
    <xdr:sp macro="" textlink="">
      <xdr:nvSpPr>
        <xdr:cNvPr id="163" name="Line 139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>
          <a:spLocks noChangeShapeType="1"/>
        </xdr:cNvSpPr>
      </xdr:nvSpPr>
      <xdr:spPr bwMode="auto">
        <a:xfrm>
          <a:off x="609600" y="490918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0</xdr:colOff>
      <xdr:row>170</xdr:row>
      <xdr:rowOff>38100</xdr:rowOff>
    </xdr:from>
    <xdr:to>
      <xdr:col>1</xdr:col>
      <xdr:colOff>0</xdr:colOff>
      <xdr:row>170</xdr:row>
      <xdr:rowOff>38100</xdr:rowOff>
    </xdr:to>
    <xdr:sp macro="" textlink="">
      <xdr:nvSpPr>
        <xdr:cNvPr id="164" name="Line 246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ShapeType="1"/>
        </xdr:cNvSpPr>
      </xdr:nvSpPr>
      <xdr:spPr bwMode="auto">
        <a:xfrm flipH="1" flipV="1">
          <a:off x="66675" y="59321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167</xdr:row>
      <xdr:rowOff>46622</xdr:rowOff>
    </xdr:from>
    <xdr:to>
      <xdr:col>2</xdr:col>
      <xdr:colOff>459803</xdr:colOff>
      <xdr:row>167</xdr:row>
      <xdr:rowOff>157442</xdr:rowOff>
    </xdr:to>
    <xdr:sp macro="" textlink="">
      <xdr:nvSpPr>
        <xdr:cNvPr id="165" name="128 Abrir llave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 rot="5400000">
          <a:off x="703873" y="5869451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159726</xdr:colOff>
      <xdr:row>168</xdr:row>
      <xdr:rowOff>25329</xdr:rowOff>
    </xdr:from>
    <xdr:to>
      <xdr:col>2</xdr:col>
      <xdr:colOff>386196</xdr:colOff>
      <xdr:row>170</xdr:row>
      <xdr:rowOff>70949</xdr:rowOff>
    </xdr:to>
    <xdr:sp macro="" textlink="">
      <xdr:nvSpPr>
        <xdr:cNvPr id="166" name="Rectangle 6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>
          <a:spLocks noChangeArrowheads="1"/>
        </xdr:cNvSpPr>
      </xdr:nvSpPr>
      <xdr:spPr bwMode="auto">
        <a:xfrm>
          <a:off x="578826" y="58927929"/>
          <a:ext cx="226470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159528</xdr:colOff>
      <xdr:row>170</xdr:row>
      <xdr:rowOff>76181</xdr:rowOff>
    </xdr:from>
    <xdr:to>
      <xdr:col>2</xdr:col>
      <xdr:colOff>377755</xdr:colOff>
      <xdr:row>173</xdr:row>
      <xdr:rowOff>154029</xdr:rowOff>
    </xdr:to>
    <xdr:sp macro="" textlink="">
      <xdr:nvSpPr>
        <xdr:cNvPr id="167" name="Rectangle 1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>
          <a:spLocks noChangeArrowheads="1"/>
        </xdr:cNvSpPr>
      </xdr:nvSpPr>
      <xdr:spPr bwMode="auto">
        <a:xfrm>
          <a:off x="578628" y="59359781"/>
          <a:ext cx="218227" cy="6493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259371</xdr:colOff>
      <xdr:row>168</xdr:row>
      <xdr:rowOff>20516</xdr:rowOff>
    </xdr:from>
    <xdr:to>
      <xdr:col>2</xdr:col>
      <xdr:colOff>388745</xdr:colOff>
      <xdr:row>170</xdr:row>
      <xdr:rowOff>65627</xdr:rowOff>
    </xdr:to>
    <xdr:sp macro="" textlink="">
      <xdr:nvSpPr>
        <xdr:cNvPr id="168" name="Line 133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ChangeShapeType="1"/>
        </xdr:cNvSpPr>
      </xdr:nvSpPr>
      <xdr:spPr bwMode="auto">
        <a:xfrm flipH="1">
          <a:off x="678471" y="58923116"/>
          <a:ext cx="129374" cy="4261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162448</xdr:colOff>
      <xdr:row>168</xdr:row>
      <xdr:rowOff>45740</xdr:rowOff>
    </xdr:from>
    <xdr:to>
      <xdr:col>2</xdr:col>
      <xdr:colOff>260524</xdr:colOff>
      <xdr:row>170</xdr:row>
      <xdr:rowOff>60812</xdr:rowOff>
    </xdr:to>
    <xdr:sp macro="" textlink="">
      <xdr:nvSpPr>
        <xdr:cNvPr id="169" name="Line 134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ShapeType="1"/>
        </xdr:cNvSpPr>
      </xdr:nvSpPr>
      <xdr:spPr bwMode="auto">
        <a:xfrm>
          <a:off x="581548" y="58948340"/>
          <a:ext cx="98076" cy="39607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403714</xdr:colOff>
      <xdr:row>168</xdr:row>
      <xdr:rowOff>23864</xdr:rowOff>
    </xdr:from>
    <xdr:to>
      <xdr:col>2</xdr:col>
      <xdr:colOff>630184</xdr:colOff>
      <xdr:row>170</xdr:row>
      <xdr:rowOff>69484</xdr:rowOff>
    </xdr:to>
    <xdr:sp macro="" textlink="">
      <xdr:nvSpPr>
        <xdr:cNvPr id="170" name="Rectangle 6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>
          <a:spLocks noChangeArrowheads="1"/>
        </xdr:cNvSpPr>
      </xdr:nvSpPr>
      <xdr:spPr bwMode="auto">
        <a:xfrm>
          <a:off x="822814" y="58926464"/>
          <a:ext cx="226470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403515</xdr:colOff>
      <xdr:row>170</xdr:row>
      <xdr:rowOff>74716</xdr:rowOff>
    </xdr:from>
    <xdr:to>
      <xdr:col>2</xdr:col>
      <xdr:colOff>621742</xdr:colOff>
      <xdr:row>173</xdr:row>
      <xdr:rowOff>152564</xdr:rowOff>
    </xdr:to>
    <xdr:sp macro="" textlink="">
      <xdr:nvSpPr>
        <xdr:cNvPr id="171" name="Rectangle 1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>
          <a:spLocks noChangeArrowheads="1"/>
        </xdr:cNvSpPr>
      </xdr:nvSpPr>
      <xdr:spPr bwMode="auto">
        <a:xfrm>
          <a:off x="822615" y="59358316"/>
          <a:ext cx="218227" cy="6493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490170</xdr:colOff>
      <xdr:row>168</xdr:row>
      <xdr:rowOff>40300</xdr:rowOff>
    </xdr:from>
    <xdr:to>
      <xdr:col>2</xdr:col>
      <xdr:colOff>619544</xdr:colOff>
      <xdr:row>170</xdr:row>
      <xdr:rowOff>85411</xdr:rowOff>
    </xdr:to>
    <xdr:sp macro="" textlink="">
      <xdr:nvSpPr>
        <xdr:cNvPr id="172" name="Line 133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>
          <a:spLocks noChangeShapeType="1"/>
        </xdr:cNvSpPr>
      </xdr:nvSpPr>
      <xdr:spPr bwMode="auto">
        <a:xfrm flipH="1">
          <a:off x="909270" y="58942900"/>
          <a:ext cx="129374" cy="4261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421822</xdr:colOff>
      <xdr:row>168</xdr:row>
      <xdr:rowOff>36949</xdr:rowOff>
    </xdr:from>
    <xdr:to>
      <xdr:col>2</xdr:col>
      <xdr:colOff>519898</xdr:colOff>
      <xdr:row>170</xdr:row>
      <xdr:rowOff>52021</xdr:rowOff>
    </xdr:to>
    <xdr:sp macro="" textlink="">
      <xdr:nvSpPr>
        <xdr:cNvPr id="173" name="Line 134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>
          <a:spLocks noChangeShapeType="1"/>
        </xdr:cNvSpPr>
      </xdr:nvSpPr>
      <xdr:spPr bwMode="auto">
        <a:xfrm>
          <a:off x="840922" y="58939549"/>
          <a:ext cx="98076" cy="39607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96</xdr:row>
      <xdr:rowOff>38100</xdr:rowOff>
    </xdr:from>
    <xdr:to>
      <xdr:col>1</xdr:col>
      <xdr:colOff>0</xdr:colOff>
      <xdr:row>96</xdr:row>
      <xdr:rowOff>38100</xdr:rowOff>
    </xdr:to>
    <xdr:sp macro="" textlink="">
      <xdr:nvSpPr>
        <xdr:cNvPr id="174" name="Line 246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>
          <a:spLocks noChangeShapeType="1"/>
        </xdr:cNvSpPr>
      </xdr:nvSpPr>
      <xdr:spPr bwMode="auto">
        <a:xfrm flipH="1" flipV="1">
          <a:off x="66675" y="45224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201512</xdr:colOff>
      <xdr:row>93</xdr:row>
      <xdr:rowOff>18050</xdr:rowOff>
    </xdr:from>
    <xdr:to>
      <xdr:col>2</xdr:col>
      <xdr:colOff>440753</xdr:colOff>
      <xdr:row>93</xdr:row>
      <xdr:rowOff>128870</xdr:rowOff>
    </xdr:to>
    <xdr:sp macro="" textlink="">
      <xdr:nvSpPr>
        <xdr:cNvPr id="175" name="138 Abrir llave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 rot="5400000">
          <a:off x="684823" y="44568939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139820</xdr:colOff>
      <xdr:row>93</xdr:row>
      <xdr:rowOff>135355</xdr:rowOff>
    </xdr:from>
    <xdr:to>
      <xdr:col>2</xdr:col>
      <xdr:colOff>425570</xdr:colOff>
      <xdr:row>97</xdr:row>
      <xdr:rowOff>49630</xdr:rowOff>
    </xdr:to>
    <xdr:sp macro="" textlink="">
      <xdr:nvSpPr>
        <xdr:cNvPr id="176" name="Rectangle 6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Arrowheads="1"/>
        </xdr:cNvSpPr>
      </xdr:nvSpPr>
      <xdr:spPr bwMode="auto">
        <a:xfrm>
          <a:off x="558920" y="44750455"/>
          <a:ext cx="285750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428625</xdr:colOff>
      <xdr:row>93</xdr:row>
      <xdr:rowOff>133350</xdr:rowOff>
    </xdr:from>
    <xdr:to>
      <xdr:col>2</xdr:col>
      <xdr:colOff>908172</xdr:colOff>
      <xdr:row>97</xdr:row>
      <xdr:rowOff>50006</xdr:rowOff>
    </xdr:to>
    <xdr:sp macro="" textlink="">
      <xdr:nvSpPr>
        <xdr:cNvPr id="177" name="Rectangle 1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Arrowheads="1"/>
        </xdr:cNvSpPr>
      </xdr:nvSpPr>
      <xdr:spPr bwMode="auto">
        <a:xfrm>
          <a:off x="847725" y="44748450"/>
          <a:ext cx="479547" cy="6786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164556</xdr:colOff>
      <xdr:row>93</xdr:row>
      <xdr:rowOff>122654</xdr:rowOff>
    </xdr:from>
    <xdr:to>
      <xdr:col>2</xdr:col>
      <xdr:colOff>313002</xdr:colOff>
      <xdr:row>97</xdr:row>
      <xdr:rowOff>34843</xdr:rowOff>
    </xdr:to>
    <xdr:sp macro="" textlink="">
      <xdr:nvSpPr>
        <xdr:cNvPr id="178" name="Line 133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ShapeType="1"/>
        </xdr:cNvSpPr>
      </xdr:nvSpPr>
      <xdr:spPr bwMode="auto">
        <a:xfrm flipH="1">
          <a:off x="583656" y="44737754"/>
          <a:ext cx="148446" cy="67418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287202</xdr:colOff>
      <xdr:row>93</xdr:row>
      <xdr:rowOff>139314</xdr:rowOff>
    </xdr:from>
    <xdr:to>
      <xdr:col>2</xdr:col>
      <xdr:colOff>434570</xdr:colOff>
      <xdr:row>97</xdr:row>
      <xdr:rowOff>45393</xdr:rowOff>
    </xdr:to>
    <xdr:sp macro="" textlink="">
      <xdr:nvSpPr>
        <xdr:cNvPr id="179" name="Line 134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>
          <a:spLocks noChangeShapeType="1"/>
        </xdr:cNvSpPr>
      </xdr:nvSpPr>
      <xdr:spPr bwMode="auto">
        <a:xfrm>
          <a:off x="706302" y="44754414"/>
          <a:ext cx="147368" cy="66807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147782</xdr:colOff>
      <xdr:row>93</xdr:row>
      <xdr:rowOff>148648</xdr:rowOff>
    </xdr:from>
    <xdr:to>
      <xdr:col>2</xdr:col>
      <xdr:colOff>430241</xdr:colOff>
      <xdr:row>95</xdr:row>
      <xdr:rowOff>98502</xdr:rowOff>
    </xdr:to>
    <xdr:sp macro="" textlink="">
      <xdr:nvSpPr>
        <xdr:cNvPr id="180" name="Line 134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>
          <a:spLocks noChangeShapeType="1"/>
        </xdr:cNvSpPr>
      </xdr:nvSpPr>
      <xdr:spPr bwMode="auto">
        <a:xfrm>
          <a:off x="566882" y="44763748"/>
          <a:ext cx="282459" cy="33085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154420</xdr:colOff>
      <xdr:row>95</xdr:row>
      <xdr:rowOff>100059</xdr:rowOff>
    </xdr:from>
    <xdr:to>
      <xdr:col>2</xdr:col>
      <xdr:colOff>433252</xdr:colOff>
      <xdr:row>97</xdr:row>
      <xdr:rowOff>53975</xdr:rowOff>
    </xdr:to>
    <xdr:sp macro="" textlink="">
      <xdr:nvSpPr>
        <xdr:cNvPr id="181" name="Line 134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ShapeType="1"/>
        </xdr:cNvSpPr>
      </xdr:nvSpPr>
      <xdr:spPr bwMode="auto">
        <a:xfrm flipH="1">
          <a:off x="573520" y="45096159"/>
          <a:ext cx="278832" cy="33491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97</xdr:row>
      <xdr:rowOff>76200</xdr:rowOff>
    </xdr:from>
    <xdr:to>
      <xdr:col>2</xdr:col>
      <xdr:colOff>933450</xdr:colOff>
      <xdr:row>98</xdr:row>
      <xdr:rowOff>142875</xdr:rowOff>
    </xdr:to>
    <xdr:sp macro="" textlink="">
      <xdr:nvSpPr>
        <xdr:cNvPr id="182" name="Rectangle 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Arrowheads="1"/>
        </xdr:cNvSpPr>
      </xdr:nvSpPr>
      <xdr:spPr bwMode="auto">
        <a:xfrm>
          <a:off x="561975" y="45453300"/>
          <a:ext cx="790575" cy="257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1</xdr:col>
      <xdr:colOff>0</xdr:colOff>
      <xdr:row>105</xdr:row>
      <xdr:rowOff>38100</xdr:rowOff>
    </xdr:from>
    <xdr:to>
      <xdr:col>1</xdr:col>
      <xdr:colOff>0</xdr:colOff>
      <xdr:row>105</xdr:row>
      <xdr:rowOff>38100</xdr:rowOff>
    </xdr:to>
    <xdr:sp macro="" textlink="">
      <xdr:nvSpPr>
        <xdr:cNvPr id="183" name="Line 246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ShapeType="1"/>
        </xdr:cNvSpPr>
      </xdr:nvSpPr>
      <xdr:spPr bwMode="auto">
        <a:xfrm flipH="1" flipV="1">
          <a:off x="66675" y="46939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201512</xdr:colOff>
      <xdr:row>102</xdr:row>
      <xdr:rowOff>18050</xdr:rowOff>
    </xdr:from>
    <xdr:to>
      <xdr:col>2</xdr:col>
      <xdr:colOff>440753</xdr:colOff>
      <xdr:row>102</xdr:row>
      <xdr:rowOff>128870</xdr:rowOff>
    </xdr:to>
    <xdr:sp macro="" textlink="">
      <xdr:nvSpPr>
        <xdr:cNvPr id="184" name="147 Abrir llave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 rot="5400000">
          <a:off x="684823" y="46283439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625595</xdr:colOff>
      <xdr:row>102</xdr:row>
      <xdr:rowOff>135355</xdr:rowOff>
    </xdr:from>
    <xdr:to>
      <xdr:col>2</xdr:col>
      <xdr:colOff>911345</xdr:colOff>
      <xdr:row>106</xdr:row>
      <xdr:rowOff>49630</xdr:rowOff>
    </xdr:to>
    <xdr:sp macro="" textlink="">
      <xdr:nvSpPr>
        <xdr:cNvPr id="185" name="Rectangle 6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Arrowheads="1"/>
        </xdr:cNvSpPr>
      </xdr:nvSpPr>
      <xdr:spPr bwMode="auto">
        <a:xfrm>
          <a:off x="1044695" y="46464955"/>
          <a:ext cx="285750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142875</xdr:colOff>
      <xdr:row>102</xdr:row>
      <xdr:rowOff>133350</xdr:rowOff>
    </xdr:from>
    <xdr:to>
      <xdr:col>2</xdr:col>
      <xdr:colOff>622422</xdr:colOff>
      <xdr:row>106</xdr:row>
      <xdr:rowOff>50006</xdr:rowOff>
    </xdr:to>
    <xdr:sp macro="" textlink="">
      <xdr:nvSpPr>
        <xdr:cNvPr id="186" name="Rectangle 1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Arrowheads="1"/>
        </xdr:cNvSpPr>
      </xdr:nvSpPr>
      <xdr:spPr bwMode="auto">
        <a:xfrm>
          <a:off x="561975" y="46462950"/>
          <a:ext cx="479547" cy="6786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631281</xdr:colOff>
      <xdr:row>102</xdr:row>
      <xdr:rowOff>122654</xdr:rowOff>
    </xdr:from>
    <xdr:to>
      <xdr:col>2</xdr:col>
      <xdr:colOff>779727</xdr:colOff>
      <xdr:row>106</xdr:row>
      <xdr:rowOff>34843</xdr:rowOff>
    </xdr:to>
    <xdr:sp macro="" textlink="">
      <xdr:nvSpPr>
        <xdr:cNvPr id="187" name="Line 133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ShapeType="1"/>
        </xdr:cNvSpPr>
      </xdr:nvSpPr>
      <xdr:spPr bwMode="auto">
        <a:xfrm flipH="1">
          <a:off x="1050381" y="46452254"/>
          <a:ext cx="148446" cy="67418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763452</xdr:colOff>
      <xdr:row>102</xdr:row>
      <xdr:rowOff>129789</xdr:rowOff>
    </xdr:from>
    <xdr:to>
      <xdr:col>2</xdr:col>
      <xdr:colOff>910820</xdr:colOff>
      <xdr:row>106</xdr:row>
      <xdr:rowOff>35868</xdr:rowOff>
    </xdr:to>
    <xdr:sp macro="" textlink="">
      <xdr:nvSpPr>
        <xdr:cNvPr id="188" name="Line 134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ShapeType="1"/>
        </xdr:cNvSpPr>
      </xdr:nvSpPr>
      <xdr:spPr bwMode="auto">
        <a:xfrm>
          <a:off x="1182552" y="46459389"/>
          <a:ext cx="147368" cy="66807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633557</xdr:colOff>
      <xdr:row>104</xdr:row>
      <xdr:rowOff>53398</xdr:rowOff>
    </xdr:from>
    <xdr:to>
      <xdr:col>2</xdr:col>
      <xdr:colOff>916016</xdr:colOff>
      <xdr:row>106</xdr:row>
      <xdr:rowOff>3252</xdr:rowOff>
    </xdr:to>
    <xdr:sp macro="" textlink="">
      <xdr:nvSpPr>
        <xdr:cNvPr id="189" name="Line 134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>
          <a:spLocks noChangeShapeType="1"/>
        </xdr:cNvSpPr>
      </xdr:nvSpPr>
      <xdr:spPr bwMode="auto">
        <a:xfrm>
          <a:off x="1052657" y="46763998"/>
          <a:ext cx="282459" cy="33085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640195</xdr:colOff>
      <xdr:row>102</xdr:row>
      <xdr:rowOff>119109</xdr:rowOff>
    </xdr:from>
    <xdr:to>
      <xdr:col>2</xdr:col>
      <xdr:colOff>919027</xdr:colOff>
      <xdr:row>104</xdr:row>
      <xdr:rowOff>73025</xdr:rowOff>
    </xdr:to>
    <xdr:sp macro="" textlink="">
      <xdr:nvSpPr>
        <xdr:cNvPr id="190" name="Line 134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>
          <a:spLocks noChangeShapeType="1"/>
        </xdr:cNvSpPr>
      </xdr:nvSpPr>
      <xdr:spPr bwMode="auto">
        <a:xfrm flipH="1">
          <a:off x="1059295" y="46448709"/>
          <a:ext cx="278832" cy="33491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106</xdr:row>
      <xdr:rowOff>76200</xdr:rowOff>
    </xdr:from>
    <xdr:to>
      <xdr:col>2</xdr:col>
      <xdr:colOff>933450</xdr:colOff>
      <xdr:row>107</xdr:row>
      <xdr:rowOff>142875</xdr:rowOff>
    </xdr:to>
    <xdr:sp macro="" textlink="">
      <xdr:nvSpPr>
        <xdr:cNvPr id="191" name="Rectangle 1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>
          <a:spLocks noChangeArrowheads="1"/>
        </xdr:cNvSpPr>
      </xdr:nvSpPr>
      <xdr:spPr bwMode="auto">
        <a:xfrm>
          <a:off x="561975" y="47167800"/>
          <a:ext cx="790575" cy="257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285750</xdr:colOff>
      <xdr:row>121</xdr:row>
      <xdr:rowOff>9525</xdr:rowOff>
    </xdr:from>
    <xdr:to>
      <xdr:col>2</xdr:col>
      <xdr:colOff>285750</xdr:colOff>
      <xdr:row>123</xdr:row>
      <xdr:rowOff>95250</xdr:rowOff>
    </xdr:to>
    <xdr:sp macro="" textlink="">
      <xdr:nvSpPr>
        <xdr:cNvPr id="192" name="Line 166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>
          <a:spLocks noChangeShapeType="1"/>
        </xdr:cNvSpPr>
      </xdr:nvSpPr>
      <xdr:spPr bwMode="auto">
        <a:xfrm>
          <a:off x="704850" y="49958625"/>
          <a:ext cx="0" cy="466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704850</xdr:colOff>
      <xdr:row>121</xdr:row>
      <xdr:rowOff>0</xdr:rowOff>
    </xdr:from>
    <xdr:to>
      <xdr:col>2</xdr:col>
      <xdr:colOff>714375</xdr:colOff>
      <xdr:row>123</xdr:row>
      <xdr:rowOff>104775</xdr:rowOff>
    </xdr:to>
    <xdr:sp macro="" textlink="">
      <xdr:nvSpPr>
        <xdr:cNvPr id="193" name="Line 167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>
          <a:spLocks noChangeShapeType="1"/>
        </xdr:cNvSpPr>
      </xdr:nvSpPr>
      <xdr:spPr bwMode="auto">
        <a:xfrm flipH="1">
          <a:off x="1123950" y="49949100"/>
          <a:ext cx="9525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314325</xdr:colOff>
      <xdr:row>122</xdr:row>
      <xdr:rowOff>66675</xdr:rowOff>
    </xdr:from>
    <xdr:to>
      <xdr:col>2</xdr:col>
      <xdr:colOff>228600</xdr:colOff>
      <xdr:row>122</xdr:row>
      <xdr:rowOff>66675</xdr:rowOff>
    </xdr:to>
    <xdr:sp macro="" textlink="">
      <xdr:nvSpPr>
        <xdr:cNvPr id="194" name="Line 168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>
          <a:spLocks noChangeShapeType="1"/>
        </xdr:cNvSpPr>
      </xdr:nvSpPr>
      <xdr:spPr bwMode="auto">
        <a:xfrm>
          <a:off x="381000" y="502062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60325</xdr:colOff>
      <xdr:row>120</xdr:row>
      <xdr:rowOff>127001</xdr:rowOff>
    </xdr:from>
    <xdr:to>
      <xdr:col>2</xdr:col>
      <xdr:colOff>854075</xdr:colOff>
      <xdr:row>123</xdr:row>
      <xdr:rowOff>79376</xdr:rowOff>
    </xdr:to>
    <xdr:sp macro="" textlink="">
      <xdr:nvSpPr>
        <xdr:cNvPr id="195" name="Rectangle 165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>
          <a:spLocks noChangeArrowheads="1"/>
        </xdr:cNvSpPr>
      </xdr:nvSpPr>
      <xdr:spPr bwMode="auto">
        <a:xfrm>
          <a:off x="127000" y="49885601"/>
          <a:ext cx="1146175" cy="523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</a:t>
          </a:r>
        </a:p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F</a:t>
          </a:r>
        </a:p>
      </xdr:txBody>
    </xdr:sp>
    <xdr:clientData/>
  </xdr:twoCellAnchor>
  <xdr:twoCellAnchor>
    <xdr:from>
      <xdr:col>2</xdr:col>
      <xdr:colOff>69850</xdr:colOff>
      <xdr:row>120</xdr:row>
      <xdr:rowOff>149225</xdr:rowOff>
    </xdr:from>
    <xdr:to>
      <xdr:col>2</xdr:col>
      <xdr:colOff>69850</xdr:colOff>
      <xdr:row>123</xdr:row>
      <xdr:rowOff>69850</xdr:rowOff>
    </xdr:to>
    <xdr:sp macro="" textlink="">
      <xdr:nvSpPr>
        <xdr:cNvPr id="196" name="Line 166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>
          <a:spLocks noChangeShapeType="1"/>
        </xdr:cNvSpPr>
      </xdr:nvSpPr>
      <xdr:spPr bwMode="auto">
        <a:xfrm>
          <a:off x="488950" y="49907825"/>
          <a:ext cx="0" cy="492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488950</xdr:colOff>
      <xdr:row>120</xdr:row>
      <xdr:rowOff>139700</xdr:rowOff>
    </xdr:from>
    <xdr:to>
      <xdr:col>2</xdr:col>
      <xdr:colOff>498475</xdr:colOff>
      <xdr:row>123</xdr:row>
      <xdr:rowOff>79375</xdr:rowOff>
    </xdr:to>
    <xdr:sp macro="" textlink="">
      <xdr:nvSpPr>
        <xdr:cNvPr id="197" name="Line 167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>
          <a:spLocks noChangeShapeType="1"/>
        </xdr:cNvSpPr>
      </xdr:nvSpPr>
      <xdr:spPr bwMode="auto">
        <a:xfrm flipH="1">
          <a:off x="908050" y="49898300"/>
          <a:ext cx="9525" cy="511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98425</xdr:colOff>
      <xdr:row>122</xdr:row>
      <xdr:rowOff>41275</xdr:rowOff>
    </xdr:from>
    <xdr:to>
      <xdr:col>2</xdr:col>
      <xdr:colOff>12700</xdr:colOff>
      <xdr:row>122</xdr:row>
      <xdr:rowOff>41275</xdr:rowOff>
    </xdr:to>
    <xdr:sp macro="" textlink="">
      <xdr:nvSpPr>
        <xdr:cNvPr id="198" name="Line 168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>
          <a:spLocks noChangeShapeType="1"/>
        </xdr:cNvSpPr>
      </xdr:nvSpPr>
      <xdr:spPr bwMode="auto">
        <a:xfrm>
          <a:off x="165100" y="501808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527049</xdr:colOff>
      <xdr:row>122</xdr:row>
      <xdr:rowOff>22225</xdr:rowOff>
    </xdr:from>
    <xdr:to>
      <xdr:col>2</xdr:col>
      <xdr:colOff>796924</xdr:colOff>
      <xdr:row>122</xdr:row>
      <xdr:rowOff>31750</xdr:rowOff>
    </xdr:to>
    <xdr:sp macro="" textlink="">
      <xdr:nvSpPr>
        <xdr:cNvPr id="199" name="Line 16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>
          <a:spLocks noChangeShapeType="1"/>
        </xdr:cNvSpPr>
      </xdr:nvSpPr>
      <xdr:spPr bwMode="auto">
        <a:xfrm flipH="1">
          <a:off x="946149" y="50161825"/>
          <a:ext cx="26987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361949</xdr:colOff>
      <xdr:row>192</xdr:row>
      <xdr:rowOff>66676</xdr:rowOff>
    </xdr:from>
    <xdr:to>
      <xdr:col>2</xdr:col>
      <xdr:colOff>714374</xdr:colOff>
      <xdr:row>196</xdr:row>
      <xdr:rowOff>142876</xdr:rowOff>
    </xdr:to>
    <xdr:sp macro="" textlink="">
      <xdr:nvSpPr>
        <xdr:cNvPr id="200" name="Rectangle 38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>
          <a:spLocks noChangeArrowheads="1"/>
        </xdr:cNvSpPr>
      </xdr:nvSpPr>
      <xdr:spPr bwMode="auto">
        <a:xfrm>
          <a:off x="781049" y="63541276"/>
          <a:ext cx="352425" cy="838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352425</xdr:colOff>
      <xdr:row>192</xdr:row>
      <xdr:rowOff>76200</xdr:rowOff>
    </xdr:from>
    <xdr:to>
      <xdr:col>2</xdr:col>
      <xdr:colOff>704850</xdr:colOff>
      <xdr:row>194</xdr:row>
      <xdr:rowOff>152400</xdr:rowOff>
    </xdr:to>
    <xdr:sp macro="" textlink="">
      <xdr:nvSpPr>
        <xdr:cNvPr id="201" name="Line 39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>
          <a:spLocks noChangeShapeType="1"/>
        </xdr:cNvSpPr>
      </xdr:nvSpPr>
      <xdr:spPr bwMode="auto">
        <a:xfrm flipV="1">
          <a:off x="771525" y="63550800"/>
          <a:ext cx="35242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361949</xdr:colOff>
      <xdr:row>195</xdr:row>
      <xdr:rowOff>0</xdr:rowOff>
    </xdr:from>
    <xdr:to>
      <xdr:col>2</xdr:col>
      <xdr:colOff>714374</xdr:colOff>
      <xdr:row>196</xdr:row>
      <xdr:rowOff>142875</xdr:rowOff>
    </xdr:to>
    <xdr:sp macro="" textlink="">
      <xdr:nvSpPr>
        <xdr:cNvPr id="202" name="Line 40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>
          <a:spLocks noChangeShapeType="1"/>
        </xdr:cNvSpPr>
      </xdr:nvSpPr>
      <xdr:spPr bwMode="auto">
        <a:xfrm>
          <a:off x="781049" y="64046100"/>
          <a:ext cx="35242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638175</xdr:colOff>
      <xdr:row>199</xdr:row>
      <xdr:rowOff>85725</xdr:rowOff>
    </xdr:from>
    <xdr:to>
      <xdr:col>2</xdr:col>
      <xdr:colOff>933450</xdr:colOff>
      <xdr:row>199</xdr:row>
      <xdr:rowOff>85725</xdr:rowOff>
    </xdr:to>
    <xdr:sp macro="" textlink="">
      <xdr:nvSpPr>
        <xdr:cNvPr id="203" name="Line 234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>
          <a:spLocks noChangeShapeType="1"/>
        </xdr:cNvSpPr>
      </xdr:nvSpPr>
      <xdr:spPr bwMode="auto">
        <a:xfrm>
          <a:off x="1057275" y="6489382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647700</xdr:colOff>
      <xdr:row>198</xdr:row>
      <xdr:rowOff>0</xdr:rowOff>
    </xdr:from>
    <xdr:to>
      <xdr:col>2</xdr:col>
      <xdr:colOff>647700</xdr:colOff>
      <xdr:row>199</xdr:row>
      <xdr:rowOff>95250</xdr:rowOff>
    </xdr:to>
    <xdr:sp macro="" textlink="">
      <xdr:nvSpPr>
        <xdr:cNvPr id="204" name="Line 235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>
          <a:spLocks noChangeShapeType="1"/>
        </xdr:cNvSpPr>
      </xdr:nvSpPr>
      <xdr:spPr bwMode="auto">
        <a:xfrm flipH="1">
          <a:off x="1066800" y="64617600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352425</xdr:colOff>
      <xdr:row>198</xdr:row>
      <xdr:rowOff>28575</xdr:rowOff>
    </xdr:from>
    <xdr:to>
      <xdr:col>2</xdr:col>
      <xdr:colOff>628650</xdr:colOff>
      <xdr:row>199</xdr:row>
      <xdr:rowOff>76200</xdr:rowOff>
    </xdr:to>
    <xdr:sp macro="" textlink="">
      <xdr:nvSpPr>
        <xdr:cNvPr id="205" name="Line 236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>
          <a:spLocks noChangeShapeType="1"/>
        </xdr:cNvSpPr>
      </xdr:nvSpPr>
      <xdr:spPr bwMode="auto">
        <a:xfrm flipV="1">
          <a:off x="771525" y="64646175"/>
          <a:ext cx="276225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199</xdr:row>
      <xdr:rowOff>76200</xdr:rowOff>
    </xdr:from>
    <xdr:to>
      <xdr:col>2</xdr:col>
      <xdr:colOff>352425</xdr:colOff>
      <xdr:row>199</xdr:row>
      <xdr:rowOff>76200</xdr:rowOff>
    </xdr:to>
    <xdr:sp macro="" textlink="">
      <xdr:nvSpPr>
        <xdr:cNvPr id="206" name="Line 233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>
          <a:spLocks noChangeShapeType="1"/>
        </xdr:cNvSpPr>
      </xdr:nvSpPr>
      <xdr:spPr bwMode="auto">
        <a:xfrm>
          <a:off x="419100" y="64884300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361949</xdr:colOff>
      <xdr:row>201</xdr:row>
      <xdr:rowOff>66676</xdr:rowOff>
    </xdr:from>
    <xdr:to>
      <xdr:col>2</xdr:col>
      <xdr:colOff>714374</xdr:colOff>
      <xdr:row>205</xdr:row>
      <xdr:rowOff>142876</xdr:rowOff>
    </xdr:to>
    <xdr:sp macro="" textlink="">
      <xdr:nvSpPr>
        <xdr:cNvPr id="207" name="Rectangle 38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>
          <a:spLocks noChangeArrowheads="1"/>
        </xdr:cNvSpPr>
      </xdr:nvSpPr>
      <xdr:spPr bwMode="auto">
        <a:xfrm>
          <a:off x="781049" y="65255776"/>
          <a:ext cx="352425" cy="838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371475</xdr:colOff>
      <xdr:row>203</xdr:row>
      <xdr:rowOff>57150</xdr:rowOff>
    </xdr:from>
    <xdr:to>
      <xdr:col>2</xdr:col>
      <xdr:colOff>723900</xdr:colOff>
      <xdr:row>205</xdr:row>
      <xdr:rowOff>133350</xdr:rowOff>
    </xdr:to>
    <xdr:sp macro="" textlink="">
      <xdr:nvSpPr>
        <xdr:cNvPr id="208" name="Line 39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>
          <a:spLocks noChangeShapeType="1"/>
        </xdr:cNvSpPr>
      </xdr:nvSpPr>
      <xdr:spPr bwMode="auto">
        <a:xfrm flipV="1">
          <a:off x="790575" y="65627250"/>
          <a:ext cx="35242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355599</xdr:colOff>
      <xdr:row>201</xdr:row>
      <xdr:rowOff>76200</xdr:rowOff>
    </xdr:from>
    <xdr:to>
      <xdr:col>2</xdr:col>
      <xdr:colOff>708024</xdr:colOff>
      <xdr:row>203</xdr:row>
      <xdr:rowOff>53975</xdr:rowOff>
    </xdr:to>
    <xdr:sp macro="" textlink="">
      <xdr:nvSpPr>
        <xdr:cNvPr id="209" name="Line 40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>
          <a:spLocks noChangeShapeType="1"/>
        </xdr:cNvSpPr>
      </xdr:nvSpPr>
      <xdr:spPr bwMode="auto">
        <a:xfrm>
          <a:off x="774699" y="65265300"/>
          <a:ext cx="352425" cy="358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638175</xdr:colOff>
      <xdr:row>208</xdr:row>
      <xdr:rowOff>85725</xdr:rowOff>
    </xdr:from>
    <xdr:to>
      <xdr:col>2</xdr:col>
      <xdr:colOff>933450</xdr:colOff>
      <xdr:row>208</xdr:row>
      <xdr:rowOff>85725</xdr:rowOff>
    </xdr:to>
    <xdr:sp macro="" textlink="">
      <xdr:nvSpPr>
        <xdr:cNvPr id="210" name="Line 234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>
          <a:spLocks noChangeShapeType="1"/>
        </xdr:cNvSpPr>
      </xdr:nvSpPr>
      <xdr:spPr bwMode="auto">
        <a:xfrm>
          <a:off x="1057275" y="6660832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406400</xdr:colOff>
      <xdr:row>207</xdr:row>
      <xdr:rowOff>19050</xdr:rowOff>
    </xdr:from>
    <xdr:to>
      <xdr:col>2</xdr:col>
      <xdr:colOff>657225</xdr:colOff>
      <xdr:row>208</xdr:row>
      <xdr:rowOff>88900</xdr:rowOff>
    </xdr:to>
    <xdr:sp macro="" textlink="">
      <xdr:nvSpPr>
        <xdr:cNvPr id="212" name="Line 236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>
          <a:spLocks noChangeShapeType="1"/>
        </xdr:cNvSpPr>
      </xdr:nvSpPr>
      <xdr:spPr bwMode="auto">
        <a:xfrm flipH="1" flipV="1">
          <a:off x="825500" y="66351150"/>
          <a:ext cx="250825" cy="260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208</xdr:row>
      <xdr:rowOff>76200</xdr:rowOff>
    </xdr:from>
    <xdr:to>
      <xdr:col>2</xdr:col>
      <xdr:colOff>352425</xdr:colOff>
      <xdr:row>208</xdr:row>
      <xdr:rowOff>76200</xdr:rowOff>
    </xdr:to>
    <xdr:sp macro="" textlink="">
      <xdr:nvSpPr>
        <xdr:cNvPr id="213" name="Line 233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>
          <a:spLocks noChangeShapeType="1"/>
        </xdr:cNvSpPr>
      </xdr:nvSpPr>
      <xdr:spPr bwMode="auto">
        <a:xfrm>
          <a:off x="419100" y="66598800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361949</xdr:colOff>
      <xdr:row>210</xdr:row>
      <xdr:rowOff>66676</xdr:rowOff>
    </xdr:from>
    <xdr:to>
      <xdr:col>2</xdr:col>
      <xdr:colOff>714374</xdr:colOff>
      <xdr:row>214</xdr:row>
      <xdr:rowOff>142876</xdr:rowOff>
    </xdr:to>
    <xdr:sp macro="" textlink="">
      <xdr:nvSpPr>
        <xdr:cNvPr id="214" name="Rectangle 38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>
          <a:spLocks noChangeArrowheads="1"/>
        </xdr:cNvSpPr>
      </xdr:nvSpPr>
      <xdr:spPr bwMode="auto">
        <a:xfrm>
          <a:off x="781049" y="66970276"/>
          <a:ext cx="352425" cy="838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352425</xdr:colOff>
      <xdr:row>210</xdr:row>
      <xdr:rowOff>76200</xdr:rowOff>
    </xdr:from>
    <xdr:to>
      <xdr:col>2</xdr:col>
      <xdr:colOff>704850</xdr:colOff>
      <xdr:row>212</xdr:row>
      <xdr:rowOff>152400</xdr:rowOff>
    </xdr:to>
    <xdr:sp macro="" textlink="">
      <xdr:nvSpPr>
        <xdr:cNvPr id="215" name="Line 39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>
          <a:spLocks noChangeShapeType="1"/>
        </xdr:cNvSpPr>
      </xdr:nvSpPr>
      <xdr:spPr bwMode="auto">
        <a:xfrm flipV="1">
          <a:off x="771525" y="66979800"/>
          <a:ext cx="35242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361949</xdr:colOff>
      <xdr:row>213</xdr:row>
      <xdr:rowOff>0</xdr:rowOff>
    </xdr:from>
    <xdr:to>
      <xdr:col>2</xdr:col>
      <xdr:colOff>714374</xdr:colOff>
      <xdr:row>214</xdr:row>
      <xdr:rowOff>142875</xdr:rowOff>
    </xdr:to>
    <xdr:sp macro="" textlink="">
      <xdr:nvSpPr>
        <xdr:cNvPr id="216" name="Line 40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>
          <a:spLocks noChangeShapeType="1"/>
        </xdr:cNvSpPr>
      </xdr:nvSpPr>
      <xdr:spPr bwMode="auto">
        <a:xfrm>
          <a:off x="781049" y="67475100"/>
          <a:ext cx="35242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361949</xdr:colOff>
      <xdr:row>217</xdr:row>
      <xdr:rowOff>66676</xdr:rowOff>
    </xdr:from>
    <xdr:to>
      <xdr:col>2</xdr:col>
      <xdr:colOff>714374</xdr:colOff>
      <xdr:row>221</xdr:row>
      <xdr:rowOff>142876</xdr:rowOff>
    </xdr:to>
    <xdr:sp macro="" textlink="">
      <xdr:nvSpPr>
        <xdr:cNvPr id="217" name="Rectangle 38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>
          <a:spLocks noChangeArrowheads="1"/>
        </xdr:cNvSpPr>
      </xdr:nvSpPr>
      <xdr:spPr bwMode="auto">
        <a:xfrm>
          <a:off x="781049" y="68303776"/>
          <a:ext cx="352425" cy="838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371475</xdr:colOff>
      <xdr:row>219</xdr:row>
      <xdr:rowOff>57150</xdr:rowOff>
    </xdr:from>
    <xdr:to>
      <xdr:col>2</xdr:col>
      <xdr:colOff>723900</xdr:colOff>
      <xdr:row>221</xdr:row>
      <xdr:rowOff>133350</xdr:rowOff>
    </xdr:to>
    <xdr:sp macro="" textlink="">
      <xdr:nvSpPr>
        <xdr:cNvPr id="218" name="Line 39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>
          <a:spLocks noChangeShapeType="1"/>
        </xdr:cNvSpPr>
      </xdr:nvSpPr>
      <xdr:spPr bwMode="auto">
        <a:xfrm flipV="1">
          <a:off x="790575" y="68675250"/>
          <a:ext cx="35242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355599</xdr:colOff>
      <xdr:row>217</xdr:row>
      <xdr:rowOff>76200</xdr:rowOff>
    </xdr:from>
    <xdr:to>
      <xdr:col>2</xdr:col>
      <xdr:colOff>708024</xdr:colOff>
      <xdr:row>219</xdr:row>
      <xdr:rowOff>53975</xdr:rowOff>
    </xdr:to>
    <xdr:sp macro="" textlink="">
      <xdr:nvSpPr>
        <xdr:cNvPr id="219" name="Line 40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>
          <a:spLocks noChangeShapeType="1"/>
        </xdr:cNvSpPr>
      </xdr:nvSpPr>
      <xdr:spPr bwMode="auto">
        <a:xfrm>
          <a:off x="774699" y="68313300"/>
          <a:ext cx="352425" cy="358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181</xdr:row>
      <xdr:rowOff>38100</xdr:rowOff>
    </xdr:from>
    <xdr:to>
      <xdr:col>1</xdr:col>
      <xdr:colOff>0</xdr:colOff>
      <xdr:row>181</xdr:row>
      <xdr:rowOff>38100</xdr:rowOff>
    </xdr:to>
    <xdr:sp macro="" textlink="">
      <xdr:nvSpPr>
        <xdr:cNvPr id="220" name="Line 246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>
          <a:spLocks noChangeShapeType="1"/>
        </xdr:cNvSpPr>
      </xdr:nvSpPr>
      <xdr:spPr bwMode="auto">
        <a:xfrm flipH="1" flipV="1">
          <a:off x="66675" y="61417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178</xdr:row>
      <xdr:rowOff>46622</xdr:rowOff>
    </xdr:from>
    <xdr:to>
      <xdr:col>2</xdr:col>
      <xdr:colOff>459803</xdr:colOff>
      <xdr:row>178</xdr:row>
      <xdr:rowOff>157442</xdr:rowOff>
    </xdr:to>
    <xdr:sp macro="" textlink="">
      <xdr:nvSpPr>
        <xdr:cNvPr id="221" name="184 Abrir llave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/>
      </xdr:nvSpPr>
      <xdr:spPr>
        <a:xfrm rot="5400000">
          <a:off x="703873" y="6079001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524327</xdr:colOff>
      <xdr:row>179</xdr:row>
      <xdr:rowOff>14060</xdr:rowOff>
    </xdr:from>
    <xdr:to>
      <xdr:col>2</xdr:col>
      <xdr:colOff>933902</xdr:colOff>
      <xdr:row>181</xdr:row>
      <xdr:rowOff>59680</xdr:rowOff>
    </xdr:to>
    <xdr:sp macro="" textlink="">
      <xdr:nvSpPr>
        <xdr:cNvPr id="222" name="Rectangle 6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>
          <a:spLocks noChangeArrowheads="1"/>
        </xdr:cNvSpPr>
      </xdr:nvSpPr>
      <xdr:spPr bwMode="auto">
        <a:xfrm>
          <a:off x="943427" y="61012160"/>
          <a:ext cx="409575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91168</xdr:colOff>
      <xdr:row>179</xdr:row>
      <xdr:rowOff>13606</xdr:rowOff>
    </xdr:from>
    <xdr:to>
      <xdr:col>2</xdr:col>
      <xdr:colOff>521153</xdr:colOff>
      <xdr:row>181</xdr:row>
      <xdr:rowOff>59226</xdr:rowOff>
    </xdr:to>
    <xdr:sp macro="" textlink="">
      <xdr:nvSpPr>
        <xdr:cNvPr id="223" name="Rectangle 6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>
          <a:spLocks noChangeArrowheads="1"/>
        </xdr:cNvSpPr>
      </xdr:nvSpPr>
      <xdr:spPr bwMode="auto">
        <a:xfrm>
          <a:off x="510268" y="61011706"/>
          <a:ext cx="429985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293405</xdr:colOff>
      <xdr:row>179</xdr:row>
      <xdr:rowOff>15060</xdr:rowOff>
    </xdr:from>
    <xdr:to>
      <xdr:col>2</xdr:col>
      <xdr:colOff>507061</xdr:colOff>
      <xdr:row>181</xdr:row>
      <xdr:rowOff>64045</xdr:rowOff>
    </xdr:to>
    <xdr:sp macro="" textlink="">
      <xdr:nvSpPr>
        <xdr:cNvPr id="224" name="Line 13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>
          <a:spLocks noChangeShapeType="1"/>
        </xdr:cNvSpPr>
      </xdr:nvSpPr>
      <xdr:spPr bwMode="auto">
        <a:xfrm flipH="1">
          <a:off x="712505" y="61013160"/>
          <a:ext cx="213656" cy="4299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101600</xdr:colOff>
      <xdr:row>179</xdr:row>
      <xdr:rowOff>1815</xdr:rowOff>
    </xdr:from>
    <xdr:to>
      <xdr:col>2</xdr:col>
      <xdr:colOff>307637</xdr:colOff>
      <xdr:row>181</xdr:row>
      <xdr:rowOff>45803</xdr:rowOff>
    </xdr:to>
    <xdr:sp macro="" textlink="">
      <xdr:nvSpPr>
        <xdr:cNvPr id="225" name="Line 13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>
          <a:spLocks noChangeShapeType="1"/>
        </xdr:cNvSpPr>
      </xdr:nvSpPr>
      <xdr:spPr bwMode="auto">
        <a:xfrm>
          <a:off x="520700" y="60999915"/>
          <a:ext cx="206037" cy="42498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19049</xdr:colOff>
      <xdr:row>179</xdr:row>
      <xdr:rowOff>13606</xdr:rowOff>
    </xdr:from>
    <xdr:to>
      <xdr:col>2</xdr:col>
      <xdr:colOff>76199</xdr:colOff>
      <xdr:row>181</xdr:row>
      <xdr:rowOff>59226</xdr:rowOff>
    </xdr:to>
    <xdr:sp macro="" textlink="">
      <xdr:nvSpPr>
        <xdr:cNvPr id="226" name="Rectangle 6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>
          <a:spLocks noChangeArrowheads="1"/>
        </xdr:cNvSpPr>
      </xdr:nvSpPr>
      <xdr:spPr bwMode="auto">
        <a:xfrm>
          <a:off x="85724" y="61011706"/>
          <a:ext cx="409575" cy="426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L"/>
        </a:p>
        <a:p>
          <a:endParaRPr lang="es-CL"/>
        </a:p>
        <a:p>
          <a:endParaRPr lang="es-CL"/>
        </a:p>
      </xdr:txBody>
    </xdr:sp>
    <xdr:clientData/>
  </xdr:twoCellAnchor>
  <xdr:twoCellAnchor>
    <xdr:from>
      <xdr:col>2</xdr:col>
      <xdr:colOff>180975</xdr:colOff>
      <xdr:row>224</xdr:row>
      <xdr:rowOff>66675</xdr:rowOff>
    </xdr:from>
    <xdr:to>
      <xdr:col>2</xdr:col>
      <xdr:colOff>981075</xdr:colOff>
      <xdr:row>227</xdr:row>
      <xdr:rowOff>0</xdr:rowOff>
    </xdr:to>
    <xdr:sp macro="" textlink="">
      <xdr:nvSpPr>
        <xdr:cNvPr id="227" name="Rectangle 41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>
          <a:spLocks noChangeArrowheads="1"/>
        </xdr:cNvSpPr>
      </xdr:nvSpPr>
      <xdr:spPr bwMode="auto">
        <a:xfrm>
          <a:off x="600075" y="69608700"/>
          <a:ext cx="80010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590550</xdr:colOff>
      <xdr:row>224</xdr:row>
      <xdr:rowOff>76200</xdr:rowOff>
    </xdr:from>
    <xdr:to>
      <xdr:col>2</xdr:col>
      <xdr:colOff>590550</xdr:colOff>
      <xdr:row>226</xdr:row>
      <xdr:rowOff>152400</xdr:rowOff>
    </xdr:to>
    <xdr:sp macro="" textlink="">
      <xdr:nvSpPr>
        <xdr:cNvPr id="228" name="Line 42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>
          <a:spLocks noChangeShapeType="1"/>
        </xdr:cNvSpPr>
      </xdr:nvSpPr>
      <xdr:spPr bwMode="auto">
        <a:xfrm>
          <a:off x="1009650" y="69618225"/>
          <a:ext cx="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224</xdr:row>
      <xdr:rowOff>76200</xdr:rowOff>
    </xdr:from>
    <xdr:to>
      <xdr:col>2</xdr:col>
      <xdr:colOff>981075</xdr:colOff>
      <xdr:row>227</xdr:row>
      <xdr:rowOff>0</xdr:rowOff>
    </xdr:to>
    <xdr:sp macro="" textlink="">
      <xdr:nvSpPr>
        <xdr:cNvPr id="229" name="Line 43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>
          <a:spLocks noChangeShapeType="1"/>
        </xdr:cNvSpPr>
      </xdr:nvSpPr>
      <xdr:spPr bwMode="auto">
        <a:xfrm>
          <a:off x="600075" y="69618225"/>
          <a:ext cx="80010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224</xdr:row>
      <xdr:rowOff>76200</xdr:rowOff>
    </xdr:from>
    <xdr:to>
      <xdr:col>2</xdr:col>
      <xdr:colOff>981075</xdr:colOff>
      <xdr:row>227</xdr:row>
      <xdr:rowOff>9525</xdr:rowOff>
    </xdr:to>
    <xdr:sp macro="" textlink="">
      <xdr:nvSpPr>
        <xdr:cNvPr id="230" name="Line 44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>
          <a:spLocks noChangeShapeType="1"/>
        </xdr:cNvSpPr>
      </xdr:nvSpPr>
      <xdr:spPr bwMode="auto">
        <a:xfrm flipV="1">
          <a:off x="600075" y="69618225"/>
          <a:ext cx="800100" cy="419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409575</xdr:colOff>
      <xdr:row>185</xdr:row>
      <xdr:rowOff>142874</xdr:rowOff>
    </xdr:from>
    <xdr:to>
      <xdr:col>2</xdr:col>
      <xdr:colOff>962025</xdr:colOff>
      <xdr:row>190</xdr:row>
      <xdr:rowOff>47624</xdr:rowOff>
    </xdr:to>
    <xdr:sp macro="" textlink="">
      <xdr:nvSpPr>
        <xdr:cNvPr id="231" name="Rectangle 1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>
          <a:spLocks noChangeArrowheads="1"/>
        </xdr:cNvSpPr>
      </xdr:nvSpPr>
      <xdr:spPr bwMode="auto">
        <a:xfrm>
          <a:off x="828675" y="62283974"/>
          <a:ext cx="552450" cy="857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s-ES"/>
            <a:t>C</a:t>
          </a:r>
        </a:p>
        <a:p>
          <a:endParaRPr lang="es-ES"/>
        </a:p>
      </xdr:txBody>
    </xdr:sp>
    <xdr:clientData/>
  </xdr:twoCellAnchor>
  <xdr:twoCellAnchor>
    <xdr:from>
      <xdr:col>1</xdr:col>
      <xdr:colOff>0</xdr:colOff>
      <xdr:row>188</xdr:row>
      <xdr:rowOff>38100</xdr:rowOff>
    </xdr:from>
    <xdr:to>
      <xdr:col>1</xdr:col>
      <xdr:colOff>0</xdr:colOff>
      <xdr:row>188</xdr:row>
      <xdr:rowOff>38100</xdr:rowOff>
    </xdr:to>
    <xdr:sp macro="" textlink="">
      <xdr:nvSpPr>
        <xdr:cNvPr id="236" name="Line 246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>
          <a:spLocks noChangeShapeType="1"/>
        </xdr:cNvSpPr>
      </xdr:nvSpPr>
      <xdr:spPr bwMode="auto">
        <a:xfrm flipH="1" flipV="1">
          <a:off x="66675" y="62750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201512</xdr:colOff>
      <xdr:row>185</xdr:row>
      <xdr:rowOff>18050</xdr:rowOff>
    </xdr:from>
    <xdr:to>
      <xdr:col>2</xdr:col>
      <xdr:colOff>440753</xdr:colOff>
      <xdr:row>185</xdr:row>
      <xdr:rowOff>128870</xdr:rowOff>
    </xdr:to>
    <xdr:sp macro="" textlink="">
      <xdr:nvSpPr>
        <xdr:cNvPr id="237" name="196 Abrir llave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 rot="5400000">
          <a:off x="684823" y="62094939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6470</xdr:colOff>
      <xdr:row>185</xdr:row>
      <xdr:rowOff>154406</xdr:rowOff>
    </xdr:from>
    <xdr:to>
      <xdr:col>2</xdr:col>
      <xdr:colOff>390525</xdr:colOff>
      <xdr:row>188</xdr:row>
      <xdr:rowOff>38101</xdr:rowOff>
    </xdr:to>
    <xdr:sp macro="" textlink="">
      <xdr:nvSpPr>
        <xdr:cNvPr id="238" name="Rectangle 6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>
          <a:spLocks noChangeArrowheads="1"/>
        </xdr:cNvSpPr>
      </xdr:nvSpPr>
      <xdr:spPr bwMode="auto">
        <a:xfrm>
          <a:off x="425570" y="62295506"/>
          <a:ext cx="384055" cy="4551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s-ES"/>
            <a:t>B</a:t>
          </a:r>
        </a:p>
        <a:p>
          <a:endParaRPr lang="es-ES"/>
        </a:p>
      </xdr:txBody>
    </xdr:sp>
    <xdr:clientData/>
  </xdr:twoCellAnchor>
  <xdr:twoCellAnchor>
    <xdr:from>
      <xdr:col>2</xdr:col>
      <xdr:colOff>9848</xdr:colOff>
      <xdr:row>188</xdr:row>
      <xdr:rowOff>57150</xdr:rowOff>
    </xdr:from>
    <xdr:to>
      <xdr:col>2</xdr:col>
      <xdr:colOff>390525</xdr:colOff>
      <xdr:row>190</xdr:row>
      <xdr:rowOff>38100</xdr:rowOff>
    </xdr:to>
    <xdr:sp macro="" textlink="">
      <xdr:nvSpPr>
        <xdr:cNvPr id="239" name="Rectangle 1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>
          <a:spLocks noChangeArrowheads="1"/>
        </xdr:cNvSpPr>
      </xdr:nvSpPr>
      <xdr:spPr bwMode="auto">
        <a:xfrm>
          <a:off x="428948" y="62769750"/>
          <a:ext cx="380677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A</a:t>
          </a:r>
        </a:p>
        <a:p>
          <a:pPr algn="ctr"/>
          <a:endParaRPr lang="es-CL"/>
        </a:p>
        <a:p>
          <a:pPr algn="ctr"/>
          <a:endParaRPr lang="es-CL"/>
        </a:p>
      </xdr:txBody>
    </xdr:sp>
    <xdr:clientData/>
  </xdr:twoCellAnchor>
  <xdr:twoCellAnchor>
    <xdr:from>
      <xdr:col>2</xdr:col>
      <xdr:colOff>209549</xdr:colOff>
      <xdr:row>186</xdr:row>
      <xdr:rowOff>1</xdr:rowOff>
    </xdr:from>
    <xdr:to>
      <xdr:col>2</xdr:col>
      <xdr:colOff>390525</xdr:colOff>
      <xdr:row>188</xdr:row>
      <xdr:rowOff>19051</xdr:rowOff>
    </xdr:to>
    <xdr:sp macro="" textlink="">
      <xdr:nvSpPr>
        <xdr:cNvPr id="240" name="Line 133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>
          <a:spLocks noChangeShapeType="1"/>
        </xdr:cNvSpPr>
      </xdr:nvSpPr>
      <xdr:spPr bwMode="auto">
        <a:xfrm flipH="1">
          <a:off x="628649" y="62331601"/>
          <a:ext cx="180976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186</xdr:row>
      <xdr:rowOff>4521</xdr:rowOff>
    </xdr:from>
    <xdr:to>
      <xdr:col>2</xdr:col>
      <xdr:colOff>200025</xdr:colOff>
      <xdr:row>188</xdr:row>
      <xdr:rowOff>38100</xdr:rowOff>
    </xdr:to>
    <xdr:sp macro="" textlink="">
      <xdr:nvSpPr>
        <xdr:cNvPr id="241" name="Line 134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>
          <a:spLocks noChangeShapeType="1"/>
        </xdr:cNvSpPr>
      </xdr:nvSpPr>
      <xdr:spPr bwMode="auto">
        <a:xfrm>
          <a:off x="438150" y="62336121"/>
          <a:ext cx="180975" cy="41457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230</xdr:row>
      <xdr:rowOff>66675</xdr:rowOff>
    </xdr:from>
    <xdr:to>
      <xdr:col>2</xdr:col>
      <xdr:colOff>981075</xdr:colOff>
      <xdr:row>233</xdr:row>
      <xdr:rowOff>0</xdr:rowOff>
    </xdr:to>
    <xdr:sp macro="" textlink="">
      <xdr:nvSpPr>
        <xdr:cNvPr id="242" name="Rectangle 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>
          <a:spLocks noChangeArrowheads="1"/>
        </xdr:cNvSpPr>
      </xdr:nvSpPr>
      <xdr:spPr bwMode="auto">
        <a:xfrm>
          <a:off x="600075" y="70580250"/>
          <a:ext cx="80010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590550</xdr:colOff>
      <xdr:row>230</xdr:row>
      <xdr:rowOff>76200</xdr:rowOff>
    </xdr:from>
    <xdr:to>
      <xdr:col>2</xdr:col>
      <xdr:colOff>590550</xdr:colOff>
      <xdr:row>232</xdr:row>
      <xdr:rowOff>152400</xdr:rowOff>
    </xdr:to>
    <xdr:sp macro="" textlink="">
      <xdr:nvSpPr>
        <xdr:cNvPr id="246" name="Line 42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>
          <a:spLocks noChangeShapeType="1"/>
        </xdr:cNvSpPr>
      </xdr:nvSpPr>
      <xdr:spPr bwMode="auto">
        <a:xfrm>
          <a:off x="1009650" y="70589775"/>
          <a:ext cx="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230</xdr:row>
      <xdr:rowOff>76200</xdr:rowOff>
    </xdr:from>
    <xdr:to>
      <xdr:col>2</xdr:col>
      <xdr:colOff>981075</xdr:colOff>
      <xdr:row>233</xdr:row>
      <xdr:rowOff>0</xdr:rowOff>
    </xdr:to>
    <xdr:sp macro="" textlink="">
      <xdr:nvSpPr>
        <xdr:cNvPr id="247" name="Line 43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>
          <a:spLocks noChangeShapeType="1"/>
        </xdr:cNvSpPr>
      </xdr:nvSpPr>
      <xdr:spPr bwMode="auto">
        <a:xfrm>
          <a:off x="600075" y="70589775"/>
          <a:ext cx="80010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230</xdr:row>
      <xdr:rowOff>76200</xdr:rowOff>
    </xdr:from>
    <xdr:to>
      <xdr:col>2</xdr:col>
      <xdr:colOff>981075</xdr:colOff>
      <xdr:row>233</xdr:row>
      <xdr:rowOff>9525</xdr:rowOff>
    </xdr:to>
    <xdr:sp macro="" textlink="">
      <xdr:nvSpPr>
        <xdr:cNvPr id="248" name="Line 44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>
          <a:spLocks noChangeShapeType="1"/>
        </xdr:cNvSpPr>
      </xdr:nvSpPr>
      <xdr:spPr bwMode="auto">
        <a:xfrm flipV="1">
          <a:off x="600075" y="70589775"/>
          <a:ext cx="800100" cy="419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</xdr:colOff>
      <xdr:row>67</xdr:row>
      <xdr:rowOff>66675</xdr:rowOff>
    </xdr:from>
    <xdr:to>
      <xdr:col>2</xdr:col>
      <xdr:colOff>619125</xdr:colOff>
      <xdr:row>70</xdr:row>
      <xdr:rowOff>133350</xdr:rowOff>
    </xdr:to>
    <xdr:sp macro="" textlink="">
      <xdr:nvSpPr>
        <xdr:cNvPr id="249" name="Rectangle 1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>
          <a:spLocks noChangeArrowheads="1"/>
        </xdr:cNvSpPr>
      </xdr:nvSpPr>
      <xdr:spPr bwMode="auto">
        <a:xfrm>
          <a:off x="485775" y="39728775"/>
          <a:ext cx="552450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11</xdr:row>
      <xdr:rowOff>104775</xdr:rowOff>
    </xdr:from>
    <xdr:to>
      <xdr:col>2</xdr:col>
      <xdr:colOff>638175</xdr:colOff>
      <xdr:row>14</xdr:row>
      <xdr:rowOff>152400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520065" y="2177415"/>
          <a:ext cx="5524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11</xdr:row>
      <xdr:rowOff>104775</xdr:rowOff>
    </xdr:from>
    <xdr:to>
      <xdr:col>2</xdr:col>
      <xdr:colOff>638175</xdr:colOff>
      <xdr:row>14</xdr:row>
      <xdr:rowOff>152400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520065" y="2177415"/>
          <a:ext cx="5524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95250</xdr:colOff>
      <xdr:row>11</xdr:row>
      <xdr:rowOff>95251</xdr:rowOff>
    </xdr:from>
    <xdr:to>
      <xdr:col>2</xdr:col>
      <xdr:colOff>647700</xdr:colOff>
      <xdr:row>13</xdr:row>
      <xdr:rowOff>38101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>
          <a:off x="529590" y="2167891"/>
          <a:ext cx="5524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85724</xdr:colOff>
      <xdr:row>13</xdr:row>
      <xdr:rowOff>47625</xdr:rowOff>
    </xdr:from>
    <xdr:to>
      <xdr:col>2</xdr:col>
      <xdr:colOff>628649</xdr:colOff>
      <xdr:row>14</xdr:row>
      <xdr:rowOff>133350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H="1">
          <a:off x="520064" y="2501265"/>
          <a:ext cx="542925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152400</xdr:colOff>
      <xdr:row>6</xdr:row>
      <xdr:rowOff>57150</xdr:rowOff>
    </xdr:from>
    <xdr:to>
      <xdr:col>2</xdr:col>
      <xdr:colOff>876300</xdr:colOff>
      <xdr:row>9</xdr:row>
      <xdr:rowOff>0</xdr:rowOff>
    </xdr:to>
    <xdr:sp macro="" textlink="">
      <xdr:nvSpPr>
        <xdr:cNvPr id="6" name="Rectangle 13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586740" y="1200150"/>
          <a:ext cx="723900" cy="4914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514350</xdr:colOff>
      <xdr:row>6</xdr:row>
      <xdr:rowOff>66675</xdr:rowOff>
    </xdr:from>
    <xdr:to>
      <xdr:col>2</xdr:col>
      <xdr:colOff>514350</xdr:colOff>
      <xdr:row>9</xdr:row>
      <xdr:rowOff>0</xdr:rowOff>
    </xdr:to>
    <xdr:sp macro="" textlink="">
      <xdr:nvSpPr>
        <xdr:cNvPr id="7" name="Line 13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ShapeType="1"/>
        </xdr:cNvSpPr>
      </xdr:nvSpPr>
      <xdr:spPr bwMode="auto">
        <a:xfrm>
          <a:off x="948690" y="1209675"/>
          <a:ext cx="0" cy="4819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190500</xdr:colOff>
      <xdr:row>7</xdr:row>
      <xdr:rowOff>95250</xdr:rowOff>
    </xdr:from>
    <xdr:to>
      <xdr:col>2</xdr:col>
      <xdr:colOff>438150</xdr:colOff>
      <xdr:row>7</xdr:row>
      <xdr:rowOff>95250</xdr:rowOff>
    </xdr:to>
    <xdr:sp macro="" textlink="">
      <xdr:nvSpPr>
        <xdr:cNvPr id="8" name="Line 13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ShapeType="1"/>
        </xdr:cNvSpPr>
      </xdr:nvSpPr>
      <xdr:spPr bwMode="auto">
        <a:xfrm>
          <a:off x="624840" y="140589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590550</xdr:colOff>
      <xdr:row>7</xdr:row>
      <xdr:rowOff>95250</xdr:rowOff>
    </xdr:from>
    <xdr:to>
      <xdr:col>2</xdr:col>
      <xdr:colOff>838200</xdr:colOff>
      <xdr:row>7</xdr:row>
      <xdr:rowOff>95250</xdr:rowOff>
    </xdr:to>
    <xdr:sp macro="" textlink="">
      <xdr:nvSpPr>
        <xdr:cNvPr id="9" name="Line 14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ShapeType="1"/>
        </xdr:cNvSpPr>
      </xdr:nvSpPr>
      <xdr:spPr bwMode="auto">
        <a:xfrm flipH="1">
          <a:off x="1024890" y="140589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152400</xdr:colOff>
      <xdr:row>6</xdr:row>
      <xdr:rowOff>57150</xdr:rowOff>
    </xdr:from>
    <xdr:to>
      <xdr:col>2</xdr:col>
      <xdr:colOff>876300</xdr:colOff>
      <xdr:row>9</xdr:row>
      <xdr:rowOff>0</xdr:rowOff>
    </xdr:to>
    <xdr:sp macro="" textlink="">
      <xdr:nvSpPr>
        <xdr:cNvPr id="10" name="Rectangle 13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586740" y="1200150"/>
          <a:ext cx="723900" cy="4914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514350</xdr:colOff>
      <xdr:row>6</xdr:row>
      <xdr:rowOff>66675</xdr:rowOff>
    </xdr:from>
    <xdr:to>
      <xdr:col>2</xdr:col>
      <xdr:colOff>514350</xdr:colOff>
      <xdr:row>9</xdr:row>
      <xdr:rowOff>0</xdr:rowOff>
    </xdr:to>
    <xdr:sp macro="" textlink="">
      <xdr:nvSpPr>
        <xdr:cNvPr id="11" name="Line 138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ShapeType="1"/>
        </xdr:cNvSpPr>
      </xdr:nvSpPr>
      <xdr:spPr bwMode="auto">
        <a:xfrm>
          <a:off x="948690" y="1209675"/>
          <a:ext cx="0" cy="4819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190500</xdr:colOff>
      <xdr:row>7</xdr:row>
      <xdr:rowOff>95250</xdr:rowOff>
    </xdr:from>
    <xdr:to>
      <xdr:col>2</xdr:col>
      <xdr:colOff>438150</xdr:colOff>
      <xdr:row>7</xdr:row>
      <xdr:rowOff>95250</xdr:rowOff>
    </xdr:to>
    <xdr:sp macro="" textlink="">
      <xdr:nvSpPr>
        <xdr:cNvPr id="12" name="Line 139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624840" y="140589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152400</xdr:colOff>
      <xdr:row>1</xdr:row>
      <xdr:rowOff>57150</xdr:rowOff>
    </xdr:from>
    <xdr:to>
      <xdr:col>2</xdr:col>
      <xdr:colOff>876300</xdr:colOff>
      <xdr:row>4</xdr:row>
      <xdr:rowOff>0</xdr:rowOff>
    </xdr:to>
    <xdr:sp macro="" textlink="">
      <xdr:nvSpPr>
        <xdr:cNvPr id="13" name="Rectangle 137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586740" y="247650"/>
          <a:ext cx="723900" cy="514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514350</xdr:colOff>
      <xdr:row>1</xdr:row>
      <xdr:rowOff>66675</xdr:rowOff>
    </xdr:from>
    <xdr:to>
      <xdr:col>2</xdr:col>
      <xdr:colOff>514350</xdr:colOff>
      <xdr:row>4</xdr:row>
      <xdr:rowOff>0</xdr:rowOff>
    </xdr:to>
    <xdr:sp macro="" textlink="">
      <xdr:nvSpPr>
        <xdr:cNvPr id="14" name="Line 138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ShapeType="1"/>
        </xdr:cNvSpPr>
      </xdr:nvSpPr>
      <xdr:spPr bwMode="auto">
        <a:xfrm>
          <a:off x="948690" y="257175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190500</xdr:colOff>
      <xdr:row>2</xdr:row>
      <xdr:rowOff>95250</xdr:rowOff>
    </xdr:from>
    <xdr:to>
      <xdr:col>2</xdr:col>
      <xdr:colOff>438150</xdr:colOff>
      <xdr:row>2</xdr:row>
      <xdr:rowOff>95250</xdr:rowOff>
    </xdr:to>
    <xdr:sp macro="" textlink="">
      <xdr:nvSpPr>
        <xdr:cNvPr id="15" name="Line 139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ShapeType="1"/>
        </xdr:cNvSpPr>
      </xdr:nvSpPr>
      <xdr:spPr bwMode="auto">
        <a:xfrm>
          <a:off x="624840" y="4762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581025</xdr:colOff>
      <xdr:row>2</xdr:row>
      <xdr:rowOff>85725</xdr:rowOff>
    </xdr:from>
    <xdr:to>
      <xdr:col>2</xdr:col>
      <xdr:colOff>828675</xdr:colOff>
      <xdr:row>2</xdr:row>
      <xdr:rowOff>85725</xdr:rowOff>
    </xdr:to>
    <xdr:sp macro="" textlink="">
      <xdr:nvSpPr>
        <xdr:cNvPr id="16" name="Line 140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ShapeType="1"/>
        </xdr:cNvSpPr>
      </xdr:nvSpPr>
      <xdr:spPr bwMode="auto">
        <a:xfrm flipH="1">
          <a:off x="1015365" y="46672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600075</xdr:colOff>
      <xdr:row>7</xdr:row>
      <xdr:rowOff>85725</xdr:rowOff>
    </xdr:from>
    <xdr:to>
      <xdr:col>2</xdr:col>
      <xdr:colOff>847725</xdr:colOff>
      <xdr:row>7</xdr:row>
      <xdr:rowOff>85725</xdr:rowOff>
    </xdr:to>
    <xdr:sp macro="" textlink="">
      <xdr:nvSpPr>
        <xdr:cNvPr id="17" name="Line 140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ShapeType="1"/>
        </xdr:cNvSpPr>
      </xdr:nvSpPr>
      <xdr:spPr bwMode="auto">
        <a:xfrm flipH="1">
          <a:off x="1034415" y="139636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66675</xdr:colOff>
      <xdr:row>23</xdr:row>
      <xdr:rowOff>66675</xdr:rowOff>
    </xdr:from>
    <xdr:to>
      <xdr:col>2</xdr:col>
      <xdr:colOff>619125</xdr:colOff>
      <xdr:row>26</xdr:row>
      <xdr:rowOff>133350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501015" y="4394835"/>
          <a:ext cx="552450" cy="6153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17</xdr:row>
      <xdr:rowOff>104775</xdr:rowOff>
    </xdr:from>
    <xdr:to>
      <xdr:col>2</xdr:col>
      <xdr:colOff>638175</xdr:colOff>
      <xdr:row>20</xdr:row>
      <xdr:rowOff>152400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520065" y="3320415"/>
          <a:ext cx="552450" cy="6115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17</xdr:row>
      <xdr:rowOff>104775</xdr:rowOff>
    </xdr:from>
    <xdr:to>
      <xdr:col>2</xdr:col>
      <xdr:colOff>638175</xdr:colOff>
      <xdr:row>20</xdr:row>
      <xdr:rowOff>152400</xdr:rowOff>
    </xdr:to>
    <xdr:sp macro="" textlink="">
      <xdr:nvSpPr>
        <xdr:cNvPr id="20" name="Rectangle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520065" y="3320415"/>
          <a:ext cx="552450" cy="6115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376115</xdr:colOff>
      <xdr:row>17</xdr:row>
      <xdr:rowOff>119673</xdr:rowOff>
    </xdr:from>
    <xdr:to>
      <xdr:col>2</xdr:col>
      <xdr:colOff>642815</xdr:colOff>
      <xdr:row>20</xdr:row>
      <xdr:rowOff>148248</xdr:rowOff>
    </xdr:to>
    <xdr:sp macro="" textlink="">
      <xdr:nvSpPr>
        <xdr:cNvPr id="21" name="Line 4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ShapeType="1"/>
        </xdr:cNvSpPr>
      </xdr:nvSpPr>
      <xdr:spPr bwMode="auto">
        <a:xfrm>
          <a:off x="810455" y="3335313"/>
          <a:ext cx="266700" cy="5924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112346</xdr:colOff>
      <xdr:row>17</xdr:row>
      <xdr:rowOff>107461</xdr:rowOff>
    </xdr:from>
    <xdr:to>
      <xdr:col>2</xdr:col>
      <xdr:colOff>350471</xdr:colOff>
      <xdr:row>20</xdr:row>
      <xdr:rowOff>136036</xdr:rowOff>
    </xdr:to>
    <xdr:sp macro="" textlink="">
      <xdr:nvSpPr>
        <xdr:cNvPr id="22" name="Line 5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ShapeType="1"/>
        </xdr:cNvSpPr>
      </xdr:nvSpPr>
      <xdr:spPr bwMode="auto">
        <a:xfrm flipH="1">
          <a:off x="546686" y="3323101"/>
          <a:ext cx="238125" cy="5924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90363</xdr:colOff>
      <xdr:row>19</xdr:row>
      <xdr:rowOff>38100</xdr:rowOff>
    </xdr:from>
    <xdr:to>
      <xdr:col>2</xdr:col>
      <xdr:colOff>641349</xdr:colOff>
      <xdr:row>20</xdr:row>
      <xdr:rowOff>141898</xdr:rowOff>
    </xdr:to>
    <xdr:sp macro="" textlink="">
      <xdr:nvSpPr>
        <xdr:cNvPr id="23" name="Line 4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ShapeType="1"/>
        </xdr:cNvSpPr>
      </xdr:nvSpPr>
      <xdr:spPr bwMode="auto">
        <a:xfrm flipH="1">
          <a:off x="524703" y="3634740"/>
          <a:ext cx="550986" cy="28667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77665</xdr:colOff>
      <xdr:row>17</xdr:row>
      <xdr:rowOff>100623</xdr:rowOff>
    </xdr:from>
    <xdr:to>
      <xdr:col>2</xdr:col>
      <xdr:colOff>615951</xdr:colOff>
      <xdr:row>19</xdr:row>
      <xdr:rowOff>25400</xdr:rowOff>
    </xdr:to>
    <xdr:sp macro="" textlink="">
      <xdr:nvSpPr>
        <xdr:cNvPr id="24" name="Line 4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ShapeType="1"/>
        </xdr:cNvSpPr>
      </xdr:nvSpPr>
      <xdr:spPr bwMode="auto">
        <a:xfrm>
          <a:off x="512005" y="3316263"/>
          <a:ext cx="538286" cy="3057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29</xdr:row>
      <xdr:rowOff>104775</xdr:rowOff>
    </xdr:from>
    <xdr:to>
      <xdr:col>2</xdr:col>
      <xdr:colOff>638175</xdr:colOff>
      <xdr:row>32</xdr:row>
      <xdr:rowOff>152400</xdr:rowOff>
    </xdr:to>
    <xdr:sp macro="" textlink="">
      <xdr:nvSpPr>
        <xdr:cNvPr id="25" name="Rectangle 3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rrowheads="1"/>
        </xdr:cNvSpPr>
      </xdr:nvSpPr>
      <xdr:spPr bwMode="auto">
        <a:xfrm>
          <a:off x="520065" y="5530215"/>
          <a:ext cx="552450" cy="5962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95250</xdr:colOff>
      <xdr:row>29</xdr:row>
      <xdr:rowOff>95250</xdr:rowOff>
    </xdr:from>
    <xdr:to>
      <xdr:col>2</xdr:col>
      <xdr:colOff>361950</xdr:colOff>
      <xdr:row>32</xdr:row>
      <xdr:rowOff>123825</xdr:rowOff>
    </xdr:to>
    <xdr:sp macro="" textlink="">
      <xdr:nvSpPr>
        <xdr:cNvPr id="26" name="Line 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ShapeType="1"/>
        </xdr:cNvSpPr>
      </xdr:nvSpPr>
      <xdr:spPr bwMode="auto">
        <a:xfrm>
          <a:off x="529590" y="5520690"/>
          <a:ext cx="266700" cy="577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381000</xdr:colOff>
      <xdr:row>29</xdr:row>
      <xdr:rowOff>95250</xdr:rowOff>
    </xdr:from>
    <xdr:to>
      <xdr:col>2</xdr:col>
      <xdr:colOff>619125</xdr:colOff>
      <xdr:row>32</xdr:row>
      <xdr:rowOff>123825</xdr:rowOff>
    </xdr:to>
    <xdr:sp macro="" textlink="">
      <xdr:nvSpPr>
        <xdr:cNvPr id="27" name="Line 5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ShapeType="1"/>
        </xdr:cNvSpPr>
      </xdr:nvSpPr>
      <xdr:spPr bwMode="auto">
        <a:xfrm flipH="1">
          <a:off x="815340" y="5520690"/>
          <a:ext cx="238125" cy="577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361949</xdr:colOff>
      <xdr:row>35</xdr:row>
      <xdr:rowOff>66676</xdr:rowOff>
    </xdr:from>
    <xdr:to>
      <xdr:col>2</xdr:col>
      <xdr:colOff>714374</xdr:colOff>
      <xdr:row>39</xdr:row>
      <xdr:rowOff>142876</xdr:rowOff>
    </xdr:to>
    <xdr:sp macro="" textlink="">
      <xdr:nvSpPr>
        <xdr:cNvPr id="28" name="Rectangle 38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796289" y="6589396"/>
          <a:ext cx="352425" cy="8077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352425</xdr:colOff>
      <xdr:row>35</xdr:row>
      <xdr:rowOff>76200</xdr:rowOff>
    </xdr:from>
    <xdr:to>
      <xdr:col>2</xdr:col>
      <xdr:colOff>704850</xdr:colOff>
      <xdr:row>37</xdr:row>
      <xdr:rowOff>152400</xdr:rowOff>
    </xdr:to>
    <xdr:sp macro="" textlink="">
      <xdr:nvSpPr>
        <xdr:cNvPr id="29" name="Line 39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ShapeType="1"/>
        </xdr:cNvSpPr>
      </xdr:nvSpPr>
      <xdr:spPr bwMode="auto">
        <a:xfrm flipV="1">
          <a:off x="786765" y="6598920"/>
          <a:ext cx="352425" cy="4419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361949</xdr:colOff>
      <xdr:row>38</xdr:row>
      <xdr:rowOff>0</xdr:rowOff>
    </xdr:from>
    <xdr:to>
      <xdr:col>2</xdr:col>
      <xdr:colOff>714374</xdr:colOff>
      <xdr:row>39</xdr:row>
      <xdr:rowOff>142875</xdr:rowOff>
    </xdr:to>
    <xdr:sp macro="" textlink="">
      <xdr:nvSpPr>
        <xdr:cNvPr id="30" name="Line 40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ShapeType="1"/>
        </xdr:cNvSpPr>
      </xdr:nvSpPr>
      <xdr:spPr bwMode="auto">
        <a:xfrm>
          <a:off x="796289" y="7071360"/>
          <a:ext cx="352425" cy="3257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514350</xdr:colOff>
      <xdr:row>149</xdr:row>
      <xdr:rowOff>95929</xdr:rowOff>
    </xdr:from>
    <xdr:to>
      <xdr:col>2</xdr:col>
      <xdr:colOff>915760</xdr:colOff>
      <xdr:row>151</xdr:row>
      <xdr:rowOff>159884</xdr:rowOff>
    </xdr:to>
    <xdr:sp macro="" textlink="">
      <xdr:nvSpPr>
        <xdr:cNvPr id="31" name="Rectangle 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948690" y="27466969"/>
          <a:ext cx="401410" cy="4297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98295</xdr:colOff>
      <xdr:row>149</xdr:row>
      <xdr:rowOff>95964</xdr:rowOff>
    </xdr:from>
    <xdr:to>
      <xdr:col>2</xdr:col>
      <xdr:colOff>514349</xdr:colOff>
      <xdr:row>152</xdr:row>
      <xdr:rowOff>0</xdr:rowOff>
    </xdr:to>
    <xdr:sp macro="" textlink="">
      <xdr:nvSpPr>
        <xdr:cNvPr id="32" name="Rectangle 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532635" y="27467004"/>
          <a:ext cx="416054" cy="4526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723899</xdr:colOff>
      <xdr:row>149</xdr:row>
      <xdr:rowOff>104094</xdr:rowOff>
    </xdr:from>
    <xdr:to>
      <xdr:col>2</xdr:col>
      <xdr:colOff>906235</xdr:colOff>
      <xdr:row>151</xdr:row>
      <xdr:rowOff>153079</xdr:rowOff>
    </xdr:to>
    <xdr:sp macro="" textlink="">
      <xdr:nvSpPr>
        <xdr:cNvPr id="33" name="Line 13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ShapeType="1"/>
        </xdr:cNvSpPr>
      </xdr:nvSpPr>
      <xdr:spPr bwMode="auto">
        <a:xfrm flipH="1">
          <a:off x="1158239" y="27475134"/>
          <a:ext cx="182336" cy="4147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523861</xdr:colOff>
      <xdr:row>149</xdr:row>
      <xdr:rowOff>92505</xdr:rowOff>
    </xdr:from>
    <xdr:to>
      <xdr:col>2</xdr:col>
      <xdr:colOff>727982</xdr:colOff>
      <xdr:row>151</xdr:row>
      <xdr:rowOff>156482</xdr:rowOff>
    </xdr:to>
    <xdr:sp macro="" textlink="">
      <xdr:nvSpPr>
        <xdr:cNvPr id="34" name="Line 134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ShapeType="1"/>
        </xdr:cNvSpPr>
      </xdr:nvSpPr>
      <xdr:spPr bwMode="auto">
        <a:xfrm>
          <a:off x="958201" y="27463545"/>
          <a:ext cx="204121" cy="42973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295274</xdr:colOff>
      <xdr:row>149</xdr:row>
      <xdr:rowOff>95250</xdr:rowOff>
    </xdr:from>
    <xdr:to>
      <xdr:col>2</xdr:col>
      <xdr:colOff>510267</xdr:colOff>
      <xdr:row>151</xdr:row>
      <xdr:rowOff>153760</xdr:rowOff>
    </xdr:to>
    <xdr:sp macro="" textlink="">
      <xdr:nvSpPr>
        <xdr:cNvPr id="35" name="Line 13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ShapeType="1"/>
        </xdr:cNvSpPr>
      </xdr:nvSpPr>
      <xdr:spPr bwMode="auto">
        <a:xfrm flipH="1">
          <a:off x="729614" y="27466290"/>
          <a:ext cx="214993" cy="4242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149</xdr:row>
      <xdr:rowOff>85725</xdr:rowOff>
    </xdr:from>
    <xdr:to>
      <xdr:col>2</xdr:col>
      <xdr:colOff>299358</xdr:colOff>
      <xdr:row>152</xdr:row>
      <xdr:rowOff>3402</xdr:rowOff>
    </xdr:to>
    <xdr:sp macro="" textlink="">
      <xdr:nvSpPr>
        <xdr:cNvPr id="36" name="Line 134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ShapeType="1"/>
        </xdr:cNvSpPr>
      </xdr:nvSpPr>
      <xdr:spPr bwMode="auto">
        <a:xfrm>
          <a:off x="529590" y="27456765"/>
          <a:ext cx="204108" cy="46631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143</xdr:row>
      <xdr:rowOff>38100</xdr:rowOff>
    </xdr:from>
    <xdr:to>
      <xdr:col>1</xdr:col>
      <xdr:colOff>0</xdr:colOff>
      <xdr:row>143</xdr:row>
      <xdr:rowOff>38100</xdr:rowOff>
    </xdr:to>
    <xdr:sp macro="" textlink="">
      <xdr:nvSpPr>
        <xdr:cNvPr id="37" name="Line 24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ShapeType="1"/>
        </xdr:cNvSpPr>
      </xdr:nvSpPr>
      <xdr:spPr bwMode="auto">
        <a:xfrm flipH="1" flipV="1">
          <a:off x="68580" y="263118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140</xdr:row>
      <xdr:rowOff>46622</xdr:rowOff>
    </xdr:from>
    <xdr:to>
      <xdr:col>2</xdr:col>
      <xdr:colOff>459803</xdr:colOff>
      <xdr:row>140</xdr:row>
      <xdr:rowOff>157442</xdr:rowOff>
    </xdr:to>
    <xdr:sp macro="" textlink="">
      <xdr:nvSpPr>
        <xdr:cNvPr id="38" name="8 Abrir llave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 rot="5400000">
          <a:off x="719113" y="2570753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111245</xdr:colOff>
      <xdr:row>141</xdr:row>
      <xdr:rowOff>2006</xdr:rowOff>
    </xdr:from>
    <xdr:to>
      <xdr:col>2</xdr:col>
      <xdr:colOff>619125</xdr:colOff>
      <xdr:row>143</xdr:row>
      <xdr:rowOff>47626</xdr:rowOff>
    </xdr:to>
    <xdr:sp macro="" textlink="">
      <xdr:nvSpPr>
        <xdr:cNvPr id="39" name="Rectangle 6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545585" y="25910006"/>
          <a:ext cx="507880" cy="4113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114623</xdr:colOff>
      <xdr:row>143</xdr:row>
      <xdr:rowOff>66675</xdr:rowOff>
    </xdr:from>
    <xdr:to>
      <xdr:col>2</xdr:col>
      <xdr:colOff>619125</xdr:colOff>
      <xdr:row>146</xdr:row>
      <xdr:rowOff>145256</xdr:rowOff>
    </xdr:to>
    <xdr:sp macro="" textlink="">
      <xdr:nvSpPr>
        <xdr:cNvPr id="40" name="Rectangle 1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548963" y="26340435"/>
          <a:ext cx="504502" cy="62722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361948</xdr:colOff>
      <xdr:row>141</xdr:row>
      <xdr:rowOff>5444</xdr:rowOff>
    </xdr:from>
    <xdr:to>
      <xdr:col>2</xdr:col>
      <xdr:colOff>620484</xdr:colOff>
      <xdr:row>143</xdr:row>
      <xdr:rowOff>47626</xdr:rowOff>
    </xdr:to>
    <xdr:sp macro="" textlink="">
      <xdr:nvSpPr>
        <xdr:cNvPr id="41" name="Line 133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ShapeType="1"/>
        </xdr:cNvSpPr>
      </xdr:nvSpPr>
      <xdr:spPr bwMode="auto">
        <a:xfrm flipH="1">
          <a:off x="796288" y="25913444"/>
          <a:ext cx="258536" cy="40794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141</xdr:row>
      <xdr:rowOff>14046</xdr:rowOff>
    </xdr:from>
    <xdr:to>
      <xdr:col>2</xdr:col>
      <xdr:colOff>352425</xdr:colOff>
      <xdr:row>143</xdr:row>
      <xdr:rowOff>47625</xdr:rowOff>
    </xdr:to>
    <xdr:sp macro="" textlink="">
      <xdr:nvSpPr>
        <xdr:cNvPr id="42" name="Line 134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ShapeType="1"/>
        </xdr:cNvSpPr>
      </xdr:nvSpPr>
      <xdr:spPr bwMode="auto">
        <a:xfrm>
          <a:off x="539115" y="25922046"/>
          <a:ext cx="247650" cy="39933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241</xdr:row>
      <xdr:rowOff>104775</xdr:rowOff>
    </xdr:from>
    <xdr:to>
      <xdr:col>2</xdr:col>
      <xdr:colOff>638175</xdr:colOff>
      <xdr:row>244</xdr:row>
      <xdr:rowOff>152400</xdr:rowOff>
    </xdr:to>
    <xdr:sp macro="" textlink="">
      <xdr:nvSpPr>
        <xdr:cNvPr id="43" name="Rectangle 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20065" y="44148375"/>
          <a:ext cx="552450" cy="5962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241</xdr:row>
      <xdr:rowOff>104775</xdr:rowOff>
    </xdr:from>
    <xdr:to>
      <xdr:col>2</xdr:col>
      <xdr:colOff>638175</xdr:colOff>
      <xdr:row>244</xdr:row>
      <xdr:rowOff>152400</xdr:rowOff>
    </xdr:to>
    <xdr:sp macro="" textlink="">
      <xdr:nvSpPr>
        <xdr:cNvPr id="44" name="Rectangle 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520065" y="44148375"/>
          <a:ext cx="552450" cy="5962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95250</xdr:colOff>
      <xdr:row>241</xdr:row>
      <xdr:rowOff>95250</xdr:rowOff>
    </xdr:from>
    <xdr:to>
      <xdr:col>2</xdr:col>
      <xdr:colOff>361950</xdr:colOff>
      <xdr:row>244</xdr:row>
      <xdr:rowOff>123825</xdr:rowOff>
    </xdr:to>
    <xdr:sp macro="" textlink="">
      <xdr:nvSpPr>
        <xdr:cNvPr id="45" name="Line 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ShapeType="1"/>
        </xdr:cNvSpPr>
      </xdr:nvSpPr>
      <xdr:spPr bwMode="auto">
        <a:xfrm>
          <a:off x="529590" y="44138850"/>
          <a:ext cx="266700" cy="577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381000</xdr:colOff>
      <xdr:row>241</xdr:row>
      <xdr:rowOff>95250</xdr:rowOff>
    </xdr:from>
    <xdr:to>
      <xdr:col>2</xdr:col>
      <xdr:colOff>619125</xdr:colOff>
      <xdr:row>244</xdr:row>
      <xdr:rowOff>123825</xdr:rowOff>
    </xdr:to>
    <xdr:sp macro="" textlink="">
      <xdr:nvSpPr>
        <xdr:cNvPr id="46" name="Line 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ChangeShapeType="1"/>
        </xdr:cNvSpPr>
      </xdr:nvSpPr>
      <xdr:spPr bwMode="auto">
        <a:xfrm flipH="1">
          <a:off x="815340" y="44138850"/>
          <a:ext cx="238125" cy="577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</xdr:colOff>
      <xdr:row>247</xdr:row>
      <xdr:rowOff>66675</xdr:rowOff>
    </xdr:from>
    <xdr:to>
      <xdr:col>2</xdr:col>
      <xdr:colOff>619125</xdr:colOff>
      <xdr:row>250</xdr:row>
      <xdr:rowOff>133350</xdr:rowOff>
    </xdr:to>
    <xdr:sp macro="" textlink="">
      <xdr:nvSpPr>
        <xdr:cNvPr id="47" name="Rectangle 1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ChangeArrowheads="1"/>
        </xdr:cNvSpPr>
      </xdr:nvSpPr>
      <xdr:spPr bwMode="auto">
        <a:xfrm>
          <a:off x="501015" y="45207555"/>
          <a:ext cx="552450" cy="6153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85724</xdr:colOff>
      <xdr:row>249</xdr:row>
      <xdr:rowOff>133349</xdr:rowOff>
    </xdr:from>
    <xdr:to>
      <xdr:col>2</xdr:col>
      <xdr:colOff>638174</xdr:colOff>
      <xdr:row>249</xdr:row>
      <xdr:rowOff>142874</xdr:rowOff>
    </xdr:to>
    <xdr:sp macro="" textlink="">
      <xdr:nvSpPr>
        <xdr:cNvPr id="48" name="Line 5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>
          <a:spLocks noChangeShapeType="1"/>
        </xdr:cNvSpPr>
      </xdr:nvSpPr>
      <xdr:spPr bwMode="auto">
        <a:xfrm flipH="1">
          <a:off x="520064" y="45639989"/>
          <a:ext cx="5524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66674</xdr:colOff>
      <xdr:row>248</xdr:row>
      <xdr:rowOff>85725</xdr:rowOff>
    </xdr:from>
    <xdr:to>
      <xdr:col>2</xdr:col>
      <xdr:colOff>609599</xdr:colOff>
      <xdr:row>248</xdr:row>
      <xdr:rowOff>104775</xdr:rowOff>
    </xdr:to>
    <xdr:sp macro="" textlink="">
      <xdr:nvSpPr>
        <xdr:cNvPr id="49" name="Line 5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ChangeShapeType="1"/>
        </xdr:cNvSpPr>
      </xdr:nvSpPr>
      <xdr:spPr bwMode="auto">
        <a:xfrm flipH="1">
          <a:off x="501014" y="45409485"/>
          <a:ext cx="5429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263</xdr:row>
      <xdr:rowOff>38100</xdr:rowOff>
    </xdr:from>
    <xdr:to>
      <xdr:col>1</xdr:col>
      <xdr:colOff>0</xdr:colOff>
      <xdr:row>263</xdr:row>
      <xdr:rowOff>38100</xdr:rowOff>
    </xdr:to>
    <xdr:sp macro="" textlink="">
      <xdr:nvSpPr>
        <xdr:cNvPr id="50" name="Line 246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68580" y="48105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260</xdr:row>
      <xdr:rowOff>46622</xdr:rowOff>
    </xdr:from>
    <xdr:to>
      <xdr:col>2</xdr:col>
      <xdr:colOff>459803</xdr:colOff>
      <xdr:row>260</xdr:row>
      <xdr:rowOff>157442</xdr:rowOff>
    </xdr:to>
    <xdr:sp macro="" textlink="">
      <xdr:nvSpPr>
        <xdr:cNvPr id="51" name="21 Abrir llave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 rot="5400000">
          <a:off x="719113" y="4750073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595993</xdr:colOff>
      <xdr:row>261</xdr:row>
      <xdr:rowOff>13606</xdr:rowOff>
    </xdr:from>
    <xdr:to>
      <xdr:col>3</xdr:col>
      <xdr:colOff>16328</xdr:colOff>
      <xdr:row>263</xdr:row>
      <xdr:rowOff>76200</xdr:rowOff>
    </xdr:to>
    <xdr:sp macro="" textlink="">
      <xdr:nvSpPr>
        <xdr:cNvPr id="52" name="Rectangle 6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Arrowheads="1"/>
        </xdr:cNvSpPr>
      </xdr:nvSpPr>
      <xdr:spPr bwMode="auto">
        <a:xfrm>
          <a:off x="1030333" y="47714806"/>
          <a:ext cx="426175" cy="42835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145920</xdr:colOff>
      <xdr:row>261</xdr:row>
      <xdr:rowOff>10239</xdr:rowOff>
    </xdr:from>
    <xdr:to>
      <xdr:col>2</xdr:col>
      <xdr:colOff>561974</xdr:colOff>
      <xdr:row>263</xdr:row>
      <xdr:rowOff>76200</xdr:rowOff>
    </xdr:to>
    <xdr:sp macro="" textlink="">
      <xdr:nvSpPr>
        <xdr:cNvPr id="53" name="Rectangle 1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Arrowheads="1"/>
        </xdr:cNvSpPr>
      </xdr:nvSpPr>
      <xdr:spPr bwMode="auto">
        <a:xfrm>
          <a:off x="580260" y="47711439"/>
          <a:ext cx="416054" cy="43172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805542</xdr:colOff>
      <xdr:row>261</xdr:row>
      <xdr:rowOff>21771</xdr:rowOff>
    </xdr:from>
    <xdr:to>
      <xdr:col>3</xdr:col>
      <xdr:colOff>6803</xdr:colOff>
      <xdr:row>263</xdr:row>
      <xdr:rowOff>70756</xdr:rowOff>
    </xdr:to>
    <xdr:sp macro="" textlink="">
      <xdr:nvSpPr>
        <xdr:cNvPr id="54" name="Line 13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>
          <a:spLocks noChangeShapeType="1"/>
        </xdr:cNvSpPr>
      </xdr:nvSpPr>
      <xdr:spPr bwMode="auto">
        <a:xfrm flipH="1">
          <a:off x="1239882" y="47722971"/>
          <a:ext cx="207101" cy="4147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608240</xdr:colOff>
      <xdr:row>261</xdr:row>
      <xdr:rowOff>14967</xdr:rowOff>
    </xdr:from>
    <xdr:to>
      <xdr:col>2</xdr:col>
      <xdr:colOff>800966</xdr:colOff>
      <xdr:row>263</xdr:row>
      <xdr:rowOff>69273</xdr:rowOff>
    </xdr:to>
    <xdr:sp macro="" textlink="">
      <xdr:nvSpPr>
        <xdr:cNvPr id="55" name="Line 13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ShapeType="1"/>
        </xdr:cNvSpPr>
      </xdr:nvSpPr>
      <xdr:spPr bwMode="auto">
        <a:xfrm>
          <a:off x="1042580" y="47716167"/>
          <a:ext cx="192726" cy="42006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263</xdr:row>
      <xdr:rowOff>95250</xdr:rowOff>
    </xdr:from>
    <xdr:to>
      <xdr:col>3</xdr:col>
      <xdr:colOff>31295</xdr:colOff>
      <xdr:row>266</xdr:row>
      <xdr:rowOff>123825</xdr:rowOff>
    </xdr:to>
    <xdr:sp macro="" textlink="">
      <xdr:nvSpPr>
        <xdr:cNvPr id="56" name="Rectangle 1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Arrowheads="1"/>
        </xdr:cNvSpPr>
      </xdr:nvSpPr>
      <xdr:spPr bwMode="auto">
        <a:xfrm>
          <a:off x="577215" y="48162210"/>
          <a:ext cx="894260" cy="5772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605505</xdr:colOff>
      <xdr:row>261</xdr:row>
      <xdr:rowOff>10182</xdr:rowOff>
    </xdr:from>
    <xdr:to>
      <xdr:col>2</xdr:col>
      <xdr:colOff>798231</xdr:colOff>
      <xdr:row>263</xdr:row>
      <xdr:rowOff>64488</xdr:rowOff>
    </xdr:to>
    <xdr:sp macro="" textlink="">
      <xdr:nvSpPr>
        <xdr:cNvPr id="57" name="Line 134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ShapeType="1"/>
        </xdr:cNvSpPr>
      </xdr:nvSpPr>
      <xdr:spPr bwMode="auto">
        <a:xfrm>
          <a:off x="1039845" y="47711382"/>
          <a:ext cx="192726" cy="42006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342900</xdr:colOff>
      <xdr:row>261</xdr:row>
      <xdr:rowOff>19050</xdr:rowOff>
    </xdr:from>
    <xdr:to>
      <xdr:col>2</xdr:col>
      <xdr:colOff>534761</xdr:colOff>
      <xdr:row>263</xdr:row>
      <xdr:rowOff>68035</xdr:rowOff>
    </xdr:to>
    <xdr:sp macro="" textlink="">
      <xdr:nvSpPr>
        <xdr:cNvPr id="58" name="Line 133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ShapeType="1"/>
        </xdr:cNvSpPr>
      </xdr:nvSpPr>
      <xdr:spPr bwMode="auto">
        <a:xfrm flipH="1">
          <a:off x="777240" y="47720250"/>
          <a:ext cx="191861" cy="4147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261</xdr:row>
      <xdr:rowOff>0</xdr:rowOff>
    </xdr:from>
    <xdr:to>
      <xdr:col>2</xdr:col>
      <xdr:colOff>335601</xdr:colOff>
      <xdr:row>263</xdr:row>
      <xdr:rowOff>54306</xdr:rowOff>
    </xdr:to>
    <xdr:sp macro="" textlink="">
      <xdr:nvSpPr>
        <xdr:cNvPr id="59" name="Line 134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ShapeType="1"/>
        </xdr:cNvSpPr>
      </xdr:nvSpPr>
      <xdr:spPr bwMode="auto">
        <a:xfrm>
          <a:off x="577215" y="47701200"/>
          <a:ext cx="192726" cy="42006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38100</xdr:rowOff>
    </xdr:from>
    <xdr:to>
      <xdr:col>1</xdr:col>
      <xdr:colOff>0</xdr:colOff>
      <xdr:row>274</xdr:row>
      <xdr:rowOff>38100</xdr:rowOff>
    </xdr:to>
    <xdr:sp macro="" textlink="">
      <xdr:nvSpPr>
        <xdr:cNvPr id="60" name="Line 246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ShapeType="1"/>
        </xdr:cNvSpPr>
      </xdr:nvSpPr>
      <xdr:spPr bwMode="auto">
        <a:xfrm flipH="1" flipV="1">
          <a:off x="68580" y="501167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271</xdr:row>
      <xdr:rowOff>46622</xdr:rowOff>
    </xdr:from>
    <xdr:to>
      <xdr:col>2</xdr:col>
      <xdr:colOff>459803</xdr:colOff>
      <xdr:row>271</xdr:row>
      <xdr:rowOff>157442</xdr:rowOff>
    </xdr:to>
    <xdr:sp macro="" textlink="">
      <xdr:nvSpPr>
        <xdr:cNvPr id="61" name="31 Abrir llave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 rot="5400000">
          <a:off x="719113" y="4951241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111245</xdr:colOff>
      <xdr:row>272</xdr:row>
      <xdr:rowOff>2006</xdr:rowOff>
    </xdr:from>
    <xdr:to>
      <xdr:col>2</xdr:col>
      <xdr:colOff>619125</xdr:colOff>
      <xdr:row>274</xdr:row>
      <xdr:rowOff>47626</xdr:rowOff>
    </xdr:to>
    <xdr:sp macro="" textlink="">
      <xdr:nvSpPr>
        <xdr:cNvPr id="62" name="Rectangle 6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>
          <a:spLocks noChangeArrowheads="1"/>
        </xdr:cNvSpPr>
      </xdr:nvSpPr>
      <xdr:spPr bwMode="auto">
        <a:xfrm>
          <a:off x="545585" y="49714886"/>
          <a:ext cx="507880" cy="4113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114623</xdr:colOff>
      <xdr:row>274</xdr:row>
      <xdr:rowOff>66675</xdr:rowOff>
    </xdr:from>
    <xdr:to>
      <xdr:col>2</xdr:col>
      <xdr:colOff>619125</xdr:colOff>
      <xdr:row>277</xdr:row>
      <xdr:rowOff>145256</xdr:rowOff>
    </xdr:to>
    <xdr:sp macro="" textlink="">
      <xdr:nvSpPr>
        <xdr:cNvPr id="63" name="Rectangle 1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>
          <a:spLocks noChangeArrowheads="1"/>
        </xdr:cNvSpPr>
      </xdr:nvSpPr>
      <xdr:spPr bwMode="auto">
        <a:xfrm>
          <a:off x="548963" y="50145315"/>
          <a:ext cx="504502" cy="62722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361948</xdr:colOff>
      <xdr:row>272</xdr:row>
      <xdr:rowOff>5444</xdr:rowOff>
    </xdr:from>
    <xdr:to>
      <xdr:col>2</xdr:col>
      <xdr:colOff>620484</xdr:colOff>
      <xdr:row>274</xdr:row>
      <xdr:rowOff>47626</xdr:rowOff>
    </xdr:to>
    <xdr:sp macro="" textlink="">
      <xdr:nvSpPr>
        <xdr:cNvPr id="64" name="Line 13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>
          <a:spLocks noChangeShapeType="1"/>
        </xdr:cNvSpPr>
      </xdr:nvSpPr>
      <xdr:spPr bwMode="auto">
        <a:xfrm flipH="1">
          <a:off x="796288" y="49718324"/>
          <a:ext cx="258536" cy="40794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272</xdr:row>
      <xdr:rowOff>14046</xdr:rowOff>
    </xdr:from>
    <xdr:to>
      <xdr:col>2</xdr:col>
      <xdr:colOff>352425</xdr:colOff>
      <xdr:row>274</xdr:row>
      <xdr:rowOff>47625</xdr:rowOff>
    </xdr:to>
    <xdr:sp macro="" textlink="">
      <xdr:nvSpPr>
        <xdr:cNvPr id="65" name="Line 13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>
          <a:spLocks noChangeShapeType="1"/>
        </xdr:cNvSpPr>
      </xdr:nvSpPr>
      <xdr:spPr bwMode="auto">
        <a:xfrm>
          <a:off x="539115" y="49726926"/>
          <a:ext cx="247650" cy="39933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285</xdr:row>
      <xdr:rowOff>38100</xdr:rowOff>
    </xdr:from>
    <xdr:to>
      <xdr:col>1</xdr:col>
      <xdr:colOff>0</xdr:colOff>
      <xdr:row>285</xdr:row>
      <xdr:rowOff>38100</xdr:rowOff>
    </xdr:to>
    <xdr:sp macro="" textlink="">
      <xdr:nvSpPr>
        <xdr:cNvPr id="66" name="Line 246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>
          <a:spLocks noChangeShapeType="1"/>
        </xdr:cNvSpPr>
      </xdr:nvSpPr>
      <xdr:spPr bwMode="auto">
        <a:xfrm flipH="1" flipV="1">
          <a:off x="68580" y="521284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282</xdr:row>
      <xdr:rowOff>46622</xdr:rowOff>
    </xdr:from>
    <xdr:to>
      <xdr:col>2</xdr:col>
      <xdr:colOff>459803</xdr:colOff>
      <xdr:row>282</xdr:row>
      <xdr:rowOff>157442</xdr:rowOff>
    </xdr:to>
    <xdr:sp macro="" textlink="">
      <xdr:nvSpPr>
        <xdr:cNvPr id="67" name="37 Abrir llave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 rot="5400000">
          <a:off x="719113" y="5152409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595993</xdr:colOff>
      <xdr:row>283</xdr:row>
      <xdr:rowOff>13606</xdr:rowOff>
    </xdr:from>
    <xdr:to>
      <xdr:col>3</xdr:col>
      <xdr:colOff>16328</xdr:colOff>
      <xdr:row>285</xdr:row>
      <xdr:rowOff>76200</xdr:rowOff>
    </xdr:to>
    <xdr:sp macro="" textlink="">
      <xdr:nvSpPr>
        <xdr:cNvPr id="68" name="Rectangle 6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>
          <a:spLocks noChangeArrowheads="1"/>
        </xdr:cNvSpPr>
      </xdr:nvSpPr>
      <xdr:spPr bwMode="auto">
        <a:xfrm>
          <a:off x="1030333" y="51738166"/>
          <a:ext cx="426175" cy="42835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145920</xdr:colOff>
      <xdr:row>283</xdr:row>
      <xdr:rowOff>10239</xdr:rowOff>
    </xdr:from>
    <xdr:to>
      <xdr:col>2</xdr:col>
      <xdr:colOff>561974</xdr:colOff>
      <xdr:row>285</xdr:row>
      <xdr:rowOff>76200</xdr:rowOff>
    </xdr:to>
    <xdr:sp macro="" textlink="">
      <xdr:nvSpPr>
        <xdr:cNvPr id="69" name="Rectangle 1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>
          <a:spLocks noChangeArrowheads="1"/>
        </xdr:cNvSpPr>
      </xdr:nvSpPr>
      <xdr:spPr bwMode="auto">
        <a:xfrm>
          <a:off x="580260" y="51734799"/>
          <a:ext cx="416054" cy="43172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805542</xdr:colOff>
      <xdr:row>283</xdr:row>
      <xdr:rowOff>21771</xdr:rowOff>
    </xdr:from>
    <xdr:to>
      <xdr:col>3</xdr:col>
      <xdr:colOff>6803</xdr:colOff>
      <xdr:row>285</xdr:row>
      <xdr:rowOff>70756</xdr:rowOff>
    </xdr:to>
    <xdr:sp macro="" textlink="">
      <xdr:nvSpPr>
        <xdr:cNvPr id="70" name="Line 13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>
          <a:spLocks noChangeShapeType="1"/>
        </xdr:cNvSpPr>
      </xdr:nvSpPr>
      <xdr:spPr bwMode="auto">
        <a:xfrm flipH="1">
          <a:off x="1239882" y="51746331"/>
          <a:ext cx="207101" cy="4147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608240</xdr:colOff>
      <xdr:row>283</xdr:row>
      <xdr:rowOff>14967</xdr:rowOff>
    </xdr:from>
    <xdr:to>
      <xdr:col>2</xdr:col>
      <xdr:colOff>800966</xdr:colOff>
      <xdr:row>285</xdr:row>
      <xdr:rowOff>69273</xdr:rowOff>
    </xdr:to>
    <xdr:sp macro="" textlink="">
      <xdr:nvSpPr>
        <xdr:cNvPr id="71" name="Line 134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>
          <a:spLocks noChangeShapeType="1"/>
        </xdr:cNvSpPr>
      </xdr:nvSpPr>
      <xdr:spPr bwMode="auto">
        <a:xfrm>
          <a:off x="1042580" y="51739527"/>
          <a:ext cx="192726" cy="42006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285</xdr:row>
      <xdr:rowOff>95250</xdr:rowOff>
    </xdr:from>
    <xdr:to>
      <xdr:col>3</xdr:col>
      <xdr:colOff>31295</xdr:colOff>
      <xdr:row>288</xdr:row>
      <xdr:rowOff>123825</xdr:rowOff>
    </xdr:to>
    <xdr:sp macro="" textlink="">
      <xdr:nvSpPr>
        <xdr:cNvPr id="72" name="Rectangle 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>
          <a:spLocks noChangeArrowheads="1"/>
        </xdr:cNvSpPr>
      </xdr:nvSpPr>
      <xdr:spPr bwMode="auto">
        <a:xfrm>
          <a:off x="577215" y="52185570"/>
          <a:ext cx="894260" cy="5772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605505</xdr:colOff>
      <xdr:row>283</xdr:row>
      <xdr:rowOff>10182</xdr:rowOff>
    </xdr:from>
    <xdr:to>
      <xdr:col>2</xdr:col>
      <xdr:colOff>798231</xdr:colOff>
      <xdr:row>285</xdr:row>
      <xdr:rowOff>64488</xdr:rowOff>
    </xdr:to>
    <xdr:sp macro="" textlink="">
      <xdr:nvSpPr>
        <xdr:cNvPr id="73" name="Line 134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>
          <a:spLocks noChangeShapeType="1"/>
        </xdr:cNvSpPr>
      </xdr:nvSpPr>
      <xdr:spPr bwMode="auto">
        <a:xfrm>
          <a:off x="1039845" y="51734742"/>
          <a:ext cx="192726" cy="42006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342900</xdr:colOff>
      <xdr:row>283</xdr:row>
      <xdr:rowOff>19050</xdr:rowOff>
    </xdr:from>
    <xdr:to>
      <xdr:col>2</xdr:col>
      <xdr:colOff>534761</xdr:colOff>
      <xdr:row>285</xdr:row>
      <xdr:rowOff>68035</xdr:rowOff>
    </xdr:to>
    <xdr:sp macro="" textlink="">
      <xdr:nvSpPr>
        <xdr:cNvPr id="74" name="Line 13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>
          <a:spLocks noChangeShapeType="1"/>
        </xdr:cNvSpPr>
      </xdr:nvSpPr>
      <xdr:spPr bwMode="auto">
        <a:xfrm flipH="1">
          <a:off x="777240" y="51743610"/>
          <a:ext cx="191861" cy="4147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283</xdr:row>
      <xdr:rowOff>0</xdr:rowOff>
    </xdr:from>
    <xdr:to>
      <xdr:col>2</xdr:col>
      <xdr:colOff>335601</xdr:colOff>
      <xdr:row>285</xdr:row>
      <xdr:rowOff>54306</xdr:rowOff>
    </xdr:to>
    <xdr:sp macro="" textlink="">
      <xdr:nvSpPr>
        <xdr:cNvPr id="75" name="Line 13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>
          <a:spLocks noChangeShapeType="1"/>
        </xdr:cNvSpPr>
      </xdr:nvSpPr>
      <xdr:spPr bwMode="auto">
        <a:xfrm>
          <a:off x="577215" y="51724560"/>
          <a:ext cx="192726" cy="42006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</xdr:colOff>
      <xdr:row>253</xdr:row>
      <xdr:rowOff>66675</xdr:rowOff>
    </xdr:from>
    <xdr:to>
      <xdr:col>2</xdr:col>
      <xdr:colOff>619125</xdr:colOff>
      <xdr:row>256</xdr:row>
      <xdr:rowOff>133350</xdr:rowOff>
    </xdr:to>
    <xdr:sp macro="" textlink="">
      <xdr:nvSpPr>
        <xdr:cNvPr id="76" name="Rectangle 1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>
          <a:spLocks noChangeArrowheads="1"/>
        </xdr:cNvSpPr>
      </xdr:nvSpPr>
      <xdr:spPr bwMode="auto">
        <a:xfrm>
          <a:off x="501015" y="46304835"/>
          <a:ext cx="552450" cy="6153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85724</xdr:colOff>
      <xdr:row>255</xdr:row>
      <xdr:rowOff>133349</xdr:rowOff>
    </xdr:from>
    <xdr:to>
      <xdr:col>2</xdr:col>
      <xdr:colOff>638174</xdr:colOff>
      <xdr:row>255</xdr:row>
      <xdr:rowOff>142874</xdr:rowOff>
    </xdr:to>
    <xdr:sp macro="" textlink="">
      <xdr:nvSpPr>
        <xdr:cNvPr id="77" name="Line 5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>
          <a:spLocks noChangeShapeType="1"/>
        </xdr:cNvSpPr>
      </xdr:nvSpPr>
      <xdr:spPr bwMode="auto">
        <a:xfrm flipH="1">
          <a:off x="520064" y="46737269"/>
          <a:ext cx="5524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66674</xdr:colOff>
      <xdr:row>254</xdr:row>
      <xdr:rowOff>85725</xdr:rowOff>
    </xdr:from>
    <xdr:to>
      <xdr:col>2</xdr:col>
      <xdr:colOff>609599</xdr:colOff>
      <xdr:row>254</xdr:row>
      <xdr:rowOff>104775</xdr:rowOff>
    </xdr:to>
    <xdr:sp macro="" textlink="">
      <xdr:nvSpPr>
        <xdr:cNvPr id="78" name="Line 5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>
          <a:spLocks noChangeShapeType="1"/>
        </xdr:cNvSpPr>
      </xdr:nvSpPr>
      <xdr:spPr bwMode="auto">
        <a:xfrm flipH="1">
          <a:off x="501014" y="46506765"/>
          <a:ext cx="5429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132</xdr:row>
      <xdr:rowOff>38100</xdr:rowOff>
    </xdr:from>
    <xdr:to>
      <xdr:col>1</xdr:col>
      <xdr:colOff>0</xdr:colOff>
      <xdr:row>132</xdr:row>
      <xdr:rowOff>38100</xdr:rowOff>
    </xdr:to>
    <xdr:sp macro="" textlink="">
      <xdr:nvSpPr>
        <xdr:cNvPr id="79" name="Line 246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>
          <a:spLocks noChangeShapeType="1"/>
        </xdr:cNvSpPr>
      </xdr:nvSpPr>
      <xdr:spPr bwMode="auto">
        <a:xfrm flipH="1" flipV="1">
          <a:off x="68580" y="243001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129</xdr:row>
      <xdr:rowOff>46622</xdr:rowOff>
    </xdr:from>
    <xdr:to>
      <xdr:col>2</xdr:col>
      <xdr:colOff>459803</xdr:colOff>
      <xdr:row>129</xdr:row>
      <xdr:rowOff>157442</xdr:rowOff>
    </xdr:to>
    <xdr:sp macro="" textlink="">
      <xdr:nvSpPr>
        <xdr:cNvPr id="80" name="50 Abrir llave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 rot="5400000">
          <a:off x="719113" y="2369585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595993</xdr:colOff>
      <xdr:row>130</xdr:row>
      <xdr:rowOff>13606</xdr:rowOff>
    </xdr:from>
    <xdr:to>
      <xdr:col>3</xdr:col>
      <xdr:colOff>16328</xdr:colOff>
      <xdr:row>132</xdr:row>
      <xdr:rowOff>76200</xdr:rowOff>
    </xdr:to>
    <xdr:sp macro="" textlink="">
      <xdr:nvSpPr>
        <xdr:cNvPr id="81" name="Rectangle 6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>
          <a:spLocks noChangeArrowheads="1"/>
        </xdr:cNvSpPr>
      </xdr:nvSpPr>
      <xdr:spPr bwMode="auto">
        <a:xfrm>
          <a:off x="1030333" y="23909926"/>
          <a:ext cx="426175" cy="42835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145920</xdr:colOff>
      <xdr:row>130</xdr:row>
      <xdr:rowOff>10239</xdr:rowOff>
    </xdr:from>
    <xdr:to>
      <xdr:col>2</xdr:col>
      <xdr:colOff>561974</xdr:colOff>
      <xdr:row>132</xdr:row>
      <xdr:rowOff>76200</xdr:rowOff>
    </xdr:to>
    <xdr:sp macro="" textlink="">
      <xdr:nvSpPr>
        <xdr:cNvPr id="82" name="Rectangle 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>
          <a:spLocks noChangeArrowheads="1"/>
        </xdr:cNvSpPr>
      </xdr:nvSpPr>
      <xdr:spPr bwMode="auto">
        <a:xfrm>
          <a:off x="580260" y="23906559"/>
          <a:ext cx="416054" cy="43172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805542</xdr:colOff>
      <xdr:row>130</xdr:row>
      <xdr:rowOff>21771</xdr:rowOff>
    </xdr:from>
    <xdr:to>
      <xdr:col>3</xdr:col>
      <xdr:colOff>6803</xdr:colOff>
      <xdr:row>132</xdr:row>
      <xdr:rowOff>70756</xdr:rowOff>
    </xdr:to>
    <xdr:sp macro="" textlink="">
      <xdr:nvSpPr>
        <xdr:cNvPr id="83" name="Line 133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>
          <a:spLocks noChangeShapeType="1"/>
        </xdr:cNvSpPr>
      </xdr:nvSpPr>
      <xdr:spPr bwMode="auto">
        <a:xfrm flipH="1">
          <a:off x="1239882" y="23918091"/>
          <a:ext cx="207101" cy="4147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608240</xdr:colOff>
      <xdr:row>130</xdr:row>
      <xdr:rowOff>14967</xdr:rowOff>
    </xdr:from>
    <xdr:to>
      <xdr:col>2</xdr:col>
      <xdr:colOff>800966</xdr:colOff>
      <xdr:row>132</xdr:row>
      <xdr:rowOff>69273</xdr:rowOff>
    </xdr:to>
    <xdr:sp macro="" textlink="">
      <xdr:nvSpPr>
        <xdr:cNvPr id="84" name="Line 134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>
          <a:spLocks noChangeShapeType="1"/>
        </xdr:cNvSpPr>
      </xdr:nvSpPr>
      <xdr:spPr bwMode="auto">
        <a:xfrm>
          <a:off x="1042580" y="23911287"/>
          <a:ext cx="192726" cy="42006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132</xdr:row>
      <xdr:rowOff>95250</xdr:rowOff>
    </xdr:from>
    <xdr:to>
      <xdr:col>3</xdr:col>
      <xdr:colOff>31295</xdr:colOff>
      <xdr:row>135</xdr:row>
      <xdr:rowOff>123825</xdr:rowOff>
    </xdr:to>
    <xdr:sp macro="" textlink="">
      <xdr:nvSpPr>
        <xdr:cNvPr id="85" name="Rectangle 1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>
          <a:spLocks noChangeArrowheads="1"/>
        </xdr:cNvSpPr>
      </xdr:nvSpPr>
      <xdr:spPr bwMode="auto">
        <a:xfrm>
          <a:off x="577215" y="24357330"/>
          <a:ext cx="894260" cy="5772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605505</xdr:colOff>
      <xdr:row>130</xdr:row>
      <xdr:rowOff>10182</xdr:rowOff>
    </xdr:from>
    <xdr:to>
      <xdr:col>2</xdr:col>
      <xdr:colOff>798231</xdr:colOff>
      <xdr:row>132</xdr:row>
      <xdr:rowOff>64488</xdr:rowOff>
    </xdr:to>
    <xdr:sp macro="" textlink="">
      <xdr:nvSpPr>
        <xdr:cNvPr id="86" name="Line 134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>
          <a:spLocks noChangeShapeType="1"/>
        </xdr:cNvSpPr>
      </xdr:nvSpPr>
      <xdr:spPr bwMode="auto">
        <a:xfrm>
          <a:off x="1039845" y="23906502"/>
          <a:ext cx="192726" cy="42006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342900</xdr:colOff>
      <xdr:row>130</xdr:row>
      <xdr:rowOff>19050</xdr:rowOff>
    </xdr:from>
    <xdr:to>
      <xdr:col>2</xdr:col>
      <xdr:colOff>534761</xdr:colOff>
      <xdr:row>132</xdr:row>
      <xdr:rowOff>68035</xdr:rowOff>
    </xdr:to>
    <xdr:sp macro="" textlink="">
      <xdr:nvSpPr>
        <xdr:cNvPr id="87" name="Line 133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>
          <a:spLocks noChangeShapeType="1"/>
        </xdr:cNvSpPr>
      </xdr:nvSpPr>
      <xdr:spPr bwMode="auto">
        <a:xfrm flipH="1">
          <a:off x="777240" y="23915370"/>
          <a:ext cx="191861" cy="4147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130</xdr:row>
      <xdr:rowOff>0</xdr:rowOff>
    </xdr:from>
    <xdr:to>
      <xdr:col>2</xdr:col>
      <xdr:colOff>335601</xdr:colOff>
      <xdr:row>132</xdr:row>
      <xdr:rowOff>54306</xdr:rowOff>
    </xdr:to>
    <xdr:sp macro="" textlink="">
      <xdr:nvSpPr>
        <xdr:cNvPr id="88" name="Line 134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>
          <a:spLocks noChangeShapeType="1"/>
        </xdr:cNvSpPr>
      </xdr:nvSpPr>
      <xdr:spPr bwMode="auto">
        <a:xfrm>
          <a:off x="577215" y="23896320"/>
          <a:ext cx="192726" cy="42006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152400</xdr:colOff>
      <xdr:row>110</xdr:row>
      <xdr:rowOff>57150</xdr:rowOff>
    </xdr:from>
    <xdr:to>
      <xdr:col>2</xdr:col>
      <xdr:colOff>876300</xdr:colOff>
      <xdr:row>113</xdr:row>
      <xdr:rowOff>0</xdr:rowOff>
    </xdr:to>
    <xdr:sp macro="" textlink="">
      <xdr:nvSpPr>
        <xdr:cNvPr id="89" name="Rectangle 137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>
          <a:spLocks noChangeArrowheads="1"/>
        </xdr:cNvSpPr>
      </xdr:nvSpPr>
      <xdr:spPr bwMode="auto">
        <a:xfrm>
          <a:off x="586740" y="20295870"/>
          <a:ext cx="723900" cy="4914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514350</xdr:colOff>
      <xdr:row>110</xdr:row>
      <xdr:rowOff>66675</xdr:rowOff>
    </xdr:from>
    <xdr:to>
      <xdr:col>2</xdr:col>
      <xdr:colOff>514350</xdr:colOff>
      <xdr:row>113</xdr:row>
      <xdr:rowOff>0</xdr:rowOff>
    </xdr:to>
    <xdr:sp macro="" textlink="">
      <xdr:nvSpPr>
        <xdr:cNvPr id="90" name="Line 138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>
          <a:spLocks noChangeShapeType="1"/>
        </xdr:cNvSpPr>
      </xdr:nvSpPr>
      <xdr:spPr bwMode="auto">
        <a:xfrm>
          <a:off x="948690" y="20305395"/>
          <a:ext cx="0" cy="4819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190500</xdr:colOff>
      <xdr:row>111</xdr:row>
      <xdr:rowOff>95250</xdr:rowOff>
    </xdr:from>
    <xdr:to>
      <xdr:col>2</xdr:col>
      <xdr:colOff>438150</xdr:colOff>
      <xdr:row>111</xdr:row>
      <xdr:rowOff>95250</xdr:rowOff>
    </xdr:to>
    <xdr:sp macro="" textlink="">
      <xdr:nvSpPr>
        <xdr:cNvPr id="91" name="Line 139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>
          <a:spLocks noChangeShapeType="1"/>
        </xdr:cNvSpPr>
      </xdr:nvSpPr>
      <xdr:spPr bwMode="auto">
        <a:xfrm>
          <a:off x="624840" y="205168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590550</xdr:colOff>
      <xdr:row>111</xdr:row>
      <xdr:rowOff>95250</xdr:rowOff>
    </xdr:from>
    <xdr:to>
      <xdr:col>2</xdr:col>
      <xdr:colOff>838200</xdr:colOff>
      <xdr:row>111</xdr:row>
      <xdr:rowOff>95250</xdr:rowOff>
    </xdr:to>
    <xdr:sp macro="" textlink="">
      <xdr:nvSpPr>
        <xdr:cNvPr id="92" name="Line 140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>
          <a:spLocks noChangeShapeType="1"/>
        </xdr:cNvSpPr>
      </xdr:nvSpPr>
      <xdr:spPr bwMode="auto">
        <a:xfrm flipH="1">
          <a:off x="1024890" y="205168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180975</xdr:colOff>
      <xdr:row>43</xdr:row>
      <xdr:rowOff>66675</xdr:rowOff>
    </xdr:from>
    <xdr:to>
      <xdr:col>2</xdr:col>
      <xdr:colOff>981075</xdr:colOff>
      <xdr:row>46</xdr:row>
      <xdr:rowOff>0</xdr:rowOff>
    </xdr:to>
    <xdr:sp macro="" textlink="">
      <xdr:nvSpPr>
        <xdr:cNvPr id="93" name="Rectangle 41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>
          <a:spLocks noChangeArrowheads="1"/>
        </xdr:cNvSpPr>
      </xdr:nvSpPr>
      <xdr:spPr bwMode="auto">
        <a:xfrm>
          <a:off x="615315" y="8052435"/>
          <a:ext cx="800100" cy="4819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590550</xdr:colOff>
      <xdr:row>43</xdr:row>
      <xdr:rowOff>76200</xdr:rowOff>
    </xdr:from>
    <xdr:to>
      <xdr:col>2</xdr:col>
      <xdr:colOff>590550</xdr:colOff>
      <xdr:row>45</xdr:row>
      <xdr:rowOff>152400</xdr:rowOff>
    </xdr:to>
    <xdr:sp macro="" textlink="">
      <xdr:nvSpPr>
        <xdr:cNvPr id="94" name="Line 42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>
          <a:spLocks noChangeShapeType="1"/>
        </xdr:cNvSpPr>
      </xdr:nvSpPr>
      <xdr:spPr bwMode="auto">
        <a:xfrm>
          <a:off x="1024890" y="8061960"/>
          <a:ext cx="0" cy="4419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43</xdr:row>
      <xdr:rowOff>76200</xdr:rowOff>
    </xdr:from>
    <xdr:to>
      <xdr:col>2</xdr:col>
      <xdr:colOff>981075</xdr:colOff>
      <xdr:row>46</xdr:row>
      <xdr:rowOff>0</xdr:rowOff>
    </xdr:to>
    <xdr:sp macro="" textlink="">
      <xdr:nvSpPr>
        <xdr:cNvPr id="95" name="Line 43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>
          <a:spLocks noChangeShapeType="1"/>
        </xdr:cNvSpPr>
      </xdr:nvSpPr>
      <xdr:spPr bwMode="auto">
        <a:xfrm>
          <a:off x="615315" y="8061960"/>
          <a:ext cx="800100" cy="4724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43</xdr:row>
      <xdr:rowOff>76200</xdr:rowOff>
    </xdr:from>
    <xdr:to>
      <xdr:col>2</xdr:col>
      <xdr:colOff>981075</xdr:colOff>
      <xdr:row>46</xdr:row>
      <xdr:rowOff>9525</xdr:rowOff>
    </xdr:to>
    <xdr:sp macro="" textlink="">
      <xdr:nvSpPr>
        <xdr:cNvPr id="96" name="Line 44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>
          <a:spLocks noChangeShapeType="1"/>
        </xdr:cNvSpPr>
      </xdr:nvSpPr>
      <xdr:spPr bwMode="auto">
        <a:xfrm flipV="1">
          <a:off x="615315" y="8061960"/>
          <a:ext cx="800100" cy="4819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104775</xdr:rowOff>
    </xdr:from>
    <xdr:to>
      <xdr:col>2</xdr:col>
      <xdr:colOff>638175</xdr:colOff>
      <xdr:row>52</xdr:row>
      <xdr:rowOff>152400</xdr:rowOff>
    </xdr:to>
    <xdr:sp macro="" textlink="">
      <xdr:nvSpPr>
        <xdr:cNvPr id="97" name="Rectangle 2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>
          <a:spLocks noChangeArrowheads="1"/>
        </xdr:cNvSpPr>
      </xdr:nvSpPr>
      <xdr:spPr bwMode="auto">
        <a:xfrm>
          <a:off x="520065" y="9187815"/>
          <a:ext cx="552450" cy="5962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104775</xdr:rowOff>
    </xdr:from>
    <xdr:to>
      <xdr:col>2</xdr:col>
      <xdr:colOff>638175</xdr:colOff>
      <xdr:row>52</xdr:row>
      <xdr:rowOff>152400</xdr:rowOff>
    </xdr:to>
    <xdr:sp macro="" textlink="">
      <xdr:nvSpPr>
        <xdr:cNvPr id="98" name="Rectangle 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>
          <a:spLocks noChangeArrowheads="1"/>
        </xdr:cNvSpPr>
      </xdr:nvSpPr>
      <xdr:spPr bwMode="auto">
        <a:xfrm>
          <a:off x="520065" y="9187815"/>
          <a:ext cx="552450" cy="5962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376115</xdr:colOff>
      <xdr:row>49</xdr:row>
      <xdr:rowOff>119673</xdr:rowOff>
    </xdr:from>
    <xdr:to>
      <xdr:col>2</xdr:col>
      <xdr:colOff>642815</xdr:colOff>
      <xdr:row>52</xdr:row>
      <xdr:rowOff>148248</xdr:rowOff>
    </xdr:to>
    <xdr:sp macro="" textlink="">
      <xdr:nvSpPr>
        <xdr:cNvPr id="99" name="Line 4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>
          <a:spLocks noChangeShapeType="1"/>
        </xdr:cNvSpPr>
      </xdr:nvSpPr>
      <xdr:spPr bwMode="auto">
        <a:xfrm>
          <a:off x="810455" y="9202713"/>
          <a:ext cx="266700" cy="577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112346</xdr:colOff>
      <xdr:row>49</xdr:row>
      <xdr:rowOff>107461</xdr:rowOff>
    </xdr:from>
    <xdr:to>
      <xdr:col>2</xdr:col>
      <xdr:colOff>350471</xdr:colOff>
      <xdr:row>52</xdr:row>
      <xdr:rowOff>136036</xdr:rowOff>
    </xdr:to>
    <xdr:sp macro="" textlink="">
      <xdr:nvSpPr>
        <xdr:cNvPr id="100" name="Line 5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>
          <a:spLocks noChangeShapeType="1"/>
        </xdr:cNvSpPr>
      </xdr:nvSpPr>
      <xdr:spPr bwMode="auto">
        <a:xfrm flipH="1">
          <a:off x="546686" y="9190501"/>
          <a:ext cx="238125" cy="577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78</xdr:row>
      <xdr:rowOff>38100</xdr:rowOff>
    </xdr:from>
    <xdr:to>
      <xdr:col>1</xdr:col>
      <xdr:colOff>0</xdr:colOff>
      <xdr:row>78</xdr:row>
      <xdr:rowOff>38100</xdr:rowOff>
    </xdr:to>
    <xdr:sp macro="" textlink="">
      <xdr:nvSpPr>
        <xdr:cNvPr id="101" name="Line 246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>
          <a:spLocks noChangeShapeType="1"/>
        </xdr:cNvSpPr>
      </xdr:nvSpPr>
      <xdr:spPr bwMode="auto">
        <a:xfrm flipH="1" flipV="1">
          <a:off x="68580" y="144246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201512</xdr:colOff>
      <xdr:row>75</xdr:row>
      <xdr:rowOff>18050</xdr:rowOff>
    </xdr:from>
    <xdr:to>
      <xdr:col>2</xdr:col>
      <xdr:colOff>440753</xdr:colOff>
      <xdr:row>75</xdr:row>
      <xdr:rowOff>128870</xdr:rowOff>
    </xdr:to>
    <xdr:sp macro="" textlink="">
      <xdr:nvSpPr>
        <xdr:cNvPr id="102" name="79 Abrir llave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 rot="5400000">
          <a:off x="700063" y="13791759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561975</xdr:colOff>
      <xdr:row>75</xdr:row>
      <xdr:rowOff>135355</xdr:rowOff>
    </xdr:from>
    <xdr:to>
      <xdr:col>2</xdr:col>
      <xdr:colOff>911345</xdr:colOff>
      <xdr:row>79</xdr:row>
      <xdr:rowOff>49630</xdr:rowOff>
    </xdr:to>
    <xdr:sp macro="" textlink="">
      <xdr:nvSpPr>
        <xdr:cNvPr id="103" name="Rectangle 6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>
          <a:spLocks noChangeArrowheads="1"/>
        </xdr:cNvSpPr>
      </xdr:nvSpPr>
      <xdr:spPr bwMode="auto">
        <a:xfrm>
          <a:off x="996315" y="13973275"/>
          <a:ext cx="349370" cy="645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142876</xdr:colOff>
      <xdr:row>75</xdr:row>
      <xdr:rowOff>133350</xdr:rowOff>
    </xdr:from>
    <xdr:to>
      <xdr:col>2</xdr:col>
      <xdr:colOff>561976</xdr:colOff>
      <xdr:row>79</xdr:row>
      <xdr:rowOff>50006</xdr:rowOff>
    </xdr:to>
    <xdr:sp macro="" textlink="">
      <xdr:nvSpPr>
        <xdr:cNvPr id="104" name="Rectangle 1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>
          <a:spLocks noChangeArrowheads="1"/>
        </xdr:cNvSpPr>
      </xdr:nvSpPr>
      <xdr:spPr bwMode="auto">
        <a:xfrm>
          <a:off x="577216" y="13971270"/>
          <a:ext cx="419100" cy="6481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endParaRPr lang="es-CL"/>
        </a:p>
        <a:p>
          <a:pPr algn="ctr"/>
          <a:endParaRPr lang="es-CL"/>
        </a:p>
      </xdr:txBody>
    </xdr:sp>
    <xdr:clientData/>
  </xdr:twoCellAnchor>
  <xdr:twoCellAnchor>
    <xdr:from>
      <xdr:col>2</xdr:col>
      <xdr:colOff>142874</xdr:colOff>
      <xdr:row>76</xdr:row>
      <xdr:rowOff>0</xdr:rowOff>
    </xdr:from>
    <xdr:to>
      <xdr:col>2</xdr:col>
      <xdr:colOff>361950</xdr:colOff>
      <xdr:row>79</xdr:row>
      <xdr:rowOff>57150</xdr:rowOff>
    </xdr:to>
    <xdr:sp macro="" textlink="">
      <xdr:nvSpPr>
        <xdr:cNvPr id="105" name="Line 133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>
          <a:spLocks noChangeShapeType="1"/>
        </xdr:cNvSpPr>
      </xdr:nvSpPr>
      <xdr:spPr bwMode="auto">
        <a:xfrm flipH="1">
          <a:off x="577214" y="14020800"/>
          <a:ext cx="219076" cy="60579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363402</xdr:colOff>
      <xdr:row>75</xdr:row>
      <xdr:rowOff>139314</xdr:rowOff>
    </xdr:from>
    <xdr:to>
      <xdr:col>2</xdr:col>
      <xdr:colOff>552450</xdr:colOff>
      <xdr:row>79</xdr:row>
      <xdr:rowOff>66675</xdr:rowOff>
    </xdr:to>
    <xdr:sp macro="" textlink="">
      <xdr:nvSpPr>
        <xdr:cNvPr id="106" name="Line 134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>
          <a:spLocks noChangeShapeType="1"/>
        </xdr:cNvSpPr>
      </xdr:nvSpPr>
      <xdr:spPr bwMode="auto">
        <a:xfrm>
          <a:off x="797742" y="13977234"/>
          <a:ext cx="189048" cy="6588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152400</xdr:colOff>
      <xdr:row>75</xdr:row>
      <xdr:rowOff>142875</xdr:rowOff>
    </xdr:from>
    <xdr:to>
      <xdr:col>2</xdr:col>
      <xdr:colOff>563591</xdr:colOff>
      <xdr:row>77</xdr:row>
      <xdr:rowOff>88977</xdr:rowOff>
    </xdr:to>
    <xdr:sp macro="" textlink="">
      <xdr:nvSpPr>
        <xdr:cNvPr id="107" name="Line 134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>
          <a:spLocks noChangeShapeType="1"/>
        </xdr:cNvSpPr>
      </xdr:nvSpPr>
      <xdr:spPr bwMode="auto">
        <a:xfrm>
          <a:off x="586740" y="13980795"/>
          <a:ext cx="411191" cy="31186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163944</xdr:colOff>
      <xdr:row>77</xdr:row>
      <xdr:rowOff>85725</xdr:rowOff>
    </xdr:from>
    <xdr:to>
      <xdr:col>2</xdr:col>
      <xdr:colOff>552449</xdr:colOff>
      <xdr:row>79</xdr:row>
      <xdr:rowOff>44450</xdr:rowOff>
    </xdr:to>
    <xdr:sp macro="" textlink="">
      <xdr:nvSpPr>
        <xdr:cNvPr id="108" name="Line 134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>
          <a:spLocks noChangeShapeType="1"/>
        </xdr:cNvSpPr>
      </xdr:nvSpPr>
      <xdr:spPr bwMode="auto">
        <a:xfrm flipH="1">
          <a:off x="598284" y="14289405"/>
          <a:ext cx="388505" cy="3244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601562</xdr:colOff>
      <xdr:row>83</xdr:row>
      <xdr:rowOff>164101</xdr:rowOff>
    </xdr:from>
    <xdr:to>
      <xdr:col>2</xdr:col>
      <xdr:colOff>840803</xdr:colOff>
      <xdr:row>84</xdr:row>
      <xdr:rowOff>109821</xdr:rowOff>
    </xdr:to>
    <xdr:sp macro="" textlink="">
      <xdr:nvSpPr>
        <xdr:cNvPr id="109" name="87 Abrir llave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 rot="5400000">
          <a:off x="1091223" y="15409740"/>
          <a:ext cx="12860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535998</xdr:colOff>
      <xdr:row>84</xdr:row>
      <xdr:rowOff>126696</xdr:rowOff>
    </xdr:from>
    <xdr:to>
      <xdr:col>2</xdr:col>
      <xdr:colOff>935182</xdr:colOff>
      <xdr:row>88</xdr:row>
      <xdr:rowOff>40971</xdr:rowOff>
    </xdr:to>
    <xdr:sp macro="" textlink="">
      <xdr:nvSpPr>
        <xdr:cNvPr id="110" name="Rectangle 6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>
          <a:spLocks noChangeArrowheads="1"/>
        </xdr:cNvSpPr>
      </xdr:nvSpPr>
      <xdr:spPr bwMode="auto">
        <a:xfrm>
          <a:off x="970338" y="15610536"/>
          <a:ext cx="399184" cy="645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103044</xdr:colOff>
      <xdr:row>84</xdr:row>
      <xdr:rowOff>124691</xdr:rowOff>
    </xdr:from>
    <xdr:to>
      <xdr:col>2</xdr:col>
      <xdr:colOff>522722</xdr:colOff>
      <xdr:row>88</xdr:row>
      <xdr:rowOff>41347</xdr:rowOff>
    </xdr:to>
    <xdr:sp macro="" textlink="">
      <xdr:nvSpPr>
        <xdr:cNvPr id="111" name="Rectangle 1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>
          <a:spLocks noChangeArrowheads="1"/>
        </xdr:cNvSpPr>
      </xdr:nvSpPr>
      <xdr:spPr bwMode="auto">
        <a:xfrm>
          <a:off x="537384" y="15608531"/>
          <a:ext cx="419678" cy="6481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endParaRPr lang="es-CL"/>
        </a:p>
        <a:p>
          <a:pPr algn="ctr"/>
          <a:endParaRPr lang="es-CL"/>
        </a:p>
      </xdr:txBody>
    </xdr:sp>
    <xdr:clientData/>
  </xdr:twoCellAnchor>
  <xdr:twoCellAnchor>
    <xdr:from>
      <xdr:col>2</xdr:col>
      <xdr:colOff>525606</xdr:colOff>
      <xdr:row>84</xdr:row>
      <xdr:rowOff>129309</xdr:rowOff>
    </xdr:from>
    <xdr:to>
      <xdr:col>2</xdr:col>
      <xdr:colOff>744682</xdr:colOff>
      <xdr:row>88</xdr:row>
      <xdr:rowOff>21359</xdr:rowOff>
    </xdr:to>
    <xdr:sp macro="" textlink="">
      <xdr:nvSpPr>
        <xdr:cNvPr id="112" name="Line 133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>
          <a:spLocks noChangeShapeType="1"/>
        </xdr:cNvSpPr>
      </xdr:nvSpPr>
      <xdr:spPr bwMode="auto">
        <a:xfrm flipH="1">
          <a:off x="959946" y="15613149"/>
          <a:ext cx="219076" cy="6235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724775</xdr:colOff>
      <xdr:row>84</xdr:row>
      <xdr:rowOff>117378</xdr:rowOff>
    </xdr:from>
    <xdr:to>
      <xdr:col>2</xdr:col>
      <xdr:colOff>913823</xdr:colOff>
      <xdr:row>88</xdr:row>
      <xdr:rowOff>44162</xdr:rowOff>
    </xdr:to>
    <xdr:sp macro="" textlink="">
      <xdr:nvSpPr>
        <xdr:cNvPr id="113" name="Line 134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>
          <a:spLocks noChangeShapeType="1"/>
        </xdr:cNvSpPr>
      </xdr:nvSpPr>
      <xdr:spPr bwMode="auto">
        <a:xfrm>
          <a:off x="1159115" y="15601218"/>
          <a:ext cx="189048" cy="65830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516083</xdr:colOff>
      <xdr:row>86</xdr:row>
      <xdr:rowOff>108239</xdr:rowOff>
    </xdr:from>
    <xdr:to>
      <xdr:col>2</xdr:col>
      <xdr:colOff>927101</xdr:colOff>
      <xdr:row>88</xdr:row>
      <xdr:rowOff>31750</xdr:rowOff>
    </xdr:to>
    <xdr:sp macro="" textlink="">
      <xdr:nvSpPr>
        <xdr:cNvPr id="114" name="Line 134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>
          <a:spLocks noChangeShapeType="1"/>
        </xdr:cNvSpPr>
      </xdr:nvSpPr>
      <xdr:spPr bwMode="auto">
        <a:xfrm>
          <a:off x="950423" y="15957839"/>
          <a:ext cx="411018" cy="28927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540327</xdr:colOff>
      <xdr:row>84</xdr:row>
      <xdr:rowOff>154997</xdr:rowOff>
    </xdr:from>
    <xdr:to>
      <xdr:col>2</xdr:col>
      <xdr:colOff>928832</xdr:colOff>
      <xdr:row>86</xdr:row>
      <xdr:rowOff>113723</xdr:rowOff>
    </xdr:to>
    <xdr:sp macro="" textlink="">
      <xdr:nvSpPr>
        <xdr:cNvPr id="115" name="Line 13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>
          <a:spLocks noChangeShapeType="1"/>
        </xdr:cNvSpPr>
      </xdr:nvSpPr>
      <xdr:spPr bwMode="auto">
        <a:xfrm flipH="1">
          <a:off x="974667" y="15638837"/>
          <a:ext cx="388505" cy="32448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55</xdr:row>
      <xdr:rowOff>104775</xdr:rowOff>
    </xdr:from>
    <xdr:to>
      <xdr:col>2</xdr:col>
      <xdr:colOff>638175</xdr:colOff>
      <xdr:row>58</xdr:row>
      <xdr:rowOff>152400</xdr:rowOff>
    </xdr:to>
    <xdr:sp macro="" textlink="">
      <xdr:nvSpPr>
        <xdr:cNvPr id="116" name="Rectangle 2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>
          <a:spLocks noChangeArrowheads="1"/>
        </xdr:cNvSpPr>
      </xdr:nvSpPr>
      <xdr:spPr bwMode="auto">
        <a:xfrm>
          <a:off x="520065" y="10285095"/>
          <a:ext cx="552450" cy="5962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55</xdr:row>
      <xdr:rowOff>104775</xdr:rowOff>
    </xdr:from>
    <xdr:to>
      <xdr:col>2</xdr:col>
      <xdr:colOff>638175</xdr:colOff>
      <xdr:row>58</xdr:row>
      <xdr:rowOff>152400</xdr:rowOff>
    </xdr:to>
    <xdr:sp macro="" textlink="">
      <xdr:nvSpPr>
        <xdr:cNvPr id="117" name="Rectangle 3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>
          <a:spLocks noChangeArrowheads="1"/>
        </xdr:cNvSpPr>
      </xdr:nvSpPr>
      <xdr:spPr bwMode="auto">
        <a:xfrm>
          <a:off x="520065" y="10285095"/>
          <a:ext cx="552450" cy="5962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376115</xdr:colOff>
      <xdr:row>55</xdr:row>
      <xdr:rowOff>119673</xdr:rowOff>
    </xdr:from>
    <xdr:to>
      <xdr:col>2</xdr:col>
      <xdr:colOff>642815</xdr:colOff>
      <xdr:row>58</xdr:row>
      <xdr:rowOff>148248</xdr:rowOff>
    </xdr:to>
    <xdr:sp macro="" textlink="">
      <xdr:nvSpPr>
        <xdr:cNvPr id="118" name="Line 4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>
          <a:spLocks noChangeShapeType="1"/>
        </xdr:cNvSpPr>
      </xdr:nvSpPr>
      <xdr:spPr bwMode="auto">
        <a:xfrm>
          <a:off x="810455" y="10299993"/>
          <a:ext cx="266700" cy="577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112346</xdr:colOff>
      <xdr:row>55</xdr:row>
      <xdr:rowOff>107461</xdr:rowOff>
    </xdr:from>
    <xdr:to>
      <xdr:col>2</xdr:col>
      <xdr:colOff>350471</xdr:colOff>
      <xdr:row>58</xdr:row>
      <xdr:rowOff>136036</xdr:rowOff>
    </xdr:to>
    <xdr:sp macro="" textlink="">
      <xdr:nvSpPr>
        <xdr:cNvPr id="119" name="Line 5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>
          <a:spLocks noChangeShapeType="1"/>
        </xdr:cNvSpPr>
      </xdr:nvSpPr>
      <xdr:spPr bwMode="auto">
        <a:xfrm flipH="1">
          <a:off x="546686" y="10287781"/>
          <a:ext cx="238125" cy="577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96714</xdr:colOff>
      <xdr:row>55</xdr:row>
      <xdr:rowOff>133350</xdr:rowOff>
    </xdr:from>
    <xdr:to>
      <xdr:col>2</xdr:col>
      <xdr:colOff>628649</xdr:colOff>
      <xdr:row>56</xdr:row>
      <xdr:rowOff>148248</xdr:rowOff>
    </xdr:to>
    <xdr:sp macro="" textlink="">
      <xdr:nvSpPr>
        <xdr:cNvPr id="120" name="Line 4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>
          <a:spLocks noChangeShapeType="1"/>
        </xdr:cNvSpPr>
      </xdr:nvSpPr>
      <xdr:spPr bwMode="auto">
        <a:xfrm flipH="1">
          <a:off x="531054" y="10313670"/>
          <a:ext cx="531935" cy="19777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90364</xdr:colOff>
      <xdr:row>56</xdr:row>
      <xdr:rowOff>145073</xdr:rowOff>
    </xdr:from>
    <xdr:to>
      <xdr:col>2</xdr:col>
      <xdr:colOff>641349</xdr:colOff>
      <xdr:row>58</xdr:row>
      <xdr:rowOff>146050</xdr:rowOff>
    </xdr:to>
    <xdr:sp macro="" textlink="">
      <xdr:nvSpPr>
        <xdr:cNvPr id="121" name="Line 4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>
          <a:spLocks noChangeShapeType="1"/>
        </xdr:cNvSpPr>
      </xdr:nvSpPr>
      <xdr:spPr bwMode="auto">
        <a:xfrm>
          <a:off x="524704" y="10508273"/>
          <a:ext cx="550985" cy="36673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61</xdr:row>
      <xdr:rowOff>104775</xdr:rowOff>
    </xdr:from>
    <xdr:to>
      <xdr:col>2</xdr:col>
      <xdr:colOff>638175</xdr:colOff>
      <xdr:row>64</xdr:row>
      <xdr:rowOff>152400</xdr:rowOff>
    </xdr:to>
    <xdr:sp macro="" textlink="">
      <xdr:nvSpPr>
        <xdr:cNvPr id="122" name="Rectangle 2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>
          <a:spLocks noChangeArrowheads="1"/>
        </xdr:cNvSpPr>
      </xdr:nvSpPr>
      <xdr:spPr bwMode="auto">
        <a:xfrm>
          <a:off x="520065" y="11382375"/>
          <a:ext cx="552450" cy="5962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61</xdr:row>
      <xdr:rowOff>104775</xdr:rowOff>
    </xdr:from>
    <xdr:to>
      <xdr:col>2</xdr:col>
      <xdr:colOff>638175</xdr:colOff>
      <xdr:row>64</xdr:row>
      <xdr:rowOff>152400</xdr:rowOff>
    </xdr:to>
    <xdr:sp macro="" textlink="">
      <xdr:nvSpPr>
        <xdr:cNvPr id="123" name="Rectangle 3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>
          <a:spLocks noChangeArrowheads="1"/>
        </xdr:cNvSpPr>
      </xdr:nvSpPr>
      <xdr:spPr bwMode="auto">
        <a:xfrm>
          <a:off x="520065" y="11382375"/>
          <a:ext cx="552450" cy="5962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376115</xdr:colOff>
      <xdr:row>61</xdr:row>
      <xdr:rowOff>119673</xdr:rowOff>
    </xdr:from>
    <xdr:to>
      <xdr:col>2</xdr:col>
      <xdr:colOff>642815</xdr:colOff>
      <xdr:row>64</xdr:row>
      <xdr:rowOff>148248</xdr:rowOff>
    </xdr:to>
    <xdr:sp macro="" textlink="">
      <xdr:nvSpPr>
        <xdr:cNvPr id="124" name="Line 4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>
          <a:spLocks noChangeShapeType="1"/>
        </xdr:cNvSpPr>
      </xdr:nvSpPr>
      <xdr:spPr bwMode="auto">
        <a:xfrm>
          <a:off x="810455" y="11397273"/>
          <a:ext cx="266700" cy="577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112346</xdr:colOff>
      <xdr:row>61</xdr:row>
      <xdr:rowOff>107461</xdr:rowOff>
    </xdr:from>
    <xdr:to>
      <xdr:col>2</xdr:col>
      <xdr:colOff>350471</xdr:colOff>
      <xdr:row>64</xdr:row>
      <xdr:rowOff>136036</xdr:rowOff>
    </xdr:to>
    <xdr:sp macro="" textlink="">
      <xdr:nvSpPr>
        <xdr:cNvPr id="125" name="Line 5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>
          <a:spLocks noChangeShapeType="1"/>
        </xdr:cNvSpPr>
      </xdr:nvSpPr>
      <xdr:spPr bwMode="auto">
        <a:xfrm flipH="1">
          <a:off x="546686" y="11385061"/>
          <a:ext cx="238125" cy="577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90363</xdr:colOff>
      <xdr:row>63</xdr:row>
      <xdr:rowOff>38100</xdr:rowOff>
    </xdr:from>
    <xdr:to>
      <xdr:col>2</xdr:col>
      <xdr:colOff>641349</xdr:colOff>
      <xdr:row>64</xdr:row>
      <xdr:rowOff>141898</xdr:rowOff>
    </xdr:to>
    <xdr:sp macro="" textlink="">
      <xdr:nvSpPr>
        <xdr:cNvPr id="126" name="Line 4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>
          <a:spLocks noChangeShapeType="1"/>
        </xdr:cNvSpPr>
      </xdr:nvSpPr>
      <xdr:spPr bwMode="auto">
        <a:xfrm flipH="1">
          <a:off x="524703" y="11681460"/>
          <a:ext cx="550986" cy="28667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77665</xdr:colOff>
      <xdr:row>61</xdr:row>
      <xdr:rowOff>100623</xdr:rowOff>
    </xdr:from>
    <xdr:to>
      <xdr:col>2</xdr:col>
      <xdr:colOff>615951</xdr:colOff>
      <xdr:row>63</xdr:row>
      <xdr:rowOff>25400</xdr:rowOff>
    </xdr:to>
    <xdr:sp macro="" textlink="">
      <xdr:nvSpPr>
        <xdr:cNvPr id="127" name="Line 4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>
          <a:spLocks noChangeShapeType="1"/>
        </xdr:cNvSpPr>
      </xdr:nvSpPr>
      <xdr:spPr bwMode="auto">
        <a:xfrm>
          <a:off x="512005" y="11378223"/>
          <a:ext cx="538286" cy="29053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159</xdr:row>
      <xdr:rowOff>38100</xdr:rowOff>
    </xdr:from>
    <xdr:to>
      <xdr:col>1</xdr:col>
      <xdr:colOff>0</xdr:colOff>
      <xdr:row>159</xdr:row>
      <xdr:rowOff>38100</xdr:rowOff>
    </xdr:to>
    <xdr:sp macro="" textlink="">
      <xdr:nvSpPr>
        <xdr:cNvPr id="128" name="Line 246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>
          <a:spLocks noChangeShapeType="1"/>
        </xdr:cNvSpPr>
      </xdr:nvSpPr>
      <xdr:spPr bwMode="auto">
        <a:xfrm flipH="1" flipV="1">
          <a:off x="68580" y="292379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156</xdr:row>
      <xdr:rowOff>46622</xdr:rowOff>
    </xdr:from>
    <xdr:to>
      <xdr:col>2</xdr:col>
      <xdr:colOff>459803</xdr:colOff>
      <xdr:row>156</xdr:row>
      <xdr:rowOff>157442</xdr:rowOff>
    </xdr:to>
    <xdr:sp macro="" textlink="">
      <xdr:nvSpPr>
        <xdr:cNvPr id="129" name="107 Abrir llave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/>
      </xdr:nvSpPr>
      <xdr:spPr>
        <a:xfrm rot="5400000">
          <a:off x="719113" y="2863361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547006</xdr:colOff>
      <xdr:row>157</xdr:row>
      <xdr:rowOff>23132</xdr:rowOff>
    </xdr:from>
    <xdr:to>
      <xdr:col>2</xdr:col>
      <xdr:colOff>956581</xdr:colOff>
      <xdr:row>159</xdr:row>
      <xdr:rowOff>68752</xdr:rowOff>
    </xdr:to>
    <xdr:sp macro="" textlink="">
      <xdr:nvSpPr>
        <xdr:cNvPr id="130" name="Rectangle 6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>
          <a:spLocks noChangeArrowheads="1"/>
        </xdr:cNvSpPr>
      </xdr:nvSpPr>
      <xdr:spPr bwMode="auto">
        <a:xfrm>
          <a:off x="981346" y="28857212"/>
          <a:ext cx="409575" cy="4113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554133</xdr:colOff>
      <xdr:row>159</xdr:row>
      <xdr:rowOff>95965</xdr:rowOff>
    </xdr:from>
    <xdr:to>
      <xdr:col>2</xdr:col>
      <xdr:colOff>968827</xdr:colOff>
      <xdr:row>163</xdr:row>
      <xdr:rowOff>12621</xdr:rowOff>
    </xdr:to>
    <xdr:sp macro="" textlink="">
      <xdr:nvSpPr>
        <xdr:cNvPr id="131" name="Rectangle 1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>
          <a:spLocks noChangeArrowheads="1"/>
        </xdr:cNvSpPr>
      </xdr:nvSpPr>
      <xdr:spPr bwMode="auto">
        <a:xfrm>
          <a:off x="988473" y="29295805"/>
          <a:ext cx="414694" cy="6481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756555</xdr:colOff>
      <xdr:row>157</xdr:row>
      <xdr:rowOff>21772</xdr:rowOff>
    </xdr:from>
    <xdr:to>
      <xdr:col>2</xdr:col>
      <xdr:colOff>947056</xdr:colOff>
      <xdr:row>159</xdr:row>
      <xdr:rowOff>70757</xdr:rowOff>
    </xdr:to>
    <xdr:sp macro="" textlink="">
      <xdr:nvSpPr>
        <xdr:cNvPr id="132" name="Line 133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>
          <a:spLocks noChangeShapeType="1"/>
        </xdr:cNvSpPr>
      </xdr:nvSpPr>
      <xdr:spPr bwMode="auto">
        <a:xfrm flipH="1">
          <a:off x="1190895" y="28855852"/>
          <a:ext cx="190501" cy="4147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549728</xdr:colOff>
      <xdr:row>157</xdr:row>
      <xdr:rowOff>43543</xdr:rowOff>
    </xdr:from>
    <xdr:to>
      <xdr:col>2</xdr:col>
      <xdr:colOff>747032</xdr:colOff>
      <xdr:row>159</xdr:row>
      <xdr:rowOff>68751</xdr:rowOff>
    </xdr:to>
    <xdr:sp macro="" textlink="">
      <xdr:nvSpPr>
        <xdr:cNvPr id="133" name="Line 134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>
          <a:spLocks noChangeShapeType="1"/>
        </xdr:cNvSpPr>
      </xdr:nvSpPr>
      <xdr:spPr bwMode="auto">
        <a:xfrm>
          <a:off x="984068" y="28877623"/>
          <a:ext cx="197304" cy="39096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5443</xdr:colOff>
      <xdr:row>157</xdr:row>
      <xdr:rowOff>23131</xdr:rowOff>
    </xdr:from>
    <xdr:to>
      <xdr:col>2</xdr:col>
      <xdr:colOff>83003</xdr:colOff>
      <xdr:row>159</xdr:row>
      <xdr:rowOff>68751</xdr:rowOff>
    </xdr:to>
    <xdr:sp macro="" textlink="">
      <xdr:nvSpPr>
        <xdr:cNvPr id="134" name="Rectangle 6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>
          <a:spLocks noChangeArrowheads="1"/>
        </xdr:cNvSpPr>
      </xdr:nvSpPr>
      <xdr:spPr bwMode="auto">
        <a:xfrm>
          <a:off x="74023" y="28857211"/>
          <a:ext cx="443320" cy="4113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12570</xdr:colOff>
      <xdr:row>159</xdr:row>
      <xdr:rowOff>95964</xdr:rowOff>
    </xdr:from>
    <xdr:to>
      <xdr:col>2</xdr:col>
      <xdr:colOff>95249</xdr:colOff>
      <xdr:row>163</xdr:row>
      <xdr:rowOff>12620</xdr:rowOff>
    </xdr:to>
    <xdr:sp macro="" textlink="">
      <xdr:nvSpPr>
        <xdr:cNvPr id="135" name="Rectangle 1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>
          <a:spLocks noChangeArrowheads="1"/>
        </xdr:cNvSpPr>
      </xdr:nvSpPr>
      <xdr:spPr bwMode="auto">
        <a:xfrm>
          <a:off x="81150" y="29295804"/>
          <a:ext cx="448439" cy="6481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1</xdr:col>
      <xdr:colOff>214992</xdr:colOff>
      <xdr:row>157</xdr:row>
      <xdr:rowOff>21771</xdr:rowOff>
    </xdr:from>
    <xdr:to>
      <xdr:col>2</xdr:col>
      <xdr:colOff>73478</xdr:colOff>
      <xdr:row>159</xdr:row>
      <xdr:rowOff>70756</xdr:rowOff>
    </xdr:to>
    <xdr:sp macro="" textlink="">
      <xdr:nvSpPr>
        <xdr:cNvPr id="136" name="Line 133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>
          <a:spLocks noChangeShapeType="1"/>
        </xdr:cNvSpPr>
      </xdr:nvSpPr>
      <xdr:spPr bwMode="auto">
        <a:xfrm flipH="1">
          <a:off x="283572" y="28855851"/>
          <a:ext cx="224246" cy="4147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8165</xdr:colOff>
      <xdr:row>157</xdr:row>
      <xdr:rowOff>43542</xdr:rowOff>
    </xdr:from>
    <xdr:to>
      <xdr:col>1</xdr:col>
      <xdr:colOff>205469</xdr:colOff>
      <xdr:row>159</xdr:row>
      <xdr:rowOff>68750</xdr:rowOff>
    </xdr:to>
    <xdr:sp macro="" textlink="">
      <xdr:nvSpPr>
        <xdr:cNvPr id="137" name="Line 134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>
          <a:spLocks noChangeShapeType="1"/>
        </xdr:cNvSpPr>
      </xdr:nvSpPr>
      <xdr:spPr bwMode="auto">
        <a:xfrm>
          <a:off x="76745" y="28877622"/>
          <a:ext cx="197304" cy="39096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114299</xdr:colOff>
      <xdr:row>157</xdr:row>
      <xdr:rowOff>23131</xdr:rowOff>
    </xdr:from>
    <xdr:to>
      <xdr:col>2</xdr:col>
      <xdr:colOff>523874</xdr:colOff>
      <xdr:row>159</xdr:row>
      <xdr:rowOff>68751</xdr:rowOff>
    </xdr:to>
    <xdr:sp macro="" textlink="">
      <xdr:nvSpPr>
        <xdr:cNvPr id="138" name="Rectangle 6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>
          <a:spLocks noChangeArrowheads="1"/>
        </xdr:cNvSpPr>
      </xdr:nvSpPr>
      <xdr:spPr bwMode="auto">
        <a:xfrm>
          <a:off x="548639" y="28857211"/>
          <a:ext cx="409575" cy="4113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126869</xdr:colOff>
      <xdr:row>159</xdr:row>
      <xdr:rowOff>97971</xdr:rowOff>
    </xdr:from>
    <xdr:to>
      <xdr:col>2</xdr:col>
      <xdr:colOff>522514</xdr:colOff>
      <xdr:row>163</xdr:row>
      <xdr:rowOff>10886</xdr:rowOff>
    </xdr:to>
    <xdr:sp macro="" textlink="">
      <xdr:nvSpPr>
        <xdr:cNvPr id="139" name="Rectangle 1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>
          <a:spLocks noChangeArrowheads="1"/>
        </xdr:cNvSpPr>
      </xdr:nvSpPr>
      <xdr:spPr bwMode="auto">
        <a:xfrm>
          <a:off x="561209" y="29297811"/>
          <a:ext cx="395645" cy="6444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326569</xdr:colOff>
      <xdr:row>157</xdr:row>
      <xdr:rowOff>27216</xdr:rowOff>
    </xdr:from>
    <xdr:to>
      <xdr:col>2</xdr:col>
      <xdr:colOff>517070</xdr:colOff>
      <xdr:row>159</xdr:row>
      <xdr:rowOff>76200</xdr:rowOff>
    </xdr:to>
    <xdr:sp macro="" textlink="">
      <xdr:nvSpPr>
        <xdr:cNvPr id="140" name="Line 133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>
          <a:spLocks noChangeShapeType="1"/>
        </xdr:cNvSpPr>
      </xdr:nvSpPr>
      <xdr:spPr bwMode="auto">
        <a:xfrm flipH="1">
          <a:off x="760909" y="28861296"/>
          <a:ext cx="190501" cy="4147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119739</xdr:colOff>
      <xdr:row>157</xdr:row>
      <xdr:rowOff>43544</xdr:rowOff>
    </xdr:from>
    <xdr:to>
      <xdr:col>2</xdr:col>
      <xdr:colOff>326570</xdr:colOff>
      <xdr:row>159</xdr:row>
      <xdr:rowOff>76200</xdr:rowOff>
    </xdr:to>
    <xdr:sp macro="" textlink="">
      <xdr:nvSpPr>
        <xdr:cNvPr id="141" name="Line 133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>
          <a:spLocks noChangeShapeType="1"/>
        </xdr:cNvSpPr>
      </xdr:nvSpPr>
      <xdr:spPr bwMode="auto">
        <a:xfrm flipH="1" flipV="1">
          <a:off x="554079" y="28877624"/>
          <a:ext cx="206831" cy="39841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152400</xdr:colOff>
      <xdr:row>115</xdr:row>
      <xdr:rowOff>57150</xdr:rowOff>
    </xdr:from>
    <xdr:to>
      <xdr:col>2</xdr:col>
      <xdr:colOff>876300</xdr:colOff>
      <xdr:row>118</xdr:row>
      <xdr:rowOff>0</xdr:rowOff>
    </xdr:to>
    <xdr:sp macro="" textlink="">
      <xdr:nvSpPr>
        <xdr:cNvPr id="142" name="Rectangle 137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>
          <a:spLocks noChangeArrowheads="1"/>
        </xdr:cNvSpPr>
      </xdr:nvSpPr>
      <xdr:spPr bwMode="auto">
        <a:xfrm>
          <a:off x="586740" y="21210270"/>
          <a:ext cx="723900" cy="4914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514350</xdr:colOff>
      <xdr:row>115</xdr:row>
      <xdr:rowOff>66675</xdr:rowOff>
    </xdr:from>
    <xdr:to>
      <xdr:col>2</xdr:col>
      <xdr:colOff>514350</xdr:colOff>
      <xdr:row>118</xdr:row>
      <xdr:rowOff>0</xdr:rowOff>
    </xdr:to>
    <xdr:sp macro="" textlink="">
      <xdr:nvSpPr>
        <xdr:cNvPr id="143" name="Line 138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>
          <a:spLocks noChangeShapeType="1"/>
        </xdr:cNvSpPr>
      </xdr:nvSpPr>
      <xdr:spPr bwMode="auto">
        <a:xfrm>
          <a:off x="948690" y="21219795"/>
          <a:ext cx="0" cy="4819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190500</xdr:colOff>
      <xdr:row>116</xdr:row>
      <xdr:rowOff>95250</xdr:rowOff>
    </xdr:from>
    <xdr:to>
      <xdr:col>2</xdr:col>
      <xdr:colOff>438150</xdr:colOff>
      <xdr:row>116</xdr:row>
      <xdr:rowOff>95250</xdr:rowOff>
    </xdr:to>
    <xdr:sp macro="" textlink="">
      <xdr:nvSpPr>
        <xdr:cNvPr id="144" name="Line 139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>
          <a:spLocks noChangeShapeType="1"/>
        </xdr:cNvSpPr>
      </xdr:nvSpPr>
      <xdr:spPr bwMode="auto">
        <a:xfrm>
          <a:off x="624840" y="214312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590550</xdr:colOff>
      <xdr:row>116</xdr:row>
      <xdr:rowOff>95250</xdr:rowOff>
    </xdr:from>
    <xdr:to>
      <xdr:col>2</xdr:col>
      <xdr:colOff>838200</xdr:colOff>
      <xdr:row>116</xdr:row>
      <xdr:rowOff>95250</xdr:rowOff>
    </xdr:to>
    <xdr:sp macro="" textlink="">
      <xdr:nvSpPr>
        <xdr:cNvPr id="145" name="Line 140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>
          <a:spLocks noChangeShapeType="1"/>
        </xdr:cNvSpPr>
      </xdr:nvSpPr>
      <xdr:spPr bwMode="auto">
        <a:xfrm flipH="1">
          <a:off x="1024890" y="214312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152400</xdr:colOff>
      <xdr:row>115</xdr:row>
      <xdr:rowOff>57150</xdr:rowOff>
    </xdr:from>
    <xdr:to>
      <xdr:col>2</xdr:col>
      <xdr:colOff>876300</xdr:colOff>
      <xdr:row>118</xdr:row>
      <xdr:rowOff>0</xdr:rowOff>
    </xdr:to>
    <xdr:sp macro="" textlink="">
      <xdr:nvSpPr>
        <xdr:cNvPr id="146" name="Rectangle 137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>
          <a:spLocks noChangeArrowheads="1"/>
        </xdr:cNvSpPr>
      </xdr:nvSpPr>
      <xdr:spPr bwMode="auto">
        <a:xfrm>
          <a:off x="586740" y="21210270"/>
          <a:ext cx="723900" cy="4914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514350</xdr:colOff>
      <xdr:row>115</xdr:row>
      <xdr:rowOff>66675</xdr:rowOff>
    </xdr:from>
    <xdr:to>
      <xdr:col>2</xdr:col>
      <xdr:colOff>514350</xdr:colOff>
      <xdr:row>118</xdr:row>
      <xdr:rowOff>0</xdr:rowOff>
    </xdr:to>
    <xdr:sp macro="" textlink="">
      <xdr:nvSpPr>
        <xdr:cNvPr id="147" name="Line 138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>
          <a:spLocks noChangeShapeType="1"/>
        </xdr:cNvSpPr>
      </xdr:nvSpPr>
      <xdr:spPr bwMode="auto">
        <a:xfrm>
          <a:off x="948690" y="21219795"/>
          <a:ext cx="0" cy="4819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190500</xdr:colOff>
      <xdr:row>116</xdr:row>
      <xdr:rowOff>95250</xdr:rowOff>
    </xdr:from>
    <xdr:to>
      <xdr:col>2</xdr:col>
      <xdr:colOff>438150</xdr:colOff>
      <xdr:row>116</xdr:row>
      <xdr:rowOff>95250</xdr:rowOff>
    </xdr:to>
    <xdr:sp macro="" textlink="">
      <xdr:nvSpPr>
        <xdr:cNvPr id="148" name="Line 139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>
          <a:spLocks noChangeShapeType="1"/>
        </xdr:cNvSpPr>
      </xdr:nvSpPr>
      <xdr:spPr bwMode="auto">
        <a:xfrm>
          <a:off x="624840" y="214312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0</xdr:colOff>
      <xdr:row>170</xdr:row>
      <xdr:rowOff>38100</xdr:rowOff>
    </xdr:from>
    <xdr:to>
      <xdr:col>1</xdr:col>
      <xdr:colOff>0</xdr:colOff>
      <xdr:row>170</xdr:row>
      <xdr:rowOff>38100</xdr:rowOff>
    </xdr:to>
    <xdr:sp macro="" textlink="">
      <xdr:nvSpPr>
        <xdr:cNvPr id="149" name="Line 246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>
          <a:spLocks noChangeShapeType="1"/>
        </xdr:cNvSpPr>
      </xdr:nvSpPr>
      <xdr:spPr bwMode="auto">
        <a:xfrm flipH="1" flipV="1">
          <a:off x="68580" y="312496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167</xdr:row>
      <xdr:rowOff>46622</xdr:rowOff>
    </xdr:from>
    <xdr:to>
      <xdr:col>2</xdr:col>
      <xdr:colOff>459803</xdr:colOff>
      <xdr:row>167</xdr:row>
      <xdr:rowOff>157442</xdr:rowOff>
    </xdr:to>
    <xdr:sp macro="" textlink="">
      <xdr:nvSpPr>
        <xdr:cNvPr id="150" name="128 Abrir llave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>
        <a:xfrm rot="5400000">
          <a:off x="719113" y="3064529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159726</xdr:colOff>
      <xdr:row>168</xdr:row>
      <xdr:rowOff>25329</xdr:rowOff>
    </xdr:from>
    <xdr:to>
      <xdr:col>2</xdr:col>
      <xdr:colOff>386196</xdr:colOff>
      <xdr:row>170</xdr:row>
      <xdr:rowOff>70949</xdr:rowOff>
    </xdr:to>
    <xdr:sp macro="" textlink="">
      <xdr:nvSpPr>
        <xdr:cNvPr id="151" name="Rectangle 6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>
          <a:spLocks noChangeArrowheads="1"/>
        </xdr:cNvSpPr>
      </xdr:nvSpPr>
      <xdr:spPr bwMode="auto">
        <a:xfrm>
          <a:off x="594066" y="30871089"/>
          <a:ext cx="226470" cy="4113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159528</xdr:colOff>
      <xdr:row>170</xdr:row>
      <xdr:rowOff>76181</xdr:rowOff>
    </xdr:from>
    <xdr:to>
      <xdr:col>2</xdr:col>
      <xdr:colOff>377755</xdr:colOff>
      <xdr:row>173</xdr:row>
      <xdr:rowOff>154029</xdr:rowOff>
    </xdr:to>
    <xdr:sp macro="" textlink="">
      <xdr:nvSpPr>
        <xdr:cNvPr id="152" name="Rectangle 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>
          <a:spLocks noChangeArrowheads="1"/>
        </xdr:cNvSpPr>
      </xdr:nvSpPr>
      <xdr:spPr bwMode="auto">
        <a:xfrm>
          <a:off x="593868" y="31287701"/>
          <a:ext cx="218227" cy="6264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259371</xdr:colOff>
      <xdr:row>168</xdr:row>
      <xdr:rowOff>20516</xdr:rowOff>
    </xdr:from>
    <xdr:to>
      <xdr:col>2</xdr:col>
      <xdr:colOff>388745</xdr:colOff>
      <xdr:row>170</xdr:row>
      <xdr:rowOff>65627</xdr:rowOff>
    </xdr:to>
    <xdr:sp macro="" textlink="">
      <xdr:nvSpPr>
        <xdr:cNvPr id="153" name="Line 133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>
          <a:spLocks noChangeShapeType="1"/>
        </xdr:cNvSpPr>
      </xdr:nvSpPr>
      <xdr:spPr bwMode="auto">
        <a:xfrm flipH="1">
          <a:off x="693711" y="30866276"/>
          <a:ext cx="129374" cy="41087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162448</xdr:colOff>
      <xdr:row>168</xdr:row>
      <xdr:rowOff>45740</xdr:rowOff>
    </xdr:from>
    <xdr:to>
      <xdr:col>2</xdr:col>
      <xdr:colOff>260524</xdr:colOff>
      <xdr:row>170</xdr:row>
      <xdr:rowOff>60812</xdr:rowOff>
    </xdr:to>
    <xdr:sp macro="" textlink="">
      <xdr:nvSpPr>
        <xdr:cNvPr id="154" name="Line 134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>
          <a:spLocks noChangeShapeType="1"/>
        </xdr:cNvSpPr>
      </xdr:nvSpPr>
      <xdr:spPr bwMode="auto">
        <a:xfrm>
          <a:off x="596788" y="30891500"/>
          <a:ext cx="98076" cy="38083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403714</xdr:colOff>
      <xdr:row>168</xdr:row>
      <xdr:rowOff>23864</xdr:rowOff>
    </xdr:from>
    <xdr:to>
      <xdr:col>2</xdr:col>
      <xdr:colOff>630184</xdr:colOff>
      <xdr:row>170</xdr:row>
      <xdr:rowOff>69484</xdr:rowOff>
    </xdr:to>
    <xdr:sp macro="" textlink="">
      <xdr:nvSpPr>
        <xdr:cNvPr id="155" name="Rectangle 6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>
          <a:spLocks noChangeArrowheads="1"/>
        </xdr:cNvSpPr>
      </xdr:nvSpPr>
      <xdr:spPr bwMode="auto">
        <a:xfrm>
          <a:off x="838054" y="30869624"/>
          <a:ext cx="226470" cy="4113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403515</xdr:colOff>
      <xdr:row>170</xdr:row>
      <xdr:rowOff>74716</xdr:rowOff>
    </xdr:from>
    <xdr:to>
      <xdr:col>2</xdr:col>
      <xdr:colOff>621742</xdr:colOff>
      <xdr:row>173</xdr:row>
      <xdr:rowOff>152564</xdr:rowOff>
    </xdr:to>
    <xdr:sp macro="" textlink="">
      <xdr:nvSpPr>
        <xdr:cNvPr id="156" name="Rectangle 1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>
          <a:spLocks noChangeArrowheads="1"/>
        </xdr:cNvSpPr>
      </xdr:nvSpPr>
      <xdr:spPr bwMode="auto">
        <a:xfrm>
          <a:off x="837855" y="31286236"/>
          <a:ext cx="218227" cy="6264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490170</xdr:colOff>
      <xdr:row>168</xdr:row>
      <xdr:rowOff>40300</xdr:rowOff>
    </xdr:from>
    <xdr:to>
      <xdr:col>2</xdr:col>
      <xdr:colOff>619544</xdr:colOff>
      <xdr:row>170</xdr:row>
      <xdr:rowOff>85411</xdr:rowOff>
    </xdr:to>
    <xdr:sp macro="" textlink="">
      <xdr:nvSpPr>
        <xdr:cNvPr id="157" name="Line 133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>
          <a:spLocks noChangeShapeType="1"/>
        </xdr:cNvSpPr>
      </xdr:nvSpPr>
      <xdr:spPr bwMode="auto">
        <a:xfrm flipH="1">
          <a:off x="924510" y="30886060"/>
          <a:ext cx="129374" cy="41087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421822</xdr:colOff>
      <xdr:row>168</xdr:row>
      <xdr:rowOff>36949</xdr:rowOff>
    </xdr:from>
    <xdr:to>
      <xdr:col>2</xdr:col>
      <xdr:colOff>519898</xdr:colOff>
      <xdr:row>170</xdr:row>
      <xdr:rowOff>52021</xdr:rowOff>
    </xdr:to>
    <xdr:sp macro="" textlink="">
      <xdr:nvSpPr>
        <xdr:cNvPr id="158" name="Line 134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>
          <a:spLocks noChangeShapeType="1"/>
        </xdr:cNvSpPr>
      </xdr:nvSpPr>
      <xdr:spPr bwMode="auto">
        <a:xfrm>
          <a:off x="856162" y="30882709"/>
          <a:ext cx="98076" cy="38083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96</xdr:row>
      <xdr:rowOff>38100</xdr:rowOff>
    </xdr:from>
    <xdr:to>
      <xdr:col>1</xdr:col>
      <xdr:colOff>0</xdr:colOff>
      <xdr:row>96</xdr:row>
      <xdr:rowOff>38100</xdr:rowOff>
    </xdr:to>
    <xdr:sp macro="" textlink="">
      <xdr:nvSpPr>
        <xdr:cNvPr id="159" name="Line 246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>
          <a:spLocks noChangeShapeType="1"/>
        </xdr:cNvSpPr>
      </xdr:nvSpPr>
      <xdr:spPr bwMode="auto">
        <a:xfrm flipH="1" flipV="1">
          <a:off x="68580" y="17716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201512</xdr:colOff>
      <xdr:row>93</xdr:row>
      <xdr:rowOff>18050</xdr:rowOff>
    </xdr:from>
    <xdr:to>
      <xdr:col>2</xdr:col>
      <xdr:colOff>440753</xdr:colOff>
      <xdr:row>93</xdr:row>
      <xdr:rowOff>128870</xdr:rowOff>
    </xdr:to>
    <xdr:sp macro="" textlink="">
      <xdr:nvSpPr>
        <xdr:cNvPr id="160" name="138 Abrir llave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/>
      </xdr:nvSpPr>
      <xdr:spPr>
        <a:xfrm rot="5400000">
          <a:off x="700063" y="17083599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139820</xdr:colOff>
      <xdr:row>93</xdr:row>
      <xdr:rowOff>135355</xdr:rowOff>
    </xdr:from>
    <xdr:to>
      <xdr:col>2</xdr:col>
      <xdr:colOff>425570</xdr:colOff>
      <xdr:row>97</xdr:row>
      <xdr:rowOff>49630</xdr:rowOff>
    </xdr:to>
    <xdr:sp macro="" textlink="">
      <xdr:nvSpPr>
        <xdr:cNvPr id="161" name="Rectangle 6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>
          <a:spLocks noChangeArrowheads="1"/>
        </xdr:cNvSpPr>
      </xdr:nvSpPr>
      <xdr:spPr bwMode="auto">
        <a:xfrm>
          <a:off x="574160" y="17265115"/>
          <a:ext cx="285750" cy="645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428625</xdr:colOff>
      <xdr:row>93</xdr:row>
      <xdr:rowOff>133350</xdr:rowOff>
    </xdr:from>
    <xdr:to>
      <xdr:col>2</xdr:col>
      <xdr:colOff>908172</xdr:colOff>
      <xdr:row>97</xdr:row>
      <xdr:rowOff>50006</xdr:rowOff>
    </xdr:to>
    <xdr:sp macro="" textlink="">
      <xdr:nvSpPr>
        <xdr:cNvPr id="162" name="Rectangle 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>
          <a:spLocks noChangeArrowheads="1"/>
        </xdr:cNvSpPr>
      </xdr:nvSpPr>
      <xdr:spPr bwMode="auto">
        <a:xfrm>
          <a:off x="862965" y="17263110"/>
          <a:ext cx="479547" cy="6481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164556</xdr:colOff>
      <xdr:row>93</xdr:row>
      <xdr:rowOff>122654</xdr:rowOff>
    </xdr:from>
    <xdr:to>
      <xdr:col>2</xdr:col>
      <xdr:colOff>313002</xdr:colOff>
      <xdr:row>97</xdr:row>
      <xdr:rowOff>34843</xdr:rowOff>
    </xdr:to>
    <xdr:sp macro="" textlink="">
      <xdr:nvSpPr>
        <xdr:cNvPr id="163" name="Line 133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>
          <a:spLocks noChangeShapeType="1"/>
        </xdr:cNvSpPr>
      </xdr:nvSpPr>
      <xdr:spPr bwMode="auto">
        <a:xfrm flipH="1">
          <a:off x="598896" y="17252414"/>
          <a:ext cx="148446" cy="64370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287202</xdr:colOff>
      <xdr:row>93</xdr:row>
      <xdr:rowOff>139314</xdr:rowOff>
    </xdr:from>
    <xdr:to>
      <xdr:col>2</xdr:col>
      <xdr:colOff>434570</xdr:colOff>
      <xdr:row>97</xdr:row>
      <xdr:rowOff>45393</xdr:rowOff>
    </xdr:to>
    <xdr:sp macro="" textlink="">
      <xdr:nvSpPr>
        <xdr:cNvPr id="164" name="Line 134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>
          <a:spLocks noChangeShapeType="1"/>
        </xdr:cNvSpPr>
      </xdr:nvSpPr>
      <xdr:spPr bwMode="auto">
        <a:xfrm>
          <a:off x="721542" y="17269074"/>
          <a:ext cx="147368" cy="6375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147782</xdr:colOff>
      <xdr:row>93</xdr:row>
      <xdr:rowOff>148648</xdr:rowOff>
    </xdr:from>
    <xdr:to>
      <xdr:col>2</xdr:col>
      <xdr:colOff>430241</xdr:colOff>
      <xdr:row>95</xdr:row>
      <xdr:rowOff>98502</xdr:rowOff>
    </xdr:to>
    <xdr:sp macro="" textlink="">
      <xdr:nvSpPr>
        <xdr:cNvPr id="165" name="Line 13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>
          <a:spLocks noChangeShapeType="1"/>
        </xdr:cNvSpPr>
      </xdr:nvSpPr>
      <xdr:spPr bwMode="auto">
        <a:xfrm>
          <a:off x="582122" y="17278408"/>
          <a:ext cx="282459" cy="31561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154420</xdr:colOff>
      <xdr:row>95</xdr:row>
      <xdr:rowOff>100059</xdr:rowOff>
    </xdr:from>
    <xdr:to>
      <xdr:col>2</xdr:col>
      <xdr:colOff>433252</xdr:colOff>
      <xdr:row>97</xdr:row>
      <xdr:rowOff>53975</xdr:rowOff>
    </xdr:to>
    <xdr:sp macro="" textlink="">
      <xdr:nvSpPr>
        <xdr:cNvPr id="166" name="Line 134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>
          <a:spLocks noChangeShapeType="1"/>
        </xdr:cNvSpPr>
      </xdr:nvSpPr>
      <xdr:spPr bwMode="auto">
        <a:xfrm flipH="1">
          <a:off x="588760" y="17595579"/>
          <a:ext cx="278832" cy="3196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97</xdr:row>
      <xdr:rowOff>76200</xdr:rowOff>
    </xdr:from>
    <xdr:to>
      <xdr:col>2</xdr:col>
      <xdr:colOff>933450</xdr:colOff>
      <xdr:row>98</xdr:row>
      <xdr:rowOff>142875</xdr:rowOff>
    </xdr:to>
    <xdr:sp macro="" textlink="">
      <xdr:nvSpPr>
        <xdr:cNvPr id="167" name="Rectangle 1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>
          <a:spLocks noChangeArrowheads="1"/>
        </xdr:cNvSpPr>
      </xdr:nvSpPr>
      <xdr:spPr bwMode="auto">
        <a:xfrm>
          <a:off x="577215" y="17937480"/>
          <a:ext cx="790575" cy="24955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1</xdr:col>
      <xdr:colOff>0</xdr:colOff>
      <xdr:row>105</xdr:row>
      <xdr:rowOff>38100</xdr:rowOff>
    </xdr:from>
    <xdr:to>
      <xdr:col>1</xdr:col>
      <xdr:colOff>0</xdr:colOff>
      <xdr:row>105</xdr:row>
      <xdr:rowOff>38100</xdr:rowOff>
    </xdr:to>
    <xdr:sp macro="" textlink="">
      <xdr:nvSpPr>
        <xdr:cNvPr id="168" name="Line 246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>
          <a:spLocks noChangeShapeType="1"/>
        </xdr:cNvSpPr>
      </xdr:nvSpPr>
      <xdr:spPr bwMode="auto">
        <a:xfrm flipH="1" flipV="1">
          <a:off x="68580" y="193624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201512</xdr:colOff>
      <xdr:row>102</xdr:row>
      <xdr:rowOff>18050</xdr:rowOff>
    </xdr:from>
    <xdr:to>
      <xdr:col>2</xdr:col>
      <xdr:colOff>440753</xdr:colOff>
      <xdr:row>102</xdr:row>
      <xdr:rowOff>128870</xdr:rowOff>
    </xdr:to>
    <xdr:sp macro="" textlink="">
      <xdr:nvSpPr>
        <xdr:cNvPr id="169" name="147 Abrir llave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 rot="5400000">
          <a:off x="700063" y="18729519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625595</xdr:colOff>
      <xdr:row>102</xdr:row>
      <xdr:rowOff>135355</xdr:rowOff>
    </xdr:from>
    <xdr:to>
      <xdr:col>2</xdr:col>
      <xdr:colOff>911345</xdr:colOff>
      <xdr:row>106</xdr:row>
      <xdr:rowOff>49630</xdr:rowOff>
    </xdr:to>
    <xdr:sp macro="" textlink="">
      <xdr:nvSpPr>
        <xdr:cNvPr id="170" name="Rectangle 6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>
          <a:spLocks noChangeArrowheads="1"/>
        </xdr:cNvSpPr>
      </xdr:nvSpPr>
      <xdr:spPr bwMode="auto">
        <a:xfrm>
          <a:off x="1059935" y="18911035"/>
          <a:ext cx="285750" cy="645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142875</xdr:colOff>
      <xdr:row>102</xdr:row>
      <xdr:rowOff>133350</xdr:rowOff>
    </xdr:from>
    <xdr:to>
      <xdr:col>2</xdr:col>
      <xdr:colOff>622422</xdr:colOff>
      <xdr:row>106</xdr:row>
      <xdr:rowOff>50006</xdr:rowOff>
    </xdr:to>
    <xdr:sp macro="" textlink="">
      <xdr:nvSpPr>
        <xdr:cNvPr id="171" name="Rectangle 1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>
          <a:spLocks noChangeArrowheads="1"/>
        </xdr:cNvSpPr>
      </xdr:nvSpPr>
      <xdr:spPr bwMode="auto">
        <a:xfrm>
          <a:off x="577215" y="18909030"/>
          <a:ext cx="479547" cy="6481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631281</xdr:colOff>
      <xdr:row>102</xdr:row>
      <xdr:rowOff>122654</xdr:rowOff>
    </xdr:from>
    <xdr:to>
      <xdr:col>2</xdr:col>
      <xdr:colOff>779727</xdr:colOff>
      <xdr:row>106</xdr:row>
      <xdr:rowOff>34843</xdr:rowOff>
    </xdr:to>
    <xdr:sp macro="" textlink="">
      <xdr:nvSpPr>
        <xdr:cNvPr id="172" name="Line 133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>
          <a:spLocks noChangeShapeType="1"/>
        </xdr:cNvSpPr>
      </xdr:nvSpPr>
      <xdr:spPr bwMode="auto">
        <a:xfrm flipH="1">
          <a:off x="1065621" y="18898334"/>
          <a:ext cx="148446" cy="64370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763452</xdr:colOff>
      <xdr:row>102</xdr:row>
      <xdr:rowOff>129789</xdr:rowOff>
    </xdr:from>
    <xdr:to>
      <xdr:col>2</xdr:col>
      <xdr:colOff>910820</xdr:colOff>
      <xdr:row>106</xdr:row>
      <xdr:rowOff>35868</xdr:rowOff>
    </xdr:to>
    <xdr:sp macro="" textlink="">
      <xdr:nvSpPr>
        <xdr:cNvPr id="173" name="Line 134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>
          <a:spLocks noChangeShapeType="1"/>
        </xdr:cNvSpPr>
      </xdr:nvSpPr>
      <xdr:spPr bwMode="auto">
        <a:xfrm>
          <a:off x="1197792" y="18905469"/>
          <a:ext cx="147368" cy="6375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633557</xdr:colOff>
      <xdr:row>104</xdr:row>
      <xdr:rowOff>53398</xdr:rowOff>
    </xdr:from>
    <xdr:to>
      <xdr:col>2</xdr:col>
      <xdr:colOff>916016</xdr:colOff>
      <xdr:row>106</xdr:row>
      <xdr:rowOff>3252</xdr:rowOff>
    </xdr:to>
    <xdr:sp macro="" textlink="">
      <xdr:nvSpPr>
        <xdr:cNvPr id="174" name="Line 134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>
          <a:spLocks noChangeShapeType="1"/>
        </xdr:cNvSpPr>
      </xdr:nvSpPr>
      <xdr:spPr bwMode="auto">
        <a:xfrm>
          <a:off x="1067897" y="19194838"/>
          <a:ext cx="282459" cy="31561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640195</xdr:colOff>
      <xdr:row>102</xdr:row>
      <xdr:rowOff>119109</xdr:rowOff>
    </xdr:from>
    <xdr:to>
      <xdr:col>2</xdr:col>
      <xdr:colOff>919027</xdr:colOff>
      <xdr:row>104</xdr:row>
      <xdr:rowOff>73025</xdr:rowOff>
    </xdr:to>
    <xdr:sp macro="" textlink="">
      <xdr:nvSpPr>
        <xdr:cNvPr id="175" name="Line 13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>
          <a:spLocks noChangeShapeType="1"/>
        </xdr:cNvSpPr>
      </xdr:nvSpPr>
      <xdr:spPr bwMode="auto">
        <a:xfrm flipH="1">
          <a:off x="1074535" y="18894789"/>
          <a:ext cx="278832" cy="3196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106</xdr:row>
      <xdr:rowOff>76200</xdr:rowOff>
    </xdr:from>
    <xdr:to>
      <xdr:col>2</xdr:col>
      <xdr:colOff>933450</xdr:colOff>
      <xdr:row>107</xdr:row>
      <xdr:rowOff>142875</xdr:rowOff>
    </xdr:to>
    <xdr:sp macro="" textlink="">
      <xdr:nvSpPr>
        <xdr:cNvPr id="176" name="Rectangle 1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>
          <a:spLocks noChangeArrowheads="1"/>
        </xdr:cNvSpPr>
      </xdr:nvSpPr>
      <xdr:spPr bwMode="auto">
        <a:xfrm>
          <a:off x="577215" y="19583400"/>
          <a:ext cx="790575" cy="24955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F</a:t>
          </a:r>
        </a:p>
        <a:p>
          <a:pPr algn="ctr"/>
          <a:endParaRPr lang="es-CL"/>
        </a:p>
      </xdr:txBody>
    </xdr:sp>
    <xdr:clientData/>
  </xdr:twoCellAnchor>
  <xdr:twoCellAnchor>
    <xdr:from>
      <xdr:col>2</xdr:col>
      <xdr:colOff>285750</xdr:colOff>
      <xdr:row>121</xdr:row>
      <xdr:rowOff>9525</xdr:rowOff>
    </xdr:from>
    <xdr:to>
      <xdr:col>2</xdr:col>
      <xdr:colOff>285750</xdr:colOff>
      <xdr:row>123</xdr:row>
      <xdr:rowOff>95250</xdr:rowOff>
    </xdr:to>
    <xdr:sp macro="" textlink="">
      <xdr:nvSpPr>
        <xdr:cNvPr id="177" name="Line 16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>
          <a:spLocks noChangeShapeType="1"/>
        </xdr:cNvSpPr>
      </xdr:nvSpPr>
      <xdr:spPr bwMode="auto">
        <a:xfrm>
          <a:off x="720090" y="22259925"/>
          <a:ext cx="0" cy="4514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704850</xdr:colOff>
      <xdr:row>121</xdr:row>
      <xdr:rowOff>0</xdr:rowOff>
    </xdr:from>
    <xdr:to>
      <xdr:col>2</xdr:col>
      <xdr:colOff>714375</xdr:colOff>
      <xdr:row>123</xdr:row>
      <xdr:rowOff>104775</xdr:rowOff>
    </xdr:to>
    <xdr:sp macro="" textlink="">
      <xdr:nvSpPr>
        <xdr:cNvPr id="178" name="Line 16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>
          <a:spLocks noChangeShapeType="1"/>
        </xdr:cNvSpPr>
      </xdr:nvSpPr>
      <xdr:spPr bwMode="auto">
        <a:xfrm flipH="1">
          <a:off x="1139190" y="22250400"/>
          <a:ext cx="9525" cy="47053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314325</xdr:colOff>
      <xdr:row>122</xdr:row>
      <xdr:rowOff>66675</xdr:rowOff>
    </xdr:from>
    <xdr:to>
      <xdr:col>2</xdr:col>
      <xdr:colOff>228600</xdr:colOff>
      <xdr:row>122</xdr:row>
      <xdr:rowOff>66675</xdr:rowOff>
    </xdr:to>
    <xdr:sp macro="" textlink="">
      <xdr:nvSpPr>
        <xdr:cNvPr id="179" name="Line 16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>
          <a:spLocks noChangeShapeType="1"/>
        </xdr:cNvSpPr>
      </xdr:nvSpPr>
      <xdr:spPr bwMode="auto">
        <a:xfrm>
          <a:off x="382905" y="22499955"/>
          <a:ext cx="28003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60325</xdr:colOff>
      <xdr:row>120</xdr:row>
      <xdr:rowOff>127001</xdr:rowOff>
    </xdr:from>
    <xdr:to>
      <xdr:col>2</xdr:col>
      <xdr:colOff>854075</xdr:colOff>
      <xdr:row>123</xdr:row>
      <xdr:rowOff>79376</xdr:rowOff>
    </xdr:to>
    <xdr:sp macro="" textlink="">
      <xdr:nvSpPr>
        <xdr:cNvPr id="180" name="Rectangle 165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>
          <a:spLocks noChangeArrowheads="1"/>
        </xdr:cNvSpPr>
      </xdr:nvSpPr>
      <xdr:spPr bwMode="auto">
        <a:xfrm>
          <a:off x="128905" y="22194521"/>
          <a:ext cx="1159510" cy="5010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</a:t>
          </a:r>
        </a:p>
        <a:p>
          <a:pPr algn="l" rtl="0">
            <a:defRPr sz="1000"/>
          </a:pPr>
          <a:r>
            <a:rPr lang="es-CL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F</a:t>
          </a:r>
        </a:p>
      </xdr:txBody>
    </xdr:sp>
    <xdr:clientData/>
  </xdr:twoCellAnchor>
  <xdr:twoCellAnchor>
    <xdr:from>
      <xdr:col>2</xdr:col>
      <xdr:colOff>69850</xdr:colOff>
      <xdr:row>120</xdr:row>
      <xdr:rowOff>149225</xdr:rowOff>
    </xdr:from>
    <xdr:to>
      <xdr:col>2</xdr:col>
      <xdr:colOff>69850</xdr:colOff>
      <xdr:row>123</xdr:row>
      <xdr:rowOff>69850</xdr:rowOff>
    </xdr:to>
    <xdr:sp macro="" textlink="">
      <xdr:nvSpPr>
        <xdr:cNvPr id="181" name="Line 166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>
          <a:spLocks noChangeShapeType="1"/>
        </xdr:cNvSpPr>
      </xdr:nvSpPr>
      <xdr:spPr bwMode="auto">
        <a:xfrm>
          <a:off x="504190" y="22216745"/>
          <a:ext cx="0" cy="4692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488950</xdr:colOff>
      <xdr:row>120</xdr:row>
      <xdr:rowOff>139700</xdr:rowOff>
    </xdr:from>
    <xdr:to>
      <xdr:col>2</xdr:col>
      <xdr:colOff>498475</xdr:colOff>
      <xdr:row>123</xdr:row>
      <xdr:rowOff>79375</xdr:rowOff>
    </xdr:to>
    <xdr:sp macro="" textlink="">
      <xdr:nvSpPr>
        <xdr:cNvPr id="182" name="Line 167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>
          <a:spLocks noChangeShapeType="1"/>
        </xdr:cNvSpPr>
      </xdr:nvSpPr>
      <xdr:spPr bwMode="auto">
        <a:xfrm flipH="1">
          <a:off x="923290" y="22207220"/>
          <a:ext cx="9525" cy="4883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98425</xdr:colOff>
      <xdr:row>122</xdr:row>
      <xdr:rowOff>41275</xdr:rowOff>
    </xdr:from>
    <xdr:to>
      <xdr:col>2</xdr:col>
      <xdr:colOff>12700</xdr:colOff>
      <xdr:row>122</xdr:row>
      <xdr:rowOff>41275</xdr:rowOff>
    </xdr:to>
    <xdr:sp macro="" textlink="">
      <xdr:nvSpPr>
        <xdr:cNvPr id="183" name="Line 168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>
          <a:spLocks noChangeShapeType="1"/>
        </xdr:cNvSpPr>
      </xdr:nvSpPr>
      <xdr:spPr bwMode="auto">
        <a:xfrm>
          <a:off x="167005" y="22474555"/>
          <a:ext cx="28003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527049</xdr:colOff>
      <xdr:row>122</xdr:row>
      <xdr:rowOff>22225</xdr:rowOff>
    </xdr:from>
    <xdr:to>
      <xdr:col>2</xdr:col>
      <xdr:colOff>796924</xdr:colOff>
      <xdr:row>122</xdr:row>
      <xdr:rowOff>31750</xdr:rowOff>
    </xdr:to>
    <xdr:sp macro="" textlink="">
      <xdr:nvSpPr>
        <xdr:cNvPr id="184" name="Line 168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>
          <a:spLocks noChangeShapeType="1"/>
        </xdr:cNvSpPr>
      </xdr:nvSpPr>
      <xdr:spPr bwMode="auto">
        <a:xfrm flipH="1">
          <a:off x="961389" y="22455505"/>
          <a:ext cx="26987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361949</xdr:colOff>
      <xdr:row>192</xdr:row>
      <xdr:rowOff>66676</xdr:rowOff>
    </xdr:from>
    <xdr:to>
      <xdr:col>2</xdr:col>
      <xdr:colOff>714374</xdr:colOff>
      <xdr:row>196</xdr:row>
      <xdr:rowOff>142876</xdr:rowOff>
    </xdr:to>
    <xdr:sp macro="" textlink="">
      <xdr:nvSpPr>
        <xdr:cNvPr id="185" name="Rectangle 38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>
          <a:spLocks noChangeArrowheads="1"/>
        </xdr:cNvSpPr>
      </xdr:nvSpPr>
      <xdr:spPr bwMode="auto">
        <a:xfrm>
          <a:off x="796289" y="35301556"/>
          <a:ext cx="352425" cy="8077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352425</xdr:colOff>
      <xdr:row>192</xdr:row>
      <xdr:rowOff>76200</xdr:rowOff>
    </xdr:from>
    <xdr:to>
      <xdr:col>2</xdr:col>
      <xdr:colOff>704850</xdr:colOff>
      <xdr:row>194</xdr:row>
      <xdr:rowOff>152400</xdr:rowOff>
    </xdr:to>
    <xdr:sp macro="" textlink="">
      <xdr:nvSpPr>
        <xdr:cNvPr id="186" name="Line 39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>
          <a:spLocks noChangeShapeType="1"/>
        </xdr:cNvSpPr>
      </xdr:nvSpPr>
      <xdr:spPr bwMode="auto">
        <a:xfrm flipV="1">
          <a:off x="786765" y="35311080"/>
          <a:ext cx="352425" cy="4419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361949</xdr:colOff>
      <xdr:row>195</xdr:row>
      <xdr:rowOff>0</xdr:rowOff>
    </xdr:from>
    <xdr:to>
      <xdr:col>2</xdr:col>
      <xdr:colOff>714374</xdr:colOff>
      <xdr:row>196</xdr:row>
      <xdr:rowOff>142875</xdr:rowOff>
    </xdr:to>
    <xdr:sp macro="" textlink="">
      <xdr:nvSpPr>
        <xdr:cNvPr id="187" name="Line 40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>
          <a:spLocks noChangeShapeType="1"/>
        </xdr:cNvSpPr>
      </xdr:nvSpPr>
      <xdr:spPr bwMode="auto">
        <a:xfrm>
          <a:off x="796289" y="35783520"/>
          <a:ext cx="352425" cy="3257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638175</xdr:colOff>
      <xdr:row>199</xdr:row>
      <xdr:rowOff>85725</xdr:rowOff>
    </xdr:from>
    <xdr:to>
      <xdr:col>2</xdr:col>
      <xdr:colOff>933450</xdr:colOff>
      <xdr:row>199</xdr:row>
      <xdr:rowOff>85725</xdr:rowOff>
    </xdr:to>
    <xdr:sp macro="" textlink="">
      <xdr:nvSpPr>
        <xdr:cNvPr id="188" name="Line 234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>
          <a:spLocks noChangeShapeType="1"/>
        </xdr:cNvSpPr>
      </xdr:nvSpPr>
      <xdr:spPr bwMode="auto">
        <a:xfrm>
          <a:off x="1072515" y="3660076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647700</xdr:colOff>
      <xdr:row>198</xdr:row>
      <xdr:rowOff>0</xdr:rowOff>
    </xdr:from>
    <xdr:to>
      <xdr:col>2</xdr:col>
      <xdr:colOff>647700</xdr:colOff>
      <xdr:row>199</xdr:row>
      <xdr:rowOff>95250</xdr:rowOff>
    </xdr:to>
    <xdr:sp macro="" textlink="">
      <xdr:nvSpPr>
        <xdr:cNvPr id="189" name="Line 235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>
          <a:spLocks noChangeShapeType="1"/>
        </xdr:cNvSpPr>
      </xdr:nvSpPr>
      <xdr:spPr bwMode="auto">
        <a:xfrm flipH="1">
          <a:off x="1082040" y="36332160"/>
          <a:ext cx="0" cy="2781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352425</xdr:colOff>
      <xdr:row>198</xdr:row>
      <xdr:rowOff>28575</xdr:rowOff>
    </xdr:from>
    <xdr:to>
      <xdr:col>2</xdr:col>
      <xdr:colOff>628650</xdr:colOff>
      <xdr:row>199</xdr:row>
      <xdr:rowOff>76200</xdr:rowOff>
    </xdr:to>
    <xdr:sp macro="" textlink="">
      <xdr:nvSpPr>
        <xdr:cNvPr id="190" name="Line 236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>
          <a:spLocks noChangeShapeType="1"/>
        </xdr:cNvSpPr>
      </xdr:nvSpPr>
      <xdr:spPr bwMode="auto">
        <a:xfrm flipV="1">
          <a:off x="786765" y="36360735"/>
          <a:ext cx="276225" cy="2305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199</xdr:row>
      <xdr:rowOff>76200</xdr:rowOff>
    </xdr:from>
    <xdr:to>
      <xdr:col>2</xdr:col>
      <xdr:colOff>352425</xdr:colOff>
      <xdr:row>199</xdr:row>
      <xdr:rowOff>76200</xdr:rowOff>
    </xdr:to>
    <xdr:sp macro="" textlink="">
      <xdr:nvSpPr>
        <xdr:cNvPr id="191" name="Line 233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>
          <a:spLocks noChangeShapeType="1"/>
        </xdr:cNvSpPr>
      </xdr:nvSpPr>
      <xdr:spPr bwMode="auto">
        <a:xfrm>
          <a:off x="434340" y="36591240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361949</xdr:colOff>
      <xdr:row>201</xdr:row>
      <xdr:rowOff>66676</xdr:rowOff>
    </xdr:from>
    <xdr:to>
      <xdr:col>2</xdr:col>
      <xdr:colOff>714374</xdr:colOff>
      <xdr:row>205</xdr:row>
      <xdr:rowOff>142876</xdr:rowOff>
    </xdr:to>
    <xdr:sp macro="" textlink="">
      <xdr:nvSpPr>
        <xdr:cNvPr id="192" name="Rectangle 38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>
          <a:spLocks noChangeArrowheads="1"/>
        </xdr:cNvSpPr>
      </xdr:nvSpPr>
      <xdr:spPr bwMode="auto">
        <a:xfrm>
          <a:off x="796289" y="36947476"/>
          <a:ext cx="352425" cy="8077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371475</xdr:colOff>
      <xdr:row>203</xdr:row>
      <xdr:rowOff>57150</xdr:rowOff>
    </xdr:from>
    <xdr:to>
      <xdr:col>2</xdr:col>
      <xdr:colOff>723900</xdr:colOff>
      <xdr:row>205</xdr:row>
      <xdr:rowOff>133350</xdr:rowOff>
    </xdr:to>
    <xdr:sp macro="" textlink="">
      <xdr:nvSpPr>
        <xdr:cNvPr id="193" name="Line 39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>
          <a:spLocks noChangeShapeType="1"/>
        </xdr:cNvSpPr>
      </xdr:nvSpPr>
      <xdr:spPr bwMode="auto">
        <a:xfrm flipV="1">
          <a:off x="805815" y="37303710"/>
          <a:ext cx="352425" cy="4419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355599</xdr:colOff>
      <xdr:row>201</xdr:row>
      <xdr:rowOff>76200</xdr:rowOff>
    </xdr:from>
    <xdr:to>
      <xdr:col>2</xdr:col>
      <xdr:colOff>708024</xdr:colOff>
      <xdr:row>203</xdr:row>
      <xdr:rowOff>53975</xdr:rowOff>
    </xdr:to>
    <xdr:sp macro="" textlink="">
      <xdr:nvSpPr>
        <xdr:cNvPr id="194" name="Line 40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>
          <a:spLocks noChangeShapeType="1"/>
        </xdr:cNvSpPr>
      </xdr:nvSpPr>
      <xdr:spPr bwMode="auto">
        <a:xfrm>
          <a:off x="789939" y="36957000"/>
          <a:ext cx="352425" cy="34353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638175</xdr:colOff>
      <xdr:row>208</xdr:row>
      <xdr:rowOff>85725</xdr:rowOff>
    </xdr:from>
    <xdr:to>
      <xdr:col>2</xdr:col>
      <xdr:colOff>933450</xdr:colOff>
      <xdr:row>208</xdr:row>
      <xdr:rowOff>85725</xdr:rowOff>
    </xdr:to>
    <xdr:sp macro="" textlink="">
      <xdr:nvSpPr>
        <xdr:cNvPr id="195" name="Line 23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>
          <a:spLocks noChangeShapeType="1"/>
        </xdr:cNvSpPr>
      </xdr:nvSpPr>
      <xdr:spPr bwMode="auto">
        <a:xfrm>
          <a:off x="1072515" y="3824668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406400</xdr:colOff>
      <xdr:row>207</xdr:row>
      <xdr:rowOff>19050</xdr:rowOff>
    </xdr:from>
    <xdr:to>
      <xdr:col>2</xdr:col>
      <xdr:colOff>657225</xdr:colOff>
      <xdr:row>208</xdr:row>
      <xdr:rowOff>88900</xdr:rowOff>
    </xdr:to>
    <xdr:sp macro="" textlink="">
      <xdr:nvSpPr>
        <xdr:cNvPr id="196" name="Line 236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>
          <a:spLocks noChangeShapeType="1"/>
        </xdr:cNvSpPr>
      </xdr:nvSpPr>
      <xdr:spPr bwMode="auto">
        <a:xfrm flipH="1" flipV="1">
          <a:off x="840740" y="37997130"/>
          <a:ext cx="250825" cy="2527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208</xdr:row>
      <xdr:rowOff>76200</xdr:rowOff>
    </xdr:from>
    <xdr:to>
      <xdr:col>2</xdr:col>
      <xdr:colOff>352425</xdr:colOff>
      <xdr:row>208</xdr:row>
      <xdr:rowOff>76200</xdr:rowOff>
    </xdr:to>
    <xdr:sp macro="" textlink="">
      <xdr:nvSpPr>
        <xdr:cNvPr id="197" name="Line 233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>
          <a:spLocks noChangeShapeType="1"/>
        </xdr:cNvSpPr>
      </xdr:nvSpPr>
      <xdr:spPr bwMode="auto">
        <a:xfrm>
          <a:off x="434340" y="38237160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361949</xdr:colOff>
      <xdr:row>210</xdr:row>
      <xdr:rowOff>66676</xdr:rowOff>
    </xdr:from>
    <xdr:to>
      <xdr:col>2</xdr:col>
      <xdr:colOff>714374</xdr:colOff>
      <xdr:row>214</xdr:row>
      <xdr:rowOff>142876</xdr:rowOff>
    </xdr:to>
    <xdr:sp macro="" textlink="">
      <xdr:nvSpPr>
        <xdr:cNvPr id="198" name="Rectangle 38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>
          <a:spLocks noChangeArrowheads="1"/>
        </xdr:cNvSpPr>
      </xdr:nvSpPr>
      <xdr:spPr bwMode="auto">
        <a:xfrm>
          <a:off x="796289" y="38593396"/>
          <a:ext cx="352425" cy="8077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352425</xdr:colOff>
      <xdr:row>210</xdr:row>
      <xdr:rowOff>76200</xdr:rowOff>
    </xdr:from>
    <xdr:to>
      <xdr:col>2</xdr:col>
      <xdr:colOff>704850</xdr:colOff>
      <xdr:row>212</xdr:row>
      <xdr:rowOff>152400</xdr:rowOff>
    </xdr:to>
    <xdr:sp macro="" textlink="">
      <xdr:nvSpPr>
        <xdr:cNvPr id="199" name="Line 39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>
          <a:spLocks noChangeShapeType="1"/>
        </xdr:cNvSpPr>
      </xdr:nvSpPr>
      <xdr:spPr bwMode="auto">
        <a:xfrm flipV="1">
          <a:off x="786765" y="38602920"/>
          <a:ext cx="352425" cy="4419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361949</xdr:colOff>
      <xdr:row>213</xdr:row>
      <xdr:rowOff>0</xdr:rowOff>
    </xdr:from>
    <xdr:to>
      <xdr:col>2</xdr:col>
      <xdr:colOff>714374</xdr:colOff>
      <xdr:row>214</xdr:row>
      <xdr:rowOff>142875</xdr:rowOff>
    </xdr:to>
    <xdr:sp macro="" textlink="">
      <xdr:nvSpPr>
        <xdr:cNvPr id="200" name="Line 40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>
          <a:spLocks noChangeShapeType="1"/>
        </xdr:cNvSpPr>
      </xdr:nvSpPr>
      <xdr:spPr bwMode="auto">
        <a:xfrm>
          <a:off x="796289" y="39075360"/>
          <a:ext cx="352425" cy="3257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361949</xdr:colOff>
      <xdr:row>217</xdr:row>
      <xdr:rowOff>66676</xdr:rowOff>
    </xdr:from>
    <xdr:to>
      <xdr:col>2</xdr:col>
      <xdr:colOff>714374</xdr:colOff>
      <xdr:row>221</xdr:row>
      <xdr:rowOff>142876</xdr:rowOff>
    </xdr:to>
    <xdr:sp macro="" textlink="">
      <xdr:nvSpPr>
        <xdr:cNvPr id="201" name="Rectangle 38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>
          <a:spLocks noChangeArrowheads="1"/>
        </xdr:cNvSpPr>
      </xdr:nvSpPr>
      <xdr:spPr bwMode="auto">
        <a:xfrm>
          <a:off x="796289" y="39873556"/>
          <a:ext cx="352425" cy="8077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371475</xdr:colOff>
      <xdr:row>219</xdr:row>
      <xdr:rowOff>57150</xdr:rowOff>
    </xdr:from>
    <xdr:to>
      <xdr:col>2</xdr:col>
      <xdr:colOff>723900</xdr:colOff>
      <xdr:row>221</xdr:row>
      <xdr:rowOff>133350</xdr:rowOff>
    </xdr:to>
    <xdr:sp macro="" textlink="">
      <xdr:nvSpPr>
        <xdr:cNvPr id="202" name="Line 39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>
          <a:spLocks noChangeShapeType="1"/>
        </xdr:cNvSpPr>
      </xdr:nvSpPr>
      <xdr:spPr bwMode="auto">
        <a:xfrm flipV="1">
          <a:off x="805815" y="40229790"/>
          <a:ext cx="352425" cy="4419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355599</xdr:colOff>
      <xdr:row>217</xdr:row>
      <xdr:rowOff>76200</xdr:rowOff>
    </xdr:from>
    <xdr:to>
      <xdr:col>2</xdr:col>
      <xdr:colOff>708024</xdr:colOff>
      <xdr:row>219</xdr:row>
      <xdr:rowOff>53975</xdr:rowOff>
    </xdr:to>
    <xdr:sp macro="" textlink="">
      <xdr:nvSpPr>
        <xdr:cNvPr id="203" name="Line 40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>
          <a:spLocks noChangeShapeType="1"/>
        </xdr:cNvSpPr>
      </xdr:nvSpPr>
      <xdr:spPr bwMode="auto">
        <a:xfrm>
          <a:off x="789939" y="39883080"/>
          <a:ext cx="352425" cy="34353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181</xdr:row>
      <xdr:rowOff>38100</xdr:rowOff>
    </xdr:from>
    <xdr:to>
      <xdr:col>1</xdr:col>
      <xdr:colOff>0</xdr:colOff>
      <xdr:row>181</xdr:row>
      <xdr:rowOff>38100</xdr:rowOff>
    </xdr:to>
    <xdr:sp macro="" textlink="">
      <xdr:nvSpPr>
        <xdr:cNvPr id="204" name="Line 246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>
          <a:spLocks noChangeShapeType="1"/>
        </xdr:cNvSpPr>
      </xdr:nvSpPr>
      <xdr:spPr bwMode="auto">
        <a:xfrm flipH="1" flipV="1">
          <a:off x="68580" y="33261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220562</xdr:colOff>
      <xdr:row>178</xdr:row>
      <xdr:rowOff>46622</xdr:rowOff>
    </xdr:from>
    <xdr:to>
      <xdr:col>2</xdr:col>
      <xdr:colOff>459803</xdr:colOff>
      <xdr:row>178</xdr:row>
      <xdr:rowOff>157442</xdr:rowOff>
    </xdr:to>
    <xdr:sp macro="" textlink="">
      <xdr:nvSpPr>
        <xdr:cNvPr id="205" name="184 Abrir llave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/>
      </xdr:nvSpPr>
      <xdr:spPr>
        <a:xfrm rot="5400000">
          <a:off x="719113" y="32656971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524327</xdr:colOff>
      <xdr:row>179</xdr:row>
      <xdr:rowOff>14060</xdr:rowOff>
    </xdr:from>
    <xdr:to>
      <xdr:col>2</xdr:col>
      <xdr:colOff>933902</xdr:colOff>
      <xdr:row>181</xdr:row>
      <xdr:rowOff>59680</xdr:rowOff>
    </xdr:to>
    <xdr:sp macro="" textlink="">
      <xdr:nvSpPr>
        <xdr:cNvPr id="206" name="Rectangle 6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>
          <a:spLocks noChangeArrowheads="1"/>
        </xdr:cNvSpPr>
      </xdr:nvSpPr>
      <xdr:spPr bwMode="auto">
        <a:xfrm>
          <a:off x="958667" y="32871500"/>
          <a:ext cx="409575" cy="4113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91168</xdr:colOff>
      <xdr:row>179</xdr:row>
      <xdr:rowOff>13606</xdr:rowOff>
    </xdr:from>
    <xdr:to>
      <xdr:col>2</xdr:col>
      <xdr:colOff>521153</xdr:colOff>
      <xdr:row>181</xdr:row>
      <xdr:rowOff>59226</xdr:rowOff>
    </xdr:to>
    <xdr:sp macro="" textlink="">
      <xdr:nvSpPr>
        <xdr:cNvPr id="207" name="Rectangle 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>
          <a:spLocks noChangeArrowheads="1"/>
        </xdr:cNvSpPr>
      </xdr:nvSpPr>
      <xdr:spPr bwMode="auto">
        <a:xfrm>
          <a:off x="525508" y="32871046"/>
          <a:ext cx="429985" cy="4113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293405</xdr:colOff>
      <xdr:row>179</xdr:row>
      <xdr:rowOff>15060</xdr:rowOff>
    </xdr:from>
    <xdr:to>
      <xdr:col>2</xdr:col>
      <xdr:colOff>507061</xdr:colOff>
      <xdr:row>181</xdr:row>
      <xdr:rowOff>64045</xdr:rowOff>
    </xdr:to>
    <xdr:sp macro="" textlink="">
      <xdr:nvSpPr>
        <xdr:cNvPr id="208" name="Line 133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>
          <a:spLocks noChangeShapeType="1"/>
        </xdr:cNvSpPr>
      </xdr:nvSpPr>
      <xdr:spPr bwMode="auto">
        <a:xfrm flipH="1">
          <a:off x="727745" y="32872500"/>
          <a:ext cx="213656" cy="4147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101600</xdr:colOff>
      <xdr:row>179</xdr:row>
      <xdr:rowOff>1815</xdr:rowOff>
    </xdr:from>
    <xdr:to>
      <xdr:col>2</xdr:col>
      <xdr:colOff>307637</xdr:colOff>
      <xdr:row>181</xdr:row>
      <xdr:rowOff>45803</xdr:rowOff>
    </xdr:to>
    <xdr:sp macro="" textlink="">
      <xdr:nvSpPr>
        <xdr:cNvPr id="209" name="Line 134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>
          <a:spLocks noChangeShapeType="1"/>
        </xdr:cNvSpPr>
      </xdr:nvSpPr>
      <xdr:spPr bwMode="auto">
        <a:xfrm>
          <a:off x="535940" y="32859255"/>
          <a:ext cx="206037" cy="40974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19049</xdr:colOff>
      <xdr:row>179</xdr:row>
      <xdr:rowOff>13606</xdr:rowOff>
    </xdr:from>
    <xdr:to>
      <xdr:col>2</xdr:col>
      <xdr:colOff>76199</xdr:colOff>
      <xdr:row>181</xdr:row>
      <xdr:rowOff>59226</xdr:rowOff>
    </xdr:to>
    <xdr:sp macro="" textlink="">
      <xdr:nvSpPr>
        <xdr:cNvPr id="210" name="Rectangle 6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>
          <a:spLocks noChangeArrowheads="1"/>
        </xdr:cNvSpPr>
      </xdr:nvSpPr>
      <xdr:spPr bwMode="auto">
        <a:xfrm>
          <a:off x="87629" y="32871046"/>
          <a:ext cx="422910" cy="4113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L"/>
        </a:p>
        <a:p>
          <a:endParaRPr lang="es-CL"/>
        </a:p>
        <a:p>
          <a:endParaRPr lang="es-CL"/>
        </a:p>
      </xdr:txBody>
    </xdr:sp>
    <xdr:clientData/>
  </xdr:twoCellAnchor>
  <xdr:twoCellAnchor>
    <xdr:from>
      <xdr:col>2</xdr:col>
      <xdr:colOff>180975</xdr:colOff>
      <xdr:row>224</xdr:row>
      <xdr:rowOff>66675</xdr:rowOff>
    </xdr:from>
    <xdr:to>
      <xdr:col>2</xdr:col>
      <xdr:colOff>981075</xdr:colOff>
      <xdr:row>227</xdr:row>
      <xdr:rowOff>0</xdr:rowOff>
    </xdr:to>
    <xdr:sp macro="" textlink="">
      <xdr:nvSpPr>
        <xdr:cNvPr id="211" name="Rectangle 41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>
          <a:spLocks noChangeArrowheads="1"/>
        </xdr:cNvSpPr>
      </xdr:nvSpPr>
      <xdr:spPr bwMode="auto">
        <a:xfrm>
          <a:off x="615315" y="41138475"/>
          <a:ext cx="800100" cy="43624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590550</xdr:colOff>
      <xdr:row>224</xdr:row>
      <xdr:rowOff>76200</xdr:rowOff>
    </xdr:from>
    <xdr:to>
      <xdr:col>2</xdr:col>
      <xdr:colOff>590550</xdr:colOff>
      <xdr:row>226</xdr:row>
      <xdr:rowOff>152400</xdr:rowOff>
    </xdr:to>
    <xdr:sp macro="" textlink="">
      <xdr:nvSpPr>
        <xdr:cNvPr id="212" name="Line 42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>
          <a:spLocks noChangeShapeType="1"/>
        </xdr:cNvSpPr>
      </xdr:nvSpPr>
      <xdr:spPr bwMode="auto">
        <a:xfrm>
          <a:off x="1024890" y="41148000"/>
          <a:ext cx="0" cy="4114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224</xdr:row>
      <xdr:rowOff>76200</xdr:rowOff>
    </xdr:from>
    <xdr:to>
      <xdr:col>2</xdr:col>
      <xdr:colOff>981075</xdr:colOff>
      <xdr:row>227</xdr:row>
      <xdr:rowOff>0</xdr:rowOff>
    </xdr:to>
    <xdr:sp macro="" textlink="">
      <xdr:nvSpPr>
        <xdr:cNvPr id="213" name="Line 43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>
          <a:spLocks noChangeShapeType="1"/>
        </xdr:cNvSpPr>
      </xdr:nvSpPr>
      <xdr:spPr bwMode="auto">
        <a:xfrm>
          <a:off x="615315" y="41148000"/>
          <a:ext cx="800100" cy="426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224</xdr:row>
      <xdr:rowOff>76200</xdr:rowOff>
    </xdr:from>
    <xdr:to>
      <xdr:col>2</xdr:col>
      <xdr:colOff>981075</xdr:colOff>
      <xdr:row>227</xdr:row>
      <xdr:rowOff>9525</xdr:rowOff>
    </xdr:to>
    <xdr:sp macro="" textlink="">
      <xdr:nvSpPr>
        <xdr:cNvPr id="214" name="Line 44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>
          <a:spLocks noChangeShapeType="1"/>
        </xdr:cNvSpPr>
      </xdr:nvSpPr>
      <xdr:spPr bwMode="auto">
        <a:xfrm flipV="1">
          <a:off x="615315" y="41148000"/>
          <a:ext cx="800100" cy="4362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409575</xdr:colOff>
      <xdr:row>185</xdr:row>
      <xdr:rowOff>142874</xdr:rowOff>
    </xdr:from>
    <xdr:to>
      <xdr:col>2</xdr:col>
      <xdr:colOff>962025</xdr:colOff>
      <xdr:row>190</xdr:row>
      <xdr:rowOff>47624</xdr:rowOff>
    </xdr:to>
    <xdr:sp macro="" textlink="">
      <xdr:nvSpPr>
        <xdr:cNvPr id="215" name="Rectangle 1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>
          <a:spLocks noChangeArrowheads="1"/>
        </xdr:cNvSpPr>
      </xdr:nvSpPr>
      <xdr:spPr bwMode="auto">
        <a:xfrm>
          <a:off x="843915" y="34097594"/>
          <a:ext cx="552450" cy="819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s-ES"/>
            <a:t>C</a:t>
          </a:r>
        </a:p>
        <a:p>
          <a:endParaRPr lang="es-ES"/>
        </a:p>
      </xdr:txBody>
    </xdr:sp>
    <xdr:clientData/>
  </xdr:twoCellAnchor>
  <xdr:twoCellAnchor>
    <xdr:from>
      <xdr:col>1</xdr:col>
      <xdr:colOff>0</xdr:colOff>
      <xdr:row>188</xdr:row>
      <xdr:rowOff>38100</xdr:rowOff>
    </xdr:from>
    <xdr:to>
      <xdr:col>1</xdr:col>
      <xdr:colOff>0</xdr:colOff>
      <xdr:row>188</xdr:row>
      <xdr:rowOff>38100</xdr:rowOff>
    </xdr:to>
    <xdr:sp macro="" textlink="">
      <xdr:nvSpPr>
        <xdr:cNvPr id="216" name="Line 246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>
          <a:spLocks noChangeShapeType="1"/>
        </xdr:cNvSpPr>
      </xdr:nvSpPr>
      <xdr:spPr bwMode="auto">
        <a:xfrm flipH="1" flipV="1">
          <a:off x="68580" y="345414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201512</xdr:colOff>
      <xdr:row>185</xdr:row>
      <xdr:rowOff>18050</xdr:rowOff>
    </xdr:from>
    <xdr:to>
      <xdr:col>2</xdr:col>
      <xdr:colOff>440753</xdr:colOff>
      <xdr:row>185</xdr:row>
      <xdr:rowOff>128870</xdr:rowOff>
    </xdr:to>
    <xdr:sp macro="" textlink="">
      <xdr:nvSpPr>
        <xdr:cNvPr id="217" name="196 Abrir llave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 rot="5400000">
          <a:off x="700063" y="33908559"/>
          <a:ext cx="110820" cy="239241"/>
        </a:xfrm>
        <a:prstGeom prst="leftBrace">
          <a:avLst>
            <a:gd name="adj1" fmla="val 8333"/>
            <a:gd name="adj2" fmla="val 6807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2</xdr:col>
      <xdr:colOff>6470</xdr:colOff>
      <xdr:row>185</xdr:row>
      <xdr:rowOff>154406</xdr:rowOff>
    </xdr:from>
    <xdr:to>
      <xdr:col>2</xdr:col>
      <xdr:colOff>390525</xdr:colOff>
      <xdr:row>188</xdr:row>
      <xdr:rowOff>38101</xdr:rowOff>
    </xdr:to>
    <xdr:sp macro="" textlink="">
      <xdr:nvSpPr>
        <xdr:cNvPr id="218" name="Rectangle 6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>
          <a:spLocks noChangeArrowheads="1"/>
        </xdr:cNvSpPr>
      </xdr:nvSpPr>
      <xdr:spPr bwMode="auto">
        <a:xfrm>
          <a:off x="440810" y="34109126"/>
          <a:ext cx="384055" cy="4323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s-ES"/>
            <a:t>B</a:t>
          </a:r>
        </a:p>
        <a:p>
          <a:endParaRPr lang="es-ES"/>
        </a:p>
      </xdr:txBody>
    </xdr:sp>
    <xdr:clientData/>
  </xdr:twoCellAnchor>
  <xdr:twoCellAnchor>
    <xdr:from>
      <xdr:col>2</xdr:col>
      <xdr:colOff>9848</xdr:colOff>
      <xdr:row>188</xdr:row>
      <xdr:rowOff>57150</xdr:rowOff>
    </xdr:from>
    <xdr:to>
      <xdr:col>2</xdr:col>
      <xdr:colOff>390525</xdr:colOff>
      <xdr:row>190</xdr:row>
      <xdr:rowOff>38100</xdr:rowOff>
    </xdr:to>
    <xdr:sp macro="" textlink="">
      <xdr:nvSpPr>
        <xdr:cNvPr id="219" name="Rectangle 1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>
          <a:spLocks noChangeArrowheads="1"/>
        </xdr:cNvSpPr>
      </xdr:nvSpPr>
      <xdr:spPr bwMode="auto">
        <a:xfrm>
          <a:off x="444188" y="34560510"/>
          <a:ext cx="380677" cy="3467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CL"/>
            <a:t>A</a:t>
          </a:r>
        </a:p>
        <a:p>
          <a:pPr algn="ctr"/>
          <a:endParaRPr lang="es-CL"/>
        </a:p>
        <a:p>
          <a:pPr algn="ctr"/>
          <a:endParaRPr lang="es-CL"/>
        </a:p>
      </xdr:txBody>
    </xdr:sp>
    <xdr:clientData/>
  </xdr:twoCellAnchor>
  <xdr:twoCellAnchor>
    <xdr:from>
      <xdr:col>2</xdr:col>
      <xdr:colOff>209549</xdr:colOff>
      <xdr:row>186</xdr:row>
      <xdr:rowOff>1</xdr:rowOff>
    </xdr:from>
    <xdr:to>
      <xdr:col>2</xdr:col>
      <xdr:colOff>390525</xdr:colOff>
      <xdr:row>188</xdr:row>
      <xdr:rowOff>19051</xdr:rowOff>
    </xdr:to>
    <xdr:sp macro="" textlink="">
      <xdr:nvSpPr>
        <xdr:cNvPr id="220" name="Line 133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>
          <a:spLocks noChangeShapeType="1"/>
        </xdr:cNvSpPr>
      </xdr:nvSpPr>
      <xdr:spPr bwMode="auto">
        <a:xfrm flipH="1">
          <a:off x="643889" y="34137601"/>
          <a:ext cx="180976" cy="3848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186</xdr:row>
      <xdr:rowOff>4521</xdr:rowOff>
    </xdr:from>
    <xdr:to>
      <xdr:col>2</xdr:col>
      <xdr:colOff>200025</xdr:colOff>
      <xdr:row>188</xdr:row>
      <xdr:rowOff>38100</xdr:rowOff>
    </xdr:to>
    <xdr:sp macro="" textlink="">
      <xdr:nvSpPr>
        <xdr:cNvPr id="221" name="Line 134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>
          <a:spLocks noChangeShapeType="1"/>
        </xdr:cNvSpPr>
      </xdr:nvSpPr>
      <xdr:spPr bwMode="auto">
        <a:xfrm>
          <a:off x="453390" y="34142121"/>
          <a:ext cx="180975" cy="39933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230</xdr:row>
      <xdr:rowOff>66675</xdr:rowOff>
    </xdr:from>
    <xdr:to>
      <xdr:col>2</xdr:col>
      <xdr:colOff>981075</xdr:colOff>
      <xdr:row>233</xdr:row>
      <xdr:rowOff>0</xdr:rowOff>
    </xdr:to>
    <xdr:sp macro="" textlink="">
      <xdr:nvSpPr>
        <xdr:cNvPr id="222" name="Rectangle 4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>
          <a:spLocks noChangeArrowheads="1"/>
        </xdr:cNvSpPr>
      </xdr:nvSpPr>
      <xdr:spPr bwMode="auto">
        <a:xfrm>
          <a:off x="615315" y="42159555"/>
          <a:ext cx="800100" cy="43624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590550</xdr:colOff>
      <xdr:row>230</xdr:row>
      <xdr:rowOff>76200</xdr:rowOff>
    </xdr:from>
    <xdr:to>
      <xdr:col>2</xdr:col>
      <xdr:colOff>590550</xdr:colOff>
      <xdr:row>232</xdr:row>
      <xdr:rowOff>152400</xdr:rowOff>
    </xdr:to>
    <xdr:sp macro="" textlink="">
      <xdr:nvSpPr>
        <xdr:cNvPr id="223" name="Line 4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>
          <a:spLocks noChangeShapeType="1"/>
        </xdr:cNvSpPr>
      </xdr:nvSpPr>
      <xdr:spPr bwMode="auto">
        <a:xfrm>
          <a:off x="1024890" y="42169080"/>
          <a:ext cx="0" cy="4114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230</xdr:row>
      <xdr:rowOff>76200</xdr:rowOff>
    </xdr:from>
    <xdr:to>
      <xdr:col>2</xdr:col>
      <xdr:colOff>981075</xdr:colOff>
      <xdr:row>233</xdr:row>
      <xdr:rowOff>0</xdr:rowOff>
    </xdr:to>
    <xdr:sp macro="" textlink="">
      <xdr:nvSpPr>
        <xdr:cNvPr id="224" name="Line 4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>
          <a:spLocks noChangeShapeType="1"/>
        </xdr:cNvSpPr>
      </xdr:nvSpPr>
      <xdr:spPr bwMode="auto">
        <a:xfrm>
          <a:off x="615315" y="42169080"/>
          <a:ext cx="800100" cy="426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230</xdr:row>
      <xdr:rowOff>76200</xdr:rowOff>
    </xdr:from>
    <xdr:to>
      <xdr:col>2</xdr:col>
      <xdr:colOff>981075</xdr:colOff>
      <xdr:row>233</xdr:row>
      <xdr:rowOff>9525</xdr:rowOff>
    </xdr:to>
    <xdr:sp macro="" textlink="">
      <xdr:nvSpPr>
        <xdr:cNvPr id="225" name="Line 4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>
          <a:spLocks noChangeShapeType="1"/>
        </xdr:cNvSpPr>
      </xdr:nvSpPr>
      <xdr:spPr bwMode="auto">
        <a:xfrm flipV="1">
          <a:off x="615315" y="42169080"/>
          <a:ext cx="800100" cy="4362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</xdr:colOff>
      <xdr:row>67</xdr:row>
      <xdr:rowOff>66675</xdr:rowOff>
    </xdr:from>
    <xdr:to>
      <xdr:col>2</xdr:col>
      <xdr:colOff>619125</xdr:colOff>
      <xdr:row>70</xdr:row>
      <xdr:rowOff>133350</xdr:rowOff>
    </xdr:to>
    <xdr:sp macro="" textlink="">
      <xdr:nvSpPr>
        <xdr:cNvPr id="226" name="Rectangle 1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>
          <a:spLocks noChangeArrowheads="1"/>
        </xdr:cNvSpPr>
      </xdr:nvSpPr>
      <xdr:spPr bwMode="auto">
        <a:xfrm>
          <a:off x="501015" y="12441555"/>
          <a:ext cx="552450" cy="6153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358140</xdr:colOff>
      <xdr:row>204</xdr:row>
      <xdr:rowOff>0</xdr:rowOff>
    </xdr:from>
    <xdr:to>
      <xdr:col>2</xdr:col>
      <xdr:colOff>731520</xdr:colOff>
      <xdr:row>204</xdr:row>
      <xdr:rowOff>0</xdr:rowOff>
    </xdr:to>
    <xdr:sp macro="" textlink="">
      <xdr:nvSpPr>
        <xdr:cNvPr id="228" name="Line 234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>
          <a:spLocks noChangeShapeType="1"/>
        </xdr:cNvSpPr>
      </xdr:nvSpPr>
      <xdr:spPr bwMode="auto">
        <a:xfrm>
          <a:off x="792480" y="37307520"/>
          <a:ext cx="3733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W183"/>
  <sheetViews>
    <sheetView tabSelected="1" zoomScale="80" zoomScaleNormal="80" zoomScaleSheetLayoutView="98" workbookViewId="0">
      <selection activeCell="P174" sqref="P174"/>
    </sheetView>
  </sheetViews>
  <sheetFormatPr baseColWidth="10" defaultColWidth="11.42578125" defaultRowHeight="15" x14ac:dyDescent="0.25"/>
  <cols>
    <col min="1" max="1" width="1" style="1" customWidth="1"/>
    <col min="2" max="2" width="5.42578125" style="2" customWidth="1"/>
    <col min="3" max="3" width="14.7109375" style="1" customWidth="1"/>
    <col min="4" max="4" width="6.42578125" style="1" customWidth="1"/>
    <col min="5" max="5" width="3" style="1" customWidth="1"/>
    <col min="6" max="6" width="5.85546875" style="1" customWidth="1"/>
    <col min="7" max="7" width="2.42578125" style="1" customWidth="1"/>
    <col min="8" max="8" width="3.42578125" style="1" customWidth="1"/>
    <col min="9" max="9" width="2.42578125" style="1" customWidth="1"/>
    <col min="10" max="10" width="9.42578125" style="1" bestFit="1" customWidth="1"/>
    <col min="11" max="11" width="3.42578125" style="1" customWidth="1"/>
    <col min="12" max="12" width="5.5703125" style="1" customWidth="1"/>
    <col min="13" max="13" width="3.42578125" style="1" customWidth="1"/>
    <col min="14" max="14" width="7" style="1" customWidth="1"/>
    <col min="15" max="15" width="2" style="1" customWidth="1"/>
    <col min="16" max="16" width="5.85546875" style="1" customWidth="1"/>
    <col min="17" max="17" width="4.85546875" style="1" bestFit="1" customWidth="1"/>
    <col min="18" max="18" width="5.42578125" style="1" customWidth="1"/>
    <col min="19" max="19" width="3" style="1" customWidth="1"/>
    <col min="20" max="20" width="4.42578125" style="1" customWidth="1"/>
    <col min="21" max="16384" width="11.42578125" style="1"/>
  </cols>
  <sheetData>
    <row r="1" spans="2:19" x14ac:dyDescent="0.25">
      <c r="C1" s="3" t="s">
        <v>115</v>
      </c>
      <c r="E1" s="4" t="s">
        <v>0</v>
      </c>
      <c r="I1" s="4" t="s">
        <v>85</v>
      </c>
      <c r="L1" s="4"/>
    </row>
    <row r="2" spans="2:19" x14ac:dyDescent="0.25">
      <c r="C2" s="3" t="s">
        <v>116</v>
      </c>
      <c r="E2" s="4" t="s">
        <v>118</v>
      </c>
      <c r="I2" s="1" t="s">
        <v>95</v>
      </c>
    </row>
    <row r="3" spans="2:19" x14ac:dyDescent="0.25">
      <c r="C3" s="5">
        <v>43206</v>
      </c>
      <c r="E3" s="5" t="s">
        <v>1</v>
      </c>
    </row>
    <row r="4" spans="2:19" x14ac:dyDescent="0.25">
      <c r="B4" s="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</row>
    <row r="5" spans="2:19" x14ac:dyDescent="0.25">
      <c r="B5" s="2">
        <v>1</v>
      </c>
      <c r="C5" s="4" t="s">
        <v>82</v>
      </c>
      <c r="D5" s="4"/>
      <c r="E5" s="7" t="s">
        <v>2</v>
      </c>
      <c r="K5" s="7" t="s">
        <v>3</v>
      </c>
      <c r="Q5" s="7" t="s">
        <v>4</v>
      </c>
      <c r="S5" s="2"/>
    </row>
    <row r="6" spans="2:19" x14ac:dyDescent="0.25">
      <c r="D6" s="7" t="s">
        <v>5</v>
      </c>
      <c r="E6" s="2"/>
      <c r="F6" s="7" t="s">
        <v>6</v>
      </c>
      <c r="G6" s="2"/>
      <c r="H6" s="2"/>
      <c r="I6" s="2"/>
      <c r="J6" s="7" t="s">
        <v>5</v>
      </c>
      <c r="K6" s="2"/>
      <c r="L6" s="7" t="s">
        <v>6</v>
      </c>
      <c r="M6" s="7"/>
      <c r="N6" s="2"/>
      <c r="O6" s="2"/>
      <c r="P6" s="7" t="s">
        <v>5</v>
      </c>
      <c r="Q6" s="2"/>
      <c r="R6" s="7" t="s">
        <v>6</v>
      </c>
      <c r="S6" s="2"/>
    </row>
    <row r="7" spans="2:19" x14ac:dyDescent="0.25">
      <c r="D7" s="2"/>
      <c r="E7" s="2"/>
      <c r="F7" s="2"/>
      <c r="G7" s="2"/>
      <c r="H7" s="2"/>
      <c r="I7" s="2"/>
      <c r="J7" s="2"/>
      <c r="K7" s="8" t="s">
        <v>83</v>
      </c>
      <c r="L7" s="2"/>
      <c r="M7" s="2"/>
      <c r="N7" s="2"/>
      <c r="O7" s="2"/>
      <c r="P7" s="2"/>
      <c r="Q7" s="9"/>
      <c r="R7" s="2"/>
      <c r="S7" s="2"/>
    </row>
    <row r="8" spans="2:19" x14ac:dyDescent="0.25">
      <c r="D8" s="2">
        <v>1005</v>
      </c>
      <c r="E8" s="2" t="s">
        <v>8</v>
      </c>
      <c r="F8" s="2">
        <v>1005</v>
      </c>
      <c r="G8" s="2"/>
      <c r="H8" s="2">
        <v>1</v>
      </c>
      <c r="I8" s="2"/>
      <c r="J8" s="2">
        <f>+D8-52</f>
        <v>953</v>
      </c>
      <c r="K8" s="7" t="s">
        <v>8</v>
      </c>
      <c r="L8" s="2">
        <f>+F8-52</f>
        <v>953</v>
      </c>
      <c r="M8" s="2"/>
      <c r="N8" s="2">
        <f>+H8*1</f>
        <v>1</v>
      </c>
      <c r="O8" s="2"/>
      <c r="P8" s="2">
        <f>+J8-114</f>
        <v>839</v>
      </c>
      <c r="Q8" s="2" t="s">
        <v>8</v>
      </c>
      <c r="R8" s="2">
        <f>+L8-114</f>
        <v>839</v>
      </c>
      <c r="S8" s="2">
        <f>+N8</f>
        <v>1</v>
      </c>
    </row>
    <row r="9" spans="2:19" x14ac:dyDescent="0.25"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S9" s="2"/>
    </row>
    <row r="10" spans="2:19" x14ac:dyDescent="0.25"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S10" s="2"/>
    </row>
    <row r="11" spans="2:19" x14ac:dyDescent="0.25">
      <c r="B11" s="7">
        <v>2</v>
      </c>
      <c r="C11" s="4" t="s">
        <v>87</v>
      </c>
      <c r="D11" s="7" t="s">
        <v>5</v>
      </c>
      <c r="E11" s="2"/>
      <c r="F11" s="7" t="s">
        <v>6</v>
      </c>
      <c r="G11" s="2"/>
      <c r="H11" s="2"/>
      <c r="I11" s="2"/>
      <c r="N11" s="2"/>
      <c r="O11" s="2"/>
      <c r="P11" s="7" t="s">
        <v>5</v>
      </c>
      <c r="Q11" s="2"/>
      <c r="R11" s="7" t="s">
        <v>13</v>
      </c>
      <c r="S11" s="2"/>
    </row>
    <row r="12" spans="2:19" x14ac:dyDescent="0.25">
      <c r="C12" s="12" t="s">
        <v>14</v>
      </c>
      <c r="D12" s="7">
        <v>1005</v>
      </c>
      <c r="E12" s="7" t="s">
        <v>8</v>
      </c>
      <c r="F12" s="7">
        <v>1005</v>
      </c>
      <c r="G12" s="7"/>
      <c r="H12" s="7">
        <v>1</v>
      </c>
      <c r="I12" s="7"/>
      <c r="J12" s="7"/>
      <c r="K12" s="9"/>
      <c r="L12" s="7"/>
      <c r="M12" s="7"/>
      <c r="N12" s="7"/>
      <c r="O12" s="7"/>
      <c r="P12" s="7">
        <f>+D12-84</f>
        <v>921</v>
      </c>
      <c r="Q12" s="7" t="s">
        <v>8</v>
      </c>
      <c r="R12" s="7">
        <f>+F12-84</f>
        <v>921</v>
      </c>
      <c r="S12" s="7">
        <f>+H12*1</f>
        <v>1</v>
      </c>
    </row>
    <row r="13" spans="2:19" x14ac:dyDescent="0.25">
      <c r="B13" s="14"/>
      <c r="C13" s="1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S13" s="2"/>
    </row>
    <row r="14" spans="2:19" x14ac:dyDescent="0.25">
      <c r="B14" s="14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58"/>
      <c r="S14" s="2"/>
    </row>
    <row r="15" spans="2:19" x14ac:dyDescent="0.25">
      <c r="Q15" s="7"/>
    </row>
    <row r="16" spans="2:19" x14ac:dyDescent="0.25">
      <c r="B16" s="7">
        <v>3</v>
      </c>
      <c r="C16" s="1" t="s">
        <v>93</v>
      </c>
    </row>
    <row r="17" spans="2:19" x14ac:dyDescent="0.25">
      <c r="B17" s="1"/>
      <c r="C17" s="15" t="s">
        <v>38</v>
      </c>
      <c r="D17" s="16" t="s">
        <v>5</v>
      </c>
      <c r="E17" s="15"/>
      <c r="F17" s="16" t="s">
        <v>6</v>
      </c>
      <c r="G17" s="2"/>
      <c r="H17" s="2"/>
      <c r="J17" s="4"/>
      <c r="K17" s="8"/>
      <c r="L17" s="8"/>
    </row>
    <row r="18" spans="2:19" x14ac:dyDescent="0.25">
      <c r="B18" s="1"/>
      <c r="C18" s="15">
        <v>500</v>
      </c>
      <c r="D18" s="16">
        <v>1000</v>
      </c>
      <c r="E18" s="15" t="s">
        <v>8</v>
      </c>
      <c r="F18" s="15">
        <v>1000</v>
      </c>
      <c r="H18" s="17">
        <v>10</v>
      </c>
      <c r="L18" s="2"/>
      <c r="M18" s="2"/>
      <c r="N18" s="7"/>
      <c r="O18" s="2"/>
      <c r="P18" s="7"/>
      <c r="Q18" s="2"/>
    </row>
    <row r="19" spans="2:19" x14ac:dyDescent="0.25">
      <c r="B19" s="1"/>
      <c r="D19" s="7"/>
      <c r="E19" s="2" t="s">
        <v>18</v>
      </c>
      <c r="F19" s="7"/>
      <c r="G19" s="2"/>
      <c r="H19" s="2"/>
      <c r="L19" s="2"/>
      <c r="M19" s="2"/>
      <c r="N19" s="7"/>
      <c r="O19" s="2"/>
      <c r="P19" s="7"/>
    </row>
    <row r="20" spans="2:19" x14ac:dyDescent="0.25">
      <c r="B20" s="1"/>
      <c r="D20" s="7" t="s">
        <v>5</v>
      </c>
      <c r="E20" s="2"/>
      <c r="F20" s="7" t="s">
        <v>6</v>
      </c>
      <c r="G20" s="2"/>
      <c r="H20" s="2"/>
      <c r="K20" s="8" t="s">
        <v>83</v>
      </c>
      <c r="M20" s="2"/>
      <c r="N20" s="2"/>
      <c r="O20" s="7"/>
      <c r="P20" s="7" t="s">
        <v>5</v>
      </c>
      <c r="Q20" s="2"/>
      <c r="R20" s="7" t="s">
        <v>13</v>
      </c>
      <c r="S20" s="2"/>
    </row>
    <row r="21" spans="2:19" x14ac:dyDescent="0.25">
      <c r="B21" s="1">
        <f>+C18</f>
        <v>500</v>
      </c>
      <c r="K21" s="1" t="s">
        <v>3</v>
      </c>
    </row>
    <row r="22" spans="2:19" x14ac:dyDescent="0.25">
      <c r="B22" s="50"/>
      <c r="D22" s="20">
        <f>+D18+5</f>
        <v>1005</v>
      </c>
      <c r="E22" s="2" t="s">
        <v>8</v>
      </c>
      <c r="F22" s="2">
        <f>+B21+3</f>
        <v>503</v>
      </c>
      <c r="G22" s="2"/>
      <c r="H22" s="2">
        <f>+H18</f>
        <v>10</v>
      </c>
      <c r="I22" s="2"/>
      <c r="J22" s="2">
        <f>+D22-52</f>
        <v>953</v>
      </c>
      <c r="K22" s="7" t="s">
        <v>8</v>
      </c>
      <c r="L22" s="2">
        <f>+F22-30</f>
        <v>473</v>
      </c>
      <c r="M22" s="2"/>
      <c r="N22" s="2">
        <f>+H22*1</f>
        <v>10</v>
      </c>
      <c r="O22" s="2"/>
      <c r="P22" s="59">
        <f>+J22-114</f>
        <v>839</v>
      </c>
      <c r="Q22" s="59" t="s">
        <v>8</v>
      </c>
      <c r="R22" s="59">
        <f>+L22-114</f>
        <v>359</v>
      </c>
      <c r="S22" s="59">
        <f>+N22</f>
        <v>10</v>
      </c>
    </row>
    <row r="23" spans="2:19" x14ac:dyDescent="0.25">
      <c r="B23" s="1"/>
      <c r="D23" s="60"/>
      <c r="E23" s="2"/>
      <c r="F23" s="60">
        <f>+F18-C18</f>
        <v>500</v>
      </c>
      <c r="G23" s="2"/>
      <c r="H23" s="2"/>
      <c r="I23" s="2"/>
      <c r="J23" s="2"/>
      <c r="K23" s="2"/>
      <c r="L23" s="2"/>
      <c r="M23" s="2"/>
      <c r="N23" s="2"/>
      <c r="O23" s="2"/>
      <c r="P23" s="11">
        <f>+D22-84</f>
        <v>921</v>
      </c>
      <c r="Q23" s="7" t="s">
        <v>8</v>
      </c>
      <c r="R23" s="7">
        <f>+F23-64</f>
        <v>436</v>
      </c>
      <c r="S23" s="7">
        <f>+H22*1</f>
        <v>10</v>
      </c>
    </row>
    <row r="24" spans="2:19" x14ac:dyDescent="0.25">
      <c r="B24" s="1"/>
      <c r="G24" s="27"/>
    </row>
    <row r="25" spans="2:19" x14ac:dyDescent="0.25">
      <c r="B25" s="7" t="s">
        <v>41</v>
      </c>
      <c r="C25" s="1" t="s">
        <v>96</v>
      </c>
    </row>
    <row r="26" spans="2:19" x14ac:dyDescent="0.25">
      <c r="B26" s="1"/>
      <c r="C26" s="15" t="s">
        <v>38</v>
      </c>
      <c r="D26" s="16" t="s">
        <v>5</v>
      </c>
      <c r="E26" s="15"/>
      <c r="F26" s="16" t="s">
        <v>6</v>
      </c>
      <c r="G26" s="2"/>
      <c r="H26" s="2"/>
      <c r="J26" s="4"/>
      <c r="K26" s="8"/>
      <c r="L26" s="8"/>
    </row>
    <row r="27" spans="2:19" x14ac:dyDescent="0.25">
      <c r="B27" s="1"/>
      <c r="C27" s="15">
        <v>500</v>
      </c>
      <c r="D27" s="16">
        <v>1000</v>
      </c>
      <c r="E27" s="15" t="s">
        <v>8</v>
      </c>
      <c r="F27" s="15">
        <v>1000</v>
      </c>
      <c r="H27" s="17">
        <v>10</v>
      </c>
      <c r="L27" s="2"/>
      <c r="M27" s="2"/>
      <c r="N27" s="7"/>
      <c r="O27" s="2"/>
      <c r="P27" s="7"/>
      <c r="Q27" s="2"/>
    </row>
    <row r="28" spans="2:19" x14ac:dyDescent="0.25">
      <c r="B28" s="1"/>
      <c r="D28" s="7"/>
      <c r="E28" s="2" t="s">
        <v>18</v>
      </c>
      <c r="F28" s="7"/>
      <c r="G28" s="2"/>
      <c r="H28" s="2"/>
      <c r="L28" s="2"/>
      <c r="M28" s="2"/>
      <c r="N28" s="7"/>
      <c r="O28" s="2"/>
      <c r="P28" s="7"/>
    </row>
    <row r="29" spans="2:19" x14ac:dyDescent="0.25">
      <c r="B29" s="1"/>
      <c r="D29" s="7" t="s">
        <v>5</v>
      </c>
      <c r="E29" s="2"/>
      <c r="F29" s="7" t="s">
        <v>6</v>
      </c>
      <c r="G29" s="2"/>
      <c r="H29" s="2"/>
      <c r="M29" s="2"/>
      <c r="N29" s="2"/>
      <c r="O29" s="7"/>
      <c r="P29" s="7" t="s">
        <v>5</v>
      </c>
      <c r="Q29" s="2"/>
      <c r="R29" s="7" t="s">
        <v>13</v>
      </c>
      <c r="S29" s="2"/>
    </row>
    <row r="30" spans="2:19" x14ac:dyDescent="0.25">
      <c r="B30" s="1"/>
      <c r="K30" s="1" t="s">
        <v>3</v>
      </c>
    </row>
    <row r="31" spans="2:19" x14ac:dyDescent="0.25">
      <c r="B31" s="50"/>
      <c r="D31" s="20"/>
      <c r="E31" s="2"/>
      <c r="F31" s="2"/>
      <c r="G31" s="2"/>
      <c r="H31" s="2"/>
      <c r="I31" s="2"/>
      <c r="J31" s="2"/>
      <c r="K31" s="7"/>
      <c r="L31" s="2"/>
      <c r="M31" s="2"/>
      <c r="N31" s="2"/>
      <c r="O31" s="2"/>
      <c r="P31" s="59"/>
      <c r="Q31" s="59"/>
      <c r="R31" s="59"/>
      <c r="S31" s="59"/>
    </row>
    <row r="32" spans="2:19" x14ac:dyDescent="0.25">
      <c r="B32" s="1"/>
      <c r="D32" s="2"/>
      <c r="E32" s="2"/>
      <c r="F32" s="60">
        <f>+F27-C27</f>
        <v>500</v>
      </c>
      <c r="G32" s="2"/>
      <c r="H32" s="2">
        <f>+H27</f>
        <v>10</v>
      </c>
      <c r="I32" s="2"/>
      <c r="J32" s="2"/>
      <c r="K32" s="8" t="s">
        <v>83</v>
      </c>
      <c r="L32" s="2"/>
      <c r="M32" s="2"/>
      <c r="N32" s="2"/>
      <c r="O32" s="2"/>
      <c r="P32" s="11">
        <f>+D33-84</f>
        <v>921</v>
      </c>
      <c r="Q32" s="7" t="s">
        <v>8</v>
      </c>
      <c r="R32" s="7">
        <f>+F32-64</f>
        <v>436</v>
      </c>
      <c r="S32" s="7">
        <f>+H32*1</f>
        <v>10</v>
      </c>
    </row>
    <row r="33" spans="2:19" x14ac:dyDescent="0.25">
      <c r="B33" s="1">
        <f>+C27</f>
        <v>500</v>
      </c>
      <c r="D33" s="20">
        <f>+D27+5</f>
        <v>1005</v>
      </c>
      <c r="E33" s="2" t="s">
        <v>8</v>
      </c>
      <c r="F33" s="2">
        <f>+B33+3</f>
        <v>503</v>
      </c>
      <c r="G33" s="2"/>
      <c r="H33" s="2">
        <f>+H27</f>
        <v>10</v>
      </c>
      <c r="I33" s="2"/>
      <c r="J33" s="2">
        <f>+D33-52</f>
        <v>953</v>
      </c>
      <c r="K33" s="7" t="s">
        <v>8</v>
      </c>
      <c r="L33" s="2">
        <f>+F33-30</f>
        <v>473</v>
      </c>
      <c r="M33" s="2"/>
      <c r="N33" s="2">
        <f>+H33*1</f>
        <v>10</v>
      </c>
      <c r="O33" s="2"/>
      <c r="P33" s="59">
        <f>+J33-114</f>
        <v>839</v>
      </c>
      <c r="Q33" s="59" t="s">
        <v>8</v>
      </c>
      <c r="R33" s="59">
        <f>+L33-114</f>
        <v>359</v>
      </c>
      <c r="S33" s="59">
        <f>+H27</f>
        <v>10</v>
      </c>
    </row>
    <row r="34" spans="2:19" x14ac:dyDescent="0.25">
      <c r="B34" s="1"/>
      <c r="K34" s="7"/>
      <c r="Q34" s="7"/>
      <c r="S34" s="2"/>
    </row>
    <row r="35" spans="2:19" x14ac:dyDescent="0.25">
      <c r="C35" s="4"/>
      <c r="D35" s="4"/>
      <c r="E35" s="7"/>
      <c r="K35" s="7"/>
      <c r="Q35" s="7"/>
      <c r="S35" s="2"/>
    </row>
    <row r="36" spans="2:19" x14ac:dyDescent="0.25">
      <c r="B36" s="7" t="s">
        <v>41</v>
      </c>
      <c r="C36" s="1" t="s">
        <v>89</v>
      </c>
    </row>
    <row r="37" spans="2:19" x14ac:dyDescent="0.25">
      <c r="B37" s="1"/>
      <c r="C37" s="15" t="s">
        <v>38</v>
      </c>
      <c r="D37" s="16" t="s">
        <v>5</v>
      </c>
      <c r="E37" s="15"/>
      <c r="F37" s="16" t="s">
        <v>6</v>
      </c>
      <c r="G37" s="2"/>
      <c r="H37" s="2"/>
      <c r="J37" s="4"/>
      <c r="K37" s="8"/>
      <c r="L37" s="8" t="s">
        <v>88</v>
      </c>
    </row>
    <row r="38" spans="2:19" x14ac:dyDescent="0.25">
      <c r="B38" s="1"/>
      <c r="C38" s="15">
        <v>500</v>
      </c>
      <c r="D38" s="16">
        <v>1000</v>
      </c>
      <c r="E38" s="15" t="s">
        <v>8</v>
      </c>
      <c r="F38" s="15">
        <v>1000</v>
      </c>
      <c r="H38" s="17">
        <v>10</v>
      </c>
      <c r="L38" s="2"/>
      <c r="M38" s="2"/>
      <c r="N38" s="7"/>
      <c r="O38" s="2"/>
      <c r="P38" s="7"/>
      <c r="Q38" s="2"/>
    </row>
    <row r="39" spans="2:19" x14ac:dyDescent="0.25">
      <c r="B39" s="1"/>
      <c r="D39" s="7"/>
      <c r="E39" s="2" t="s">
        <v>18</v>
      </c>
      <c r="F39" s="7"/>
      <c r="G39" s="2"/>
      <c r="H39" s="2"/>
      <c r="L39" s="2"/>
      <c r="M39" s="2"/>
      <c r="N39" s="7"/>
      <c r="O39" s="2"/>
      <c r="P39" s="7"/>
    </row>
    <row r="40" spans="2:19" x14ac:dyDescent="0.25">
      <c r="B40" s="1"/>
      <c r="D40" s="7" t="s">
        <v>5</v>
      </c>
      <c r="E40" s="2"/>
      <c r="F40" s="7" t="s">
        <v>6</v>
      </c>
      <c r="G40" s="2"/>
      <c r="H40" s="2"/>
      <c r="K40" s="8" t="s">
        <v>83</v>
      </c>
      <c r="M40" s="2"/>
      <c r="N40" s="2"/>
      <c r="O40" s="7"/>
      <c r="P40" s="7" t="s">
        <v>5</v>
      </c>
      <c r="Q40" s="2"/>
      <c r="R40" s="7" t="s">
        <v>13</v>
      </c>
      <c r="S40" s="2"/>
    </row>
    <row r="41" spans="2:19" x14ac:dyDescent="0.25">
      <c r="B41" s="1">
        <f>+C38</f>
        <v>500</v>
      </c>
      <c r="K41" s="1" t="s">
        <v>3</v>
      </c>
    </row>
    <row r="42" spans="2:19" x14ac:dyDescent="0.25">
      <c r="B42" s="50"/>
      <c r="D42" s="20">
        <f>+D38+5</f>
        <v>1005</v>
      </c>
      <c r="E42" s="2" t="s">
        <v>8</v>
      </c>
      <c r="F42" s="2">
        <f>+B41+3</f>
        <v>503</v>
      </c>
      <c r="G42" s="2"/>
      <c r="H42" s="2">
        <f>+H38</f>
        <v>10</v>
      </c>
      <c r="I42" s="2"/>
      <c r="J42" s="2">
        <f>+D42-52</f>
        <v>953</v>
      </c>
      <c r="K42" s="7" t="s">
        <v>8</v>
      </c>
      <c r="L42" s="2">
        <f>+F42-52</f>
        <v>451</v>
      </c>
      <c r="M42" s="2"/>
      <c r="N42" s="2">
        <f>+H42*1</f>
        <v>10</v>
      </c>
      <c r="O42" s="2"/>
      <c r="P42" s="59">
        <f>+J42-114</f>
        <v>839</v>
      </c>
      <c r="Q42" s="59" t="s">
        <v>8</v>
      </c>
      <c r="R42" s="59">
        <f>+L42-114</f>
        <v>337</v>
      </c>
      <c r="S42" s="59">
        <f>+N42</f>
        <v>10</v>
      </c>
    </row>
    <row r="43" spans="2:19" x14ac:dyDescent="0.25">
      <c r="B43" s="1"/>
      <c r="D43" s="2">
        <f>+D38+5</f>
        <v>1005</v>
      </c>
      <c r="E43" s="2" t="s">
        <v>8</v>
      </c>
      <c r="F43" s="2">
        <f>+F38+3-C38</f>
        <v>503</v>
      </c>
      <c r="G43" s="2"/>
      <c r="H43" s="2">
        <f>+H38</f>
        <v>10</v>
      </c>
      <c r="I43" s="2"/>
      <c r="J43" s="2"/>
      <c r="K43" s="2"/>
      <c r="L43" s="2"/>
      <c r="M43" s="2"/>
      <c r="N43" s="2"/>
      <c r="O43" s="2"/>
      <c r="P43" s="7">
        <f>+D43-84</f>
        <v>921</v>
      </c>
      <c r="Q43" s="7" t="s">
        <v>8</v>
      </c>
      <c r="R43" s="7">
        <f>+F43-84</f>
        <v>419</v>
      </c>
      <c r="S43" s="7">
        <f>+H43*1</f>
        <v>10</v>
      </c>
    </row>
    <row r="44" spans="2:19" x14ac:dyDescent="0.25">
      <c r="B44" s="1"/>
      <c r="G44" s="27"/>
    </row>
    <row r="45" spans="2:19" x14ac:dyDescent="0.25">
      <c r="B45" s="1"/>
      <c r="K45" s="7"/>
      <c r="Q45" s="7"/>
      <c r="S45" s="2"/>
    </row>
    <row r="46" spans="2:19" x14ac:dyDescent="0.25">
      <c r="B46" s="1"/>
      <c r="K46" s="7"/>
      <c r="Q46" s="7"/>
      <c r="S46" s="2"/>
    </row>
    <row r="47" spans="2:19" x14ac:dyDescent="0.25">
      <c r="B47" s="7" t="s">
        <v>41</v>
      </c>
      <c r="C47" s="1" t="s">
        <v>94</v>
      </c>
    </row>
    <row r="48" spans="2:19" x14ac:dyDescent="0.25">
      <c r="B48" s="1"/>
      <c r="C48" s="15" t="s">
        <v>38</v>
      </c>
      <c r="D48" s="16" t="s">
        <v>5</v>
      </c>
      <c r="E48" s="15"/>
      <c r="F48" s="16" t="s">
        <v>6</v>
      </c>
      <c r="G48" s="2"/>
      <c r="H48" s="2"/>
      <c r="J48" s="4"/>
      <c r="K48" s="8"/>
      <c r="L48" s="8" t="s">
        <v>88</v>
      </c>
    </row>
    <row r="49" spans="2:19" x14ac:dyDescent="0.25">
      <c r="B49" s="1"/>
      <c r="C49" s="15">
        <v>750</v>
      </c>
      <c r="D49" s="16">
        <v>1000</v>
      </c>
      <c r="E49" s="15" t="s">
        <v>8</v>
      </c>
      <c r="F49" s="15">
        <v>1500</v>
      </c>
      <c r="H49" s="17">
        <v>10</v>
      </c>
      <c r="L49" s="2"/>
      <c r="M49" s="2"/>
      <c r="N49" s="7"/>
      <c r="O49" s="2"/>
      <c r="P49" s="7"/>
      <c r="Q49" s="2"/>
    </row>
    <row r="50" spans="2:19" x14ac:dyDescent="0.25">
      <c r="B50" s="1"/>
      <c r="D50" s="7"/>
      <c r="E50" s="2" t="s">
        <v>18</v>
      </c>
      <c r="F50" s="7"/>
      <c r="G50" s="2"/>
      <c r="H50" s="2"/>
      <c r="L50" s="2"/>
      <c r="M50" s="2"/>
      <c r="N50" s="7"/>
      <c r="O50" s="2"/>
      <c r="P50" s="7"/>
    </row>
    <row r="51" spans="2:19" x14ac:dyDescent="0.25">
      <c r="B51" s="1"/>
      <c r="D51" s="7" t="s">
        <v>5</v>
      </c>
      <c r="E51" s="2"/>
      <c r="F51" s="7" t="s">
        <v>6</v>
      </c>
      <c r="G51" s="2"/>
      <c r="H51" s="2"/>
      <c r="M51" s="2"/>
      <c r="N51" s="2"/>
      <c r="O51" s="7"/>
      <c r="P51" s="7" t="s">
        <v>5</v>
      </c>
      <c r="Q51" s="2"/>
      <c r="R51" s="7" t="s">
        <v>13</v>
      </c>
      <c r="S51" s="2"/>
    </row>
    <row r="52" spans="2:19" x14ac:dyDescent="0.25">
      <c r="B52" s="1"/>
      <c r="K52" s="1" t="s">
        <v>3</v>
      </c>
    </row>
    <row r="53" spans="2:19" x14ac:dyDescent="0.25">
      <c r="B53" s="50"/>
      <c r="D53" s="20"/>
      <c r="E53" s="2"/>
      <c r="F53" s="2"/>
      <c r="G53" s="2"/>
      <c r="H53" s="2"/>
      <c r="I53" s="2"/>
      <c r="J53" s="2"/>
      <c r="K53" s="7"/>
      <c r="L53" s="2"/>
      <c r="M53" s="2"/>
      <c r="N53" s="2"/>
      <c r="O53" s="2"/>
      <c r="P53" s="59"/>
      <c r="Q53" s="59"/>
      <c r="R53" s="59"/>
      <c r="S53" s="59"/>
    </row>
    <row r="54" spans="2:19" x14ac:dyDescent="0.25">
      <c r="B54" s="1"/>
      <c r="D54" s="2">
        <f>+D49+5</f>
        <v>1005</v>
      </c>
      <c r="E54" s="2" t="s">
        <v>8</v>
      </c>
      <c r="F54" s="2">
        <f>+F49+3-C49</f>
        <v>753</v>
      </c>
      <c r="G54" s="2"/>
      <c r="H54" s="2">
        <f>+H49</f>
        <v>10</v>
      </c>
      <c r="I54" s="2"/>
      <c r="J54" s="2"/>
      <c r="K54" s="8" t="s">
        <v>83</v>
      </c>
      <c r="L54" s="2"/>
      <c r="M54" s="2"/>
      <c r="N54" s="2"/>
      <c r="O54" s="2"/>
      <c r="P54" s="7">
        <f>+D54-84</f>
        <v>921</v>
      </c>
      <c r="Q54" s="7" t="s">
        <v>8</v>
      </c>
      <c r="R54" s="7">
        <f>+F54-84</f>
        <v>669</v>
      </c>
      <c r="S54" s="7">
        <f>+H54*1</f>
        <v>10</v>
      </c>
    </row>
    <row r="55" spans="2:19" x14ac:dyDescent="0.25">
      <c r="B55" s="1">
        <f>+C49</f>
        <v>750</v>
      </c>
      <c r="D55" s="20">
        <f>+D49+5</f>
        <v>1005</v>
      </c>
      <c r="E55" s="2" t="s">
        <v>8</v>
      </c>
      <c r="F55" s="2">
        <f>+B55+3</f>
        <v>753</v>
      </c>
      <c r="G55" s="2"/>
      <c r="H55" s="2">
        <f>+H49</f>
        <v>10</v>
      </c>
      <c r="I55" s="2"/>
      <c r="J55" s="2">
        <f>+D55-52</f>
        <v>953</v>
      </c>
      <c r="K55" s="7" t="s">
        <v>8</v>
      </c>
      <c r="L55" s="2">
        <f>+F55-52</f>
        <v>701</v>
      </c>
      <c r="M55" s="2"/>
      <c r="N55" s="2">
        <f>+H55*1</f>
        <v>10</v>
      </c>
      <c r="O55" s="2"/>
      <c r="P55" s="59">
        <f>+J55-114</f>
        <v>839</v>
      </c>
      <c r="Q55" s="59" t="s">
        <v>8</v>
      </c>
      <c r="R55" s="59">
        <f>+L55-114</f>
        <v>587</v>
      </c>
      <c r="S55" s="59">
        <f>+H49</f>
        <v>10</v>
      </c>
    </row>
    <row r="56" spans="2:19" x14ac:dyDescent="0.25">
      <c r="B56" s="1"/>
      <c r="K56" s="7"/>
      <c r="Q56" s="7"/>
      <c r="S56" s="2"/>
    </row>
    <row r="57" spans="2:19" x14ac:dyDescent="0.25">
      <c r="B57" s="1"/>
      <c r="K57" s="7"/>
      <c r="Q57" s="7"/>
      <c r="S57" s="2"/>
    </row>
    <row r="58" spans="2:19" x14ac:dyDescent="0.25">
      <c r="B58" s="7" t="s">
        <v>41</v>
      </c>
      <c r="C58" s="1" t="s">
        <v>90</v>
      </c>
    </row>
    <row r="59" spans="2:19" x14ac:dyDescent="0.25">
      <c r="B59" s="1"/>
      <c r="C59" s="15" t="s">
        <v>17</v>
      </c>
      <c r="D59" s="16" t="s">
        <v>5</v>
      </c>
      <c r="E59" s="15"/>
      <c r="F59" s="16" t="s">
        <v>6</v>
      </c>
      <c r="G59" s="2"/>
      <c r="H59" s="2"/>
      <c r="J59" s="4"/>
      <c r="K59" s="8"/>
      <c r="L59" s="8" t="s">
        <v>88</v>
      </c>
    </row>
    <row r="60" spans="2:19" x14ac:dyDescent="0.25">
      <c r="B60" s="1"/>
      <c r="C60" s="15">
        <v>500</v>
      </c>
      <c r="D60" s="16">
        <v>1000</v>
      </c>
      <c r="E60" s="15" t="s">
        <v>8</v>
      </c>
      <c r="F60" s="15">
        <v>1000</v>
      </c>
      <c r="H60" s="17">
        <v>10</v>
      </c>
      <c r="L60" s="2"/>
      <c r="M60" s="2"/>
      <c r="N60" s="7"/>
      <c r="O60" s="2"/>
      <c r="P60" s="7"/>
      <c r="Q60" s="2"/>
    </row>
    <row r="61" spans="2:19" x14ac:dyDescent="0.25">
      <c r="B61" s="1"/>
      <c r="D61" s="7"/>
      <c r="E61" s="2" t="s">
        <v>18</v>
      </c>
      <c r="F61" s="7"/>
      <c r="G61" s="2"/>
      <c r="H61" s="2"/>
      <c r="L61" s="2"/>
      <c r="M61" s="2"/>
      <c r="N61" s="7"/>
      <c r="O61" s="2"/>
      <c r="P61" s="7"/>
    </row>
    <row r="62" spans="2:19" x14ac:dyDescent="0.25">
      <c r="B62" s="1"/>
      <c r="D62" s="7" t="s">
        <v>5</v>
      </c>
      <c r="E62" s="2"/>
      <c r="F62" s="7" t="s">
        <v>6</v>
      </c>
      <c r="G62" s="2"/>
      <c r="H62" s="2"/>
      <c r="K62" s="8" t="s">
        <v>83</v>
      </c>
      <c r="M62" s="2"/>
      <c r="N62" s="2"/>
      <c r="O62" s="7"/>
      <c r="P62" s="7" t="s">
        <v>5</v>
      </c>
      <c r="Q62" s="2"/>
      <c r="R62" s="7" t="s">
        <v>13</v>
      </c>
      <c r="S62" s="2"/>
    </row>
    <row r="63" spans="2:19" x14ac:dyDescent="0.25">
      <c r="B63" s="1"/>
      <c r="K63" s="1" t="s">
        <v>3</v>
      </c>
    </row>
    <row r="64" spans="2:19" x14ac:dyDescent="0.25">
      <c r="B64" s="50"/>
      <c r="D64" s="20">
        <f>+C60+3</f>
        <v>503</v>
      </c>
      <c r="E64" s="2" t="s">
        <v>8</v>
      </c>
      <c r="F64" s="2">
        <f>+F60+5</f>
        <v>1005</v>
      </c>
      <c r="G64" s="2"/>
      <c r="H64" s="2">
        <f>+H60</f>
        <v>10</v>
      </c>
      <c r="I64" s="2"/>
      <c r="J64" s="2">
        <f>+D64-52</f>
        <v>451</v>
      </c>
      <c r="K64" s="7" t="s">
        <v>8</v>
      </c>
      <c r="L64" s="2">
        <f>+F64-52</f>
        <v>953</v>
      </c>
      <c r="M64" s="2"/>
      <c r="N64" s="2">
        <f>+H64*1</f>
        <v>10</v>
      </c>
      <c r="O64" s="2"/>
      <c r="P64" s="59">
        <f>+J64-114</f>
        <v>337</v>
      </c>
      <c r="Q64" s="59" t="s">
        <v>8</v>
      </c>
      <c r="R64" s="59">
        <f>+L64-114</f>
        <v>839</v>
      </c>
      <c r="S64" s="59">
        <f>+N64</f>
        <v>10</v>
      </c>
    </row>
    <row r="65" spans="2:21" x14ac:dyDescent="0.25">
      <c r="B65" s="1"/>
      <c r="D65" s="2">
        <f>+D60+3-C60</f>
        <v>503</v>
      </c>
      <c r="E65" s="2" t="s">
        <v>8</v>
      </c>
      <c r="F65" s="2">
        <f>+F64</f>
        <v>1005</v>
      </c>
      <c r="G65" s="2"/>
      <c r="H65" s="2">
        <f>+H60</f>
        <v>10</v>
      </c>
      <c r="I65" s="2"/>
      <c r="J65" s="2"/>
      <c r="K65" s="2"/>
      <c r="L65" s="2"/>
      <c r="M65" s="2"/>
      <c r="N65" s="2"/>
      <c r="O65" s="2"/>
      <c r="P65" s="7">
        <f>+D65-84</f>
        <v>419</v>
      </c>
      <c r="Q65" s="7" t="s">
        <v>8</v>
      </c>
      <c r="R65" s="7">
        <f>+F65-84</f>
        <v>921</v>
      </c>
      <c r="S65" s="7">
        <f>+H65*1</f>
        <v>10</v>
      </c>
    </row>
    <row r="66" spans="2:21" x14ac:dyDescent="0.25">
      <c r="B66" s="1"/>
      <c r="G66" s="27"/>
      <c r="P66" s="44"/>
    </row>
    <row r="67" spans="2:21" x14ac:dyDescent="0.25">
      <c r="B67" s="7" t="s">
        <v>41</v>
      </c>
      <c r="C67" s="1" t="s">
        <v>91</v>
      </c>
    </row>
    <row r="68" spans="2:21" x14ac:dyDescent="0.25">
      <c r="B68" s="1"/>
      <c r="C68" s="15" t="s">
        <v>17</v>
      </c>
      <c r="D68" s="16" t="s">
        <v>5</v>
      </c>
      <c r="E68" s="15"/>
      <c r="F68" s="16" t="s">
        <v>6</v>
      </c>
      <c r="G68" s="2"/>
      <c r="H68" s="2"/>
      <c r="J68" s="4"/>
      <c r="K68" s="8"/>
      <c r="L68" s="8" t="s">
        <v>88</v>
      </c>
    </row>
    <row r="69" spans="2:21" x14ac:dyDescent="0.25">
      <c r="B69" s="1"/>
      <c r="C69" s="15">
        <v>500</v>
      </c>
      <c r="D69" s="16">
        <v>1000</v>
      </c>
      <c r="E69" s="15" t="s">
        <v>8</v>
      </c>
      <c r="F69" s="15">
        <v>1000</v>
      </c>
      <c r="H69" s="17">
        <v>10</v>
      </c>
      <c r="L69" s="2"/>
      <c r="M69" s="2"/>
      <c r="N69" s="7"/>
      <c r="O69" s="2"/>
      <c r="P69" s="7"/>
      <c r="Q69" s="2"/>
    </row>
    <row r="70" spans="2:21" x14ac:dyDescent="0.25">
      <c r="B70" s="1"/>
      <c r="D70" s="7"/>
      <c r="E70" s="2" t="s">
        <v>18</v>
      </c>
      <c r="F70" s="7"/>
      <c r="G70" s="2"/>
      <c r="H70" s="2"/>
      <c r="L70" s="2"/>
      <c r="M70" s="2"/>
      <c r="N70" s="7"/>
      <c r="O70" s="2"/>
      <c r="P70" s="7"/>
    </row>
    <row r="71" spans="2:21" x14ac:dyDescent="0.25">
      <c r="B71" s="1"/>
      <c r="D71" s="7" t="s">
        <v>5</v>
      </c>
      <c r="E71" s="2"/>
      <c r="F71" s="7" t="s">
        <v>6</v>
      </c>
      <c r="G71" s="2"/>
      <c r="H71" s="2"/>
      <c r="M71" s="2"/>
      <c r="N71" s="2"/>
      <c r="O71" s="7"/>
      <c r="P71" s="7" t="s">
        <v>5</v>
      </c>
      <c r="Q71" s="2"/>
      <c r="R71" s="7" t="s">
        <v>13</v>
      </c>
      <c r="S71" s="2"/>
    </row>
    <row r="72" spans="2:21" x14ac:dyDescent="0.25">
      <c r="B72" s="1"/>
      <c r="K72" s="1" t="s">
        <v>3</v>
      </c>
    </row>
    <row r="73" spans="2:21" x14ac:dyDescent="0.25">
      <c r="B73" s="50"/>
      <c r="D73" s="20">
        <f>+C69+3</f>
        <v>503</v>
      </c>
      <c r="E73" s="2" t="s">
        <v>8</v>
      </c>
      <c r="F73" s="2">
        <f>+F69+5</f>
        <v>1005</v>
      </c>
      <c r="G73" s="2"/>
      <c r="H73" s="2">
        <f>+H69</f>
        <v>10</v>
      </c>
      <c r="I73" s="2"/>
      <c r="J73" s="2">
        <f>+D73-52</f>
        <v>451</v>
      </c>
      <c r="K73" s="7" t="s">
        <v>8</v>
      </c>
      <c r="L73" s="2">
        <f>+F73-52</f>
        <v>953</v>
      </c>
      <c r="M73" s="2"/>
      <c r="N73" s="2">
        <f>+H73*1</f>
        <v>10</v>
      </c>
      <c r="O73" s="2"/>
      <c r="P73" s="59">
        <f>+J73-114</f>
        <v>337</v>
      </c>
      <c r="Q73" s="59" t="s">
        <v>8</v>
      </c>
      <c r="R73" s="59">
        <f>+L73-114</f>
        <v>839</v>
      </c>
      <c r="S73" s="59">
        <f>+N73</f>
        <v>10</v>
      </c>
    </row>
    <row r="74" spans="2:21" x14ac:dyDescent="0.25">
      <c r="B74" s="1"/>
      <c r="D74" s="2">
        <f>+D69+3-C69</f>
        <v>503</v>
      </c>
      <c r="E74" s="2" t="s">
        <v>8</v>
      </c>
      <c r="F74" s="2">
        <f>+F73</f>
        <v>1005</v>
      </c>
      <c r="G74" s="2"/>
      <c r="H74" s="2">
        <f>+H69</f>
        <v>10</v>
      </c>
      <c r="I74" s="2"/>
      <c r="J74" s="2"/>
      <c r="K74" s="2"/>
      <c r="L74" s="2"/>
      <c r="M74" s="2"/>
      <c r="N74" s="2"/>
      <c r="O74" s="2"/>
      <c r="P74" s="7">
        <f>+D74-84</f>
        <v>419</v>
      </c>
      <c r="Q74" s="7" t="s">
        <v>8</v>
      </c>
      <c r="R74" s="7">
        <f>+F74-84</f>
        <v>921</v>
      </c>
      <c r="S74" s="7">
        <f>+H74*1</f>
        <v>10</v>
      </c>
    </row>
    <row r="75" spans="2:21" x14ac:dyDescent="0.25">
      <c r="B75" s="1"/>
      <c r="G75" s="27"/>
    </row>
    <row r="76" spans="2:21" x14ac:dyDescent="0.25">
      <c r="B76" s="1"/>
      <c r="K76" s="7"/>
      <c r="Q76" s="7"/>
      <c r="S76" s="2"/>
    </row>
    <row r="77" spans="2:21" x14ac:dyDescent="0.25">
      <c r="B77" s="6">
        <v>1</v>
      </c>
      <c r="C77" s="4" t="s">
        <v>119</v>
      </c>
      <c r="D77" s="4"/>
      <c r="E77" s="7"/>
      <c r="K77" s="7"/>
      <c r="Q77" s="7"/>
      <c r="S77" s="2"/>
    </row>
    <row r="78" spans="2:21" x14ac:dyDescent="0.25">
      <c r="B78" s="7"/>
      <c r="C78" s="15" t="s">
        <v>17</v>
      </c>
      <c r="D78" s="16" t="s">
        <v>5</v>
      </c>
      <c r="E78" s="15"/>
      <c r="F78" s="16" t="s">
        <v>6</v>
      </c>
      <c r="G78" s="2"/>
      <c r="H78" s="2"/>
      <c r="J78" s="4"/>
      <c r="P78" s="2"/>
      <c r="Q78" s="2"/>
      <c r="R78" s="2"/>
      <c r="S78" s="2"/>
      <c r="U78" s="2"/>
    </row>
    <row r="79" spans="2:21" x14ac:dyDescent="0.25">
      <c r="C79" s="15">
        <v>750</v>
      </c>
      <c r="D79" s="15">
        <v>1500</v>
      </c>
      <c r="E79" s="15" t="s">
        <v>8</v>
      </c>
      <c r="F79" s="15">
        <v>600</v>
      </c>
      <c r="H79" s="17">
        <v>1</v>
      </c>
      <c r="L79" s="2"/>
      <c r="M79" s="2"/>
      <c r="N79" s="7"/>
      <c r="O79" s="2"/>
      <c r="P79" s="7"/>
      <c r="Q79" s="2"/>
      <c r="R79" s="2"/>
      <c r="S79" s="2"/>
      <c r="U79" s="2"/>
    </row>
    <row r="80" spans="2:21" x14ac:dyDescent="0.25">
      <c r="D80" s="7"/>
      <c r="E80" s="2" t="s">
        <v>18</v>
      </c>
      <c r="F80" s="7"/>
      <c r="G80" s="2"/>
      <c r="H80" s="2"/>
      <c r="L80" s="2"/>
      <c r="M80" s="2"/>
      <c r="N80" s="7"/>
      <c r="O80" s="2"/>
      <c r="P80" s="7"/>
      <c r="Q80" s="2" t="s">
        <v>4</v>
      </c>
      <c r="R80" s="2"/>
      <c r="S80" s="2"/>
      <c r="U80" s="2"/>
    </row>
    <row r="81" spans="1:22" x14ac:dyDescent="0.25">
      <c r="D81" s="7" t="s">
        <v>5</v>
      </c>
      <c r="E81" s="2"/>
      <c r="F81" s="7" t="s">
        <v>6</v>
      </c>
      <c r="G81" s="2"/>
      <c r="H81" s="2"/>
      <c r="K81" s="7"/>
      <c r="M81" s="2"/>
      <c r="N81" s="2"/>
      <c r="O81" s="7"/>
      <c r="P81" s="7" t="s">
        <v>5</v>
      </c>
      <c r="Q81" s="2"/>
      <c r="R81" s="7" t="s">
        <v>13</v>
      </c>
      <c r="S81" s="2"/>
      <c r="U81" s="2"/>
    </row>
    <row r="82" spans="1:22" x14ac:dyDescent="0.25">
      <c r="D82" s="18">
        <f>+D79-C79</f>
        <v>750</v>
      </c>
      <c r="E82" s="2"/>
      <c r="F82" s="2"/>
      <c r="G82" s="19"/>
      <c r="H82" s="2"/>
      <c r="I82" s="2"/>
      <c r="J82" s="2"/>
      <c r="K82" s="2" t="s">
        <v>3</v>
      </c>
      <c r="L82" s="2"/>
      <c r="M82" s="2"/>
      <c r="N82" s="2"/>
      <c r="O82" s="2"/>
      <c r="P82" s="20"/>
      <c r="Q82" s="2"/>
      <c r="R82" s="2"/>
      <c r="S82" s="2"/>
      <c r="U82" s="2"/>
    </row>
    <row r="83" spans="1:22" x14ac:dyDescent="0.25">
      <c r="B83" s="41"/>
      <c r="D83" s="20">
        <f>+D79+5</f>
        <v>1505</v>
      </c>
      <c r="E83" s="2" t="s">
        <v>8</v>
      </c>
      <c r="F83" s="2">
        <f>+F79+5</f>
        <v>605</v>
      </c>
      <c r="G83" s="19" t="s">
        <v>20</v>
      </c>
      <c r="H83" s="2">
        <v>1</v>
      </c>
      <c r="I83" s="2"/>
      <c r="J83" s="20">
        <f>+C79-30</f>
        <v>720</v>
      </c>
      <c r="K83" s="2" t="s">
        <v>8</v>
      </c>
      <c r="L83" s="2">
        <f>+F83-52</f>
        <v>553</v>
      </c>
      <c r="M83" s="2"/>
      <c r="N83" s="2">
        <v>2</v>
      </c>
      <c r="O83" s="2"/>
      <c r="P83" s="59">
        <f>+J83-114</f>
        <v>606</v>
      </c>
      <c r="Q83" s="59" t="s">
        <v>8</v>
      </c>
      <c r="R83" s="59">
        <f>+L83-114</f>
        <v>439</v>
      </c>
      <c r="S83" s="59">
        <f>+N83</f>
        <v>2</v>
      </c>
      <c r="U83" s="2"/>
    </row>
    <row r="84" spans="1:22" x14ac:dyDescent="0.25">
      <c r="D84" s="21"/>
      <c r="E84" s="17"/>
      <c r="J84" s="21"/>
      <c r="P84" s="20"/>
      <c r="Q84" s="20"/>
      <c r="R84" s="20"/>
      <c r="S84" s="2"/>
      <c r="U84" s="2"/>
    </row>
    <row r="85" spans="1:22" x14ac:dyDescent="0.25">
      <c r="B85" s="6"/>
      <c r="C85" s="4"/>
      <c r="D85" s="4"/>
      <c r="E85" s="7"/>
      <c r="K85" s="7"/>
      <c r="Q85" s="7"/>
      <c r="S85" s="2"/>
    </row>
    <row r="86" spans="1:22" x14ac:dyDescent="0.25">
      <c r="B86" s="6">
        <v>1</v>
      </c>
      <c r="C86" s="4" t="s">
        <v>92</v>
      </c>
      <c r="D86" s="4"/>
      <c r="E86" s="7"/>
      <c r="K86" s="7"/>
      <c r="Q86" s="7"/>
      <c r="S86" s="2"/>
    </row>
    <row r="87" spans="1:22" x14ac:dyDescent="0.25">
      <c r="B87" s="7"/>
      <c r="C87" s="15" t="s">
        <v>17</v>
      </c>
      <c r="D87" s="16" t="s">
        <v>5</v>
      </c>
      <c r="E87" s="15"/>
      <c r="F87" s="16" t="s">
        <v>6</v>
      </c>
      <c r="G87" s="2"/>
      <c r="H87" s="2"/>
      <c r="J87" s="4"/>
      <c r="P87" s="2"/>
      <c r="Q87" s="2"/>
      <c r="R87" s="2"/>
      <c r="S87" s="2"/>
      <c r="U87" s="2"/>
    </row>
    <row r="88" spans="1:22" x14ac:dyDescent="0.25">
      <c r="C88" s="15">
        <v>500</v>
      </c>
      <c r="D88" s="15">
        <v>1000</v>
      </c>
      <c r="E88" s="15" t="s">
        <v>8</v>
      </c>
      <c r="F88" s="15">
        <v>1000</v>
      </c>
      <c r="H88" s="17">
        <v>1</v>
      </c>
      <c r="L88" s="2"/>
      <c r="M88" s="2"/>
      <c r="N88" s="7"/>
      <c r="O88" s="2"/>
      <c r="P88" s="7"/>
      <c r="Q88" s="2"/>
      <c r="R88" s="2"/>
      <c r="S88" s="2"/>
      <c r="U88" s="2"/>
    </row>
    <row r="89" spans="1:22" x14ac:dyDescent="0.25">
      <c r="D89" s="7"/>
      <c r="E89" s="2" t="s">
        <v>18</v>
      </c>
      <c r="F89" s="7"/>
      <c r="G89" s="2"/>
      <c r="H89" s="2"/>
      <c r="L89" s="2"/>
      <c r="M89" s="2"/>
      <c r="N89" s="7"/>
      <c r="O89" s="2"/>
      <c r="P89" s="7"/>
      <c r="Q89" s="2" t="s">
        <v>4</v>
      </c>
      <c r="R89" s="2"/>
      <c r="S89" s="2"/>
      <c r="U89" s="2"/>
    </row>
    <row r="90" spans="1:22" x14ac:dyDescent="0.25">
      <c r="D90" s="7" t="s">
        <v>5</v>
      </c>
      <c r="E90" s="2"/>
      <c r="F90" s="7" t="s">
        <v>6</v>
      </c>
      <c r="G90" s="2"/>
      <c r="H90" s="2"/>
      <c r="K90" s="7"/>
      <c r="M90" s="2"/>
      <c r="N90" s="2"/>
      <c r="O90" s="7"/>
      <c r="P90" s="7" t="s">
        <v>5</v>
      </c>
      <c r="Q90" s="2"/>
      <c r="R90" s="7" t="s">
        <v>13</v>
      </c>
      <c r="S90" s="2"/>
      <c r="U90" s="2"/>
    </row>
    <row r="91" spans="1:22" x14ac:dyDescent="0.25">
      <c r="D91" s="18">
        <f>+D88-C88</f>
        <v>500</v>
      </c>
      <c r="E91" s="2"/>
      <c r="F91" s="2"/>
      <c r="G91" s="19"/>
      <c r="H91" s="2"/>
      <c r="I91" s="2"/>
      <c r="J91" s="2"/>
      <c r="K91" s="2" t="s">
        <v>3</v>
      </c>
      <c r="L91" s="2"/>
      <c r="M91" s="2"/>
      <c r="N91" s="2"/>
      <c r="O91" s="2"/>
      <c r="P91" s="20">
        <f>+D91-64</f>
        <v>436</v>
      </c>
      <c r="Q91" s="2" t="s">
        <v>8</v>
      </c>
      <c r="R91" s="2">
        <f>+F92-84</f>
        <v>921</v>
      </c>
      <c r="S91" s="2">
        <f>+H88</f>
        <v>1</v>
      </c>
      <c r="U91" s="2"/>
    </row>
    <row r="92" spans="1:22" x14ac:dyDescent="0.25">
      <c r="B92" s="41"/>
      <c r="D92" s="20">
        <f>+D88+5</f>
        <v>1005</v>
      </c>
      <c r="E92" s="2" t="s">
        <v>8</v>
      </c>
      <c r="F92" s="2">
        <f>+F88+5</f>
        <v>1005</v>
      </c>
      <c r="G92" s="19" t="s">
        <v>20</v>
      </c>
      <c r="H92" s="2">
        <f>+H88</f>
        <v>1</v>
      </c>
      <c r="I92" s="2"/>
      <c r="J92" s="20">
        <f>+C88-30</f>
        <v>470</v>
      </c>
      <c r="K92" s="2" t="s">
        <v>8</v>
      </c>
      <c r="L92" s="2">
        <f>+F92-52</f>
        <v>953</v>
      </c>
      <c r="M92" s="2"/>
      <c r="N92" s="2">
        <f>+H88</f>
        <v>1</v>
      </c>
      <c r="O92" s="2"/>
      <c r="P92" s="59">
        <f>+J92-114</f>
        <v>356</v>
      </c>
      <c r="Q92" s="59" t="s">
        <v>8</v>
      </c>
      <c r="R92" s="59">
        <f>+L92-114</f>
        <v>839</v>
      </c>
      <c r="S92" s="59">
        <f>+N92</f>
        <v>1</v>
      </c>
      <c r="U92" s="2"/>
    </row>
    <row r="93" spans="1:22" x14ac:dyDescent="0.25">
      <c r="D93" s="21"/>
      <c r="E93" s="17"/>
      <c r="J93" s="21"/>
      <c r="P93" s="20"/>
      <c r="Q93" s="20"/>
      <c r="R93" s="20"/>
      <c r="S93" s="2"/>
      <c r="U93" s="2"/>
    </row>
    <row r="94" spans="1:22" x14ac:dyDescent="0.25">
      <c r="B94" s="3" t="s">
        <v>50</v>
      </c>
      <c r="C94" s="4" t="s">
        <v>78</v>
      </c>
      <c r="D94" s="4"/>
      <c r="J94" s="21"/>
      <c r="P94" s="21"/>
      <c r="Q94" s="21"/>
      <c r="R94" s="21"/>
      <c r="S94" s="2"/>
    </row>
    <row r="95" spans="1:22" x14ac:dyDescent="0.25">
      <c r="A95" s="4" t="s">
        <v>33</v>
      </c>
      <c r="B95" s="19"/>
      <c r="C95" s="43" t="s">
        <v>99</v>
      </c>
      <c r="D95" s="2"/>
      <c r="E95" s="2"/>
      <c r="F95" s="2"/>
      <c r="G95" s="2"/>
      <c r="H95" s="2"/>
      <c r="I95" s="2"/>
      <c r="J95" s="20"/>
      <c r="K95" s="2"/>
      <c r="L95" s="2"/>
      <c r="M95" s="2"/>
      <c r="N95" s="2"/>
      <c r="O95" s="2"/>
      <c r="P95" s="20"/>
      <c r="Q95" s="20"/>
      <c r="R95" s="20"/>
      <c r="S95" s="2"/>
      <c r="U95" s="2" t="s">
        <v>102</v>
      </c>
      <c r="V95" s="1" t="s">
        <v>101</v>
      </c>
    </row>
    <row r="96" spans="1:22" x14ac:dyDescent="0.25">
      <c r="B96" s="19"/>
      <c r="C96" s="43">
        <v>500</v>
      </c>
      <c r="D96" s="2"/>
      <c r="E96" s="2" t="s">
        <v>2</v>
      </c>
      <c r="F96" s="2"/>
      <c r="G96" s="2"/>
      <c r="H96" s="2"/>
      <c r="I96" s="2"/>
      <c r="J96" s="20"/>
      <c r="K96" s="2" t="s">
        <v>3</v>
      </c>
      <c r="L96" s="2"/>
      <c r="M96" s="2"/>
      <c r="N96" s="2"/>
      <c r="O96" s="2"/>
      <c r="P96" s="20"/>
      <c r="Q96" s="20" t="s">
        <v>4</v>
      </c>
      <c r="R96" s="20"/>
      <c r="S96" s="2"/>
    </row>
    <row r="97" spans="1:22" x14ac:dyDescent="0.25">
      <c r="B97" s="19"/>
      <c r="C97" s="44"/>
      <c r="D97" s="2">
        <v>1005</v>
      </c>
      <c r="E97" s="2" t="s">
        <v>8</v>
      </c>
      <c r="F97" s="2">
        <v>1005</v>
      </c>
      <c r="G97" s="2"/>
      <c r="H97" s="2">
        <v>1</v>
      </c>
      <c r="I97" s="2"/>
      <c r="J97" s="20">
        <f>+(C96)+6</f>
        <v>506</v>
      </c>
      <c r="K97" s="2" t="s">
        <v>8</v>
      </c>
      <c r="L97" s="2">
        <f>+F97-76</f>
        <v>929</v>
      </c>
      <c r="M97" s="2"/>
      <c r="N97" s="2">
        <v>1</v>
      </c>
      <c r="O97" s="2"/>
      <c r="P97" s="20">
        <f>+J97-135</f>
        <v>371</v>
      </c>
      <c r="Q97" s="20" t="s">
        <v>8</v>
      </c>
      <c r="R97" s="20">
        <f>+L97-135</f>
        <v>794</v>
      </c>
      <c r="S97" s="2">
        <f>+N97</f>
        <v>1</v>
      </c>
    </row>
    <row r="98" spans="1:22" x14ac:dyDescent="0.25">
      <c r="B98" s="19"/>
      <c r="J98" s="21"/>
      <c r="L98" s="2"/>
      <c r="N98" s="2">
        <v>1</v>
      </c>
      <c r="P98" s="20">
        <f>+((D97-C96)-5)-78</f>
        <v>422</v>
      </c>
      <c r="Q98" s="20" t="s">
        <v>8</v>
      </c>
      <c r="R98" s="20">
        <f>+F97-108</f>
        <v>897</v>
      </c>
      <c r="S98" s="2">
        <v>1</v>
      </c>
    </row>
    <row r="99" spans="1:22" x14ac:dyDescent="0.25">
      <c r="B99" s="19"/>
      <c r="J99" s="21"/>
      <c r="L99" s="2"/>
      <c r="N99" s="2"/>
      <c r="P99" s="20"/>
      <c r="Q99" s="21"/>
      <c r="R99" s="20"/>
      <c r="S99" s="2"/>
    </row>
    <row r="100" spans="1:22" x14ac:dyDescent="0.25">
      <c r="B100" s="3" t="s">
        <v>50</v>
      </c>
      <c r="C100" s="4" t="s">
        <v>78</v>
      </c>
      <c r="D100" s="4"/>
      <c r="J100" s="21"/>
      <c r="P100" s="21"/>
      <c r="Q100" s="21"/>
      <c r="R100" s="21"/>
      <c r="S100" s="2"/>
    </row>
    <row r="101" spans="1:22" x14ac:dyDescent="0.25">
      <c r="A101" s="4" t="s">
        <v>33</v>
      </c>
      <c r="B101" s="19"/>
      <c r="C101" s="43" t="s">
        <v>99</v>
      </c>
      <c r="D101" s="2"/>
      <c r="E101" s="2"/>
      <c r="F101" s="2"/>
      <c r="G101" s="2"/>
      <c r="H101" s="2"/>
      <c r="I101" s="2"/>
      <c r="J101" s="20"/>
      <c r="K101" s="2"/>
      <c r="L101" s="2"/>
      <c r="M101" s="2"/>
      <c r="N101" s="2"/>
      <c r="O101" s="2"/>
      <c r="P101" s="20"/>
      <c r="Q101" s="20"/>
      <c r="R101" s="20"/>
      <c r="S101" s="2"/>
      <c r="U101" s="2" t="s">
        <v>102</v>
      </c>
      <c r="V101" s="1" t="s">
        <v>101</v>
      </c>
    </row>
    <row r="102" spans="1:22" x14ac:dyDescent="0.25">
      <c r="B102" s="19"/>
      <c r="C102" s="43">
        <f>900+26</f>
        <v>926</v>
      </c>
      <c r="D102" s="2"/>
      <c r="E102" s="2" t="s">
        <v>2</v>
      </c>
      <c r="F102" s="2"/>
      <c r="G102" s="2"/>
      <c r="H102" s="2"/>
      <c r="I102" s="2"/>
      <c r="J102" s="20"/>
      <c r="K102" s="2" t="s">
        <v>3</v>
      </c>
      <c r="L102" s="2"/>
      <c r="M102" s="2"/>
      <c r="N102" s="2"/>
      <c r="O102" s="2"/>
      <c r="P102" s="20"/>
      <c r="Q102" s="20" t="s">
        <v>4</v>
      </c>
      <c r="R102" s="20"/>
      <c r="S102" s="2"/>
    </row>
    <row r="103" spans="1:22" x14ac:dyDescent="0.25">
      <c r="B103" s="19"/>
      <c r="C103" s="44"/>
      <c r="D103" s="2">
        <v>1800</v>
      </c>
      <c r="E103" s="2" t="s">
        <v>8</v>
      </c>
      <c r="F103" s="2">
        <v>2055</v>
      </c>
      <c r="G103" s="2"/>
      <c r="H103" s="2">
        <v>1</v>
      </c>
      <c r="I103" s="2"/>
      <c r="J103" s="20">
        <f>+(C102)+6</f>
        <v>932</v>
      </c>
      <c r="K103" s="2" t="s">
        <v>8</v>
      </c>
      <c r="L103" s="2">
        <f>+F103-76</f>
        <v>1979</v>
      </c>
      <c r="M103" s="2"/>
      <c r="N103" s="2">
        <v>1</v>
      </c>
      <c r="O103" s="2"/>
      <c r="P103" s="20">
        <f>+J103-135</f>
        <v>797</v>
      </c>
      <c r="Q103" s="20" t="s">
        <v>8</v>
      </c>
      <c r="R103" s="20">
        <f>+L103-135</f>
        <v>1844</v>
      </c>
      <c r="S103" s="2">
        <f>+N103</f>
        <v>1</v>
      </c>
    </row>
    <row r="104" spans="1:22" x14ac:dyDescent="0.25">
      <c r="B104" s="19"/>
      <c r="J104" s="21"/>
      <c r="L104" s="2"/>
      <c r="N104" s="2">
        <v>1</v>
      </c>
      <c r="P104" s="20">
        <f>+((D103-C102)-5)-78</f>
        <v>791</v>
      </c>
      <c r="Q104" s="20" t="s">
        <v>8</v>
      </c>
      <c r="R104" s="20">
        <f>+F103-108</f>
        <v>1947</v>
      </c>
      <c r="S104" s="2">
        <v>1</v>
      </c>
    </row>
    <row r="105" spans="1:22" x14ac:dyDescent="0.25">
      <c r="B105" s="19"/>
      <c r="J105" s="21"/>
      <c r="L105" s="2"/>
      <c r="N105" s="2"/>
      <c r="P105" s="20"/>
      <c r="Q105" s="21"/>
      <c r="R105" s="20"/>
      <c r="S105" s="2"/>
    </row>
    <row r="106" spans="1:22" x14ac:dyDescent="0.25">
      <c r="B106" s="3" t="s">
        <v>31</v>
      </c>
      <c r="C106" s="4" t="s">
        <v>80</v>
      </c>
      <c r="D106" s="4"/>
      <c r="J106" s="21"/>
      <c r="P106" s="21"/>
      <c r="Q106" s="21"/>
      <c r="R106" s="21"/>
      <c r="S106" s="2"/>
    </row>
    <row r="107" spans="1:22" x14ac:dyDescent="0.25">
      <c r="A107" s="4" t="s">
        <v>33</v>
      </c>
      <c r="B107" s="19"/>
      <c r="C107" s="43" t="s">
        <v>99</v>
      </c>
      <c r="D107" s="2"/>
      <c r="E107" s="2"/>
      <c r="F107" s="2"/>
      <c r="G107" s="2"/>
      <c r="H107" s="2"/>
      <c r="I107" s="2"/>
      <c r="J107" s="20"/>
      <c r="K107" s="2"/>
      <c r="L107" s="2"/>
      <c r="M107" s="2"/>
      <c r="N107" s="2"/>
      <c r="O107" s="2"/>
      <c r="P107" s="20"/>
      <c r="Q107" s="20"/>
      <c r="R107" s="20"/>
      <c r="S107" s="2"/>
      <c r="U107" s="2" t="s">
        <v>103</v>
      </c>
      <c r="V107" s="1" t="s">
        <v>101</v>
      </c>
    </row>
    <row r="108" spans="1:22" x14ac:dyDescent="0.25">
      <c r="B108" s="19"/>
      <c r="C108" s="43">
        <v>1000</v>
      </c>
      <c r="D108" s="2"/>
      <c r="E108" s="2" t="s">
        <v>2</v>
      </c>
      <c r="F108" s="2"/>
      <c r="G108" s="2"/>
      <c r="H108" s="2"/>
      <c r="I108" s="2"/>
      <c r="J108" s="20"/>
      <c r="K108" s="2" t="s">
        <v>3</v>
      </c>
      <c r="L108" s="2"/>
      <c r="M108" s="2"/>
      <c r="N108" s="2"/>
      <c r="O108" s="2"/>
      <c r="P108" s="20"/>
      <c r="Q108" s="20" t="s">
        <v>4</v>
      </c>
      <c r="R108" s="20"/>
      <c r="S108" s="2"/>
    </row>
    <row r="109" spans="1:22" x14ac:dyDescent="0.25">
      <c r="B109" s="19"/>
      <c r="C109" s="44"/>
      <c r="D109" s="2">
        <v>2000</v>
      </c>
      <c r="E109" s="2" t="s">
        <v>8</v>
      </c>
      <c r="F109" s="2">
        <v>2000</v>
      </c>
      <c r="G109" s="2"/>
      <c r="H109" s="2">
        <v>1</v>
      </c>
      <c r="I109" s="2"/>
      <c r="J109" s="20">
        <f>+(C108)+16</f>
        <v>1016</v>
      </c>
      <c r="K109" s="2" t="s">
        <v>8</v>
      </c>
      <c r="L109" s="2">
        <f>+F109-76</f>
        <v>1924</v>
      </c>
      <c r="M109" s="2"/>
      <c r="N109" s="2">
        <f>+H109</f>
        <v>1</v>
      </c>
      <c r="O109" s="2"/>
      <c r="P109" s="2">
        <f>+J109-178</f>
        <v>838</v>
      </c>
      <c r="Q109" s="2" t="s">
        <v>8</v>
      </c>
      <c r="R109" s="2">
        <f>+L109-178</f>
        <v>1746</v>
      </c>
      <c r="S109" s="2">
        <f>+H109</f>
        <v>1</v>
      </c>
    </row>
    <row r="110" spans="1:22" x14ac:dyDescent="0.25">
      <c r="B110" s="19"/>
      <c r="J110" s="21"/>
      <c r="K110" s="1" t="s">
        <v>79</v>
      </c>
      <c r="L110" s="2">
        <f>+F109-94</f>
        <v>1906</v>
      </c>
      <c r="N110" s="2">
        <f>+N109</f>
        <v>1</v>
      </c>
      <c r="P110" s="20">
        <f>+((D109-C108)-5)-78</f>
        <v>917</v>
      </c>
      <c r="Q110" s="20" t="s">
        <v>8</v>
      </c>
      <c r="R110" s="20">
        <f>+F109-108</f>
        <v>1892</v>
      </c>
      <c r="S110" s="2">
        <f>+S109</f>
        <v>1</v>
      </c>
    </row>
    <row r="111" spans="1:22" x14ac:dyDescent="0.25">
      <c r="B111" s="19"/>
      <c r="J111" s="21"/>
      <c r="L111" s="2"/>
      <c r="N111" s="2"/>
      <c r="P111" s="20"/>
      <c r="Q111" s="21"/>
      <c r="R111" s="20"/>
      <c r="S111" s="2"/>
    </row>
    <row r="112" spans="1:22" x14ac:dyDescent="0.25">
      <c r="B112" s="3" t="s">
        <v>31</v>
      </c>
      <c r="C112" s="4" t="s">
        <v>80</v>
      </c>
      <c r="D112" s="4"/>
      <c r="J112" s="21"/>
      <c r="P112" s="21"/>
      <c r="Q112" s="21"/>
      <c r="R112" s="21"/>
      <c r="S112" s="2"/>
    </row>
    <row r="113" spans="1:22" x14ac:dyDescent="0.25">
      <c r="A113" s="4" t="s">
        <v>33</v>
      </c>
      <c r="B113" s="19"/>
      <c r="C113" s="43" t="s">
        <v>99</v>
      </c>
      <c r="D113" s="2"/>
      <c r="E113" s="2"/>
      <c r="F113" s="2"/>
      <c r="G113" s="2"/>
      <c r="H113" s="2"/>
      <c r="I113" s="2"/>
      <c r="J113" s="20"/>
      <c r="K113" s="2"/>
      <c r="L113" s="2"/>
      <c r="M113" s="2"/>
      <c r="N113" s="2"/>
      <c r="O113" s="2"/>
      <c r="P113" s="20"/>
      <c r="Q113" s="20"/>
      <c r="R113" s="20"/>
      <c r="S113" s="2"/>
      <c r="U113" s="2" t="s">
        <v>103</v>
      </c>
      <c r="V113" s="1" t="s">
        <v>101</v>
      </c>
    </row>
    <row r="114" spans="1:22" x14ac:dyDescent="0.25">
      <c r="B114" s="19"/>
      <c r="C114" s="43">
        <v>1042</v>
      </c>
      <c r="D114" s="2"/>
      <c r="E114" s="2" t="s">
        <v>2</v>
      </c>
      <c r="F114" s="2"/>
      <c r="G114" s="2"/>
      <c r="H114" s="2"/>
      <c r="I114" s="2"/>
      <c r="J114" s="20"/>
      <c r="K114" s="2" t="s">
        <v>3</v>
      </c>
      <c r="L114" s="2"/>
      <c r="M114" s="2"/>
      <c r="N114" s="2"/>
      <c r="O114" s="2"/>
      <c r="P114" s="20"/>
      <c r="Q114" s="20" t="s">
        <v>4</v>
      </c>
      <c r="R114" s="20"/>
      <c r="S114" s="2"/>
    </row>
    <row r="115" spans="1:22" x14ac:dyDescent="0.25">
      <c r="B115" s="19"/>
      <c r="C115" s="44"/>
      <c r="D115" s="2">
        <v>2005</v>
      </c>
      <c r="E115" s="2" t="s">
        <v>8</v>
      </c>
      <c r="F115" s="2">
        <v>2005</v>
      </c>
      <c r="G115" s="2"/>
      <c r="H115" s="2">
        <v>10</v>
      </c>
      <c r="I115" s="2"/>
      <c r="J115" s="20">
        <f>+(C114)+16</f>
        <v>1058</v>
      </c>
      <c r="K115" s="2" t="s">
        <v>8</v>
      </c>
      <c r="L115" s="2">
        <f>+F115-76</f>
        <v>1929</v>
      </c>
      <c r="M115" s="2"/>
      <c r="N115" s="2">
        <f>+H115</f>
        <v>10</v>
      </c>
      <c r="O115" s="2"/>
      <c r="P115" s="2">
        <f>+J115-178</f>
        <v>880</v>
      </c>
      <c r="Q115" s="2" t="s">
        <v>8</v>
      </c>
      <c r="R115" s="2">
        <f>+L115-178</f>
        <v>1751</v>
      </c>
      <c r="S115" s="2">
        <f>+H115</f>
        <v>10</v>
      </c>
    </row>
    <row r="116" spans="1:22" x14ac:dyDescent="0.25">
      <c r="B116" s="19"/>
      <c r="J116" s="21"/>
      <c r="K116" s="1" t="s">
        <v>79</v>
      </c>
      <c r="L116" s="2">
        <f>+F115-94</f>
        <v>1911</v>
      </c>
      <c r="N116" s="2">
        <f>+N115</f>
        <v>10</v>
      </c>
      <c r="P116" s="20">
        <f>+((D115-C114)-5)-78</f>
        <v>880</v>
      </c>
      <c r="Q116" s="20" t="s">
        <v>8</v>
      </c>
      <c r="R116" s="20">
        <f>+F115-108</f>
        <v>1897</v>
      </c>
      <c r="S116" s="2">
        <f>+S115</f>
        <v>10</v>
      </c>
    </row>
    <row r="117" spans="1:22" x14ac:dyDescent="0.25">
      <c r="B117" s="19"/>
      <c r="J117" s="21"/>
      <c r="L117" s="2"/>
      <c r="N117" s="2"/>
      <c r="P117" s="20"/>
      <c r="Q117" s="21"/>
      <c r="R117" s="20"/>
      <c r="S117" s="2"/>
    </row>
    <row r="118" spans="1:22" x14ac:dyDescent="0.25">
      <c r="B118" s="7" t="s">
        <v>34</v>
      </c>
      <c r="C118" s="1" t="s">
        <v>98</v>
      </c>
      <c r="Q118" s="2"/>
      <c r="U118" s="2"/>
    </row>
    <row r="119" spans="1:22" x14ac:dyDescent="0.25">
      <c r="C119" s="43" t="s">
        <v>99</v>
      </c>
      <c r="Q119" s="2"/>
      <c r="U119" s="2"/>
    </row>
    <row r="120" spans="1:22" x14ac:dyDescent="0.25">
      <c r="B120" s="42"/>
      <c r="C120" s="43">
        <v>1000</v>
      </c>
      <c r="D120" s="2"/>
      <c r="E120" s="2" t="s">
        <v>2</v>
      </c>
      <c r="F120" s="2"/>
      <c r="G120" s="2"/>
      <c r="H120" s="2"/>
      <c r="I120" s="2"/>
      <c r="J120" s="2"/>
      <c r="K120" s="2" t="s">
        <v>24</v>
      </c>
      <c r="L120" s="2"/>
      <c r="M120" s="2"/>
      <c r="N120" s="2"/>
      <c r="O120" s="2"/>
      <c r="P120" s="2"/>
      <c r="Q120" s="2" t="s">
        <v>4</v>
      </c>
      <c r="U120" s="2" t="s">
        <v>102</v>
      </c>
      <c r="V120" s="1" t="s">
        <v>101</v>
      </c>
    </row>
    <row r="121" spans="1:22" x14ac:dyDescent="0.25">
      <c r="D121" s="2">
        <v>3005</v>
      </c>
      <c r="E121" s="2" t="s">
        <v>8</v>
      </c>
      <c r="F121" s="2">
        <v>2000</v>
      </c>
      <c r="G121" s="2"/>
      <c r="H121" s="2">
        <v>8</v>
      </c>
      <c r="I121" s="2"/>
      <c r="J121" s="20">
        <f>+C120+6</f>
        <v>1006</v>
      </c>
      <c r="K121" s="7" t="s">
        <v>8</v>
      </c>
      <c r="L121" s="2">
        <f>+F121-76</f>
        <v>1924</v>
      </c>
      <c r="M121" s="2"/>
      <c r="N121" s="2">
        <f>+H121*2</f>
        <v>16</v>
      </c>
      <c r="O121" s="2"/>
      <c r="P121" s="20">
        <f>+J121-135</f>
        <v>871</v>
      </c>
      <c r="Q121" s="2" t="s">
        <v>8</v>
      </c>
      <c r="R121" s="2">
        <f>+L121-135</f>
        <v>1789</v>
      </c>
      <c r="S121" s="2">
        <f>+N121</f>
        <v>16</v>
      </c>
      <c r="U121" s="2"/>
    </row>
    <row r="122" spans="1:22" x14ac:dyDescent="0.25">
      <c r="D122" s="2"/>
      <c r="E122" s="2"/>
      <c r="F122" s="2"/>
      <c r="G122" s="2"/>
      <c r="H122" s="2"/>
      <c r="I122" s="2"/>
      <c r="J122" s="20"/>
      <c r="K122" s="1" t="s">
        <v>79</v>
      </c>
      <c r="L122" s="2">
        <f>+F121-94</f>
        <v>1906</v>
      </c>
      <c r="N122" s="2">
        <f>+H121*1</f>
        <v>8</v>
      </c>
      <c r="P122" s="20">
        <f>+(D121-(C120*2)-5)-52</f>
        <v>948</v>
      </c>
      <c r="Q122" s="21"/>
      <c r="R122" s="20">
        <f>+F121-108</f>
        <v>1892</v>
      </c>
      <c r="S122" s="2">
        <f>+H121*1</f>
        <v>8</v>
      </c>
      <c r="U122" s="2"/>
    </row>
    <row r="123" spans="1:22" x14ac:dyDescent="0.25">
      <c r="D123" s="2"/>
      <c r="E123" s="2"/>
      <c r="F123" s="2"/>
      <c r="G123" s="2"/>
      <c r="H123" s="2"/>
      <c r="I123" s="2"/>
      <c r="J123" s="20"/>
      <c r="K123" s="7"/>
      <c r="L123" s="2"/>
      <c r="M123" s="2"/>
      <c r="N123" s="2"/>
      <c r="O123" s="2"/>
      <c r="P123" s="20"/>
      <c r="Q123" s="2"/>
      <c r="R123" s="2"/>
      <c r="S123" s="2"/>
      <c r="U123" s="2"/>
    </row>
    <row r="124" spans="1:22" x14ac:dyDescent="0.25">
      <c r="D124" s="2"/>
      <c r="E124" s="2"/>
      <c r="F124" s="2"/>
      <c r="G124" s="2"/>
      <c r="H124" s="2"/>
      <c r="I124" s="2"/>
      <c r="J124" s="20"/>
      <c r="K124" s="7"/>
      <c r="L124" s="2"/>
      <c r="M124" s="2"/>
      <c r="N124" s="2"/>
      <c r="O124" s="2"/>
      <c r="P124" s="20"/>
      <c r="Q124" s="2"/>
      <c r="R124" s="2"/>
      <c r="S124" s="2"/>
      <c r="U124" s="2"/>
    </row>
    <row r="125" spans="1:22" x14ac:dyDescent="0.25">
      <c r="B125" s="7" t="s">
        <v>34</v>
      </c>
      <c r="C125" s="1" t="s">
        <v>97</v>
      </c>
      <c r="Q125" s="2"/>
      <c r="U125" s="2"/>
    </row>
    <row r="126" spans="1:22" x14ac:dyDescent="0.25">
      <c r="C126" s="43" t="s">
        <v>99</v>
      </c>
      <c r="Q126" s="2"/>
      <c r="U126" s="2" t="s">
        <v>100</v>
      </c>
      <c r="V126" s="1" t="s">
        <v>101</v>
      </c>
    </row>
    <row r="127" spans="1:22" x14ac:dyDescent="0.25">
      <c r="B127" s="42"/>
      <c r="C127" s="43">
        <v>1000</v>
      </c>
      <c r="D127" s="2"/>
      <c r="E127" s="2" t="s">
        <v>2</v>
      </c>
      <c r="F127" s="2"/>
      <c r="G127" s="2"/>
      <c r="H127" s="2"/>
      <c r="I127" s="2"/>
      <c r="J127" s="2"/>
      <c r="K127" s="2" t="s">
        <v>24</v>
      </c>
      <c r="L127" s="2"/>
      <c r="M127" s="2"/>
      <c r="N127" s="2"/>
      <c r="O127" s="2"/>
      <c r="P127" s="2"/>
      <c r="Q127" s="2" t="s">
        <v>4</v>
      </c>
      <c r="U127" s="2"/>
    </row>
    <row r="128" spans="1:22" x14ac:dyDescent="0.25">
      <c r="D128" s="2">
        <v>3005</v>
      </c>
      <c r="E128" s="2" t="s">
        <v>8</v>
      </c>
      <c r="F128" s="2">
        <v>2500</v>
      </c>
      <c r="G128" s="2"/>
      <c r="H128" s="2">
        <v>8</v>
      </c>
      <c r="I128" s="2"/>
      <c r="J128" s="20">
        <f>+C127+15</f>
        <v>1015</v>
      </c>
      <c r="K128" s="7" t="s">
        <v>8</v>
      </c>
      <c r="L128" s="2">
        <f>+F128-76</f>
        <v>2424</v>
      </c>
      <c r="M128" s="2"/>
      <c r="N128" s="2">
        <f>+H128*2</f>
        <v>16</v>
      </c>
      <c r="O128" s="2"/>
      <c r="P128" s="2">
        <f>+J128-178</f>
        <v>837</v>
      </c>
      <c r="Q128" s="2" t="s">
        <v>8</v>
      </c>
      <c r="R128" s="2">
        <f>+L128-178</f>
        <v>2246</v>
      </c>
      <c r="S128" s="2">
        <f>+N128</f>
        <v>16</v>
      </c>
      <c r="U128" s="2"/>
    </row>
    <row r="129" spans="2:22" x14ac:dyDescent="0.25">
      <c r="D129" s="2"/>
      <c r="E129" s="2"/>
      <c r="F129" s="2"/>
      <c r="G129" s="2"/>
      <c r="H129" s="2"/>
      <c r="I129" s="2"/>
      <c r="J129" s="20"/>
      <c r="K129" s="1" t="s">
        <v>79</v>
      </c>
      <c r="L129" s="2">
        <f>+F128-94</f>
        <v>2406</v>
      </c>
      <c r="N129" s="2">
        <f>+H128*1</f>
        <v>8</v>
      </c>
      <c r="P129" s="20">
        <f>+(D128-(C127*2)-5)-52</f>
        <v>948</v>
      </c>
      <c r="Q129" s="21"/>
      <c r="R129" s="20">
        <f>+F128-108</f>
        <v>2392</v>
      </c>
      <c r="S129" s="2">
        <f>+H128*1</f>
        <v>8</v>
      </c>
      <c r="U129" s="2"/>
    </row>
    <row r="130" spans="2:22" x14ac:dyDescent="0.25">
      <c r="D130" s="2"/>
      <c r="E130" s="2"/>
      <c r="F130" s="2"/>
      <c r="G130" s="2"/>
      <c r="H130" s="2"/>
      <c r="I130" s="2"/>
      <c r="J130" s="20"/>
      <c r="K130" s="7"/>
      <c r="L130" s="2"/>
      <c r="M130" s="2"/>
      <c r="N130" s="2"/>
      <c r="O130" s="2"/>
      <c r="P130" s="20"/>
      <c r="Q130" s="2"/>
      <c r="R130" s="2"/>
      <c r="S130" s="2"/>
      <c r="U130" s="2"/>
    </row>
    <row r="131" spans="2:22" x14ac:dyDescent="0.25">
      <c r="D131" s="2"/>
      <c r="E131" s="2"/>
      <c r="F131" s="2"/>
      <c r="G131" s="2"/>
      <c r="H131" s="2"/>
      <c r="I131" s="2"/>
      <c r="J131" s="20"/>
      <c r="K131" s="7"/>
      <c r="L131" s="2"/>
      <c r="M131" s="2"/>
      <c r="N131" s="2"/>
      <c r="O131" s="2"/>
      <c r="P131" s="20"/>
      <c r="Q131" s="2"/>
      <c r="R131" s="2"/>
      <c r="S131" s="2"/>
      <c r="U131" s="2"/>
    </row>
    <row r="132" spans="2:22" ht="15.75" thickBot="1" x14ac:dyDescent="0.3">
      <c r="B132" s="7" t="s">
        <v>50</v>
      </c>
      <c r="C132" s="1" t="s">
        <v>107</v>
      </c>
      <c r="Q132" s="2"/>
      <c r="U132" s="2"/>
    </row>
    <row r="133" spans="2:22" ht="15.75" thickBot="1" x14ac:dyDescent="0.3">
      <c r="B133" s="46"/>
      <c r="C133" s="47" t="s">
        <v>105</v>
      </c>
      <c r="D133" s="48"/>
      <c r="Q133" s="2"/>
      <c r="U133" s="2"/>
    </row>
    <row r="134" spans="2:22" x14ac:dyDescent="0.25">
      <c r="B134" s="42"/>
      <c r="C134" s="43">
        <f>1000-14</f>
        <v>986</v>
      </c>
      <c r="D134" s="2"/>
      <c r="E134" s="2" t="s">
        <v>2</v>
      </c>
      <c r="F134" s="2"/>
      <c r="G134" s="2"/>
      <c r="H134" s="2"/>
      <c r="I134" s="2"/>
      <c r="J134" s="2"/>
      <c r="K134" s="2" t="s">
        <v>24</v>
      </c>
      <c r="L134" s="2"/>
      <c r="M134" s="2"/>
      <c r="N134" s="2"/>
      <c r="O134" s="2"/>
      <c r="P134" s="2"/>
      <c r="Q134" s="2" t="s">
        <v>4</v>
      </c>
      <c r="U134" s="2" t="s">
        <v>106</v>
      </c>
      <c r="V134" s="1" t="s">
        <v>101</v>
      </c>
    </row>
    <row r="135" spans="2:22" x14ac:dyDescent="0.25">
      <c r="C135" s="50"/>
      <c r="D135" s="2">
        <v>4005</v>
      </c>
      <c r="E135" s="2" t="s">
        <v>8</v>
      </c>
      <c r="F135" s="2">
        <v>2000</v>
      </c>
      <c r="G135" s="2"/>
      <c r="H135" s="2">
        <v>1</v>
      </c>
      <c r="I135" s="2"/>
      <c r="J135" s="20">
        <f>(((D135-5)/2)-C134)+40</f>
        <v>1054</v>
      </c>
      <c r="K135" s="7" t="s">
        <v>8</v>
      </c>
      <c r="L135" s="2">
        <f>+F135-76</f>
        <v>1924</v>
      </c>
      <c r="M135" s="2"/>
      <c r="N135" s="2">
        <f>+H135*2</f>
        <v>2</v>
      </c>
      <c r="O135" s="2"/>
      <c r="P135" s="20">
        <f>+J135-135</f>
        <v>919</v>
      </c>
      <c r="Q135" s="2" t="s">
        <v>8</v>
      </c>
      <c r="R135" s="2">
        <f>+L135-135</f>
        <v>1789</v>
      </c>
      <c r="S135" s="2">
        <f>+N135</f>
        <v>2</v>
      </c>
      <c r="U135" s="2"/>
    </row>
    <row r="136" spans="2:22" x14ac:dyDescent="0.25">
      <c r="D136" s="2"/>
      <c r="E136" s="2"/>
      <c r="F136" s="2"/>
      <c r="G136" s="2"/>
      <c r="H136" s="2"/>
      <c r="I136" s="2"/>
      <c r="J136" s="20"/>
      <c r="K136" s="1" t="s">
        <v>79</v>
      </c>
      <c r="L136" s="2">
        <f>+F135-94</f>
        <v>1906</v>
      </c>
      <c r="N136" s="2">
        <v>2</v>
      </c>
      <c r="P136" s="49">
        <f>C134-68</f>
        <v>918</v>
      </c>
      <c r="Q136" s="20" t="s">
        <v>8</v>
      </c>
      <c r="R136" s="20">
        <f>+F135-108</f>
        <v>1892</v>
      </c>
      <c r="S136" s="2">
        <v>2</v>
      </c>
      <c r="U136" s="2"/>
    </row>
    <row r="137" spans="2:22" x14ac:dyDescent="0.25">
      <c r="D137" s="2"/>
      <c r="E137" s="2"/>
      <c r="F137" s="2"/>
      <c r="G137" s="2"/>
      <c r="H137" s="2"/>
      <c r="I137" s="2"/>
      <c r="J137" s="20"/>
      <c r="K137" s="7"/>
      <c r="L137" s="2"/>
      <c r="M137" s="2"/>
      <c r="N137" s="2"/>
      <c r="O137" s="2"/>
      <c r="P137" s="20"/>
      <c r="Q137" s="2"/>
      <c r="R137" s="2"/>
      <c r="S137" s="2"/>
      <c r="U137" s="2"/>
    </row>
    <row r="138" spans="2:22" x14ac:dyDescent="0.25">
      <c r="D138" s="2"/>
      <c r="E138" s="2"/>
      <c r="F138" s="2"/>
      <c r="G138" s="2"/>
      <c r="H138" s="2"/>
      <c r="I138" s="2"/>
      <c r="J138" s="20"/>
      <c r="K138" s="7"/>
      <c r="L138" s="2"/>
      <c r="M138" s="2"/>
      <c r="N138" s="2"/>
      <c r="O138" s="2"/>
      <c r="P138" s="20"/>
      <c r="Q138" s="2"/>
      <c r="R138" s="2"/>
      <c r="S138" s="2"/>
      <c r="U138" s="2"/>
    </row>
    <row r="139" spans="2:22" ht="15.75" thickBot="1" x14ac:dyDescent="0.3">
      <c r="B139" s="7" t="s">
        <v>104</v>
      </c>
      <c r="C139" s="1" t="s">
        <v>108</v>
      </c>
      <c r="Q139" s="2"/>
      <c r="U139" s="2"/>
    </row>
    <row r="140" spans="2:22" ht="15.75" thickBot="1" x14ac:dyDescent="0.3">
      <c r="B140" s="46"/>
      <c r="C140" s="47" t="s">
        <v>105</v>
      </c>
      <c r="D140" s="48"/>
      <c r="Q140" s="2"/>
      <c r="U140" s="2" t="s">
        <v>109</v>
      </c>
      <c r="V140" s="1" t="s">
        <v>101</v>
      </c>
    </row>
    <row r="141" spans="2:22" x14ac:dyDescent="0.25">
      <c r="B141" s="42"/>
      <c r="C141" s="45">
        <v>970</v>
      </c>
      <c r="D141" s="2"/>
      <c r="E141" s="2" t="s">
        <v>2</v>
      </c>
      <c r="F141" s="2"/>
      <c r="G141" s="2"/>
      <c r="H141" s="2"/>
      <c r="I141" s="2"/>
      <c r="J141" s="2"/>
      <c r="K141" s="2" t="s">
        <v>24</v>
      </c>
      <c r="L141" s="2"/>
      <c r="M141" s="2"/>
      <c r="N141" s="2"/>
      <c r="O141" s="2"/>
      <c r="P141" s="2"/>
      <c r="Q141" s="2" t="s">
        <v>4</v>
      </c>
      <c r="U141" s="2"/>
    </row>
    <row r="142" spans="2:22" x14ac:dyDescent="0.25">
      <c r="D142" s="2">
        <v>4005</v>
      </c>
      <c r="E142" s="2" t="s">
        <v>8</v>
      </c>
      <c r="F142" s="2">
        <v>2000</v>
      </c>
      <c r="G142" s="2"/>
      <c r="H142" s="2">
        <v>1</v>
      </c>
      <c r="I142" s="2"/>
      <c r="J142" s="49">
        <f>(((D142-5)/2)-C141)+50</f>
        <v>1080</v>
      </c>
      <c r="K142" s="7" t="s">
        <v>8</v>
      </c>
      <c r="L142" s="2">
        <f>+F142-76</f>
        <v>1924</v>
      </c>
      <c r="M142" s="2"/>
      <c r="N142" s="2">
        <f>+H142*2</f>
        <v>2</v>
      </c>
      <c r="O142" s="2"/>
      <c r="P142" s="2">
        <f>+J142-178</f>
        <v>902</v>
      </c>
      <c r="Q142" s="2" t="s">
        <v>8</v>
      </c>
      <c r="R142" s="2">
        <f>+L142-178</f>
        <v>1746</v>
      </c>
      <c r="S142" s="2">
        <f>+N142</f>
        <v>2</v>
      </c>
      <c r="U142" s="2"/>
    </row>
    <row r="143" spans="2:22" x14ac:dyDescent="0.25">
      <c r="D143" s="2"/>
      <c r="E143" s="2"/>
      <c r="F143" s="2"/>
      <c r="G143" s="2"/>
      <c r="H143" s="2"/>
      <c r="I143" s="2"/>
      <c r="J143" s="20"/>
      <c r="K143" s="1" t="s">
        <v>79</v>
      </c>
      <c r="L143" s="2">
        <f>+F142-94</f>
        <v>1906</v>
      </c>
      <c r="N143" s="2">
        <v>2</v>
      </c>
      <c r="P143" s="49">
        <f>C141-68</f>
        <v>902</v>
      </c>
      <c r="Q143" s="20" t="s">
        <v>8</v>
      </c>
      <c r="R143" s="20">
        <f>+F142-108</f>
        <v>1892</v>
      </c>
      <c r="S143" s="2">
        <v>2</v>
      </c>
      <c r="U143" s="2"/>
    </row>
    <row r="144" spans="2:22" x14ac:dyDescent="0.25">
      <c r="D144" s="2"/>
      <c r="E144" s="2"/>
      <c r="F144" s="2"/>
      <c r="G144" s="2"/>
      <c r="H144" s="2"/>
      <c r="I144" s="2"/>
      <c r="J144" s="20"/>
      <c r="K144" s="7"/>
      <c r="L144" s="2"/>
      <c r="M144" s="2"/>
      <c r="N144" s="2"/>
      <c r="O144" s="2"/>
      <c r="P144" s="20"/>
      <c r="Q144" s="2"/>
      <c r="R144" s="2"/>
      <c r="S144" s="2"/>
      <c r="U144" s="2"/>
    </row>
    <row r="145" spans="2:21" x14ac:dyDescent="0.25">
      <c r="D145" s="2"/>
      <c r="E145" s="2"/>
      <c r="F145" s="2"/>
      <c r="G145" s="2"/>
      <c r="H145" s="2"/>
      <c r="I145" s="2"/>
      <c r="J145" s="20"/>
      <c r="K145" s="7"/>
      <c r="L145" s="2"/>
      <c r="M145" s="2"/>
      <c r="N145" s="2"/>
      <c r="O145" s="2"/>
      <c r="P145" s="20"/>
      <c r="Q145" s="2"/>
      <c r="R145" s="2"/>
      <c r="S145" s="2"/>
      <c r="U145" s="2"/>
    </row>
    <row r="146" spans="2:21" x14ac:dyDescent="0.25">
      <c r="B146" s="7" t="s">
        <v>50</v>
      </c>
      <c r="C146" s="1" t="s">
        <v>110</v>
      </c>
      <c r="Q146" s="2"/>
      <c r="U146" s="2"/>
    </row>
    <row r="147" spans="2:21" x14ac:dyDescent="0.25">
      <c r="Q147" s="2"/>
      <c r="U147" s="2"/>
    </row>
    <row r="148" spans="2:21" x14ac:dyDescent="0.25">
      <c r="Q148" s="2"/>
      <c r="U148" s="2"/>
    </row>
    <row r="149" spans="2:21" x14ac:dyDescent="0.25">
      <c r="D149" s="2"/>
      <c r="E149" s="2" t="s">
        <v>2</v>
      </c>
      <c r="F149" s="2"/>
      <c r="G149" s="2"/>
      <c r="H149" s="2"/>
      <c r="I149" s="2"/>
      <c r="J149" s="2"/>
      <c r="K149" s="2" t="s">
        <v>24</v>
      </c>
      <c r="L149" s="2"/>
      <c r="M149" s="2"/>
      <c r="N149" s="2"/>
      <c r="O149" s="2"/>
      <c r="P149" s="2"/>
      <c r="Q149" s="2" t="s">
        <v>4</v>
      </c>
      <c r="U149" s="2"/>
    </row>
    <row r="150" spans="2:21" x14ac:dyDescent="0.25">
      <c r="D150" s="2">
        <v>4015</v>
      </c>
      <c r="E150" s="2" t="s">
        <v>8</v>
      </c>
      <c r="F150" s="2">
        <v>2105</v>
      </c>
      <c r="G150" s="2"/>
      <c r="H150" s="2">
        <v>1</v>
      </c>
      <c r="I150" s="2"/>
      <c r="J150" s="20">
        <f>+(D150/3)+31</f>
        <v>1369.3333333333333</v>
      </c>
      <c r="K150" s="7" t="s">
        <v>8</v>
      </c>
      <c r="L150" s="2">
        <f>+F150-76</f>
        <v>2029</v>
      </c>
      <c r="M150" s="2">
        <f>+H150*3</f>
        <v>3</v>
      </c>
      <c r="N150" s="2"/>
      <c r="O150" s="2"/>
      <c r="P150" s="20">
        <f>+J150-135</f>
        <v>1234.3333333333333</v>
      </c>
      <c r="Q150" s="2" t="s">
        <v>8</v>
      </c>
      <c r="R150" s="2">
        <f>+L150-135</f>
        <v>1894</v>
      </c>
      <c r="S150" s="2">
        <f>+M150</f>
        <v>3</v>
      </c>
      <c r="U150" s="2"/>
    </row>
    <row r="151" spans="2:21" x14ac:dyDescent="0.25">
      <c r="D151" s="2"/>
      <c r="E151" s="2"/>
      <c r="F151" s="2"/>
      <c r="G151" s="2"/>
      <c r="H151" s="2"/>
      <c r="I151" s="2"/>
      <c r="J151" s="20"/>
      <c r="K151" s="7"/>
      <c r="L151" s="2"/>
      <c r="M151" s="2"/>
      <c r="N151" s="2"/>
      <c r="O151" s="2"/>
      <c r="P151" s="20"/>
      <c r="Q151" s="2"/>
      <c r="R151" s="2"/>
      <c r="S151" s="2"/>
      <c r="U151" s="2"/>
    </row>
    <row r="152" spans="2:21" x14ac:dyDescent="0.25">
      <c r="B152" s="7" t="s">
        <v>34</v>
      </c>
      <c r="C152" s="1" t="s">
        <v>112</v>
      </c>
      <c r="Q152" s="2"/>
      <c r="U152" s="2"/>
    </row>
    <row r="153" spans="2:21" x14ac:dyDescent="0.25">
      <c r="Q153" s="2"/>
      <c r="U153" s="2"/>
    </row>
    <row r="154" spans="2:21" x14ac:dyDescent="0.25">
      <c r="Q154" s="2"/>
      <c r="U154" s="2"/>
    </row>
    <row r="155" spans="2:21" x14ac:dyDescent="0.25">
      <c r="D155" s="2"/>
      <c r="E155" s="2" t="s">
        <v>2</v>
      </c>
      <c r="F155" s="2"/>
      <c r="G155" s="2"/>
      <c r="H155" s="2"/>
      <c r="I155" s="2"/>
      <c r="J155" s="2"/>
      <c r="K155" s="2" t="s">
        <v>24</v>
      </c>
      <c r="L155" s="2"/>
      <c r="M155" s="2"/>
      <c r="N155" s="2"/>
      <c r="O155" s="2"/>
      <c r="P155" s="2"/>
      <c r="Q155" s="2" t="s">
        <v>4</v>
      </c>
      <c r="U155" s="2"/>
    </row>
    <row r="156" spans="2:21" x14ac:dyDescent="0.25">
      <c r="D156" s="2">
        <v>3005</v>
      </c>
      <c r="E156" s="2" t="s">
        <v>8</v>
      </c>
      <c r="F156" s="2">
        <f>1010-5</f>
        <v>1005</v>
      </c>
      <c r="G156" s="2"/>
      <c r="H156" s="2">
        <v>1</v>
      </c>
      <c r="I156" s="2"/>
      <c r="J156" s="20">
        <f>+(D156/3)+30</f>
        <v>1031.6666666666665</v>
      </c>
      <c r="K156" s="7" t="s">
        <v>8</v>
      </c>
      <c r="L156" s="2">
        <f>+F156-76</f>
        <v>929</v>
      </c>
      <c r="M156" s="2">
        <f>+H156*3</f>
        <v>3</v>
      </c>
      <c r="N156" s="2"/>
      <c r="O156" s="2"/>
      <c r="P156" s="20">
        <f>+J156-135</f>
        <v>896.66666666666652</v>
      </c>
      <c r="Q156" s="2" t="s">
        <v>8</v>
      </c>
      <c r="R156" s="2">
        <f>+L156-135</f>
        <v>794</v>
      </c>
      <c r="S156" s="2">
        <f>+M156</f>
        <v>3</v>
      </c>
      <c r="U156" s="2"/>
    </row>
    <row r="157" spans="2:21" x14ac:dyDescent="0.25">
      <c r="D157" s="2"/>
      <c r="E157" s="2"/>
      <c r="F157" s="2"/>
      <c r="G157" s="2"/>
      <c r="H157" s="2"/>
      <c r="I157" s="2"/>
      <c r="J157" s="20"/>
      <c r="K157" s="7"/>
      <c r="L157" s="2"/>
      <c r="M157" s="2"/>
      <c r="N157" s="2"/>
      <c r="O157" s="2"/>
      <c r="P157" s="20"/>
      <c r="Q157" s="2"/>
      <c r="R157" s="2"/>
      <c r="S157" s="2"/>
      <c r="U157" s="2"/>
    </row>
    <row r="158" spans="2:21" x14ac:dyDescent="0.25">
      <c r="B158" s="7" t="s">
        <v>34</v>
      </c>
      <c r="C158" s="1" t="s">
        <v>114</v>
      </c>
      <c r="Q158" s="2"/>
      <c r="U158" s="2"/>
    </row>
    <row r="159" spans="2:21" x14ac:dyDescent="0.25">
      <c r="Q159" s="2"/>
      <c r="U159" s="2"/>
    </row>
    <row r="160" spans="2:21" x14ac:dyDescent="0.25">
      <c r="Q160" s="2"/>
      <c r="U160" s="2"/>
    </row>
    <row r="161" spans="2:21" x14ac:dyDescent="0.25">
      <c r="D161" s="2"/>
      <c r="E161" s="2" t="s">
        <v>2</v>
      </c>
      <c r="F161" s="2"/>
      <c r="G161" s="2"/>
      <c r="H161" s="2"/>
      <c r="I161" s="2"/>
      <c r="J161" s="2"/>
      <c r="K161" s="2" t="s">
        <v>24</v>
      </c>
      <c r="L161" s="2"/>
      <c r="M161" s="2"/>
      <c r="N161" s="2"/>
      <c r="O161" s="2"/>
      <c r="P161" s="2"/>
      <c r="Q161" s="2" t="s">
        <v>4</v>
      </c>
      <c r="U161" s="2"/>
    </row>
    <row r="162" spans="2:21" x14ac:dyDescent="0.25">
      <c r="D162" s="2">
        <v>3005</v>
      </c>
      <c r="E162" s="2" t="s">
        <v>8</v>
      </c>
      <c r="F162" s="2">
        <f>1010-5</f>
        <v>1005</v>
      </c>
      <c r="G162" s="2"/>
      <c r="H162" s="2">
        <v>1</v>
      </c>
      <c r="I162" s="2"/>
      <c r="J162" s="20">
        <f>+(D162/3)+43</f>
        <v>1044.6666666666665</v>
      </c>
      <c r="K162" s="7" t="s">
        <v>8</v>
      </c>
      <c r="L162" s="2">
        <f>+F162-76</f>
        <v>929</v>
      </c>
      <c r="M162" s="2">
        <f>+H162*3</f>
        <v>3</v>
      </c>
      <c r="N162" s="2"/>
      <c r="O162" s="2"/>
      <c r="P162" s="2">
        <f>+J162-178</f>
        <v>866.66666666666652</v>
      </c>
      <c r="Q162" s="2" t="s">
        <v>8</v>
      </c>
      <c r="R162" s="2">
        <f>+L162-178</f>
        <v>751</v>
      </c>
      <c r="S162" s="2">
        <f>+M162</f>
        <v>3</v>
      </c>
      <c r="U162" s="2"/>
    </row>
    <row r="163" spans="2:21" x14ac:dyDescent="0.25">
      <c r="D163" s="2"/>
      <c r="E163" s="2"/>
      <c r="F163" s="2"/>
      <c r="G163" s="2"/>
      <c r="H163" s="2"/>
      <c r="I163" s="2"/>
      <c r="J163" s="20"/>
      <c r="K163" s="7"/>
      <c r="L163" s="2"/>
      <c r="M163" s="2"/>
      <c r="N163" s="2"/>
      <c r="O163" s="2"/>
      <c r="P163" s="20"/>
      <c r="Q163" s="2"/>
      <c r="R163" s="2"/>
      <c r="S163" s="2"/>
      <c r="U163" s="2"/>
    </row>
    <row r="164" spans="2:21" x14ac:dyDescent="0.25">
      <c r="B164" s="7" t="s">
        <v>34</v>
      </c>
      <c r="C164" s="1" t="s">
        <v>114</v>
      </c>
      <c r="Q164" s="2"/>
      <c r="U164" s="2"/>
    </row>
    <row r="165" spans="2:21" x14ac:dyDescent="0.25">
      <c r="Q165" s="2"/>
      <c r="U165" s="2"/>
    </row>
    <row r="166" spans="2:21" x14ac:dyDescent="0.25">
      <c r="Q166" s="2"/>
      <c r="U166" s="2"/>
    </row>
    <row r="167" spans="2:21" x14ac:dyDescent="0.25">
      <c r="D167" s="2"/>
      <c r="E167" s="2" t="s">
        <v>2</v>
      </c>
      <c r="F167" s="2"/>
      <c r="G167" s="2"/>
      <c r="H167" s="2"/>
      <c r="I167" s="2"/>
      <c r="J167" s="2"/>
      <c r="K167" s="2" t="s">
        <v>24</v>
      </c>
      <c r="L167" s="2"/>
      <c r="M167" s="2"/>
      <c r="N167" s="2"/>
      <c r="O167" s="2"/>
      <c r="P167" s="2"/>
      <c r="Q167" s="2" t="s">
        <v>4</v>
      </c>
      <c r="U167" s="2"/>
    </row>
    <row r="168" spans="2:21" x14ac:dyDescent="0.25">
      <c r="D168" s="2">
        <v>3005</v>
      </c>
      <c r="E168" s="2" t="s">
        <v>8</v>
      </c>
      <c r="F168" s="2">
        <f>1010-5</f>
        <v>1005</v>
      </c>
      <c r="G168" s="2"/>
      <c r="H168" s="2">
        <v>1</v>
      </c>
      <c r="I168" s="2"/>
      <c r="J168" s="20">
        <f>+(D168/3)+43</f>
        <v>1044.6666666666665</v>
      </c>
      <c r="K168" s="7" t="s">
        <v>8</v>
      </c>
      <c r="L168" s="2">
        <f>+F168-76</f>
        <v>929</v>
      </c>
      <c r="M168" s="2">
        <f>+H168*3</f>
        <v>3</v>
      </c>
      <c r="N168" s="2"/>
      <c r="O168" s="2"/>
      <c r="P168" s="2">
        <f>+J168-178</f>
        <v>866.66666666666652</v>
      </c>
      <c r="Q168" s="2" t="s">
        <v>8</v>
      </c>
      <c r="R168" s="2">
        <f>+L168-178</f>
        <v>751</v>
      </c>
      <c r="S168" s="2">
        <f>+M168</f>
        <v>3</v>
      </c>
      <c r="U168" s="2"/>
    </row>
    <row r="169" spans="2:21" x14ac:dyDescent="0.25">
      <c r="D169" s="2"/>
      <c r="E169" s="2"/>
      <c r="F169" s="2"/>
      <c r="G169" s="2"/>
      <c r="H169" s="2"/>
      <c r="I169" s="2"/>
      <c r="J169" s="20"/>
      <c r="K169" s="7"/>
      <c r="L169" s="2"/>
      <c r="M169" s="2"/>
      <c r="N169" s="2"/>
      <c r="O169" s="2"/>
      <c r="P169" s="20"/>
      <c r="Q169" s="2"/>
      <c r="R169" s="2"/>
      <c r="S169" s="2"/>
      <c r="U169" s="2"/>
    </row>
    <row r="170" spans="2:21" x14ac:dyDescent="0.25">
      <c r="B170" s="7" t="s">
        <v>34</v>
      </c>
      <c r="C170" s="1" t="s">
        <v>111</v>
      </c>
      <c r="Q170" s="2"/>
      <c r="U170" s="2"/>
    </row>
    <row r="171" spans="2:21" x14ac:dyDescent="0.25">
      <c r="Q171" s="2"/>
      <c r="U171" s="2"/>
    </row>
    <row r="172" spans="2:21" x14ac:dyDescent="0.25">
      <c r="Q172" s="2"/>
      <c r="U172" s="2"/>
    </row>
    <row r="173" spans="2:21" x14ac:dyDescent="0.25">
      <c r="D173" s="2"/>
      <c r="E173" s="2" t="s">
        <v>2</v>
      </c>
      <c r="F173" s="2"/>
      <c r="G173" s="2"/>
      <c r="H173" s="2"/>
      <c r="I173" s="2"/>
      <c r="J173" s="2"/>
      <c r="K173" s="2" t="s">
        <v>24</v>
      </c>
      <c r="L173" s="2"/>
      <c r="M173" s="2"/>
      <c r="N173" s="2"/>
      <c r="O173" s="2"/>
      <c r="P173" s="2"/>
      <c r="Q173" s="2" t="s">
        <v>4</v>
      </c>
      <c r="U173" s="2"/>
    </row>
    <row r="174" spans="2:21" x14ac:dyDescent="0.25">
      <c r="D174" s="2">
        <v>6005</v>
      </c>
      <c r="E174" s="2" t="s">
        <v>8</v>
      </c>
      <c r="F174" s="2">
        <v>2005</v>
      </c>
      <c r="G174" s="2"/>
      <c r="H174" s="2">
        <v>2</v>
      </c>
      <c r="I174" s="2"/>
      <c r="J174" s="20">
        <f>+(D174/6)+50+5</f>
        <v>1055.8333333333335</v>
      </c>
      <c r="K174" s="7" t="s">
        <v>8</v>
      </c>
      <c r="L174" s="2">
        <f>+F174-76</f>
        <v>1929</v>
      </c>
      <c r="M174" s="2">
        <f>+H174*6</f>
        <v>12</v>
      </c>
      <c r="N174" s="2"/>
      <c r="O174" s="2"/>
      <c r="P174" s="2">
        <f>+J174-178</f>
        <v>877.83333333333348</v>
      </c>
      <c r="Q174" s="2" t="s">
        <v>8</v>
      </c>
      <c r="R174" s="2">
        <f>+L174-178</f>
        <v>1751</v>
      </c>
      <c r="S174" s="2">
        <f>+M174</f>
        <v>12</v>
      </c>
      <c r="U174" s="2"/>
    </row>
    <row r="175" spans="2:21" x14ac:dyDescent="0.25">
      <c r="D175" s="2"/>
      <c r="E175" s="2"/>
      <c r="F175" s="2"/>
      <c r="G175" s="2"/>
      <c r="H175" s="2"/>
      <c r="I175" s="2"/>
      <c r="J175" s="20"/>
      <c r="K175" s="7"/>
      <c r="L175" s="2"/>
      <c r="M175" s="2"/>
      <c r="N175" s="2"/>
      <c r="O175" s="2"/>
      <c r="P175" s="20"/>
      <c r="Q175" s="2"/>
      <c r="R175" s="2"/>
      <c r="S175" s="2"/>
      <c r="U175" s="2"/>
    </row>
    <row r="176" spans="2:21" s="54" customFormat="1" x14ac:dyDescent="0.25">
      <c r="B176" s="7" t="s">
        <v>34</v>
      </c>
      <c r="C176" s="54" t="s">
        <v>113</v>
      </c>
      <c r="Q176" s="55"/>
      <c r="U176" s="55"/>
    </row>
    <row r="177" spans="2:23" s="54" customFormat="1" x14ac:dyDescent="0.25">
      <c r="B177" s="55"/>
      <c r="Q177" s="55"/>
      <c r="U177" s="55"/>
    </row>
    <row r="178" spans="2:23" s="54" customFormat="1" x14ac:dyDescent="0.25">
      <c r="B178" s="55"/>
      <c r="Q178" s="55"/>
      <c r="U178" s="55"/>
    </row>
    <row r="179" spans="2:23" s="54" customFormat="1" x14ac:dyDescent="0.25">
      <c r="B179" s="55"/>
      <c r="D179" s="55"/>
      <c r="E179" s="55" t="s">
        <v>2</v>
      </c>
      <c r="F179" s="55"/>
      <c r="G179" s="55"/>
      <c r="H179" s="55"/>
      <c r="I179" s="55"/>
      <c r="J179" s="55"/>
      <c r="K179" s="55" t="s">
        <v>24</v>
      </c>
      <c r="L179" s="55"/>
      <c r="M179" s="55"/>
      <c r="N179" s="55"/>
      <c r="O179" s="55"/>
      <c r="P179" s="55"/>
      <c r="Q179" s="55" t="s">
        <v>4</v>
      </c>
      <c r="U179" s="55"/>
    </row>
    <row r="180" spans="2:23" s="54" customFormat="1" x14ac:dyDescent="0.25">
      <c r="B180" s="55"/>
      <c r="D180" s="55">
        <v>6005</v>
      </c>
      <c r="E180" s="55" t="s">
        <v>8</v>
      </c>
      <c r="F180" s="55">
        <v>2005</v>
      </c>
      <c r="G180" s="55"/>
      <c r="H180" s="55">
        <v>2</v>
      </c>
      <c r="I180" s="55"/>
      <c r="J180" s="56">
        <f>+(D180/6)+37+5</f>
        <v>1042.8333333333335</v>
      </c>
      <c r="K180" s="7" t="s">
        <v>8</v>
      </c>
      <c r="L180" s="55">
        <f>+F180-76</f>
        <v>1929</v>
      </c>
      <c r="M180" s="2">
        <f>+H180*6</f>
        <v>12</v>
      </c>
      <c r="N180" s="55"/>
      <c r="O180" s="55"/>
      <c r="P180" s="56">
        <f>+J180-135</f>
        <v>907.83333333333348</v>
      </c>
      <c r="Q180" s="55" t="s">
        <v>8</v>
      </c>
      <c r="R180" s="55">
        <f>+L180-135</f>
        <v>1794</v>
      </c>
      <c r="S180" s="55">
        <f>+M180</f>
        <v>12</v>
      </c>
      <c r="U180" s="55"/>
    </row>
    <row r="181" spans="2:23" s="54" customFormat="1" x14ac:dyDescent="0.25">
      <c r="B181" s="55"/>
      <c r="D181" s="55"/>
      <c r="E181" s="55"/>
      <c r="F181" s="55"/>
      <c r="G181" s="55"/>
      <c r="H181" s="55"/>
      <c r="I181" s="55"/>
      <c r="J181" s="57"/>
      <c r="K181" s="7"/>
      <c r="L181" s="55"/>
      <c r="M181" s="55"/>
      <c r="N181" s="55"/>
      <c r="O181" s="55"/>
      <c r="P181" s="56"/>
      <c r="Q181" s="55"/>
      <c r="R181" s="55"/>
      <c r="S181" s="55"/>
      <c r="U181" s="55"/>
    </row>
    <row r="182" spans="2:23" s="51" customFormat="1" x14ac:dyDescent="0.25">
      <c r="B182" s="52"/>
      <c r="D182" s="52"/>
      <c r="E182" s="52"/>
      <c r="F182" s="52"/>
      <c r="G182" s="52"/>
      <c r="H182" s="52"/>
      <c r="I182" s="52"/>
      <c r="J182" s="53"/>
      <c r="K182" s="9"/>
      <c r="L182" s="52"/>
      <c r="M182" s="52"/>
      <c r="N182" s="52"/>
      <c r="O182" s="52"/>
      <c r="P182" s="53"/>
      <c r="Q182" s="52"/>
      <c r="R182" s="52"/>
      <c r="S182" s="52"/>
      <c r="U182" s="52"/>
      <c r="W182" s="72"/>
    </row>
    <row r="183" spans="2:23" x14ac:dyDescent="0.25">
      <c r="D183" s="2"/>
      <c r="E183" s="2"/>
      <c r="F183" s="2"/>
      <c r="G183" s="2"/>
      <c r="H183" s="2"/>
      <c r="I183" s="2"/>
      <c r="J183" s="20"/>
      <c r="K183" s="7"/>
      <c r="L183" s="2"/>
      <c r="M183" s="2"/>
      <c r="N183" s="2"/>
      <c r="O183" s="2"/>
      <c r="P183" s="20"/>
      <c r="Q183" s="2"/>
      <c r="R183" s="2"/>
      <c r="S183" s="2"/>
      <c r="U183" s="2"/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V290"/>
  <sheetViews>
    <sheetView topLeftCell="A217" zoomScale="120" zoomScaleNormal="120" workbookViewId="0">
      <selection activeCell="A217" sqref="A1:XFD1048576"/>
    </sheetView>
  </sheetViews>
  <sheetFormatPr baseColWidth="10" defaultColWidth="11.42578125" defaultRowHeight="15" x14ac:dyDescent="0.25"/>
  <cols>
    <col min="1" max="1" width="1" style="1" customWidth="1"/>
    <col min="2" max="2" width="5.42578125" style="2" customWidth="1"/>
    <col min="3" max="3" width="14.7109375" style="1" customWidth="1"/>
    <col min="4" max="4" width="6.42578125" style="1" customWidth="1"/>
    <col min="5" max="5" width="3" style="1" customWidth="1"/>
    <col min="6" max="6" width="5.85546875" style="1" customWidth="1"/>
    <col min="7" max="7" width="2.42578125" style="1" customWidth="1"/>
    <col min="8" max="8" width="2.85546875" style="1" customWidth="1"/>
    <col min="9" max="9" width="2.42578125" style="1" customWidth="1"/>
    <col min="10" max="10" width="6.28515625" style="1" bestFit="1" customWidth="1"/>
    <col min="11" max="11" width="3.42578125" style="1" customWidth="1"/>
    <col min="12" max="12" width="5.5703125" style="1" customWidth="1"/>
    <col min="13" max="13" width="3.42578125" style="1" customWidth="1"/>
    <col min="14" max="14" width="3" style="1" customWidth="1"/>
    <col min="15" max="15" width="2" style="1" customWidth="1"/>
    <col min="16" max="16" width="7.5703125" style="1" customWidth="1"/>
    <col min="17" max="17" width="4.85546875" style="1" bestFit="1" customWidth="1"/>
    <col min="18" max="18" width="5.85546875" style="1" customWidth="1"/>
    <col min="19" max="19" width="2.85546875" style="1" customWidth="1"/>
    <col min="20" max="20" width="4.42578125" style="1" customWidth="1"/>
    <col min="21" max="16384" width="11.42578125" style="1"/>
  </cols>
  <sheetData>
    <row r="1" spans="1:19" x14ac:dyDescent="0.25">
      <c r="B1" s="7"/>
      <c r="C1" s="1" t="s">
        <v>29</v>
      </c>
      <c r="S1" s="2"/>
    </row>
    <row r="2" spans="1:19" x14ac:dyDescent="0.25">
      <c r="D2" s="2"/>
      <c r="E2" s="2"/>
      <c r="F2" s="2"/>
      <c r="G2" s="2"/>
      <c r="H2" s="2"/>
      <c r="I2" s="2"/>
      <c r="J2" s="2"/>
      <c r="K2" s="8"/>
      <c r="L2" s="2"/>
      <c r="M2" s="2"/>
      <c r="N2" s="2"/>
      <c r="O2" s="2"/>
      <c r="P2" s="2"/>
      <c r="Q2" s="2"/>
      <c r="R2" s="2"/>
      <c r="S2" s="2"/>
    </row>
    <row r="3" spans="1:19" x14ac:dyDescent="0.25">
      <c r="D3" s="2"/>
      <c r="E3" s="2" t="s">
        <v>2</v>
      </c>
      <c r="F3" s="2"/>
      <c r="G3" s="2"/>
      <c r="H3" s="2"/>
      <c r="I3" s="2"/>
      <c r="J3" s="2"/>
      <c r="K3" s="8" t="s">
        <v>30</v>
      </c>
      <c r="L3" s="2"/>
      <c r="M3" s="2"/>
      <c r="N3" s="2"/>
      <c r="O3" s="2"/>
      <c r="P3" s="2"/>
      <c r="Q3" s="2" t="s">
        <v>4</v>
      </c>
      <c r="R3" s="2"/>
      <c r="S3" s="2"/>
    </row>
    <row r="4" spans="1:19" x14ac:dyDescent="0.25">
      <c r="D4" s="2">
        <v>3360</v>
      </c>
      <c r="E4" s="2" t="s">
        <v>8</v>
      </c>
      <c r="F4" s="2">
        <v>2390</v>
      </c>
      <c r="G4" s="2"/>
      <c r="H4" s="2">
        <v>1</v>
      </c>
      <c r="I4" s="2"/>
      <c r="J4" s="2">
        <f>+(D4+17)/2</f>
        <v>1688.5</v>
      </c>
      <c r="K4" s="2" t="s">
        <v>8</v>
      </c>
      <c r="L4" s="2">
        <f>+F4-76</f>
        <v>2314</v>
      </c>
      <c r="M4" s="2"/>
      <c r="N4" s="2">
        <f>+H4*2</f>
        <v>2</v>
      </c>
      <c r="O4" s="2"/>
      <c r="P4" s="2">
        <f>+J4-178</f>
        <v>1510.5</v>
      </c>
      <c r="Q4" s="2" t="s">
        <v>8</v>
      </c>
      <c r="R4" s="2">
        <f>+L4-178</f>
        <v>2136</v>
      </c>
      <c r="S4" s="2">
        <f>+N4</f>
        <v>2</v>
      </c>
    </row>
    <row r="5" spans="1:19" x14ac:dyDescent="0.25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s="50" customFormat="1" x14ac:dyDescent="0.25">
      <c r="B6" s="68"/>
      <c r="C6" s="69" t="s">
        <v>32</v>
      </c>
      <c r="D6" s="70"/>
      <c r="J6" s="61"/>
      <c r="P6" s="71"/>
      <c r="Q6" s="71"/>
      <c r="R6" s="71"/>
      <c r="S6" s="59"/>
    </row>
    <row r="7" spans="1:19" ht="13.5" customHeight="1" x14ac:dyDescent="0.25">
      <c r="A7" s="4"/>
      <c r="B7" s="19"/>
      <c r="D7" s="2"/>
      <c r="E7" s="2"/>
      <c r="F7" s="2"/>
      <c r="G7" s="2"/>
      <c r="H7" s="2"/>
      <c r="I7" s="2"/>
      <c r="J7" s="20"/>
      <c r="K7" s="2"/>
      <c r="L7" s="2"/>
      <c r="M7" s="2"/>
      <c r="N7" s="2"/>
      <c r="O7" s="2"/>
      <c r="P7" s="20"/>
      <c r="Q7" s="20"/>
      <c r="R7" s="20"/>
      <c r="S7" s="2"/>
    </row>
    <row r="8" spans="1:19" x14ac:dyDescent="0.25">
      <c r="B8" s="19"/>
      <c r="D8" s="2"/>
      <c r="E8" s="2" t="s">
        <v>2</v>
      </c>
      <c r="F8" s="2"/>
      <c r="G8" s="2"/>
      <c r="H8" s="2"/>
      <c r="I8" s="2"/>
      <c r="J8" s="20"/>
      <c r="K8" s="2" t="s">
        <v>3</v>
      </c>
      <c r="L8" s="2"/>
      <c r="M8" s="2"/>
      <c r="N8" s="2"/>
      <c r="O8" s="2"/>
      <c r="P8" s="20"/>
      <c r="Q8" s="20" t="s">
        <v>4</v>
      </c>
      <c r="R8" s="20"/>
      <c r="S8" s="2"/>
    </row>
    <row r="9" spans="1:19" x14ac:dyDescent="0.25">
      <c r="B9" s="19"/>
      <c r="D9" s="2">
        <v>1985</v>
      </c>
      <c r="E9" s="2" t="s">
        <v>8</v>
      </c>
      <c r="F9" s="2">
        <v>1365</v>
      </c>
      <c r="G9" s="2"/>
      <c r="H9" s="2">
        <v>1</v>
      </c>
      <c r="I9" s="2">
        <v>0</v>
      </c>
      <c r="J9" s="20">
        <f>+(D9/2)+2</f>
        <v>994.5</v>
      </c>
      <c r="K9" s="2" t="s">
        <v>8</v>
      </c>
      <c r="L9" s="2">
        <f>+F9-76</f>
        <v>1289</v>
      </c>
      <c r="M9" s="2"/>
      <c r="N9" s="2">
        <f>+H9*2</f>
        <v>2</v>
      </c>
      <c r="O9" s="2"/>
      <c r="P9" s="20">
        <f>+J9-135</f>
        <v>859.5</v>
      </c>
      <c r="Q9" s="20" t="s">
        <v>8</v>
      </c>
      <c r="R9" s="20">
        <f>+L9-135</f>
        <v>1154</v>
      </c>
      <c r="S9" s="2">
        <f>+N9</f>
        <v>2</v>
      </c>
    </row>
    <row r="10" spans="1:19" x14ac:dyDescent="0.25">
      <c r="B10" s="19"/>
      <c r="J10" s="21"/>
      <c r="P10" s="21"/>
      <c r="Q10" s="21"/>
      <c r="R10" s="21"/>
      <c r="S10" s="2"/>
    </row>
    <row r="11" spans="1:19" x14ac:dyDescent="0.25">
      <c r="B11" s="6"/>
      <c r="C11" s="4" t="s">
        <v>117</v>
      </c>
      <c r="D11" s="4"/>
      <c r="E11" s="7" t="s">
        <v>2</v>
      </c>
      <c r="K11" s="7" t="s">
        <v>3</v>
      </c>
      <c r="Q11" s="7" t="s">
        <v>4</v>
      </c>
      <c r="S11" s="2"/>
    </row>
    <row r="12" spans="1:19" x14ac:dyDescent="0.25">
      <c r="B12" s="6"/>
      <c r="D12" s="7" t="s">
        <v>5</v>
      </c>
      <c r="E12" s="2"/>
      <c r="F12" s="7" t="s">
        <v>6</v>
      </c>
      <c r="G12" s="2"/>
      <c r="H12" s="2"/>
      <c r="I12" s="2"/>
      <c r="J12" s="7" t="s">
        <v>5</v>
      </c>
      <c r="K12" s="2"/>
      <c r="L12" s="7" t="s">
        <v>6</v>
      </c>
      <c r="M12" s="7"/>
      <c r="N12" s="2"/>
      <c r="O12" s="2"/>
      <c r="P12" s="7" t="s">
        <v>5</v>
      </c>
      <c r="Q12" s="2"/>
      <c r="R12" s="7" t="s">
        <v>6</v>
      </c>
      <c r="S12" s="2"/>
    </row>
    <row r="13" spans="1:19" x14ac:dyDescent="0.25">
      <c r="B13" s="6"/>
      <c r="D13" s="2"/>
      <c r="E13" s="2"/>
      <c r="F13" s="2"/>
      <c r="G13" s="2"/>
      <c r="H13" s="2"/>
      <c r="I13" s="2"/>
      <c r="J13" s="2"/>
      <c r="K13" s="8" t="s">
        <v>84</v>
      </c>
      <c r="L13" s="2"/>
      <c r="M13" s="2"/>
      <c r="N13" s="2"/>
      <c r="O13" s="2"/>
      <c r="P13" s="2"/>
      <c r="Q13" s="9"/>
      <c r="R13" s="2"/>
      <c r="S13" s="2"/>
    </row>
    <row r="14" spans="1:19" x14ac:dyDescent="0.25">
      <c r="B14" s="6"/>
      <c r="D14" s="2">
        <v>815</v>
      </c>
      <c r="E14" s="2" t="s">
        <v>8</v>
      </c>
      <c r="F14" s="2">
        <v>1220</v>
      </c>
      <c r="G14" s="2"/>
      <c r="H14" s="2">
        <v>1</v>
      </c>
      <c r="I14" s="2"/>
      <c r="J14" s="2">
        <f>+D14-68</f>
        <v>747</v>
      </c>
      <c r="K14" s="7" t="s">
        <v>8</v>
      </c>
      <c r="L14" s="2">
        <f>+F14-68</f>
        <v>1152</v>
      </c>
      <c r="M14" s="2"/>
      <c r="N14" s="2">
        <f>+H14*1</f>
        <v>1</v>
      </c>
      <c r="O14" s="2"/>
      <c r="P14" s="2">
        <f>+J14-140</f>
        <v>607</v>
      </c>
      <c r="Q14" s="2" t="s">
        <v>8</v>
      </c>
      <c r="R14" s="2">
        <f>+L14-140</f>
        <v>1012</v>
      </c>
      <c r="S14" s="2">
        <f>+N14</f>
        <v>1</v>
      </c>
    </row>
    <row r="15" spans="1:19" x14ac:dyDescent="0.25">
      <c r="B15" s="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S15" s="2"/>
    </row>
    <row r="16" spans="1:19" x14ac:dyDescent="0.25">
      <c r="B16" s="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2"/>
    </row>
    <row r="17" spans="2:20" x14ac:dyDescent="0.25">
      <c r="B17" s="6"/>
      <c r="C17" s="4" t="s">
        <v>12</v>
      </c>
      <c r="D17" s="4"/>
      <c r="E17" s="7" t="s">
        <v>2</v>
      </c>
      <c r="K17" s="7" t="s">
        <v>3</v>
      </c>
      <c r="Q17" s="7" t="s">
        <v>4</v>
      </c>
      <c r="S17" s="2"/>
    </row>
    <row r="18" spans="2:20" x14ac:dyDescent="0.25">
      <c r="B18" s="6"/>
      <c r="D18" s="7" t="s">
        <v>5</v>
      </c>
      <c r="E18" s="2"/>
      <c r="F18" s="7" t="s">
        <v>6</v>
      </c>
      <c r="G18" s="2"/>
      <c r="H18" s="2"/>
      <c r="I18" s="2"/>
      <c r="J18" s="7" t="s">
        <v>5</v>
      </c>
      <c r="K18" s="2"/>
      <c r="L18" s="7" t="s">
        <v>6</v>
      </c>
      <c r="M18" s="7"/>
      <c r="N18" s="2"/>
      <c r="O18" s="2"/>
      <c r="P18" s="7" t="s">
        <v>5</v>
      </c>
      <c r="Q18" s="2"/>
      <c r="R18" s="7" t="s">
        <v>6</v>
      </c>
      <c r="S18" s="2"/>
    </row>
    <row r="19" spans="2:20" x14ac:dyDescent="0.25">
      <c r="B19" s="6"/>
      <c r="D19" s="2"/>
      <c r="E19" s="2"/>
      <c r="F19" s="2"/>
      <c r="G19" s="2"/>
      <c r="H19" s="2"/>
      <c r="I19" s="2"/>
      <c r="J19" s="2"/>
      <c r="K19" s="8"/>
      <c r="L19" s="2"/>
      <c r="M19" s="2"/>
      <c r="N19" s="2"/>
      <c r="O19" s="2"/>
      <c r="P19" s="2"/>
      <c r="Q19" s="9"/>
      <c r="R19" s="2"/>
      <c r="S19" s="2"/>
    </row>
    <row r="20" spans="2:20" x14ac:dyDescent="0.25">
      <c r="B20" s="6"/>
      <c r="D20" s="2">
        <v>1005</v>
      </c>
      <c r="E20" s="2" t="s">
        <v>8</v>
      </c>
      <c r="F20" s="2">
        <v>1005</v>
      </c>
      <c r="G20" s="2"/>
      <c r="H20" s="2">
        <v>10</v>
      </c>
      <c r="I20" s="2"/>
      <c r="J20" s="2">
        <f>+D20-68</f>
        <v>937</v>
      </c>
      <c r="K20" s="7" t="s">
        <v>8</v>
      </c>
      <c r="L20" s="2">
        <f>+F20-68</f>
        <v>937</v>
      </c>
      <c r="M20" s="2"/>
      <c r="N20" s="2">
        <f>+H20</f>
        <v>10</v>
      </c>
      <c r="O20" s="2"/>
      <c r="P20" s="2">
        <f>+J20-140</f>
        <v>797</v>
      </c>
      <c r="Q20" s="2" t="s">
        <v>8</v>
      </c>
      <c r="R20" s="2">
        <f>+L20-140</f>
        <v>797</v>
      </c>
      <c r="S20" s="2">
        <f>+N20</f>
        <v>10</v>
      </c>
    </row>
    <row r="21" spans="2:20" x14ac:dyDescent="0.25">
      <c r="B21" s="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</row>
    <row r="22" spans="2:20" x14ac:dyDescent="0.25">
      <c r="B22" s="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</row>
    <row r="23" spans="2:20" s="40" customFormat="1" x14ac:dyDescent="0.25">
      <c r="B23" s="31"/>
      <c r="C23" s="62" t="s">
        <v>86</v>
      </c>
      <c r="D23" s="31" t="s">
        <v>5</v>
      </c>
      <c r="E23" s="17"/>
      <c r="F23" s="31" t="s">
        <v>6</v>
      </c>
      <c r="G23" s="17"/>
      <c r="H23" s="17"/>
      <c r="I23" s="17"/>
      <c r="N23" s="17"/>
      <c r="O23" s="17"/>
      <c r="P23" s="31" t="s">
        <v>5</v>
      </c>
      <c r="Q23" s="17"/>
      <c r="R23" s="31" t="s">
        <v>13</v>
      </c>
      <c r="S23" s="17"/>
    </row>
    <row r="24" spans="2:20" s="40" customFormat="1" x14ac:dyDescent="0.25">
      <c r="B24" s="17"/>
      <c r="C24" s="63" t="s">
        <v>14</v>
      </c>
      <c r="D24" s="64">
        <v>1005</v>
      </c>
      <c r="E24" s="64" t="s">
        <v>8</v>
      </c>
      <c r="F24" s="64">
        <v>1005</v>
      </c>
      <c r="G24" s="64"/>
      <c r="H24" s="64">
        <v>1</v>
      </c>
      <c r="I24" s="64"/>
      <c r="J24" s="64"/>
      <c r="K24" s="65"/>
      <c r="L24" s="64"/>
      <c r="M24" s="64"/>
      <c r="N24" s="64"/>
      <c r="O24" s="64"/>
      <c r="P24" s="64">
        <f>+D24-99</f>
        <v>906</v>
      </c>
      <c r="Q24" s="64" t="s">
        <v>8</v>
      </c>
      <c r="R24" s="64">
        <f>+F24-99</f>
        <v>906</v>
      </c>
      <c r="S24" s="64">
        <f>+H24*1</f>
        <v>1</v>
      </c>
    </row>
    <row r="25" spans="2:20" s="40" customFormat="1" x14ac:dyDescent="0.25">
      <c r="B25" s="66"/>
      <c r="C25" s="63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S25" s="17"/>
    </row>
    <row r="26" spans="2:20" s="40" customFormat="1" x14ac:dyDescent="0.25">
      <c r="B26" s="66"/>
      <c r="D26" s="65"/>
      <c r="E26" s="65"/>
      <c r="F26" s="65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S26" s="17"/>
    </row>
    <row r="27" spans="2:20" s="40" customFormat="1" x14ac:dyDescent="0.25">
      <c r="B27" s="17"/>
      <c r="Q27" s="31"/>
    </row>
    <row r="28" spans="2:20" s="40" customFormat="1" x14ac:dyDescent="0.25">
      <c r="B28" s="67"/>
      <c r="C28" s="62"/>
      <c r="D28" s="62"/>
      <c r="E28" s="31"/>
      <c r="F28" s="40">
        <v>6</v>
      </c>
      <c r="K28" s="31"/>
      <c r="Q28" s="31"/>
      <c r="S28" s="17"/>
    </row>
    <row r="29" spans="2:20" x14ac:dyDescent="0.25">
      <c r="B29" s="19"/>
      <c r="C29" s="4" t="s">
        <v>81</v>
      </c>
      <c r="D29" s="7" t="s">
        <v>5</v>
      </c>
      <c r="E29" s="2"/>
      <c r="F29" s="7" t="s">
        <v>6</v>
      </c>
      <c r="G29" s="2"/>
      <c r="H29" s="2"/>
      <c r="I29" s="2"/>
      <c r="J29" s="7" t="s">
        <v>5</v>
      </c>
      <c r="K29" s="2"/>
      <c r="L29" s="7" t="s">
        <v>6</v>
      </c>
      <c r="M29" s="7"/>
      <c r="N29" s="2"/>
      <c r="O29" s="2"/>
      <c r="P29" s="7" t="s">
        <v>5</v>
      </c>
      <c r="Q29" s="2"/>
      <c r="R29" s="7" t="s">
        <v>6</v>
      </c>
      <c r="S29" s="2"/>
      <c r="T29" s="6"/>
    </row>
    <row r="30" spans="2:20" x14ac:dyDescent="0.25">
      <c r="B30" s="19"/>
      <c r="D30" s="2"/>
      <c r="E30" s="2"/>
      <c r="F30" s="2"/>
      <c r="G30" s="2"/>
      <c r="H30" s="2"/>
      <c r="I30" s="2"/>
      <c r="J30" s="2"/>
      <c r="K30" s="8"/>
      <c r="L30" s="2"/>
      <c r="M30" s="2"/>
      <c r="N30" s="2"/>
      <c r="O30" s="2"/>
      <c r="P30" s="2"/>
      <c r="Q30" s="9"/>
      <c r="R30" s="2"/>
      <c r="S30" s="2"/>
      <c r="T30" s="6"/>
    </row>
    <row r="31" spans="2:20" x14ac:dyDescent="0.25">
      <c r="B31" s="19"/>
      <c r="D31" s="2">
        <v>795</v>
      </c>
      <c r="E31" s="2" t="s">
        <v>8</v>
      </c>
      <c r="F31" s="2">
        <v>795</v>
      </c>
      <c r="G31" s="2"/>
      <c r="H31" s="2">
        <v>1</v>
      </c>
      <c r="I31" s="2"/>
      <c r="J31" s="2">
        <f>+D31-68</f>
        <v>727</v>
      </c>
      <c r="K31" s="7" t="s">
        <v>8</v>
      </c>
      <c r="L31" s="2">
        <f>+F31-68</f>
        <v>727</v>
      </c>
      <c r="M31" s="2"/>
      <c r="N31" s="2">
        <f>+H31*1</f>
        <v>1</v>
      </c>
      <c r="O31" s="2"/>
      <c r="P31" s="2">
        <f>+J31-140</f>
        <v>587</v>
      </c>
      <c r="Q31" s="2" t="s">
        <v>8</v>
      </c>
      <c r="R31" s="2">
        <f>+L31-140</f>
        <v>587</v>
      </c>
      <c r="S31" s="2">
        <f>+N31</f>
        <v>1</v>
      </c>
      <c r="T31" s="6"/>
    </row>
    <row r="32" spans="2:20" x14ac:dyDescent="0.25">
      <c r="B32" s="19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2"/>
      <c r="T32" s="6"/>
    </row>
    <row r="33" spans="1:22" x14ac:dyDescent="0.25">
      <c r="B33" s="19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6"/>
    </row>
    <row r="34" spans="1:22" x14ac:dyDescent="0.25">
      <c r="B34" s="19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S34" s="2"/>
      <c r="T34" s="6"/>
    </row>
    <row r="35" spans="1:22" s="25" customFormat="1" x14ac:dyDescent="0.25">
      <c r="B35" s="38"/>
      <c r="C35" s="25" t="s">
        <v>62</v>
      </c>
      <c r="S35" s="38"/>
      <c r="U35" s="17"/>
      <c r="V35" s="39"/>
    </row>
    <row r="36" spans="1:22" x14ac:dyDescent="0.25">
      <c r="S36" s="2"/>
      <c r="U36" s="17"/>
      <c r="V36" s="40"/>
    </row>
    <row r="37" spans="1:22" x14ac:dyDescent="0.25">
      <c r="D37" s="4"/>
      <c r="E37" s="7" t="s">
        <v>2</v>
      </c>
      <c r="K37" s="7" t="s">
        <v>3</v>
      </c>
      <c r="Q37" s="7" t="s">
        <v>4</v>
      </c>
      <c r="S37" s="2"/>
      <c r="U37" s="17"/>
      <c r="V37" s="40"/>
    </row>
    <row r="38" spans="1:22" x14ac:dyDescent="0.25">
      <c r="D38" s="7" t="s">
        <v>5</v>
      </c>
      <c r="E38" s="2"/>
      <c r="F38" s="7" t="s">
        <v>6</v>
      </c>
      <c r="G38" s="2"/>
      <c r="H38" s="2"/>
      <c r="I38" s="2"/>
      <c r="J38" s="7" t="s">
        <v>5</v>
      </c>
      <c r="K38" s="2"/>
      <c r="L38" s="7" t="s">
        <v>6</v>
      </c>
      <c r="M38" s="7"/>
      <c r="N38" s="2"/>
      <c r="O38" s="2"/>
      <c r="P38" s="7" t="s">
        <v>5</v>
      </c>
      <c r="Q38" s="2"/>
      <c r="R38" s="7" t="s">
        <v>6</v>
      </c>
      <c r="S38" s="2"/>
      <c r="U38" s="17"/>
      <c r="V38" s="40"/>
    </row>
    <row r="39" spans="1:22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U39" s="17"/>
      <c r="V39" s="40"/>
    </row>
    <row r="40" spans="1:22" x14ac:dyDescent="0.25">
      <c r="D40" s="2">
        <v>755</v>
      </c>
      <c r="E40" s="2" t="s">
        <v>8</v>
      </c>
      <c r="F40" s="2">
        <v>2360</v>
      </c>
      <c r="G40" s="2"/>
      <c r="H40" s="2">
        <v>1</v>
      </c>
      <c r="I40" s="2"/>
      <c r="J40" s="2">
        <f>+D40-68</f>
        <v>687</v>
      </c>
      <c r="K40" s="2" t="s">
        <v>8</v>
      </c>
      <c r="L40" s="2">
        <f>+F40-68</f>
        <v>2292</v>
      </c>
      <c r="M40" s="2"/>
      <c r="N40" s="2">
        <f>+H40</f>
        <v>1</v>
      </c>
      <c r="O40" s="2"/>
      <c r="P40" s="11">
        <f>+J40-186</f>
        <v>501</v>
      </c>
      <c r="Q40" s="7" t="s">
        <v>8</v>
      </c>
      <c r="R40" s="11">
        <f>+L40-186</f>
        <v>2106</v>
      </c>
      <c r="S40" s="2">
        <f>+N40</f>
        <v>1</v>
      </c>
      <c r="U40" s="2"/>
    </row>
    <row r="42" spans="1:22" x14ac:dyDescent="0.25">
      <c r="D42" s="2"/>
      <c r="E42" s="2"/>
      <c r="F42" s="2"/>
      <c r="G42" s="2"/>
      <c r="H42" s="2"/>
      <c r="I42" s="2"/>
      <c r="J42" s="20"/>
      <c r="K42" s="7"/>
      <c r="L42" s="2"/>
      <c r="M42" s="2"/>
      <c r="N42" s="2"/>
      <c r="O42" s="2"/>
      <c r="P42" s="20"/>
      <c r="Q42" s="2"/>
      <c r="R42" s="2"/>
      <c r="S42" s="2"/>
      <c r="U42" s="2"/>
    </row>
    <row r="43" spans="1:22" customFormat="1" x14ac:dyDescent="0.25">
      <c r="A43" s="4"/>
      <c r="B43" s="7">
        <v>1</v>
      </c>
      <c r="C43" s="4" t="s">
        <v>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7"/>
    </row>
    <row r="44" spans="1:22" customFormat="1" x14ac:dyDescent="0.25">
      <c r="A44" s="4"/>
      <c r="B44" s="7"/>
      <c r="C44" s="4"/>
      <c r="D44" s="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7"/>
    </row>
    <row r="45" spans="1:22" customFormat="1" x14ac:dyDescent="0.25">
      <c r="A45" s="4"/>
      <c r="B45" s="7"/>
      <c r="C45" s="4"/>
      <c r="D45" s="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7" t="s">
        <v>4</v>
      </c>
      <c r="R45" s="8"/>
      <c r="S45" s="7"/>
    </row>
    <row r="46" spans="1:22" customFormat="1" x14ac:dyDescent="0.25">
      <c r="A46" s="4"/>
      <c r="B46" s="7"/>
      <c r="C46" s="4"/>
      <c r="D46" s="7"/>
      <c r="E46" s="7" t="s">
        <v>2</v>
      </c>
      <c r="F46" s="7"/>
      <c r="G46" s="7"/>
      <c r="H46" s="7"/>
      <c r="I46" s="7"/>
      <c r="J46" s="7"/>
      <c r="K46" s="7" t="s">
        <v>10</v>
      </c>
      <c r="L46" s="7"/>
      <c r="M46" s="7"/>
      <c r="N46" s="7"/>
      <c r="O46" s="7"/>
      <c r="P46" s="11"/>
      <c r="Q46" s="7"/>
      <c r="R46" s="7"/>
      <c r="S46" s="7"/>
    </row>
    <row r="47" spans="1:22" customFormat="1" x14ac:dyDescent="0.25">
      <c r="A47" s="4"/>
      <c r="B47" s="7"/>
      <c r="C47" s="4"/>
      <c r="D47" s="7">
        <f>1395-5</f>
        <v>1390</v>
      </c>
      <c r="E47" s="7" t="s">
        <v>8</v>
      </c>
      <c r="F47" s="7">
        <f>1000-5</f>
        <v>995</v>
      </c>
      <c r="G47" s="7"/>
      <c r="H47" s="7">
        <v>1</v>
      </c>
      <c r="I47" s="7"/>
      <c r="J47" s="11">
        <f>+(D47/2)-32</f>
        <v>663</v>
      </c>
      <c r="K47" s="7" t="s">
        <v>8</v>
      </c>
      <c r="L47" s="7">
        <f>+F47-68</f>
        <v>927</v>
      </c>
      <c r="M47" s="7">
        <f>+H47*2</f>
        <v>2</v>
      </c>
      <c r="N47" s="7"/>
      <c r="O47" s="7"/>
      <c r="P47" s="11">
        <f>+J47-140</f>
        <v>523</v>
      </c>
      <c r="Q47" s="7" t="s">
        <v>8</v>
      </c>
      <c r="R47" s="7">
        <f>+L47-140</f>
        <v>787</v>
      </c>
      <c r="S47" s="7">
        <f>+M47</f>
        <v>2</v>
      </c>
    </row>
    <row r="48" spans="1:22" customFormat="1" x14ac:dyDescent="0.25">
      <c r="A48" s="4"/>
      <c r="B48" s="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7"/>
      <c r="R48" s="4"/>
      <c r="S48" s="4"/>
    </row>
    <row r="49" spans="2:19" x14ac:dyDescent="0.25">
      <c r="B49" s="6">
        <v>1</v>
      </c>
      <c r="C49" s="4" t="s">
        <v>11</v>
      </c>
      <c r="D49" s="4"/>
      <c r="E49" s="7" t="s">
        <v>2</v>
      </c>
      <c r="K49" s="7" t="s">
        <v>3</v>
      </c>
      <c r="Q49" s="7" t="s">
        <v>4</v>
      </c>
      <c r="S49" s="2"/>
    </row>
    <row r="50" spans="2:19" x14ac:dyDescent="0.25">
      <c r="B50" s="6"/>
      <c r="D50" s="7" t="s">
        <v>5</v>
      </c>
      <c r="E50" s="2"/>
      <c r="F50" s="7" t="s">
        <v>6</v>
      </c>
      <c r="G50" s="2"/>
      <c r="H50" s="2"/>
      <c r="I50" s="2"/>
      <c r="J50" s="7" t="s">
        <v>5</v>
      </c>
      <c r="K50" s="2"/>
      <c r="L50" s="7" t="s">
        <v>6</v>
      </c>
      <c r="M50" s="7"/>
      <c r="N50" s="2"/>
      <c r="O50" s="2"/>
      <c r="P50" s="7" t="s">
        <v>5</v>
      </c>
      <c r="Q50" s="2"/>
      <c r="R50" s="7" t="s">
        <v>6</v>
      </c>
      <c r="S50" s="2"/>
    </row>
    <row r="51" spans="2:19" x14ac:dyDescent="0.25">
      <c r="B51" s="6"/>
      <c r="D51" s="2"/>
      <c r="E51" s="2"/>
      <c r="F51" s="2"/>
      <c r="G51" s="2"/>
      <c r="H51" s="2"/>
      <c r="I51" s="2"/>
      <c r="J51" s="2"/>
      <c r="K51" s="8"/>
      <c r="L51" s="2"/>
      <c r="M51" s="2"/>
      <c r="N51" s="2"/>
      <c r="O51" s="2"/>
      <c r="P51" s="2"/>
      <c r="Q51" s="9"/>
      <c r="R51" s="2"/>
      <c r="S51" s="2"/>
    </row>
    <row r="52" spans="2:19" x14ac:dyDescent="0.25">
      <c r="B52" s="6"/>
      <c r="D52" s="2">
        <f>800-5</f>
        <v>795</v>
      </c>
      <c r="E52" s="2" t="s">
        <v>8</v>
      </c>
      <c r="F52" s="2">
        <f>1010-5</f>
        <v>1005</v>
      </c>
      <c r="G52" s="2"/>
      <c r="H52" s="2">
        <v>10</v>
      </c>
      <c r="I52" s="2"/>
      <c r="J52" s="2">
        <f>+D52-68</f>
        <v>727</v>
      </c>
      <c r="K52" s="7" t="s">
        <v>8</v>
      </c>
      <c r="L52" s="2">
        <f>+F52-68</f>
        <v>937</v>
      </c>
      <c r="M52" s="2"/>
      <c r="N52" s="2">
        <f>+H52</f>
        <v>10</v>
      </c>
      <c r="O52" s="2"/>
      <c r="P52" s="2">
        <f>+J52-140</f>
        <v>587</v>
      </c>
      <c r="Q52" s="2" t="s">
        <v>8</v>
      </c>
      <c r="R52" s="2">
        <f>+L52-140</f>
        <v>797</v>
      </c>
      <c r="S52" s="2">
        <f>+N52</f>
        <v>10</v>
      </c>
    </row>
    <row r="53" spans="2:19" x14ac:dyDescent="0.25">
      <c r="B53" s="6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S53" s="2"/>
    </row>
    <row r="54" spans="2:19" x14ac:dyDescent="0.25">
      <c r="B54" s="6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S54" s="2"/>
    </row>
    <row r="55" spans="2:19" x14ac:dyDescent="0.25">
      <c r="B55" s="6">
        <v>1</v>
      </c>
      <c r="C55" s="4" t="s">
        <v>12</v>
      </c>
      <c r="D55" s="4"/>
      <c r="E55" s="7" t="s">
        <v>2</v>
      </c>
      <c r="K55" s="7" t="s">
        <v>3</v>
      </c>
      <c r="Q55" s="7" t="s">
        <v>4</v>
      </c>
      <c r="S55" s="2"/>
    </row>
    <row r="56" spans="2:19" x14ac:dyDescent="0.25">
      <c r="B56" s="6"/>
      <c r="D56" s="7" t="s">
        <v>5</v>
      </c>
      <c r="E56" s="2"/>
      <c r="F56" s="7" t="s">
        <v>6</v>
      </c>
      <c r="G56" s="2"/>
      <c r="H56" s="2"/>
      <c r="I56" s="2"/>
      <c r="J56" s="7" t="s">
        <v>5</v>
      </c>
      <c r="K56" s="2"/>
      <c r="L56" s="7" t="s">
        <v>6</v>
      </c>
      <c r="M56" s="7"/>
      <c r="N56" s="2"/>
      <c r="O56" s="2"/>
      <c r="P56" s="7" t="s">
        <v>5</v>
      </c>
      <c r="Q56" s="2"/>
      <c r="R56" s="7" t="s">
        <v>6</v>
      </c>
      <c r="S56" s="2"/>
    </row>
    <row r="57" spans="2:19" x14ac:dyDescent="0.25">
      <c r="B57" s="6"/>
      <c r="D57" s="2"/>
      <c r="E57" s="2"/>
      <c r="F57" s="2"/>
      <c r="G57" s="2"/>
      <c r="H57" s="2"/>
      <c r="I57" s="2"/>
      <c r="J57" s="2"/>
      <c r="K57" s="8"/>
      <c r="L57" s="2"/>
      <c r="M57" s="2"/>
      <c r="N57" s="2"/>
      <c r="O57" s="2"/>
      <c r="P57" s="2"/>
      <c r="Q57" s="9"/>
      <c r="R57" s="2"/>
      <c r="S57" s="2"/>
    </row>
    <row r="58" spans="2:19" x14ac:dyDescent="0.25">
      <c r="B58" s="6"/>
      <c r="D58" s="2">
        <v>1000</v>
      </c>
      <c r="E58" s="2" t="s">
        <v>8</v>
      </c>
      <c r="F58" s="2">
        <v>1000</v>
      </c>
      <c r="G58" s="2"/>
      <c r="H58" s="2">
        <v>10</v>
      </c>
      <c r="I58" s="2"/>
      <c r="J58" s="2">
        <f>+D58-68</f>
        <v>932</v>
      </c>
      <c r="K58" s="7" t="s">
        <v>8</v>
      </c>
      <c r="L58" s="2">
        <f>+F58-68</f>
        <v>932</v>
      </c>
      <c r="M58" s="2"/>
      <c r="N58" s="2">
        <f>+H58</f>
        <v>10</v>
      </c>
      <c r="O58" s="2"/>
      <c r="P58" s="2">
        <f>+J58-140</f>
        <v>792</v>
      </c>
      <c r="Q58" s="2" t="s">
        <v>8</v>
      </c>
      <c r="R58" s="2">
        <f>+L58-140</f>
        <v>792</v>
      </c>
      <c r="S58" s="2">
        <f>+N58</f>
        <v>10</v>
      </c>
    </row>
    <row r="59" spans="2:19" x14ac:dyDescent="0.25">
      <c r="B59" s="6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S59" s="2"/>
    </row>
    <row r="60" spans="2:19" x14ac:dyDescent="0.25">
      <c r="B60" s="6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S60" s="2"/>
    </row>
    <row r="61" spans="2:19" x14ac:dyDescent="0.25">
      <c r="B61" s="6">
        <v>1</v>
      </c>
      <c r="C61" s="4" t="s">
        <v>12</v>
      </c>
      <c r="D61" s="4"/>
      <c r="E61" s="7" t="s">
        <v>2</v>
      </c>
      <c r="K61" s="7" t="s">
        <v>3</v>
      </c>
      <c r="Q61" s="7" t="s">
        <v>4</v>
      </c>
      <c r="S61" s="2"/>
    </row>
    <row r="62" spans="2:19" x14ac:dyDescent="0.25">
      <c r="B62" s="6"/>
      <c r="D62" s="7" t="s">
        <v>5</v>
      </c>
      <c r="E62" s="2"/>
      <c r="F62" s="7" t="s">
        <v>6</v>
      </c>
      <c r="G62" s="2"/>
      <c r="H62" s="2"/>
      <c r="I62" s="2"/>
      <c r="J62" s="7" t="s">
        <v>5</v>
      </c>
      <c r="K62" s="2"/>
      <c r="L62" s="7" t="s">
        <v>6</v>
      </c>
      <c r="M62" s="7"/>
      <c r="N62" s="2"/>
      <c r="O62" s="2"/>
      <c r="P62" s="7" t="s">
        <v>5</v>
      </c>
      <c r="Q62" s="2"/>
      <c r="R62" s="7" t="s">
        <v>6</v>
      </c>
      <c r="S62" s="2"/>
    </row>
    <row r="63" spans="2:19" x14ac:dyDescent="0.25">
      <c r="B63" s="6"/>
      <c r="D63" s="2"/>
      <c r="E63" s="2"/>
      <c r="F63" s="2"/>
      <c r="G63" s="2"/>
      <c r="H63" s="2"/>
      <c r="I63" s="2"/>
      <c r="J63" s="2"/>
      <c r="K63" s="8"/>
      <c r="L63" s="2"/>
      <c r="M63" s="2"/>
      <c r="N63" s="2"/>
      <c r="O63" s="2"/>
      <c r="P63" s="2"/>
      <c r="Q63" s="9"/>
      <c r="R63" s="2"/>
      <c r="S63" s="2"/>
    </row>
    <row r="64" spans="2:19" x14ac:dyDescent="0.25">
      <c r="B64" s="6"/>
      <c r="D64" s="2">
        <f>800-5</f>
        <v>795</v>
      </c>
      <c r="E64" s="2" t="s">
        <v>8</v>
      </c>
      <c r="F64" s="2">
        <f>1010-5</f>
        <v>1005</v>
      </c>
      <c r="G64" s="2"/>
      <c r="H64" s="2">
        <v>10</v>
      </c>
      <c r="I64" s="2"/>
      <c r="J64" s="2">
        <f>+D64-68</f>
        <v>727</v>
      </c>
      <c r="K64" s="7" t="s">
        <v>8</v>
      </c>
      <c r="L64" s="2">
        <f>+F64-68</f>
        <v>937</v>
      </c>
      <c r="M64" s="2"/>
      <c r="N64" s="2">
        <f>+H64</f>
        <v>10</v>
      </c>
      <c r="O64" s="2"/>
      <c r="P64" s="2">
        <f>+J64-140</f>
        <v>587</v>
      </c>
      <c r="Q64" s="2" t="s">
        <v>8</v>
      </c>
      <c r="R64" s="2">
        <f>+L64-140</f>
        <v>797</v>
      </c>
      <c r="S64" s="2">
        <f>+N64</f>
        <v>10</v>
      </c>
    </row>
    <row r="65" spans="2:21" x14ac:dyDescent="0.25">
      <c r="B65" s="6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S65" s="2"/>
    </row>
    <row r="66" spans="2:21" x14ac:dyDescent="0.25">
      <c r="B66" s="6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S66" s="2"/>
    </row>
    <row r="67" spans="2:21" x14ac:dyDescent="0.25">
      <c r="B67" s="7">
        <v>1</v>
      </c>
      <c r="C67" s="4" t="s">
        <v>87</v>
      </c>
      <c r="D67" s="7" t="s">
        <v>5</v>
      </c>
      <c r="E67" s="2"/>
      <c r="F67" s="7" t="s">
        <v>6</v>
      </c>
      <c r="G67" s="2"/>
      <c r="H67" s="2"/>
      <c r="I67" s="2"/>
      <c r="N67" s="2"/>
      <c r="O67" s="2"/>
      <c r="P67" s="7" t="s">
        <v>5</v>
      </c>
      <c r="Q67" s="2"/>
      <c r="R67" s="7" t="s">
        <v>13</v>
      </c>
      <c r="S67" s="2"/>
    </row>
    <row r="68" spans="2:21" x14ac:dyDescent="0.25">
      <c r="C68" s="12" t="s">
        <v>14</v>
      </c>
      <c r="D68" s="13">
        <v>1000</v>
      </c>
      <c r="E68" s="13" t="s">
        <v>8</v>
      </c>
      <c r="F68" s="13">
        <v>1000</v>
      </c>
      <c r="G68" s="13"/>
      <c r="H68" s="13">
        <v>1</v>
      </c>
      <c r="I68" s="13"/>
      <c r="J68" s="13"/>
      <c r="K68" s="8"/>
      <c r="L68" s="13"/>
      <c r="M68" s="13"/>
      <c r="N68" s="13"/>
      <c r="O68" s="13"/>
      <c r="P68" s="13">
        <f>+D68-84</f>
        <v>916</v>
      </c>
      <c r="Q68" s="13" t="s">
        <v>8</v>
      </c>
      <c r="R68" s="13">
        <f>+F68-84</f>
        <v>916</v>
      </c>
      <c r="S68" s="13">
        <f>+H68*1</f>
        <v>1</v>
      </c>
    </row>
    <row r="69" spans="2:21" x14ac:dyDescent="0.25">
      <c r="B69" s="14"/>
      <c r="C69" s="12" t="s">
        <v>15</v>
      </c>
      <c r="D69" s="2">
        <f>+D68-130</f>
        <v>870</v>
      </c>
      <c r="E69" s="2"/>
      <c r="F69" s="2">
        <f>+F68-130</f>
        <v>870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S69" s="2"/>
    </row>
    <row r="70" spans="2:21" x14ac:dyDescent="0.25">
      <c r="B70" s="14"/>
      <c r="D70" s="8">
        <f>+D68+43</f>
        <v>1043</v>
      </c>
      <c r="E70" s="8"/>
      <c r="F70" s="8">
        <f>+F68+43</f>
        <v>1043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S70" s="2"/>
    </row>
    <row r="71" spans="2:21" x14ac:dyDescent="0.25">
      <c r="Q71" s="7"/>
    </row>
    <row r="72" spans="2:21" x14ac:dyDescent="0.25">
      <c r="B72" s="6"/>
      <c r="C72" s="4"/>
      <c r="D72" s="4"/>
      <c r="E72" s="7"/>
      <c r="K72" s="7"/>
      <c r="Q72" s="7"/>
      <c r="S72" s="2"/>
    </row>
    <row r="73" spans="2:21" x14ac:dyDescent="0.25">
      <c r="B73" s="6">
        <v>1</v>
      </c>
      <c r="C73" s="4" t="s">
        <v>16</v>
      </c>
      <c r="D73" s="4"/>
      <c r="E73" s="7"/>
      <c r="K73" s="7"/>
      <c r="Q73" s="7"/>
      <c r="S73" s="2"/>
    </row>
    <row r="74" spans="2:21" x14ac:dyDescent="0.25">
      <c r="B74" s="7"/>
      <c r="C74" s="15" t="s">
        <v>17</v>
      </c>
      <c r="D74" s="16" t="s">
        <v>5</v>
      </c>
      <c r="E74" s="15"/>
      <c r="F74" s="16" t="s">
        <v>6</v>
      </c>
      <c r="G74" s="2"/>
      <c r="H74" s="2"/>
      <c r="J74" s="4"/>
      <c r="P74" s="2"/>
      <c r="Q74" s="2"/>
      <c r="R74" s="2"/>
      <c r="S74" s="2"/>
      <c r="U74" s="2"/>
    </row>
    <row r="75" spans="2:21" x14ac:dyDescent="0.25">
      <c r="C75" s="15">
        <f>+D75/2</f>
        <v>1062.5</v>
      </c>
      <c r="D75" s="15">
        <v>2125</v>
      </c>
      <c r="E75" s="15" t="s">
        <v>8</v>
      </c>
      <c r="F75" s="15">
        <v>1280</v>
      </c>
      <c r="H75" s="17">
        <v>1</v>
      </c>
      <c r="L75" s="2"/>
      <c r="M75" s="2"/>
      <c r="N75" s="7"/>
      <c r="O75" s="2"/>
      <c r="P75" s="7"/>
      <c r="Q75" s="2"/>
      <c r="R75" s="2"/>
      <c r="S75" s="2"/>
      <c r="U75" s="2"/>
    </row>
    <row r="76" spans="2:21" x14ac:dyDescent="0.25">
      <c r="D76" s="7"/>
      <c r="E76" s="2" t="s">
        <v>18</v>
      </c>
      <c r="F76" s="7"/>
      <c r="G76" s="2"/>
      <c r="H76" s="2"/>
      <c r="L76" s="2"/>
      <c r="M76" s="2"/>
      <c r="N76" s="7"/>
      <c r="O76" s="2"/>
      <c r="P76" s="7"/>
      <c r="Q76" s="2" t="s">
        <v>4</v>
      </c>
      <c r="R76" s="2"/>
      <c r="S76" s="2"/>
      <c r="U76" s="2"/>
    </row>
    <row r="77" spans="2:21" x14ac:dyDescent="0.25">
      <c r="D77" s="7" t="s">
        <v>5</v>
      </c>
      <c r="E77" s="2"/>
      <c r="F77" s="7" t="s">
        <v>6</v>
      </c>
      <c r="G77" s="2"/>
      <c r="H77" s="2"/>
      <c r="K77" s="4" t="s">
        <v>19</v>
      </c>
      <c r="M77" s="2"/>
      <c r="N77" s="2"/>
      <c r="O77" s="7"/>
      <c r="P77" s="7" t="s">
        <v>5</v>
      </c>
      <c r="Q77" s="2"/>
      <c r="R77" s="7" t="s">
        <v>13</v>
      </c>
      <c r="S77" s="2"/>
      <c r="U77" s="2"/>
    </row>
    <row r="78" spans="2:21" x14ac:dyDescent="0.25">
      <c r="D78" s="18">
        <f>+D75-C75</f>
        <v>1062.5</v>
      </c>
      <c r="E78" s="2"/>
      <c r="F78" s="2"/>
      <c r="G78" s="19"/>
      <c r="H78" s="2">
        <f>+H75</f>
        <v>1</v>
      </c>
      <c r="I78" s="2"/>
      <c r="J78" s="2"/>
      <c r="K78" s="2" t="s">
        <v>3</v>
      </c>
      <c r="L78" s="2"/>
      <c r="M78" s="2"/>
      <c r="N78" s="2"/>
      <c r="O78" s="2"/>
      <c r="P78" s="20">
        <f>+D78-75</f>
        <v>987.5</v>
      </c>
      <c r="Q78" s="2" t="s">
        <v>8</v>
      </c>
      <c r="R78" s="2">
        <f>+F79-99</f>
        <v>1186</v>
      </c>
      <c r="S78" s="2">
        <f>+H75</f>
        <v>1</v>
      </c>
      <c r="U78" s="2"/>
    </row>
    <row r="79" spans="2:21" x14ac:dyDescent="0.25">
      <c r="B79" s="41"/>
      <c r="D79" s="20">
        <f>+D75+5</f>
        <v>2130</v>
      </c>
      <c r="E79" s="2" t="s">
        <v>8</v>
      </c>
      <c r="F79" s="2">
        <f>+F75+5</f>
        <v>1285</v>
      </c>
      <c r="G79" s="19" t="s">
        <v>20</v>
      </c>
      <c r="H79" s="2">
        <f>+H75</f>
        <v>1</v>
      </c>
      <c r="I79" s="2"/>
      <c r="J79" s="20">
        <f>+C75-41</f>
        <v>1021.5</v>
      </c>
      <c r="K79" s="2" t="s">
        <v>8</v>
      </c>
      <c r="L79" s="2">
        <f>+F79-68</f>
        <v>1217</v>
      </c>
      <c r="M79" s="2"/>
      <c r="N79" s="2">
        <f>+H75</f>
        <v>1</v>
      </c>
      <c r="O79" s="2"/>
      <c r="P79" s="20">
        <f>+J79-140</f>
        <v>881.5</v>
      </c>
      <c r="Q79" s="2" t="s">
        <v>8</v>
      </c>
      <c r="R79" s="2">
        <f>+L79-140</f>
        <v>1077</v>
      </c>
      <c r="S79" s="2">
        <f>+H75</f>
        <v>1</v>
      </c>
      <c r="U79" s="2"/>
    </row>
    <row r="80" spans="2:21" x14ac:dyDescent="0.25">
      <c r="D80" s="21"/>
      <c r="E80" s="17"/>
      <c r="J80" s="21"/>
      <c r="P80" s="20"/>
      <c r="Q80" s="20"/>
      <c r="R80" s="20"/>
      <c r="S80" s="2"/>
      <c r="U80" s="2"/>
    </row>
    <row r="81" spans="2:21" x14ac:dyDescent="0.25">
      <c r="B81" s="6"/>
      <c r="C81" s="4"/>
      <c r="D81" s="4"/>
      <c r="E81" s="7"/>
      <c r="K81" s="7"/>
      <c r="Q81" s="7"/>
      <c r="S81" s="2"/>
    </row>
    <row r="82" spans="2:21" x14ac:dyDescent="0.25">
      <c r="B82" s="6"/>
      <c r="C82" s="4" t="s">
        <v>16</v>
      </c>
      <c r="D82" s="4"/>
      <c r="E82" s="7"/>
      <c r="K82" s="7"/>
      <c r="Q82" s="7"/>
      <c r="S82" s="2"/>
    </row>
    <row r="83" spans="2:21" x14ac:dyDescent="0.25">
      <c r="B83" s="7"/>
      <c r="C83" s="15" t="s">
        <v>21</v>
      </c>
      <c r="D83" s="16" t="s">
        <v>5</v>
      </c>
      <c r="E83" s="15"/>
      <c r="F83" s="16" t="s">
        <v>6</v>
      </c>
      <c r="G83" s="2"/>
      <c r="H83" s="2"/>
      <c r="J83" s="4"/>
      <c r="P83" s="2"/>
      <c r="Q83" s="2"/>
      <c r="R83" s="2"/>
      <c r="S83" s="2"/>
      <c r="U83" s="2"/>
    </row>
    <row r="84" spans="2:21" x14ac:dyDescent="0.25">
      <c r="C84" s="15">
        <f>+D84/2</f>
        <v>745</v>
      </c>
      <c r="D84" s="15">
        <f>1500-10</f>
        <v>1490</v>
      </c>
      <c r="E84" s="15" t="s">
        <v>8</v>
      </c>
      <c r="F84" s="15">
        <f>1500-10</f>
        <v>1490</v>
      </c>
      <c r="H84" s="17">
        <v>1</v>
      </c>
      <c r="L84" s="2"/>
      <c r="M84" s="2"/>
      <c r="N84" s="7"/>
      <c r="O84" s="2"/>
      <c r="P84" s="7"/>
      <c r="Q84" s="2"/>
      <c r="R84" s="2"/>
      <c r="S84" s="2"/>
      <c r="U84" s="2"/>
    </row>
    <row r="85" spans="2:21" x14ac:dyDescent="0.25">
      <c r="D85" s="7"/>
      <c r="E85" s="2" t="s">
        <v>18</v>
      </c>
      <c r="F85" s="7"/>
      <c r="G85" s="2"/>
      <c r="H85" s="2"/>
      <c r="L85" s="2"/>
      <c r="M85" s="2"/>
      <c r="N85" s="7"/>
      <c r="O85" s="2"/>
      <c r="P85" s="7"/>
      <c r="Q85" s="2" t="s">
        <v>4</v>
      </c>
      <c r="R85" s="2"/>
      <c r="S85" s="2"/>
      <c r="U85" s="2"/>
    </row>
    <row r="86" spans="2:21" x14ac:dyDescent="0.25">
      <c r="D86" s="7" t="s">
        <v>5</v>
      </c>
      <c r="E86" s="2"/>
      <c r="F86" s="7" t="s">
        <v>6</v>
      </c>
      <c r="G86" s="2"/>
      <c r="H86" s="2"/>
      <c r="K86" s="4" t="s">
        <v>19</v>
      </c>
      <c r="M86" s="2"/>
      <c r="N86" s="2"/>
      <c r="O86" s="7"/>
      <c r="P86" s="7" t="s">
        <v>5</v>
      </c>
      <c r="Q86" s="2"/>
      <c r="R86" s="7" t="s">
        <v>13</v>
      </c>
      <c r="S86" s="2"/>
      <c r="U86" s="2"/>
    </row>
    <row r="87" spans="2:21" x14ac:dyDescent="0.25">
      <c r="D87" s="18">
        <f>+D84-C84</f>
        <v>745</v>
      </c>
      <c r="E87" s="2"/>
      <c r="F87" s="2"/>
      <c r="G87" s="19"/>
      <c r="H87" s="2">
        <f>+H84</f>
        <v>1</v>
      </c>
      <c r="I87" s="2"/>
      <c r="J87" s="2"/>
      <c r="K87" s="2" t="s">
        <v>3</v>
      </c>
      <c r="L87" s="2"/>
      <c r="M87" s="2"/>
      <c r="N87" s="2"/>
      <c r="O87" s="2"/>
      <c r="P87" s="20">
        <f>+D87-75</f>
        <v>670</v>
      </c>
      <c r="Q87" s="2" t="s">
        <v>8</v>
      </c>
      <c r="R87" s="2">
        <f>+F88-99</f>
        <v>1396</v>
      </c>
      <c r="S87" s="2">
        <f>+H84</f>
        <v>1</v>
      </c>
      <c r="U87" s="2"/>
    </row>
    <row r="88" spans="2:21" x14ac:dyDescent="0.25">
      <c r="D88" s="20">
        <f>+D84+5</f>
        <v>1495</v>
      </c>
      <c r="E88" s="2" t="s">
        <v>8</v>
      </c>
      <c r="F88" s="2">
        <f>+F84+5</f>
        <v>1495</v>
      </c>
      <c r="G88" s="19" t="s">
        <v>20</v>
      </c>
      <c r="H88" s="2">
        <f>+H84</f>
        <v>1</v>
      </c>
      <c r="I88" s="2"/>
      <c r="J88" s="20">
        <f>+C84-41</f>
        <v>704</v>
      </c>
      <c r="K88" s="2" t="s">
        <v>8</v>
      </c>
      <c r="L88" s="2">
        <f>+F88-68</f>
        <v>1427</v>
      </c>
      <c r="M88" s="2"/>
      <c r="N88" s="2">
        <f>+H84</f>
        <v>1</v>
      </c>
      <c r="O88" s="2"/>
      <c r="P88" s="20">
        <f>+J88-140</f>
        <v>564</v>
      </c>
      <c r="Q88" s="2" t="s">
        <v>8</v>
      </c>
      <c r="R88" s="2">
        <f>+L88-140</f>
        <v>1287</v>
      </c>
      <c r="S88" s="2">
        <f>+H84</f>
        <v>1</v>
      </c>
      <c r="U88" s="2"/>
    </row>
    <row r="89" spans="2:21" x14ac:dyDescent="0.25">
      <c r="D89" s="21"/>
      <c r="E89" s="17"/>
      <c r="J89" s="21"/>
      <c r="P89" s="20"/>
      <c r="Q89" s="20"/>
      <c r="R89" s="20"/>
      <c r="S89" s="2"/>
      <c r="U89" s="2"/>
    </row>
    <row r="90" spans="2:21" x14ac:dyDescent="0.25">
      <c r="B90" s="1"/>
      <c r="K90" s="7"/>
      <c r="Q90" s="7"/>
      <c r="S90" s="2"/>
    </row>
    <row r="91" spans="2:21" x14ac:dyDescent="0.25">
      <c r="B91" s="1"/>
      <c r="K91" s="7"/>
      <c r="Q91" s="7"/>
      <c r="S91" s="2"/>
    </row>
    <row r="92" spans="2:21" x14ac:dyDescent="0.25">
      <c r="B92" s="7"/>
      <c r="C92" s="15" t="s">
        <v>17</v>
      </c>
      <c r="D92" s="16" t="s">
        <v>5</v>
      </c>
      <c r="E92" s="15"/>
      <c r="F92" s="16" t="s">
        <v>6</v>
      </c>
      <c r="G92" s="2"/>
      <c r="H92" s="2"/>
      <c r="I92" s="1" t="s">
        <v>22</v>
      </c>
      <c r="J92" s="4"/>
      <c r="P92" s="2"/>
      <c r="Q92" s="2"/>
      <c r="R92" s="2"/>
      <c r="S92" s="2"/>
      <c r="U92" s="2"/>
    </row>
    <row r="93" spans="2:21" x14ac:dyDescent="0.25">
      <c r="C93" s="15">
        <v>920</v>
      </c>
      <c r="D93" s="15">
        <v>2490</v>
      </c>
      <c r="E93" s="15" t="s">
        <v>8</v>
      </c>
      <c r="F93" s="15">
        <v>1890</v>
      </c>
      <c r="H93" s="17">
        <v>10</v>
      </c>
      <c r="L93" s="2"/>
      <c r="M93" s="2"/>
      <c r="N93" s="7"/>
      <c r="O93" s="2"/>
      <c r="P93" s="7"/>
      <c r="Q93" s="2"/>
      <c r="R93" s="2"/>
      <c r="S93" s="2"/>
      <c r="U93" s="2"/>
    </row>
    <row r="94" spans="2:21" x14ac:dyDescent="0.25">
      <c r="B94" s="15" t="s">
        <v>23</v>
      </c>
      <c r="D94" s="7"/>
      <c r="E94" s="2" t="s">
        <v>18</v>
      </c>
      <c r="F94" s="7"/>
      <c r="G94" s="2"/>
      <c r="H94" s="2"/>
      <c r="L94" s="2"/>
      <c r="M94" s="2"/>
      <c r="N94" s="7"/>
      <c r="O94" s="2"/>
      <c r="P94" s="7"/>
      <c r="Q94" s="2" t="s">
        <v>4</v>
      </c>
      <c r="R94" s="2"/>
      <c r="S94" s="2"/>
      <c r="U94" s="2"/>
    </row>
    <row r="95" spans="2:21" x14ac:dyDescent="0.25">
      <c r="B95" s="15" t="s">
        <v>24</v>
      </c>
      <c r="D95" s="7" t="s">
        <v>5</v>
      </c>
      <c r="E95" s="2"/>
      <c r="F95" s="7" t="s">
        <v>6</v>
      </c>
      <c r="G95" s="2"/>
      <c r="H95" s="2"/>
      <c r="K95" s="4"/>
      <c r="M95" s="2"/>
      <c r="N95" s="2"/>
      <c r="O95" s="7"/>
      <c r="P95" s="7" t="s">
        <v>5</v>
      </c>
      <c r="Q95" s="2"/>
      <c r="R95" s="7" t="s">
        <v>13</v>
      </c>
      <c r="S95" s="2"/>
      <c r="U95" s="2"/>
    </row>
    <row r="96" spans="2:21" x14ac:dyDescent="0.25">
      <c r="B96" s="15">
        <v>1000</v>
      </c>
      <c r="D96" s="18">
        <f>+D93-C93</f>
        <v>1570</v>
      </c>
      <c r="E96" s="2"/>
      <c r="F96" s="2"/>
      <c r="G96" s="19" t="s">
        <v>25</v>
      </c>
      <c r="H96" s="2"/>
      <c r="I96" s="2"/>
      <c r="J96" s="2"/>
      <c r="K96" s="2" t="s">
        <v>3</v>
      </c>
      <c r="L96" s="2"/>
      <c r="M96" s="2"/>
      <c r="N96" s="2"/>
      <c r="O96" s="2"/>
      <c r="P96" s="20">
        <f>+D96-75</f>
        <v>1495</v>
      </c>
      <c r="Q96" s="2" t="s">
        <v>8</v>
      </c>
      <c r="R96" s="2">
        <f>+F97-99</f>
        <v>906</v>
      </c>
      <c r="S96" s="2">
        <f>+H93</f>
        <v>10</v>
      </c>
      <c r="U96" s="2"/>
    </row>
    <row r="97" spans="2:21" x14ac:dyDescent="0.25">
      <c r="D97" s="20">
        <f>+D93+5</f>
        <v>2495</v>
      </c>
      <c r="E97" s="2" t="s">
        <v>8</v>
      </c>
      <c r="F97" s="2">
        <f>+B96+5</f>
        <v>1005</v>
      </c>
      <c r="G97" s="19" t="s">
        <v>20</v>
      </c>
      <c r="H97" s="2">
        <f>+H93</f>
        <v>10</v>
      </c>
      <c r="I97" s="2"/>
      <c r="J97" s="20">
        <f>+C93-41</f>
        <v>879</v>
      </c>
      <c r="K97" s="2" t="s">
        <v>8</v>
      </c>
      <c r="L97" s="2">
        <f>+F97-68</f>
        <v>937</v>
      </c>
      <c r="M97" s="2"/>
      <c r="N97" s="2">
        <f>+H93</f>
        <v>10</v>
      </c>
      <c r="O97" s="2"/>
      <c r="P97" s="20">
        <f>+J97-128</f>
        <v>751</v>
      </c>
      <c r="Q97" s="2" t="s">
        <v>8</v>
      </c>
      <c r="R97" s="2">
        <f>+L97-128</f>
        <v>809</v>
      </c>
      <c r="S97" s="2">
        <f>+H93</f>
        <v>10</v>
      </c>
      <c r="U97" s="2"/>
    </row>
    <row r="98" spans="2:21" x14ac:dyDescent="0.25">
      <c r="D98" s="21">
        <f>+D97</f>
        <v>2495</v>
      </c>
      <c r="E98" s="17" t="s">
        <v>8</v>
      </c>
      <c r="F98" s="1">
        <f>+(F93-B96)+2</f>
        <v>892</v>
      </c>
      <c r="H98" s="1">
        <f>+H97</f>
        <v>10</v>
      </c>
      <c r="J98" s="21"/>
      <c r="P98" s="20">
        <f>+D98-99</f>
        <v>2396</v>
      </c>
      <c r="Q98" s="20" t="s">
        <v>8</v>
      </c>
      <c r="R98" s="20">
        <f>+F98-99</f>
        <v>793</v>
      </c>
      <c r="S98" s="2">
        <f>+H98</f>
        <v>10</v>
      </c>
      <c r="U98" s="2"/>
    </row>
    <row r="99" spans="2:21" x14ac:dyDescent="0.25">
      <c r="B99" s="1"/>
      <c r="D99" s="21"/>
      <c r="J99" s="24" t="s">
        <v>26</v>
      </c>
      <c r="P99" s="2"/>
      <c r="Q99" s="2"/>
      <c r="R99" s="2"/>
      <c r="S99" s="2"/>
      <c r="U99" s="2"/>
    </row>
    <row r="100" spans="2:21" x14ac:dyDescent="0.25">
      <c r="B100" s="1"/>
      <c r="K100" s="7"/>
      <c r="Q100" s="7"/>
      <c r="S100" s="2"/>
      <c r="U100" s="2"/>
    </row>
    <row r="101" spans="2:21" x14ac:dyDescent="0.25">
      <c r="B101" s="7" t="s">
        <v>27</v>
      </c>
      <c r="C101" s="15" t="s">
        <v>17</v>
      </c>
      <c r="D101" s="16" t="s">
        <v>5</v>
      </c>
      <c r="E101" s="15"/>
      <c r="F101" s="16" t="s">
        <v>6</v>
      </c>
      <c r="G101" s="2"/>
      <c r="H101" s="2"/>
      <c r="I101" s="1" t="s">
        <v>28</v>
      </c>
      <c r="J101" s="4"/>
      <c r="P101" s="2"/>
      <c r="Q101" s="2"/>
      <c r="R101" s="2"/>
      <c r="S101" s="2"/>
      <c r="U101" s="2"/>
    </row>
    <row r="102" spans="2:21" x14ac:dyDescent="0.25">
      <c r="C102" s="15">
        <v>920</v>
      </c>
      <c r="D102" s="15">
        <v>2490</v>
      </c>
      <c r="E102" s="15" t="s">
        <v>8</v>
      </c>
      <c r="F102" s="15">
        <v>1890</v>
      </c>
      <c r="H102" s="17">
        <v>10</v>
      </c>
      <c r="L102" s="2"/>
      <c r="M102" s="2"/>
      <c r="N102" s="7"/>
      <c r="O102" s="2"/>
      <c r="P102" s="7"/>
      <c r="Q102" s="2"/>
      <c r="R102" s="2"/>
      <c r="S102" s="2"/>
      <c r="U102" s="2"/>
    </row>
    <row r="103" spans="2:21" x14ac:dyDescent="0.25">
      <c r="B103" s="15" t="s">
        <v>23</v>
      </c>
      <c r="D103" s="7"/>
      <c r="E103" s="2" t="s">
        <v>18</v>
      </c>
      <c r="F103" s="7"/>
      <c r="G103" s="2"/>
      <c r="H103" s="2"/>
      <c r="L103" s="2"/>
      <c r="M103" s="2"/>
      <c r="N103" s="7"/>
      <c r="O103" s="2"/>
      <c r="P103" s="7"/>
      <c r="Q103" s="2" t="s">
        <v>4</v>
      </c>
      <c r="R103" s="2"/>
      <c r="S103" s="2"/>
      <c r="U103" s="2"/>
    </row>
    <row r="104" spans="2:21" x14ac:dyDescent="0.25">
      <c r="B104" s="15" t="s">
        <v>24</v>
      </c>
      <c r="D104" s="7" t="s">
        <v>5</v>
      </c>
      <c r="E104" s="2"/>
      <c r="F104" s="7" t="s">
        <v>6</v>
      </c>
      <c r="G104" s="2"/>
      <c r="H104" s="2"/>
      <c r="K104" s="4"/>
      <c r="M104" s="2"/>
      <c r="N104" s="2"/>
      <c r="O104" s="7"/>
      <c r="P104" s="7" t="s">
        <v>5</v>
      </c>
      <c r="Q104" s="2"/>
      <c r="R104" s="7" t="s">
        <v>13</v>
      </c>
      <c r="S104" s="2"/>
      <c r="U104" s="2"/>
    </row>
    <row r="105" spans="2:21" x14ac:dyDescent="0.25">
      <c r="B105" s="15">
        <v>1000</v>
      </c>
      <c r="D105" s="18">
        <f>+D102-C102</f>
        <v>1570</v>
      </c>
      <c r="E105" s="2"/>
      <c r="F105" s="2"/>
      <c r="G105" s="19"/>
      <c r="H105" s="2"/>
      <c r="I105" s="2"/>
      <c r="J105" s="2"/>
      <c r="K105" s="2" t="s">
        <v>3</v>
      </c>
      <c r="L105" s="2"/>
      <c r="M105" s="2"/>
      <c r="N105" s="2"/>
      <c r="O105" s="2"/>
      <c r="P105" s="20">
        <f>+D105-75</f>
        <v>1495</v>
      </c>
      <c r="Q105" s="2" t="s">
        <v>8</v>
      </c>
      <c r="R105" s="2">
        <f>+F106-99</f>
        <v>906</v>
      </c>
      <c r="S105" s="2">
        <f>+H102</f>
        <v>10</v>
      </c>
      <c r="U105" s="2"/>
    </row>
    <row r="106" spans="2:21" x14ac:dyDescent="0.25">
      <c r="D106" s="20">
        <f>+D102+5</f>
        <v>2495</v>
      </c>
      <c r="E106" s="2" t="s">
        <v>8</v>
      </c>
      <c r="F106" s="2">
        <f>+B105+5</f>
        <v>1005</v>
      </c>
      <c r="G106" s="19" t="s">
        <v>20</v>
      </c>
      <c r="H106" s="2">
        <f>+H102</f>
        <v>10</v>
      </c>
      <c r="I106" s="2"/>
      <c r="J106" s="20">
        <f>+C102-41</f>
        <v>879</v>
      </c>
      <c r="K106" s="2" t="s">
        <v>8</v>
      </c>
      <c r="L106" s="2">
        <f>+F106-68</f>
        <v>937</v>
      </c>
      <c r="M106" s="2"/>
      <c r="N106" s="2">
        <f>+H102</f>
        <v>10</v>
      </c>
      <c r="O106" s="2"/>
      <c r="P106" s="20">
        <f>+J106-128</f>
        <v>751</v>
      </c>
      <c r="Q106" s="2" t="s">
        <v>8</v>
      </c>
      <c r="R106" s="2">
        <f>+L106-128</f>
        <v>809</v>
      </c>
      <c r="S106" s="2">
        <f>+H102</f>
        <v>10</v>
      </c>
      <c r="U106" s="2"/>
    </row>
    <row r="107" spans="2:21" x14ac:dyDescent="0.25">
      <c r="D107" s="21">
        <f>+D106</f>
        <v>2495</v>
      </c>
      <c r="E107" s="17" t="s">
        <v>8</v>
      </c>
      <c r="F107" s="1">
        <f>+(F102-B105)+2</f>
        <v>892</v>
      </c>
      <c r="G107" s="1" t="s">
        <v>25</v>
      </c>
      <c r="H107" s="1">
        <f>+H106</f>
        <v>10</v>
      </c>
      <c r="J107" s="21"/>
      <c r="P107" s="20">
        <f>+D107-99</f>
        <v>2396</v>
      </c>
      <c r="Q107" s="20" t="s">
        <v>8</v>
      </c>
      <c r="R107" s="20">
        <f>+F107-99</f>
        <v>793</v>
      </c>
      <c r="S107" s="2">
        <f>+H107</f>
        <v>10</v>
      </c>
      <c r="U107" s="2"/>
    </row>
    <row r="108" spans="2:21" x14ac:dyDescent="0.25">
      <c r="B108" s="1"/>
      <c r="D108" s="21"/>
      <c r="J108" s="24" t="s">
        <v>26</v>
      </c>
      <c r="P108" s="2"/>
      <c r="Q108" s="2"/>
      <c r="R108" s="2"/>
      <c r="S108" s="2"/>
      <c r="U108" s="2"/>
    </row>
    <row r="109" spans="2:21" x14ac:dyDescent="0.25">
      <c r="B109" s="1"/>
      <c r="K109" s="7"/>
      <c r="Q109" s="7"/>
      <c r="S109" s="2"/>
      <c r="U109" s="2"/>
    </row>
    <row r="110" spans="2:21" x14ac:dyDescent="0.25">
      <c r="B110" s="7" t="s">
        <v>27</v>
      </c>
      <c r="C110" s="1" t="s">
        <v>29</v>
      </c>
      <c r="S110" s="2"/>
    </row>
    <row r="111" spans="2:21" x14ac:dyDescent="0.25">
      <c r="D111" s="2"/>
      <c r="E111" s="2"/>
      <c r="F111" s="2"/>
      <c r="G111" s="2"/>
      <c r="H111" s="2"/>
      <c r="I111" s="2"/>
      <c r="J111" s="2"/>
      <c r="K111" s="8"/>
      <c r="L111" s="2"/>
      <c r="M111" s="2"/>
      <c r="N111" s="2"/>
      <c r="O111" s="2"/>
      <c r="P111" s="2"/>
      <c r="Q111" s="2"/>
      <c r="R111" s="2"/>
      <c r="S111" s="2"/>
    </row>
    <row r="112" spans="2:21" x14ac:dyDescent="0.25">
      <c r="D112" s="2"/>
      <c r="E112" s="2" t="s">
        <v>2</v>
      </c>
      <c r="F112" s="2"/>
      <c r="G112" s="2"/>
      <c r="H112" s="2"/>
      <c r="I112" s="2"/>
      <c r="J112" s="2"/>
      <c r="K112" s="8" t="s">
        <v>30</v>
      </c>
      <c r="L112" s="2"/>
      <c r="M112" s="2"/>
      <c r="N112" s="2"/>
      <c r="O112" s="2"/>
      <c r="P112" s="2"/>
      <c r="Q112" s="2" t="s">
        <v>4</v>
      </c>
      <c r="R112" s="2"/>
      <c r="S112" s="2"/>
    </row>
    <row r="113" spans="1:21" x14ac:dyDescent="0.25">
      <c r="D113" s="2">
        <v>2000</v>
      </c>
      <c r="E113" s="2" t="s">
        <v>8</v>
      </c>
      <c r="F113" s="2">
        <v>2000</v>
      </c>
      <c r="G113" s="2"/>
      <c r="H113" s="2">
        <v>1</v>
      </c>
      <c r="I113" s="2"/>
      <c r="J113" s="2">
        <f>+(D113+17)/2</f>
        <v>1008.5</v>
      </c>
      <c r="K113" s="2" t="s">
        <v>8</v>
      </c>
      <c r="L113" s="2">
        <f>+F113-76</f>
        <v>1924</v>
      </c>
      <c r="M113" s="2"/>
      <c r="N113" s="2">
        <f>+H113*2</f>
        <v>2</v>
      </c>
      <c r="O113" s="2"/>
      <c r="P113" s="2">
        <f>+J113-178</f>
        <v>830.5</v>
      </c>
      <c r="Q113" s="2" t="s">
        <v>8</v>
      </c>
      <c r="R113" s="2">
        <f>+L113-178</f>
        <v>1746</v>
      </c>
      <c r="S113" s="2">
        <f>+N113</f>
        <v>2</v>
      </c>
    </row>
    <row r="114" spans="1:21" x14ac:dyDescent="0.25">
      <c r="S114" s="2"/>
    </row>
    <row r="115" spans="1:21" x14ac:dyDescent="0.25">
      <c r="B115" s="3" t="s">
        <v>31</v>
      </c>
      <c r="C115" s="4" t="s">
        <v>32</v>
      </c>
      <c r="D115" s="4"/>
      <c r="J115" s="21"/>
      <c r="P115" s="21"/>
      <c r="Q115" s="21"/>
      <c r="R115" s="21"/>
      <c r="S115" s="2"/>
    </row>
    <row r="116" spans="1:21" x14ac:dyDescent="0.25">
      <c r="A116" s="4" t="s">
        <v>33</v>
      </c>
      <c r="B116" s="19"/>
      <c r="D116" s="2"/>
      <c r="E116" s="2"/>
      <c r="F116" s="2"/>
      <c r="G116" s="2"/>
      <c r="H116" s="2"/>
      <c r="I116" s="2"/>
      <c r="J116" s="20"/>
      <c r="K116" s="2"/>
      <c r="L116" s="2"/>
      <c r="M116" s="2"/>
      <c r="N116" s="2"/>
      <c r="O116" s="2"/>
      <c r="P116" s="20"/>
      <c r="Q116" s="20"/>
      <c r="R116" s="20"/>
      <c r="S116" s="2"/>
    </row>
    <row r="117" spans="1:21" x14ac:dyDescent="0.25">
      <c r="B117" s="19"/>
      <c r="D117" s="2"/>
      <c r="E117" s="2" t="s">
        <v>2</v>
      </c>
      <c r="F117" s="2"/>
      <c r="G117" s="2"/>
      <c r="H117" s="2"/>
      <c r="I117" s="2"/>
      <c r="J117" s="20"/>
      <c r="K117" s="2" t="s">
        <v>3</v>
      </c>
      <c r="L117" s="2"/>
      <c r="M117" s="2"/>
      <c r="N117" s="2"/>
      <c r="O117" s="2"/>
      <c r="P117" s="20"/>
      <c r="Q117" s="20" t="s">
        <v>4</v>
      </c>
      <c r="R117" s="20"/>
      <c r="S117" s="2"/>
    </row>
    <row r="118" spans="1:21" x14ac:dyDescent="0.25">
      <c r="B118" s="19"/>
      <c r="D118" s="2">
        <v>1405</v>
      </c>
      <c r="E118" s="2" t="s">
        <v>8</v>
      </c>
      <c r="F118" s="2">
        <v>1705</v>
      </c>
      <c r="G118" s="2"/>
      <c r="H118" s="2">
        <v>1</v>
      </c>
      <c r="I118" s="2"/>
      <c r="J118" s="20">
        <f>+(D118/2)+2</f>
        <v>704.5</v>
      </c>
      <c r="K118" s="2" t="s">
        <v>8</v>
      </c>
      <c r="L118" s="2">
        <f>+F118-76</f>
        <v>1629</v>
      </c>
      <c r="M118" s="2"/>
      <c r="N118" s="2">
        <f>+H118*2</f>
        <v>2</v>
      </c>
      <c r="O118" s="2"/>
      <c r="P118" s="20">
        <f>+J118-135</f>
        <v>569.5</v>
      </c>
      <c r="Q118" s="20" t="s">
        <v>8</v>
      </c>
      <c r="R118" s="20">
        <f>+L118-135</f>
        <v>1494</v>
      </c>
      <c r="S118" s="2">
        <f>+N118</f>
        <v>2</v>
      </c>
    </row>
    <row r="119" spans="1:21" x14ac:dyDescent="0.25">
      <c r="B119" s="19"/>
      <c r="J119" s="21"/>
      <c r="P119" s="21"/>
      <c r="Q119" s="21"/>
      <c r="R119" s="21"/>
      <c r="S119" s="2"/>
    </row>
    <row r="120" spans="1:21" x14ac:dyDescent="0.25">
      <c r="B120" s="7" t="s">
        <v>34</v>
      </c>
      <c r="C120" s="1" t="s">
        <v>35</v>
      </c>
      <c r="Q120" s="2"/>
      <c r="U120" s="2"/>
    </row>
    <row r="121" spans="1:21" x14ac:dyDescent="0.25">
      <c r="Q121" s="2"/>
      <c r="U121" s="2"/>
    </row>
    <row r="122" spans="1:21" x14ac:dyDescent="0.25">
      <c r="Q122" s="2"/>
      <c r="U122" s="2"/>
    </row>
    <row r="123" spans="1:21" x14ac:dyDescent="0.25">
      <c r="D123" s="2"/>
      <c r="E123" s="2" t="s">
        <v>2</v>
      </c>
      <c r="F123" s="2"/>
      <c r="G123" s="2"/>
      <c r="H123" s="2"/>
      <c r="I123" s="2"/>
      <c r="J123" s="2"/>
      <c r="K123" s="2" t="s">
        <v>24</v>
      </c>
      <c r="L123" s="2"/>
      <c r="M123" s="2"/>
      <c r="N123" s="2"/>
      <c r="O123" s="2"/>
      <c r="P123" s="2"/>
      <c r="Q123" s="2" t="s">
        <v>4</v>
      </c>
      <c r="U123" s="2"/>
    </row>
    <row r="124" spans="1:21" x14ac:dyDescent="0.25">
      <c r="D124" s="2">
        <f>2510-5</f>
        <v>2505</v>
      </c>
      <c r="E124" s="2" t="s">
        <v>8</v>
      </c>
      <c r="F124" s="2">
        <f>1010-5</f>
        <v>1005</v>
      </c>
      <c r="G124" s="2"/>
      <c r="H124" s="2">
        <v>1</v>
      </c>
      <c r="I124" s="2"/>
      <c r="J124" s="20">
        <f>+(D124/3)+31</f>
        <v>866</v>
      </c>
      <c r="K124" s="7" t="s">
        <v>8</v>
      </c>
      <c r="L124" s="2">
        <f>+F124-76</f>
        <v>929</v>
      </c>
      <c r="M124" s="2">
        <f>+H124*3</f>
        <v>3</v>
      </c>
      <c r="N124" s="2"/>
      <c r="O124" s="2"/>
      <c r="P124" s="20">
        <f>+J124-135</f>
        <v>731</v>
      </c>
      <c r="Q124" s="2" t="s">
        <v>8</v>
      </c>
      <c r="R124" s="2">
        <f>+L124-135</f>
        <v>794</v>
      </c>
      <c r="S124" s="2">
        <f>+M124</f>
        <v>3</v>
      </c>
      <c r="U124" s="2"/>
    </row>
    <row r="125" spans="1:21" x14ac:dyDescent="0.25">
      <c r="D125" s="2"/>
      <c r="E125" s="2"/>
      <c r="F125" s="2"/>
      <c r="G125" s="2"/>
      <c r="H125" s="2"/>
      <c r="I125" s="2"/>
      <c r="J125" s="20"/>
      <c r="K125" s="7"/>
      <c r="L125" s="2"/>
      <c r="M125" s="2"/>
      <c r="N125" s="2"/>
      <c r="O125" s="2"/>
      <c r="P125" s="20"/>
      <c r="Q125" s="2"/>
      <c r="R125" s="2"/>
      <c r="S125" s="2"/>
      <c r="U125" s="2"/>
    </row>
    <row r="126" spans="1:21" x14ac:dyDescent="0.25">
      <c r="B126" s="1"/>
      <c r="K126" s="8"/>
      <c r="Q126" s="7"/>
      <c r="S126" s="2"/>
    </row>
    <row r="127" spans="1:21" s="25" customFormat="1" x14ac:dyDescent="0.25">
      <c r="A127" s="1"/>
      <c r="B127" s="4" t="s">
        <v>36</v>
      </c>
      <c r="C127" s="1" t="s">
        <v>37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1" x14ac:dyDescent="0.25">
      <c r="B128" s="1"/>
      <c r="C128" s="15" t="s">
        <v>38</v>
      </c>
      <c r="D128" s="16" t="s">
        <v>5</v>
      </c>
      <c r="E128" s="15"/>
      <c r="F128" s="16" t="s">
        <v>6</v>
      </c>
      <c r="G128" s="2"/>
      <c r="H128" s="2"/>
      <c r="J128" s="4"/>
      <c r="K128" s="8" t="s">
        <v>39</v>
      </c>
    </row>
    <row r="129" spans="1:20" x14ac:dyDescent="0.25">
      <c r="B129" s="1"/>
      <c r="C129" s="15">
        <v>1000</v>
      </c>
      <c r="D129" s="16">
        <f>2000-10</f>
        <v>1990</v>
      </c>
      <c r="E129" s="15" t="s">
        <v>8</v>
      </c>
      <c r="F129" s="15">
        <f>1795-10</f>
        <v>1785</v>
      </c>
      <c r="H129" s="17">
        <v>10</v>
      </c>
      <c r="L129" s="2"/>
      <c r="M129" s="2"/>
      <c r="N129" s="7"/>
      <c r="O129" s="2"/>
      <c r="P129" s="7"/>
      <c r="Q129" s="2"/>
    </row>
    <row r="130" spans="1:20" x14ac:dyDescent="0.25">
      <c r="B130" s="1"/>
      <c r="D130" s="7"/>
      <c r="E130" s="2" t="s">
        <v>18</v>
      </c>
      <c r="F130" s="7"/>
      <c r="G130" s="2"/>
      <c r="H130" s="2"/>
      <c r="L130" s="2"/>
      <c r="M130" s="2"/>
      <c r="N130" s="7"/>
      <c r="O130" s="2"/>
      <c r="P130" s="7"/>
    </row>
    <row r="131" spans="1:20" x14ac:dyDescent="0.25">
      <c r="B131" s="1"/>
      <c r="D131" s="7" t="s">
        <v>5</v>
      </c>
      <c r="E131" s="2"/>
      <c r="F131" s="7" t="s">
        <v>6</v>
      </c>
      <c r="G131" s="2"/>
      <c r="H131" s="2"/>
      <c r="M131" s="2"/>
      <c r="N131" s="2"/>
      <c r="O131" s="7"/>
      <c r="P131" s="7" t="s">
        <v>5</v>
      </c>
      <c r="Q131" s="2"/>
      <c r="R131" s="7" t="s">
        <v>13</v>
      </c>
      <c r="S131" s="2"/>
    </row>
    <row r="132" spans="1:20" x14ac:dyDescent="0.25">
      <c r="B132" s="14"/>
      <c r="D132" s="26"/>
      <c r="E132" s="2"/>
      <c r="F132" s="2"/>
      <c r="G132" s="2"/>
      <c r="H132" s="2"/>
      <c r="I132" s="2"/>
      <c r="J132" s="2"/>
      <c r="K132" s="2" t="s">
        <v>3</v>
      </c>
      <c r="L132" s="2"/>
      <c r="M132" s="2"/>
      <c r="N132" s="2"/>
      <c r="O132" s="2"/>
      <c r="P132" s="20"/>
      <c r="Q132" s="2"/>
      <c r="R132" s="2"/>
      <c r="S132" s="2"/>
    </row>
    <row r="133" spans="1:20" x14ac:dyDescent="0.25">
      <c r="B133" s="14"/>
      <c r="D133" s="26">
        <f>+(D129/2)+3</f>
        <v>998</v>
      </c>
      <c r="E133" s="2" t="s">
        <v>8</v>
      </c>
      <c r="F133" s="2">
        <f>+C129+5</f>
        <v>1005</v>
      </c>
      <c r="G133" s="2"/>
      <c r="H133" s="2">
        <f>+H129*2</f>
        <v>20</v>
      </c>
      <c r="I133" s="2"/>
      <c r="J133" s="26">
        <f>+D133-68</f>
        <v>930</v>
      </c>
      <c r="K133" s="7" t="s">
        <v>8</v>
      </c>
      <c r="L133" s="2">
        <f>+F133-68</f>
        <v>937</v>
      </c>
      <c r="M133" s="2"/>
      <c r="N133" s="2">
        <f>+H133</f>
        <v>20</v>
      </c>
      <c r="O133" s="2"/>
      <c r="P133" s="26">
        <f>+J133-140</f>
        <v>790</v>
      </c>
      <c r="Q133" s="2" t="s">
        <v>8</v>
      </c>
      <c r="R133" s="2">
        <f>+L133-140</f>
        <v>797</v>
      </c>
      <c r="S133" s="2">
        <f>+N133</f>
        <v>20</v>
      </c>
    </row>
    <row r="134" spans="1:20" x14ac:dyDescent="0.25">
      <c r="B134" s="14"/>
      <c r="D134" s="26">
        <f>+D129+5</f>
        <v>1995</v>
      </c>
      <c r="E134" s="17" t="s">
        <v>8</v>
      </c>
      <c r="F134" s="2">
        <f>+F129+1-C129</f>
        <v>786</v>
      </c>
      <c r="H134" s="2">
        <f>+H129*1</f>
        <v>10</v>
      </c>
      <c r="J134" s="21"/>
      <c r="K134" s="1" t="s">
        <v>40</v>
      </c>
      <c r="P134" s="20">
        <f>+D134-99</f>
        <v>1896</v>
      </c>
      <c r="Q134" s="2" t="s">
        <v>8</v>
      </c>
      <c r="R134" s="2">
        <f>+F134-99</f>
        <v>687</v>
      </c>
      <c r="S134" s="1">
        <f>+H134</f>
        <v>10</v>
      </c>
    </row>
    <row r="135" spans="1:20" x14ac:dyDescent="0.25">
      <c r="B135" s="1"/>
      <c r="P135" s="20"/>
      <c r="Q135" s="4"/>
      <c r="R135" s="2"/>
    </row>
    <row r="136" spans="1:20" s="25" customFormat="1" x14ac:dyDescent="0.25">
      <c r="A136" s="1"/>
      <c r="B136" s="14"/>
      <c r="C136" s="1"/>
      <c r="D136" s="1"/>
      <c r="E136" s="1"/>
      <c r="F136" s="1"/>
      <c r="G136" s="1"/>
      <c r="H136" s="1"/>
      <c r="I136" s="1"/>
      <c r="J136" s="1"/>
      <c r="K136" s="7"/>
      <c r="L136" s="1"/>
      <c r="M136" s="1"/>
      <c r="N136" s="1"/>
      <c r="O136" s="1"/>
      <c r="P136" s="1"/>
      <c r="Q136" s="7"/>
      <c r="R136" s="1"/>
      <c r="S136" s="2"/>
      <c r="T136" s="1"/>
    </row>
    <row r="137" spans="1:20" x14ac:dyDescent="0.25">
      <c r="B137" s="1"/>
      <c r="K137" s="7"/>
      <c r="Q137" s="7"/>
      <c r="S137" s="2"/>
    </row>
    <row r="138" spans="1:20" x14ac:dyDescent="0.25">
      <c r="B138" s="4" t="s">
        <v>41</v>
      </c>
      <c r="C138" s="1" t="s">
        <v>42</v>
      </c>
    </row>
    <row r="139" spans="1:20" x14ac:dyDescent="0.25">
      <c r="B139" s="1"/>
      <c r="C139" s="15" t="s">
        <v>38</v>
      </c>
      <c r="D139" s="16" t="s">
        <v>5</v>
      </c>
      <c r="E139" s="15"/>
      <c r="F139" s="16" t="s">
        <v>6</v>
      </c>
      <c r="G139" s="2"/>
      <c r="H139" s="2"/>
      <c r="J139" s="4"/>
      <c r="K139" s="8" t="s">
        <v>39</v>
      </c>
    </row>
    <row r="140" spans="1:20" x14ac:dyDescent="0.25">
      <c r="B140" s="1"/>
      <c r="C140" s="15">
        <v>1000</v>
      </c>
      <c r="D140" s="16">
        <f>1500-10</f>
        <v>1490</v>
      </c>
      <c r="E140" s="15" t="s">
        <v>8</v>
      </c>
      <c r="F140" s="15">
        <v>1490</v>
      </c>
      <c r="H140" s="17">
        <v>1</v>
      </c>
      <c r="L140" s="2"/>
      <c r="M140" s="2"/>
      <c r="N140" s="7"/>
      <c r="O140" s="2"/>
      <c r="P140" s="7"/>
      <c r="Q140" s="2"/>
    </row>
    <row r="141" spans="1:20" x14ac:dyDescent="0.25">
      <c r="B141" s="1"/>
      <c r="D141" s="7"/>
      <c r="E141" s="2" t="s">
        <v>18</v>
      </c>
      <c r="F141" s="7"/>
      <c r="G141" s="2"/>
      <c r="H141" s="2"/>
      <c r="L141" s="2"/>
      <c r="M141" s="2"/>
      <c r="N141" s="7"/>
      <c r="O141" s="2"/>
      <c r="P141" s="7"/>
      <c r="Q141" s="1" t="s">
        <v>43</v>
      </c>
    </row>
    <row r="142" spans="1:20" x14ac:dyDescent="0.25">
      <c r="B142" s="1"/>
      <c r="D142" s="7" t="s">
        <v>5</v>
      </c>
      <c r="E142" s="2"/>
      <c r="F142" s="7" t="s">
        <v>6</v>
      </c>
      <c r="G142" s="2"/>
      <c r="H142" s="2"/>
      <c r="M142" s="2"/>
      <c r="N142" s="2"/>
      <c r="O142" s="7"/>
      <c r="P142" s="7" t="s">
        <v>5</v>
      </c>
      <c r="Q142" s="2"/>
      <c r="R142" s="7" t="s">
        <v>13</v>
      </c>
      <c r="S142" s="2"/>
    </row>
    <row r="143" spans="1:20" x14ac:dyDescent="0.25">
      <c r="B143" s="1">
        <f>+C140</f>
        <v>1000</v>
      </c>
      <c r="K143" s="1" t="s">
        <v>3</v>
      </c>
    </row>
    <row r="144" spans="1:20" x14ac:dyDescent="0.25">
      <c r="B144" s="1"/>
      <c r="D144" s="20">
        <f>+D140+5</f>
        <v>1495</v>
      </c>
      <c r="E144" s="2" t="s">
        <v>8</v>
      </c>
      <c r="F144" s="2">
        <f>+B143+4</f>
        <v>1004</v>
      </c>
      <c r="G144" s="2"/>
      <c r="H144" s="2">
        <f>+H140</f>
        <v>1</v>
      </c>
      <c r="I144" s="2"/>
      <c r="J144" s="20">
        <f>+D144-68</f>
        <v>1427</v>
      </c>
      <c r="K144" s="7" t="s">
        <v>8</v>
      </c>
      <c r="L144" s="2">
        <f>+F144-68</f>
        <v>936</v>
      </c>
      <c r="M144" s="2"/>
      <c r="N144" s="2">
        <f>+H144</f>
        <v>1</v>
      </c>
      <c r="O144" s="2"/>
      <c r="P144" s="2">
        <f>+J144-140</f>
        <v>1287</v>
      </c>
      <c r="Q144" s="2" t="s">
        <v>8</v>
      </c>
      <c r="R144" s="2">
        <f>+L144-140</f>
        <v>796</v>
      </c>
      <c r="S144" s="2">
        <f>+N144</f>
        <v>1</v>
      </c>
    </row>
    <row r="145" spans="1:20" x14ac:dyDescent="0.25">
      <c r="B145" s="1"/>
      <c r="D145" s="2">
        <f>+D140+5</f>
        <v>1495</v>
      </c>
      <c r="E145" s="2" t="s">
        <v>8</v>
      </c>
      <c r="F145" s="2">
        <f>+F140+4-C140</f>
        <v>494</v>
      </c>
      <c r="G145" s="2"/>
      <c r="H145" s="2">
        <f>+H140</f>
        <v>1</v>
      </c>
      <c r="I145" s="2"/>
      <c r="J145" s="2"/>
      <c r="K145" s="2" t="s">
        <v>3</v>
      </c>
      <c r="L145" s="2"/>
      <c r="M145" s="2"/>
      <c r="N145" s="2"/>
      <c r="O145" s="2"/>
      <c r="P145" s="20"/>
      <c r="Q145" s="2"/>
      <c r="R145" s="2"/>
      <c r="S145" s="2"/>
    </row>
    <row r="146" spans="1:20" x14ac:dyDescent="0.25">
      <c r="B146" s="1"/>
      <c r="G146" s="27"/>
    </row>
    <row r="147" spans="1:20" x14ac:dyDescent="0.25">
      <c r="B147" s="1"/>
      <c r="K147" s="7"/>
      <c r="Q147" s="7"/>
      <c r="S147" s="2"/>
    </row>
    <row r="148" spans="1:20" x14ac:dyDescent="0.25">
      <c r="B148" s="1"/>
      <c r="K148" s="7"/>
      <c r="Q148" s="7"/>
      <c r="S148" s="2"/>
    </row>
    <row r="149" spans="1:20" x14ac:dyDescent="0.25">
      <c r="B149" s="4" t="s">
        <v>44</v>
      </c>
      <c r="C149" s="1" t="s">
        <v>45</v>
      </c>
      <c r="K149" s="7"/>
      <c r="Q149" s="7"/>
      <c r="S149" s="2"/>
    </row>
    <row r="150" spans="1:20" x14ac:dyDescent="0.25">
      <c r="B150" s="1"/>
      <c r="K150" s="7"/>
      <c r="Q150" s="7"/>
      <c r="S150" s="2"/>
    </row>
    <row r="151" spans="1:20" x14ac:dyDescent="0.25">
      <c r="B151" s="1"/>
      <c r="D151" s="2" t="s">
        <v>5</v>
      </c>
      <c r="E151" s="2"/>
      <c r="F151" s="2" t="s">
        <v>6</v>
      </c>
      <c r="G151" s="2"/>
      <c r="H151" s="2"/>
      <c r="I151" s="2"/>
      <c r="J151" s="2"/>
      <c r="K151" s="2" t="s">
        <v>3</v>
      </c>
      <c r="L151" s="2"/>
      <c r="M151" s="2"/>
      <c r="N151" s="2"/>
      <c r="O151" s="2"/>
      <c r="P151" s="20"/>
      <c r="Q151" s="2"/>
      <c r="R151" s="2"/>
      <c r="S151" s="2"/>
      <c r="T151" s="2"/>
    </row>
    <row r="152" spans="1:20" x14ac:dyDescent="0.25">
      <c r="B152" s="1"/>
      <c r="D152" s="2">
        <f>2295-5</f>
        <v>2290</v>
      </c>
      <c r="E152" s="2" t="s">
        <v>8</v>
      </c>
      <c r="F152" s="2">
        <f>1000-5</f>
        <v>995</v>
      </c>
      <c r="G152" s="2"/>
      <c r="H152" s="2">
        <v>1</v>
      </c>
      <c r="I152" s="2"/>
      <c r="J152" s="2">
        <f>+((D152-5)/2)-42</f>
        <v>1100.5</v>
      </c>
      <c r="K152" s="7" t="s">
        <v>8</v>
      </c>
      <c r="L152" s="2">
        <f>+F152-68</f>
        <v>927</v>
      </c>
      <c r="M152" s="2"/>
      <c r="N152" s="2">
        <f>+H152*1</f>
        <v>1</v>
      </c>
      <c r="O152" s="2"/>
      <c r="P152" s="26">
        <f>+J152-140</f>
        <v>960.5</v>
      </c>
      <c r="Q152" s="2" t="s">
        <v>8</v>
      </c>
      <c r="R152" s="2">
        <f>+L152-140</f>
        <v>787</v>
      </c>
      <c r="S152" s="2">
        <f>+N152</f>
        <v>1</v>
      </c>
      <c r="T152" s="2"/>
    </row>
    <row r="153" spans="1:20" x14ac:dyDescent="0.25">
      <c r="B153" s="1"/>
      <c r="K153" s="7"/>
      <c r="Q153" s="7"/>
      <c r="S153" s="2"/>
    </row>
    <row r="154" spans="1:20" customFormat="1" x14ac:dyDescent="0.25">
      <c r="A154" s="4" t="s">
        <v>33</v>
      </c>
      <c r="B154" s="28" t="s">
        <v>46</v>
      </c>
      <c r="C154" s="4" t="s">
        <v>47</v>
      </c>
      <c r="P154" s="21"/>
      <c r="Q154" s="21"/>
      <c r="R154" s="21"/>
      <c r="S154" s="1"/>
    </row>
    <row r="155" spans="1:20" customFormat="1" x14ac:dyDescent="0.25">
      <c r="C155" s="29" t="s">
        <v>38</v>
      </c>
      <c r="D155" s="23" t="s">
        <v>5</v>
      </c>
      <c r="E155" s="22"/>
      <c r="F155" s="23" t="s">
        <v>6</v>
      </c>
      <c r="G155" s="2"/>
      <c r="H155" s="2"/>
      <c r="J155" s="28"/>
      <c r="K155" s="8" t="s">
        <v>39</v>
      </c>
      <c r="P155" s="21"/>
      <c r="Q155" s="21"/>
      <c r="R155" s="21"/>
      <c r="S155" s="1"/>
    </row>
    <row r="156" spans="1:20" customFormat="1" x14ac:dyDescent="0.25">
      <c r="C156" s="29">
        <v>1050</v>
      </c>
      <c r="D156" s="29">
        <v>3495</v>
      </c>
      <c r="E156" s="29" t="s">
        <v>8</v>
      </c>
      <c r="F156" s="29">
        <v>2145</v>
      </c>
      <c r="G156" s="1"/>
      <c r="H156" s="17">
        <v>2</v>
      </c>
      <c r="I156" s="1"/>
      <c r="J156" s="1"/>
      <c r="K156" s="1"/>
      <c r="L156" s="2"/>
      <c r="M156" s="2"/>
      <c r="N156" s="7"/>
      <c r="O156" s="2"/>
      <c r="P156" s="11"/>
      <c r="Q156" s="20"/>
      <c r="R156" s="21"/>
      <c r="S156" s="1"/>
    </row>
    <row r="157" spans="1:20" customFormat="1" x14ac:dyDescent="0.25">
      <c r="D157" s="7"/>
      <c r="E157" s="2" t="s">
        <v>18</v>
      </c>
      <c r="F157" s="7"/>
      <c r="G157" s="2"/>
      <c r="H157" s="2"/>
      <c r="I157" s="1"/>
      <c r="J157" s="1"/>
      <c r="K157" s="1"/>
      <c r="L157" s="2"/>
      <c r="M157" s="2"/>
      <c r="N157" s="7"/>
      <c r="O157" s="2"/>
      <c r="P157" s="11"/>
      <c r="Q157" s="21" t="s">
        <v>43</v>
      </c>
      <c r="R157" s="21"/>
      <c r="S157" s="1"/>
    </row>
    <row r="158" spans="1:20" customFormat="1" x14ac:dyDescent="0.25">
      <c r="D158" s="7" t="s">
        <v>5</v>
      </c>
      <c r="E158" s="2"/>
      <c r="F158" s="7" t="s">
        <v>6</v>
      </c>
      <c r="G158" s="2"/>
      <c r="H158" s="2"/>
      <c r="I158" s="1"/>
      <c r="J158" s="1"/>
      <c r="K158" s="1"/>
      <c r="L158" s="1"/>
      <c r="M158" s="2"/>
      <c r="N158" s="2"/>
      <c r="O158" s="7"/>
      <c r="P158" s="11" t="s">
        <v>5</v>
      </c>
      <c r="Q158" s="20"/>
      <c r="R158" s="11" t="s">
        <v>13</v>
      </c>
      <c r="S158" s="2"/>
    </row>
    <row r="159" spans="1:20" customFormat="1" x14ac:dyDescent="0.25">
      <c r="D159" s="1"/>
      <c r="E159" s="1"/>
      <c r="F159" s="1"/>
      <c r="G159" s="1"/>
      <c r="H159" s="1"/>
      <c r="I159" s="1"/>
      <c r="J159" s="1"/>
      <c r="K159" s="2" t="s">
        <v>3</v>
      </c>
      <c r="L159" s="1"/>
      <c r="M159" s="1"/>
      <c r="N159" s="1"/>
      <c r="O159" s="1"/>
      <c r="P159" s="1"/>
      <c r="Q159" s="1"/>
      <c r="R159" s="1"/>
      <c r="S159" s="1"/>
    </row>
    <row r="160" spans="1:20" customFormat="1" x14ac:dyDescent="0.25">
      <c r="D160" s="26">
        <f>+(D156/3)+3</f>
        <v>1168</v>
      </c>
      <c r="E160" s="2" t="s">
        <v>8</v>
      </c>
      <c r="F160" s="2">
        <f>+C156+5</f>
        <v>1055</v>
      </c>
      <c r="G160" s="2"/>
      <c r="H160" s="2">
        <f>+H156*3</f>
        <v>6</v>
      </c>
      <c r="I160" s="2"/>
      <c r="J160" s="26">
        <f>+D160-68</f>
        <v>1100</v>
      </c>
      <c r="K160" s="7" t="s">
        <v>8</v>
      </c>
      <c r="L160" s="2">
        <f>+F160-68</f>
        <v>987</v>
      </c>
      <c r="M160" s="2"/>
      <c r="N160" s="2">
        <f>+H160</f>
        <v>6</v>
      </c>
      <c r="O160" s="2"/>
      <c r="P160" s="20">
        <f>+J160-140</f>
        <v>960</v>
      </c>
      <c r="Q160" s="20" t="s">
        <v>8</v>
      </c>
      <c r="R160" s="20">
        <f>+L160-140</f>
        <v>847</v>
      </c>
      <c r="S160" s="2">
        <f>+N160</f>
        <v>6</v>
      </c>
    </row>
    <row r="161" spans="1:20" customFormat="1" x14ac:dyDescent="0.25">
      <c r="D161" s="26">
        <f>+(D156/3)+3</f>
        <v>1168</v>
      </c>
      <c r="E161" s="2" t="s">
        <v>8</v>
      </c>
      <c r="F161" s="2">
        <f>+F156+2-C156</f>
        <v>1097</v>
      </c>
      <c r="G161" s="2"/>
      <c r="H161" s="2">
        <f>+H160</f>
        <v>6</v>
      </c>
      <c r="I161" s="2"/>
      <c r="J161" s="2"/>
      <c r="K161" s="2" t="s">
        <v>40</v>
      </c>
      <c r="L161" s="2"/>
      <c r="M161" s="2"/>
      <c r="N161" s="2"/>
      <c r="O161" s="2"/>
      <c r="P161" s="20">
        <f>+D161-99</f>
        <v>1069</v>
      </c>
      <c r="Q161" s="20" t="s">
        <v>8</v>
      </c>
      <c r="R161" s="20">
        <f>+F161-99</f>
        <v>998</v>
      </c>
      <c r="S161" s="2">
        <f>+H161</f>
        <v>6</v>
      </c>
    </row>
    <row r="162" spans="1:20" customFormat="1" x14ac:dyDescent="0.25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20"/>
      <c r="Q162" s="30"/>
      <c r="R162" s="20"/>
      <c r="S162" s="1"/>
    </row>
    <row r="163" spans="1:20" customFormat="1" x14ac:dyDescent="0.25">
      <c r="A163" s="1"/>
      <c r="D163" s="1"/>
      <c r="E163" s="1"/>
      <c r="F163" s="1"/>
      <c r="G163" s="1"/>
      <c r="H163" s="1"/>
      <c r="I163" s="1"/>
      <c r="J163" s="1"/>
      <c r="K163" s="7"/>
      <c r="L163" s="1"/>
      <c r="M163" s="1"/>
      <c r="N163" s="1"/>
      <c r="O163" s="1"/>
      <c r="P163" s="21"/>
      <c r="Q163" s="11"/>
      <c r="R163" s="21"/>
      <c r="S163" s="2"/>
      <c r="T163" s="1"/>
    </row>
    <row r="164" spans="1:20" customFormat="1" x14ac:dyDescent="0.25">
      <c r="A164" s="1"/>
      <c r="G164" s="1"/>
      <c r="H164" s="1"/>
      <c r="I164" s="1"/>
      <c r="J164" s="1"/>
      <c r="K164" s="7"/>
      <c r="L164" s="1"/>
      <c r="M164" s="1"/>
      <c r="N164" s="1"/>
      <c r="O164" s="1"/>
      <c r="P164" s="21"/>
      <c r="Q164" s="11"/>
      <c r="R164" s="21"/>
      <c r="S164" s="2"/>
      <c r="T164" s="1"/>
    </row>
    <row r="165" spans="1:20" x14ac:dyDescent="0.25">
      <c r="A165" s="4"/>
      <c r="B165" s="3" t="s">
        <v>48</v>
      </c>
      <c r="C165" s="4" t="s">
        <v>49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1:20" x14ac:dyDescent="0.25">
      <c r="A166" s="4"/>
      <c r="B166" s="3"/>
      <c r="C166" s="16" t="s">
        <v>38</v>
      </c>
      <c r="D166" s="16" t="s">
        <v>5</v>
      </c>
      <c r="E166" s="16"/>
      <c r="F166" s="16" t="s">
        <v>6</v>
      </c>
      <c r="G166" s="7"/>
      <c r="H166" s="7"/>
      <c r="I166" s="4"/>
      <c r="J166" s="4"/>
      <c r="K166" s="8" t="s">
        <v>39</v>
      </c>
      <c r="L166" s="4"/>
      <c r="M166" s="4"/>
      <c r="N166" s="4"/>
      <c r="O166" s="4"/>
      <c r="P166" s="4"/>
      <c r="Q166" s="4"/>
      <c r="R166" s="4"/>
      <c r="S166" s="4"/>
    </row>
    <row r="167" spans="1:20" x14ac:dyDescent="0.25">
      <c r="A167" s="4"/>
      <c r="B167" s="3"/>
      <c r="C167" s="16">
        <v>1050</v>
      </c>
      <c r="D167" s="16">
        <v>2000</v>
      </c>
      <c r="E167" s="16" t="s">
        <v>8</v>
      </c>
      <c r="F167" s="16">
        <v>2145</v>
      </c>
      <c r="G167" s="4"/>
      <c r="H167" s="31">
        <v>1</v>
      </c>
      <c r="I167" s="4"/>
      <c r="J167" s="4"/>
      <c r="K167" s="4"/>
      <c r="L167" s="7"/>
      <c r="M167" s="7"/>
      <c r="N167" s="7"/>
      <c r="O167" s="7"/>
      <c r="P167" s="7"/>
      <c r="Q167" s="7"/>
      <c r="R167" s="4"/>
      <c r="S167" s="4"/>
    </row>
    <row r="168" spans="1:20" x14ac:dyDescent="0.25">
      <c r="A168" s="4"/>
      <c r="B168" s="3"/>
      <c r="C168" s="4"/>
      <c r="D168" s="7"/>
      <c r="E168" s="7" t="s">
        <v>18</v>
      </c>
      <c r="F168" s="7"/>
      <c r="G168" s="7"/>
      <c r="H168" s="7"/>
      <c r="I168" s="4"/>
      <c r="J168" s="4"/>
      <c r="K168" s="4"/>
      <c r="L168" s="7"/>
      <c r="M168" s="7"/>
      <c r="N168" s="7"/>
      <c r="O168" s="7"/>
      <c r="P168" s="7"/>
      <c r="Q168" s="4" t="s">
        <v>43</v>
      </c>
      <c r="R168" s="4"/>
      <c r="S168" s="4"/>
    </row>
    <row r="169" spans="1:20" x14ac:dyDescent="0.25">
      <c r="A169" s="4"/>
      <c r="B169" s="3"/>
      <c r="C169" s="4"/>
      <c r="D169" s="7" t="s">
        <v>5</v>
      </c>
      <c r="E169" s="7"/>
      <c r="F169" s="7" t="s">
        <v>6</v>
      </c>
      <c r="G169" s="7"/>
      <c r="H169" s="7"/>
      <c r="I169" s="4"/>
      <c r="J169" s="4"/>
      <c r="K169" s="4"/>
      <c r="L169" s="4"/>
      <c r="M169" s="7"/>
      <c r="N169" s="7"/>
      <c r="O169" s="7"/>
      <c r="P169" s="7" t="s">
        <v>5</v>
      </c>
      <c r="Q169" s="7"/>
      <c r="R169" s="7" t="s">
        <v>13</v>
      </c>
      <c r="S169" s="7"/>
    </row>
    <row r="170" spans="1:20" x14ac:dyDescent="0.25">
      <c r="A170" s="4"/>
      <c r="B170" s="3"/>
      <c r="C170" s="4"/>
      <c r="D170" s="32"/>
      <c r="E170" s="7"/>
      <c r="F170" s="7"/>
      <c r="G170" s="7"/>
      <c r="H170" s="7"/>
      <c r="I170" s="7"/>
      <c r="J170" s="7"/>
      <c r="K170" s="7" t="s">
        <v>3</v>
      </c>
      <c r="L170" s="7"/>
      <c r="M170" s="7"/>
      <c r="N170" s="7"/>
      <c r="O170" s="7"/>
      <c r="P170" s="11"/>
      <c r="Q170" s="7"/>
      <c r="R170" s="7"/>
      <c r="S170" s="7"/>
    </row>
    <row r="171" spans="1:20" x14ac:dyDescent="0.25">
      <c r="A171" s="4"/>
      <c r="B171" s="3"/>
      <c r="C171" s="4"/>
      <c r="D171" s="32">
        <f>+(D167/2)+3</f>
        <v>1003</v>
      </c>
      <c r="E171" s="7" t="s">
        <v>8</v>
      </c>
      <c r="F171" s="7">
        <f>+C167+5</f>
        <v>1055</v>
      </c>
      <c r="G171" s="7"/>
      <c r="H171" s="7">
        <f>+H167*2</f>
        <v>2</v>
      </c>
      <c r="I171" s="7"/>
      <c r="J171" s="32">
        <f>+D171-68</f>
        <v>935</v>
      </c>
      <c r="K171" s="32" t="s">
        <v>8</v>
      </c>
      <c r="L171" s="32">
        <f>+F171-68</f>
        <v>987</v>
      </c>
      <c r="M171" s="7"/>
      <c r="N171" s="7">
        <f>+H171</f>
        <v>2</v>
      </c>
      <c r="O171" s="7"/>
      <c r="P171" s="32">
        <f>+J171-140</f>
        <v>795</v>
      </c>
      <c r="Q171" s="32" t="s">
        <v>8</v>
      </c>
      <c r="R171" s="32">
        <f>+L171-140</f>
        <v>847</v>
      </c>
      <c r="S171" s="32">
        <f>+H171</f>
        <v>2</v>
      </c>
    </row>
    <row r="172" spans="1:20" x14ac:dyDescent="0.25">
      <c r="A172" s="4"/>
      <c r="B172" s="3"/>
      <c r="C172" s="4"/>
      <c r="D172" s="32">
        <f>+(D167/2)+3</f>
        <v>1003</v>
      </c>
      <c r="E172" s="7" t="s">
        <v>8</v>
      </c>
      <c r="F172" s="7">
        <f>+F167+2-C167</f>
        <v>1097</v>
      </c>
      <c r="G172" s="7"/>
      <c r="H172" s="7">
        <f>+H171</f>
        <v>2</v>
      </c>
      <c r="I172" s="7"/>
      <c r="J172" s="7"/>
      <c r="K172" s="7" t="s">
        <v>40</v>
      </c>
      <c r="L172" s="7"/>
      <c r="M172" s="7"/>
      <c r="N172" s="7"/>
      <c r="O172" s="7"/>
      <c r="P172" s="11">
        <f>+D172-99</f>
        <v>904</v>
      </c>
      <c r="Q172" s="7" t="s">
        <v>8</v>
      </c>
      <c r="R172" s="7">
        <f>+F172-99</f>
        <v>998</v>
      </c>
      <c r="S172" s="32">
        <f>+H172</f>
        <v>2</v>
      </c>
    </row>
    <row r="173" spans="1:20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1"/>
      <c r="Q173" s="4"/>
      <c r="R173" s="7"/>
      <c r="S173" s="4"/>
    </row>
    <row r="174" spans="1:20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7"/>
      <c r="L174" s="4"/>
      <c r="M174" s="4"/>
      <c r="N174" s="4"/>
      <c r="O174" s="4"/>
      <c r="P174" s="4"/>
      <c r="Q174" s="7"/>
      <c r="R174" s="4"/>
      <c r="S174" s="7"/>
    </row>
    <row r="175" spans="1:20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7"/>
      <c r="L175" s="4"/>
      <c r="M175" s="4"/>
      <c r="N175" s="4"/>
      <c r="O175" s="4"/>
      <c r="P175" s="4"/>
      <c r="Q175" s="7"/>
      <c r="R175" s="4"/>
      <c r="S175" s="7"/>
    </row>
    <row r="176" spans="1:20" customFormat="1" x14ac:dyDescent="0.25">
      <c r="A176" s="4" t="s">
        <v>33</v>
      </c>
      <c r="B176" s="28" t="s">
        <v>50</v>
      </c>
      <c r="C176" s="28" t="s">
        <v>51</v>
      </c>
      <c r="D176" s="1" t="s">
        <v>52</v>
      </c>
      <c r="K176" s="8" t="s">
        <v>39</v>
      </c>
      <c r="P176" s="1"/>
      <c r="Q176" s="1"/>
      <c r="R176" s="1"/>
      <c r="S176" s="1"/>
    </row>
    <row r="177" spans="1:22" customFormat="1" x14ac:dyDescent="0.25">
      <c r="C177" s="33"/>
      <c r="D177" s="23" t="s">
        <v>5</v>
      </c>
      <c r="E177" s="22"/>
      <c r="F177" s="23" t="s">
        <v>6</v>
      </c>
      <c r="G177" s="2"/>
      <c r="H177" s="2"/>
      <c r="J177" s="28"/>
      <c r="N177" s="8"/>
      <c r="P177" s="1"/>
      <c r="Q177" s="1"/>
      <c r="R177" s="1"/>
      <c r="S177" s="1"/>
    </row>
    <row r="178" spans="1:22" customFormat="1" x14ac:dyDescent="0.25">
      <c r="C178" s="33"/>
      <c r="D178" s="29">
        <v>2495</v>
      </c>
      <c r="E178" s="29" t="s">
        <v>8</v>
      </c>
      <c r="F178" s="29">
        <v>1480</v>
      </c>
      <c r="G178" s="1"/>
      <c r="H178" s="17">
        <v>2</v>
      </c>
      <c r="I178" s="1"/>
      <c r="J178" s="1"/>
      <c r="K178" s="1"/>
      <c r="L178" s="2"/>
      <c r="M178" s="2"/>
      <c r="N178" s="7"/>
      <c r="O178" s="2"/>
      <c r="P178" s="7"/>
      <c r="Q178" s="2"/>
      <c r="R178" s="1"/>
      <c r="S178" s="1"/>
    </row>
    <row r="179" spans="1:22" customFormat="1" x14ac:dyDescent="0.25">
      <c r="D179" s="7"/>
      <c r="E179" s="2" t="s">
        <v>18</v>
      </c>
      <c r="F179" s="7"/>
      <c r="G179" s="2"/>
      <c r="H179" s="2"/>
      <c r="I179" s="1"/>
      <c r="J179" s="1"/>
      <c r="K179" s="1"/>
      <c r="L179" s="2"/>
      <c r="M179" s="2"/>
      <c r="N179" s="7"/>
      <c r="O179" s="2"/>
      <c r="P179" s="7"/>
      <c r="Q179" s="1" t="s">
        <v>52</v>
      </c>
      <c r="R179" s="1"/>
      <c r="S179" s="1"/>
    </row>
    <row r="180" spans="1:22" customFormat="1" x14ac:dyDescent="0.25">
      <c r="D180" s="7" t="s">
        <v>5</v>
      </c>
      <c r="E180" s="2"/>
      <c r="F180" s="7" t="s">
        <v>6</v>
      </c>
      <c r="G180" s="2"/>
      <c r="H180" s="2"/>
      <c r="I180" s="1"/>
      <c r="J180" s="1"/>
      <c r="K180" s="1"/>
      <c r="L180" s="1"/>
      <c r="M180" s="2"/>
      <c r="N180" s="2"/>
      <c r="O180" s="7"/>
      <c r="P180" s="7" t="s">
        <v>5</v>
      </c>
      <c r="Q180" s="2"/>
      <c r="R180" s="7" t="s">
        <v>13</v>
      </c>
      <c r="S180" s="2"/>
    </row>
    <row r="181" spans="1:22" customFormat="1" x14ac:dyDescent="0.25">
      <c r="D181" s="26">
        <f>+(D178/3)+3</f>
        <v>834.66666666666663</v>
      </c>
      <c r="E181" s="2" t="s">
        <v>8</v>
      </c>
      <c r="F181" s="2">
        <f>+F178+5</f>
        <v>1485</v>
      </c>
      <c r="G181" s="2"/>
      <c r="H181" s="2">
        <v>4</v>
      </c>
      <c r="I181" s="2"/>
      <c r="J181" s="2"/>
      <c r="K181" s="2" t="s">
        <v>3</v>
      </c>
      <c r="L181" s="2"/>
      <c r="M181" s="2"/>
      <c r="N181" s="2"/>
      <c r="O181" s="2"/>
      <c r="P181" s="26">
        <f>+D181-99</f>
        <v>735.66666666666663</v>
      </c>
      <c r="Q181" s="2" t="s">
        <v>8</v>
      </c>
      <c r="R181" s="2">
        <f>+F181-99</f>
        <v>1386</v>
      </c>
      <c r="S181" s="2">
        <f>+H181</f>
        <v>4</v>
      </c>
    </row>
    <row r="182" spans="1:22" customFormat="1" x14ac:dyDescent="0.25">
      <c r="D182" s="26">
        <f>+(D178/3)+3</f>
        <v>834.66666666666663</v>
      </c>
      <c r="E182" s="2" t="s">
        <v>8</v>
      </c>
      <c r="F182" s="2">
        <f>+F178+5</f>
        <v>1485</v>
      </c>
      <c r="G182" s="2"/>
      <c r="H182" s="2">
        <v>2</v>
      </c>
      <c r="I182" s="2"/>
      <c r="J182" s="26">
        <f>+D182-68</f>
        <v>766.66666666666663</v>
      </c>
      <c r="K182" s="7" t="s">
        <v>8</v>
      </c>
      <c r="L182" s="2">
        <f>+F182-68</f>
        <v>1417</v>
      </c>
      <c r="M182" s="2"/>
      <c r="N182" s="2">
        <v>2</v>
      </c>
      <c r="O182" s="2"/>
      <c r="P182" s="26">
        <f>+J182-140</f>
        <v>626.66666666666663</v>
      </c>
      <c r="Q182" s="2" t="s">
        <v>8</v>
      </c>
      <c r="R182" s="2">
        <f>+L182-140</f>
        <v>1277</v>
      </c>
      <c r="S182" s="2">
        <f>+N182</f>
        <v>2</v>
      </c>
    </row>
    <row r="183" spans="1:22" customFormat="1" x14ac:dyDescent="0.25">
      <c r="A183" s="1"/>
      <c r="B183" s="28" t="s">
        <v>53</v>
      </c>
      <c r="C183" s="28"/>
      <c r="E183" s="34" t="s">
        <v>54</v>
      </c>
    </row>
    <row r="184" spans="1:22" customFormat="1" x14ac:dyDescent="0.25">
      <c r="C184" s="29" t="s">
        <v>17</v>
      </c>
      <c r="D184" s="23" t="s">
        <v>5</v>
      </c>
      <c r="E184" s="22"/>
      <c r="F184" s="23" t="s">
        <v>6</v>
      </c>
      <c r="G184" s="2"/>
      <c r="H184" s="2"/>
      <c r="J184" s="35" t="s">
        <v>19</v>
      </c>
    </row>
    <row r="185" spans="1:22" customFormat="1" x14ac:dyDescent="0.25">
      <c r="C185" s="29">
        <v>1000</v>
      </c>
      <c r="D185" s="29">
        <v>2000</v>
      </c>
      <c r="E185" s="29" t="s">
        <v>8</v>
      </c>
      <c r="F185" s="29">
        <v>2000</v>
      </c>
      <c r="G185" s="1"/>
      <c r="H185" s="17">
        <v>1</v>
      </c>
      <c r="I185" s="1"/>
      <c r="J185" s="1"/>
      <c r="K185" s="1"/>
      <c r="L185" s="2"/>
      <c r="M185" s="2"/>
      <c r="N185" s="7"/>
      <c r="O185" s="2"/>
      <c r="P185" s="7"/>
      <c r="Q185" s="2"/>
    </row>
    <row r="186" spans="1:22" customFormat="1" x14ac:dyDescent="0.25">
      <c r="D186" s="7"/>
      <c r="E186" s="2" t="s">
        <v>18</v>
      </c>
      <c r="F186" s="7"/>
      <c r="G186" s="2"/>
      <c r="H186" s="2"/>
      <c r="I186" s="1"/>
      <c r="J186" s="1"/>
      <c r="K186" s="1"/>
      <c r="L186" s="2"/>
      <c r="M186" s="2"/>
      <c r="N186" s="7"/>
      <c r="O186" s="2"/>
      <c r="P186" s="7"/>
      <c r="Q186" t="s">
        <v>43</v>
      </c>
    </row>
    <row r="187" spans="1:22" customFormat="1" x14ac:dyDescent="0.25">
      <c r="D187" s="7" t="s">
        <v>5</v>
      </c>
      <c r="E187" s="2"/>
      <c r="F187" s="7" t="s">
        <v>6</v>
      </c>
      <c r="G187" s="2"/>
      <c r="H187" s="2"/>
      <c r="I187" s="1"/>
      <c r="J187" s="1"/>
      <c r="K187" s="1"/>
      <c r="L187" s="1"/>
      <c r="M187" s="2"/>
      <c r="N187" s="2"/>
      <c r="O187" s="7"/>
      <c r="P187" s="7" t="s">
        <v>5</v>
      </c>
      <c r="Q187" s="2"/>
      <c r="R187" s="7" t="s">
        <v>13</v>
      </c>
      <c r="S187" s="2"/>
    </row>
    <row r="188" spans="1:22" customFormat="1" x14ac:dyDescent="0.25">
      <c r="B188">
        <v>1000</v>
      </c>
      <c r="D188" s="2">
        <f>+C185+5</f>
        <v>1005</v>
      </c>
      <c r="E188" s="2" t="s">
        <v>8</v>
      </c>
      <c r="F188" s="2">
        <f>+F185-B188+5</f>
        <v>1005</v>
      </c>
      <c r="G188" s="3" t="s">
        <v>55</v>
      </c>
      <c r="H188" s="2">
        <f>+H185</f>
        <v>1</v>
      </c>
      <c r="I188" s="2"/>
      <c r="J188" s="2"/>
      <c r="K188" s="2" t="s">
        <v>3</v>
      </c>
      <c r="L188" s="2"/>
      <c r="M188" s="2"/>
      <c r="N188" s="2"/>
      <c r="O188" s="2"/>
      <c r="P188" s="20">
        <f>+D188-99</f>
        <v>906</v>
      </c>
      <c r="Q188" s="2" t="s">
        <v>8</v>
      </c>
      <c r="R188" s="2">
        <f>+F188-99</f>
        <v>906</v>
      </c>
      <c r="S188" s="2">
        <f>+H185</f>
        <v>1</v>
      </c>
    </row>
    <row r="189" spans="1:22" customFormat="1" x14ac:dyDescent="0.25">
      <c r="D189" s="20">
        <f>+C185+5</f>
        <v>1005</v>
      </c>
      <c r="E189" s="2" t="s">
        <v>8</v>
      </c>
      <c r="F189" s="2">
        <f>+B188+5</f>
        <v>1005</v>
      </c>
      <c r="G189" s="3" t="s">
        <v>56</v>
      </c>
      <c r="H189" s="2">
        <f>+H185</f>
        <v>1</v>
      </c>
      <c r="I189" s="2"/>
      <c r="J189" s="20">
        <f>+D189-68</f>
        <v>937</v>
      </c>
      <c r="K189" s="2" t="s">
        <v>8</v>
      </c>
      <c r="L189" s="2">
        <f>+F189-68</f>
        <v>937</v>
      </c>
      <c r="M189" s="2"/>
      <c r="N189" s="2">
        <f>+H185</f>
        <v>1</v>
      </c>
      <c r="O189" s="2"/>
      <c r="P189" s="20">
        <f>+J189-40</f>
        <v>897</v>
      </c>
      <c r="Q189" s="2" t="s">
        <v>8</v>
      </c>
      <c r="R189" s="2">
        <f>+L189-140</f>
        <v>797</v>
      </c>
      <c r="S189" s="2">
        <f>+H185</f>
        <v>1</v>
      </c>
    </row>
    <row r="190" spans="1:22" customFormat="1" x14ac:dyDescent="0.25">
      <c r="D190" s="34">
        <f>+D185-C185+5</f>
        <v>1005</v>
      </c>
      <c r="E190" s="36" t="s">
        <v>8</v>
      </c>
      <c r="F190">
        <f>+F185+5</f>
        <v>2005</v>
      </c>
      <c r="G190" s="28" t="s">
        <v>57</v>
      </c>
      <c r="J190" s="37"/>
      <c r="P190" s="20">
        <f>+D190-99</f>
        <v>906</v>
      </c>
      <c r="Q190" s="2" t="s">
        <v>8</v>
      </c>
      <c r="R190" s="2">
        <f>+F190-99</f>
        <v>1906</v>
      </c>
      <c r="S190" s="2">
        <v>1</v>
      </c>
    </row>
    <row r="191" spans="1:22" customFormat="1" x14ac:dyDescent="0.25">
      <c r="J191" s="37"/>
      <c r="P191" s="37"/>
    </row>
    <row r="192" spans="1:22" s="25" customFormat="1" x14ac:dyDescent="0.25">
      <c r="B192" s="25" t="s">
        <v>58</v>
      </c>
      <c r="L192" s="25" t="s">
        <v>59</v>
      </c>
      <c r="S192" s="38"/>
      <c r="U192" s="17"/>
      <c r="V192" s="39"/>
    </row>
    <row r="193" spans="2:22" x14ac:dyDescent="0.25">
      <c r="S193" s="2"/>
      <c r="U193" s="17"/>
      <c r="V193" s="40"/>
    </row>
    <row r="194" spans="2:22" x14ac:dyDescent="0.25">
      <c r="D194" s="4"/>
      <c r="E194" s="7" t="s">
        <v>2</v>
      </c>
      <c r="K194" s="7" t="s">
        <v>3</v>
      </c>
      <c r="Q194" s="7" t="s">
        <v>4</v>
      </c>
      <c r="S194" s="2"/>
      <c r="U194" s="17"/>
      <c r="V194" s="40"/>
    </row>
    <row r="195" spans="2:22" x14ac:dyDescent="0.25">
      <c r="D195" s="7" t="s">
        <v>5</v>
      </c>
      <c r="E195" s="2"/>
      <c r="F195" s="7" t="s">
        <v>6</v>
      </c>
      <c r="G195" s="2"/>
      <c r="H195" s="2"/>
      <c r="I195" s="2"/>
      <c r="J195" s="7" t="s">
        <v>5</v>
      </c>
      <c r="K195" s="2"/>
      <c r="L195" s="7" t="s">
        <v>6</v>
      </c>
      <c r="M195" s="7"/>
      <c r="N195" s="2"/>
      <c r="O195" s="2"/>
      <c r="P195" s="7" t="s">
        <v>5</v>
      </c>
      <c r="Q195" s="2"/>
      <c r="R195" s="7" t="s">
        <v>6</v>
      </c>
      <c r="S195" s="2"/>
      <c r="U195" s="17"/>
      <c r="V195" s="40"/>
    </row>
    <row r="196" spans="2:22" x14ac:dyDescent="0.25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U196" s="17"/>
      <c r="V196" s="40"/>
    </row>
    <row r="197" spans="2:22" x14ac:dyDescent="0.25">
      <c r="D197" s="2">
        <v>1005</v>
      </c>
      <c r="E197" s="2" t="s">
        <v>8</v>
      </c>
      <c r="F197" s="2">
        <v>2003</v>
      </c>
      <c r="G197" s="2"/>
      <c r="H197" s="2">
        <v>1</v>
      </c>
      <c r="I197" s="2"/>
      <c r="J197" s="2">
        <f>+D197-68</f>
        <v>937</v>
      </c>
      <c r="K197" s="2" t="s">
        <v>8</v>
      </c>
      <c r="L197" s="2">
        <f>+F197-21</f>
        <v>1982</v>
      </c>
      <c r="M197" s="2"/>
      <c r="N197" s="2">
        <f>+H197</f>
        <v>1</v>
      </c>
      <c r="O197" s="2"/>
      <c r="P197" s="11">
        <f>+J197-186</f>
        <v>751</v>
      </c>
      <c r="Q197" s="7" t="s">
        <v>8</v>
      </c>
      <c r="R197" s="11">
        <f>+L197-186</f>
        <v>1796</v>
      </c>
      <c r="S197" s="2">
        <f>+N197</f>
        <v>1</v>
      </c>
      <c r="U197" s="2"/>
    </row>
    <row r="198" spans="2:22" x14ac:dyDescent="0.25">
      <c r="J198" s="27" t="s">
        <v>60</v>
      </c>
      <c r="S198" s="2"/>
      <c r="U198" s="2"/>
    </row>
    <row r="199" spans="2:22" x14ac:dyDescent="0.25">
      <c r="B199" s="1"/>
      <c r="D199" s="1" t="s">
        <v>61</v>
      </c>
      <c r="U199" s="2"/>
    </row>
    <row r="200" spans="2:22" x14ac:dyDescent="0.25">
      <c r="B200" s="1"/>
      <c r="U200" s="2"/>
    </row>
    <row r="201" spans="2:22" s="25" customFormat="1" x14ac:dyDescent="0.25">
      <c r="B201" s="25" t="s">
        <v>58</v>
      </c>
      <c r="S201" s="38"/>
      <c r="U201" s="17"/>
      <c r="V201" s="39"/>
    </row>
    <row r="202" spans="2:22" x14ac:dyDescent="0.25">
      <c r="S202" s="2"/>
      <c r="U202" s="17">
        <f>42-8</f>
        <v>34</v>
      </c>
      <c r="V202" s="40">
        <f>+F206-U202</f>
        <v>1998</v>
      </c>
    </row>
    <row r="203" spans="2:22" x14ac:dyDescent="0.25">
      <c r="D203" s="4"/>
      <c r="E203" s="7" t="s">
        <v>2</v>
      </c>
      <c r="K203" s="7" t="s">
        <v>120</v>
      </c>
      <c r="Q203" s="7" t="s">
        <v>4</v>
      </c>
      <c r="S203" s="2"/>
      <c r="U203" s="17"/>
      <c r="V203" s="40"/>
    </row>
    <row r="204" spans="2:22" x14ac:dyDescent="0.25">
      <c r="D204" s="7" t="s">
        <v>5</v>
      </c>
      <c r="E204" s="2"/>
      <c r="F204" s="7" t="s">
        <v>6</v>
      </c>
      <c r="G204" s="2"/>
      <c r="H204" s="2"/>
      <c r="I204" s="2"/>
      <c r="J204" s="7" t="s">
        <v>5</v>
      </c>
      <c r="K204" s="2"/>
      <c r="L204" s="7" t="s">
        <v>6</v>
      </c>
      <c r="M204" s="7"/>
      <c r="N204" s="2"/>
      <c r="O204" s="2"/>
      <c r="P204" s="7" t="s">
        <v>5</v>
      </c>
      <c r="Q204" s="2"/>
      <c r="R204" s="7" t="s">
        <v>6</v>
      </c>
      <c r="S204" s="2"/>
      <c r="U204" s="17"/>
      <c r="V204" s="40"/>
    </row>
    <row r="205" spans="2:22" x14ac:dyDescent="0.25"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U205" s="17"/>
      <c r="V205" s="40"/>
    </row>
    <row r="206" spans="2:22" x14ac:dyDescent="0.25">
      <c r="D206" s="2">
        <v>950</v>
      </c>
      <c r="E206" s="2" t="s">
        <v>8</v>
      </c>
      <c r="F206" s="2">
        <v>2032</v>
      </c>
      <c r="G206" s="2"/>
      <c r="H206" s="2">
        <v>1</v>
      </c>
      <c r="I206" s="2"/>
      <c r="J206" s="2">
        <f>+D206-68</f>
        <v>882</v>
      </c>
      <c r="K206" s="2" t="s">
        <v>8</v>
      </c>
      <c r="L206" s="2">
        <f>+F206-34</f>
        <v>1998</v>
      </c>
      <c r="M206" s="2"/>
      <c r="N206" s="2">
        <f>+H206</f>
        <v>1</v>
      </c>
      <c r="O206" s="2"/>
      <c r="P206" s="11">
        <f>+J206-186</f>
        <v>696</v>
      </c>
      <c r="Q206" s="7" t="s">
        <v>8</v>
      </c>
      <c r="R206" s="11">
        <f>+L206-186</f>
        <v>1812</v>
      </c>
      <c r="S206" s="2">
        <f>+N206</f>
        <v>1</v>
      </c>
      <c r="U206" s="2"/>
    </row>
    <row r="207" spans="2:22" x14ac:dyDescent="0.25">
      <c r="J207" s="27" t="s">
        <v>122</v>
      </c>
      <c r="S207" s="2"/>
      <c r="U207" s="2"/>
    </row>
    <row r="208" spans="2:22" x14ac:dyDescent="0.25">
      <c r="B208" s="1"/>
      <c r="D208" s="1" t="s">
        <v>61</v>
      </c>
      <c r="U208" s="2"/>
    </row>
    <row r="209" spans="2:22" x14ac:dyDescent="0.25">
      <c r="B209" s="1"/>
      <c r="U209" s="2"/>
    </row>
    <row r="210" spans="2:22" s="25" customFormat="1" x14ac:dyDescent="0.25">
      <c r="B210" s="25" t="s">
        <v>62</v>
      </c>
      <c r="S210" s="38"/>
      <c r="U210" s="17"/>
      <c r="V210" s="39"/>
    </row>
    <row r="211" spans="2:22" x14ac:dyDescent="0.25">
      <c r="S211" s="2"/>
      <c r="U211" s="17"/>
      <c r="V211" s="40"/>
    </row>
    <row r="212" spans="2:22" x14ac:dyDescent="0.25">
      <c r="D212" s="4"/>
      <c r="E212" s="7" t="s">
        <v>2</v>
      </c>
      <c r="K212" s="7" t="s">
        <v>3</v>
      </c>
      <c r="Q212" s="7" t="s">
        <v>4</v>
      </c>
      <c r="S212" s="2"/>
      <c r="U212" s="17"/>
      <c r="V212" s="40"/>
    </row>
    <row r="213" spans="2:22" x14ac:dyDescent="0.25">
      <c r="D213" s="7" t="s">
        <v>5</v>
      </c>
      <c r="E213" s="2"/>
      <c r="F213" s="7" t="s">
        <v>6</v>
      </c>
      <c r="G213" s="2"/>
      <c r="H213" s="2"/>
      <c r="I213" s="2"/>
      <c r="J213" s="7" t="s">
        <v>5</v>
      </c>
      <c r="K213" s="2"/>
      <c r="L213" s="7" t="s">
        <v>6</v>
      </c>
      <c r="M213" s="7"/>
      <c r="N213" s="2"/>
      <c r="O213" s="2"/>
      <c r="P213" s="7" t="s">
        <v>5</v>
      </c>
      <c r="Q213" s="2"/>
      <c r="R213" s="7" t="s">
        <v>6</v>
      </c>
      <c r="S213" s="2"/>
      <c r="U213" s="17"/>
      <c r="V213" s="40"/>
    </row>
    <row r="214" spans="2:22" x14ac:dyDescent="0.25"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U214" s="17"/>
      <c r="V214" s="40"/>
    </row>
    <row r="215" spans="2:22" x14ac:dyDescent="0.25">
      <c r="D215" s="2">
        <f>1400-5</f>
        <v>1395</v>
      </c>
      <c r="E215" s="2" t="s">
        <v>8</v>
      </c>
      <c r="F215" s="2">
        <f>2004-5</f>
        <v>1999</v>
      </c>
      <c r="G215" s="2"/>
      <c r="H215" s="2">
        <v>1</v>
      </c>
      <c r="I215" s="2"/>
      <c r="J215" s="2">
        <f>+D215-68</f>
        <v>1327</v>
      </c>
      <c r="K215" s="2" t="s">
        <v>8</v>
      </c>
      <c r="L215" s="2">
        <f>+F215-68</f>
        <v>1931</v>
      </c>
      <c r="M215" s="2"/>
      <c r="N215" s="2">
        <f>+H215</f>
        <v>1</v>
      </c>
      <c r="O215" s="2"/>
      <c r="P215" s="11">
        <f>+J215-186</f>
        <v>1141</v>
      </c>
      <c r="Q215" s="7" t="s">
        <v>8</v>
      </c>
      <c r="R215" s="11">
        <f>+L215-186</f>
        <v>1745</v>
      </c>
      <c r="S215" s="2">
        <f>+N215</f>
        <v>1</v>
      </c>
      <c r="U215" s="2"/>
    </row>
    <row r="216" spans="2:22" x14ac:dyDescent="0.25">
      <c r="J216" s="27"/>
      <c r="S216" s="2"/>
      <c r="U216" s="2"/>
    </row>
    <row r="217" spans="2:22" s="25" customFormat="1" x14ac:dyDescent="0.25">
      <c r="B217" s="25" t="s">
        <v>62</v>
      </c>
      <c r="S217" s="38"/>
      <c r="U217" s="17"/>
      <c r="V217" s="39"/>
    </row>
    <row r="218" spans="2:22" x14ac:dyDescent="0.25">
      <c r="S218" s="2"/>
      <c r="U218" s="17"/>
      <c r="V218" s="40"/>
    </row>
    <row r="219" spans="2:22" x14ac:dyDescent="0.25">
      <c r="D219" s="4"/>
      <c r="E219" s="7" t="s">
        <v>2</v>
      </c>
      <c r="K219" s="7" t="s">
        <v>3</v>
      </c>
      <c r="Q219" s="7" t="s">
        <v>4</v>
      </c>
      <c r="S219" s="2"/>
      <c r="U219" s="17"/>
      <c r="V219" s="40"/>
    </row>
    <row r="220" spans="2:22" x14ac:dyDescent="0.25">
      <c r="D220" s="7" t="s">
        <v>5</v>
      </c>
      <c r="E220" s="2"/>
      <c r="F220" s="7" t="s">
        <v>6</v>
      </c>
      <c r="G220" s="2"/>
      <c r="H220" s="2"/>
      <c r="I220" s="2"/>
      <c r="J220" s="7" t="s">
        <v>5</v>
      </c>
      <c r="K220" s="2"/>
      <c r="L220" s="7" t="s">
        <v>6</v>
      </c>
      <c r="M220" s="7"/>
      <c r="N220" s="2"/>
      <c r="O220" s="2"/>
      <c r="P220" s="7" t="s">
        <v>5</v>
      </c>
      <c r="Q220" s="2"/>
      <c r="R220" s="7" t="s">
        <v>6</v>
      </c>
      <c r="S220" s="2"/>
      <c r="U220" s="17"/>
      <c r="V220" s="40"/>
    </row>
    <row r="221" spans="2:22" x14ac:dyDescent="0.25"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U221" s="17"/>
      <c r="V221" s="40"/>
    </row>
    <row r="222" spans="2:22" x14ac:dyDescent="0.25">
      <c r="D222" s="2">
        <f>1400-5</f>
        <v>1395</v>
      </c>
      <c r="E222" s="2" t="s">
        <v>8</v>
      </c>
      <c r="F222" s="2">
        <f>2004-5</f>
        <v>1999</v>
      </c>
      <c r="G222" s="2"/>
      <c r="H222" s="2">
        <v>1</v>
      </c>
      <c r="I222" s="2"/>
      <c r="J222" s="2">
        <f>+D222-68</f>
        <v>1327</v>
      </c>
      <c r="K222" s="2" t="s">
        <v>8</v>
      </c>
      <c r="L222" s="2">
        <f>+F222-68</f>
        <v>1931</v>
      </c>
      <c r="M222" s="2"/>
      <c r="N222" s="2">
        <f>+H222</f>
        <v>1</v>
      </c>
      <c r="O222" s="2"/>
      <c r="P222" s="11">
        <f>+J222-186</f>
        <v>1141</v>
      </c>
      <c r="Q222" s="7" t="s">
        <v>8</v>
      </c>
      <c r="R222" s="11">
        <f>+L222-186</f>
        <v>1745</v>
      </c>
      <c r="S222" s="2">
        <f>+N222</f>
        <v>1</v>
      </c>
      <c r="U222" s="2"/>
    </row>
    <row r="223" spans="2:22" x14ac:dyDescent="0.25">
      <c r="B223" s="6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S223" s="2"/>
    </row>
    <row r="224" spans="2:22" s="4" customFormat="1" ht="12.75" x14ac:dyDescent="0.2">
      <c r="B224" s="7" t="s">
        <v>121</v>
      </c>
      <c r="C224" s="10" t="s">
        <v>64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S224" s="7"/>
    </row>
    <row r="225" spans="2:19" s="4" customFormat="1" ht="12.75" x14ac:dyDescent="0.2">
      <c r="B225" s="7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7"/>
    </row>
    <row r="226" spans="2:19" s="4" customFormat="1" ht="12.75" x14ac:dyDescent="0.2">
      <c r="B226" s="7"/>
      <c r="D226" s="7"/>
      <c r="E226" s="8"/>
      <c r="F226" s="8"/>
      <c r="G226" s="8"/>
      <c r="H226" s="8"/>
      <c r="I226" s="8"/>
      <c r="J226" s="27" t="s">
        <v>122</v>
      </c>
      <c r="K226" s="8"/>
      <c r="L226" s="8"/>
      <c r="M226" s="8"/>
      <c r="N226" s="8"/>
      <c r="O226" s="8"/>
      <c r="P226" s="8"/>
      <c r="Q226" s="7" t="s">
        <v>4</v>
      </c>
      <c r="R226" s="8"/>
      <c r="S226" s="7"/>
    </row>
    <row r="227" spans="2:19" s="4" customFormat="1" ht="12.75" x14ac:dyDescent="0.2">
      <c r="B227" s="7"/>
      <c r="D227" s="7"/>
      <c r="E227" s="7" t="s">
        <v>2</v>
      </c>
      <c r="F227" s="7"/>
      <c r="G227" s="7"/>
      <c r="H227" s="7"/>
      <c r="I227" s="7"/>
      <c r="J227" s="7"/>
      <c r="K227" s="7" t="s">
        <v>65</v>
      </c>
      <c r="L227" s="7"/>
      <c r="M227" s="7"/>
      <c r="N227" s="7"/>
      <c r="O227" s="7"/>
      <c r="P227" s="11"/>
      <c r="Q227" s="7"/>
      <c r="R227" s="7"/>
      <c r="S227" s="7"/>
    </row>
    <row r="228" spans="2:19" s="4" customFormat="1" x14ac:dyDescent="0.25">
      <c r="B228" s="7"/>
      <c r="D228" s="7">
        <v>1605</v>
      </c>
      <c r="E228" s="7" t="s">
        <v>8</v>
      </c>
      <c r="F228" s="7">
        <v>2202</v>
      </c>
      <c r="G228" s="7"/>
      <c r="H228" s="7">
        <v>1</v>
      </c>
      <c r="I228" s="7"/>
      <c r="J228" s="11">
        <f>+(D228/2)-32</f>
        <v>770.5</v>
      </c>
      <c r="K228" s="7" t="s">
        <v>8</v>
      </c>
      <c r="L228" s="2">
        <f>+F228-34</f>
        <v>2168</v>
      </c>
      <c r="M228" s="7">
        <f>+H228*2</f>
        <v>2</v>
      </c>
      <c r="N228" s="7"/>
      <c r="O228" s="7"/>
      <c r="P228" s="11">
        <f>+J228-186</f>
        <v>584.5</v>
      </c>
      <c r="Q228" s="7" t="s">
        <v>8</v>
      </c>
      <c r="R228" s="11">
        <f>+L228-186</f>
        <v>1982</v>
      </c>
      <c r="S228" s="7">
        <f>+M228</f>
        <v>2</v>
      </c>
    </row>
    <row r="229" spans="2:19" s="4" customFormat="1" ht="12.75" x14ac:dyDescent="0.2">
      <c r="B229" s="7"/>
      <c r="Q229" s="7"/>
    </row>
    <row r="230" spans="2:19" s="4" customFormat="1" ht="12.75" x14ac:dyDescent="0.2">
      <c r="B230" s="7" t="s">
        <v>63</v>
      </c>
      <c r="C230" s="10" t="s">
        <v>66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S230" s="7"/>
    </row>
    <row r="231" spans="2:19" s="4" customFormat="1" ht="12.75" x14ac:dyDescent="0.2">
      <c r="B231" s="7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7"/>
    </row>
    <row r="232" spans="2:19" s="4" customFormat="1" ht="12.75" x14ac:dyDescent="0.2">
      <c r="B232" s="7"/>
      <c r="D232" s="7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7" t="s">
        <v>4</v>
      </c>
      <c r="R232" s="8"/>
      <c r="S232" s="7"/>
    </row>
    <row r="233" spans="2:19" s="4" customFormat="1" ht="12.75" x14ac:dyDescent="0.2">
      <c r="B233" s="7"/>
      <c r="D233" s="7"/>
      <c r="E233" s="7" t="s">
        <v>2</v>
      </c>
      <c r="F233" s="7"/>
      <c r="G233" s="7"/>
      <c r="H233" s="7"/>
      <c r="I233" s="7"/>
      <c r="J233" s="7"/>
      <c r="K233" s="7" t="s">
        <v>65</v>
      </c>
      <c r="L233" s="7"/>
      <c r="M233" s="7"/>
      <c r="N233" s="7"/>
      <c r="O233" s="7"/>
      <c r="P233" s="11"/>
      <c r="Q233" s="7"/>
      <c r="R233" s="7"/>
      <c r="S233" s="7"/>
    </row>
    <row r="234" spans="2:19" s="4" customFormat="1" ht="12.75" x14ac:dyDescent="0.2">
      <c r="B234" s="7"/>
      <c r="D234" s="7">
        <v>1805</v>
      </c>
      <c r="E234" s="7" t="s">
        <v>8</v>
      </c>
      <c r="F234" s="7">
        <v>2103</v>
      </c>
      <c r="G234" s="7"/>
      <c r="H234" s="7">
        <v>1</v>
      </c>
      <c r="I234" s="7"/>
      <c r="J234" s="11">
        <f>+(D234/2)-33</f>
        <v>869.5</v>
      </c>
      <c r="K234" s="7" t="s">
        <v>8</v>
      </c>
      <c r="L234" s="7">
        <f>+F234-21</f>
        <v>2082</v>
      </c>
      <c r="M234" s="7">
        <f>+H234*2</f>
        <v>2</v>
      </c>
      <c r="N234" s="7"/>
      <c r="O234" s="7"/>
      <c r="P234" s="11">
        <f>+J234-186</f>
        <v>683.5</v>
      </c>
      <c r="Q234" s="7" t="s">
        <v>8</v>
      </c>
      <c r="R234" s="11">
        <f>+L234-186</f>
        <v>1896</v>
      </c>
      <c r="S234" s="7">
        <f>+M234</f>
        <v>2</v>
      </c>
    </row>
    <row r="235" spans="2:19" x14ac:dyDescent="0.25">
      <c r="B235" s="6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S235" s="2"/>
    </row>
    <row r="236" spans="2:19" x14ac:dyDescent="0.25">
      <c r="B236" s="6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S236" s="2"/>
    </row>
    <row r="237" spans="2:19" x14ac:dyDescent="0.25">
      <c r="B237" s="6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S237" s="2"/>
    </row>
    <row r="238" spans="2:19" x14ac:dyDescent="0.25">
      <c r="B238" s="6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S238" s="2"/>
    </row>
    <row r="239" spans="2:19" x14ac:dyDescent="0.25">
      <c r="B239" s="6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S239" s="2"/>
    </row>
    <row r="240" spans="2:19" x14ac:dyDescent="0.25">
      <c r="B240" s="6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S240" s="2"/>
    </row>
    <row r="241" spans="2:19" x14ac:dyDescent="0.25">
      <c r="B241" s="6" t="s">
        <v>67</v>
      </c>
      <c r="C241" s="4" t="s">
        <v>68</v>
      </c>
      <c r="D241" s="4"/>
      <c r="E241" s="7" t="s">
        <v>2</v>
      </c>
      <c r="K241" s="7" t="s">
        <v>3</v>
      </c>
      <c r="Q241" s="7" t="s">
        <v>4</v>
      </c>
      <c r="S241" s="2"/>
    </row>
    <row r="242" spans="2:19" x14ac:dyDescent="0.25">
      <c r="B242" s="6"/>
      <c r="D242" s="7" t="s">
        <v>5</v>
      </c>
      <c r="E242" s="2"/>
      <c r="F242" s="7" t="s">
        <v>6</v>
      </c>
      <c r="G242" s="2"/>
      <c r="H242" s="2"/>
      <c r="I242" s="2"/>
      <c r="J242" s="7" t="s">
        <v>5</v>
      </c>
      <c r="K242" s="2"/>
      <c r="L242" s="7" t="s">
        <v>6</v>
      </c>
      <c r="M242" s="7"/>
      <c r="N242" s="2"/>
      <c r="O242" s="2"/>
      <c r="P242" s="7" t="s">
        <v>5</v>
      </c>
      <c r="Q242" s="2"/>
      <c r="R242" s="7" t="s">
        <v>6</v>
      </c>
      <c r="S242" s="2"/>
    </row>
    <row r="243" spans="2:19" x14ac:dyDescent="0.25">
      <c r="B243" s="6"/>
      <c r="D243" s="2"/>
      <c r="E243" s="2"/>
      <c r="F243" s="2"/>
      <c r="G243" s="2"/>
      <c r="H243" s="2"/>
      <c r="I243" s="2"/>
      <c r="J243" s="2"/>
      <c r="K243" s="8"/>
      <c r="L243" s="2"/>
      <c r="M243" s="2"/>
      <c r="N243" s="2"/>
      <c r="O243" s="2"/>
      <c r="P243" s="2"/>
      <c r="Q243" s="9" t="s">
        <v>7</v>
      </c>
      <c r="R243" s="2"/>
      <c r="S243" s="2"/>
    </row>
    <row r="244" spans="2:19" x14ac:dyDescent="0.25">
      <c r="B244" s="6"/>
      <c r="D244" s="2">
        <f>795-5</f>
        <v>790</v>
      </c>
      <c r="E244" s="2" t="s">
        <v>8</v>
      </c>
      <c r="F244" s="2">
        <v>795</v>
      </c>
      <c r="G244" s="2"/>
      <c r="H244" s="2">
        <v>1</v>
      </c>
      <c r="I244" s="2"/>
      <c r="J244" s="2">
        <f>+D244-68</f>
        <v>722</v>
      </c>
      <c r="K244" s="7" t="s">
        <v>8</v>
      </c>
      <c r="L244" s="2">
        <f>+F244-68</f>
        <v>727</v>
      </c>
      <c r="M244" s="2"/>
      <c r="N244" s="2">
        <v>1</v>
      </c>
      <c r="O244" s="2"/>
      <c r="P244" s="2">
        <f>+J244-140</f>
        <v>582</v>
      </c>
      <c r="Q244" s="7" t="s">
        <v>8</v>
      </c>
      <c r="R244" s="2">
        <f>+L244-140</f>
        <v>587</v>
      </c>
      <c r="S244" s="2">
        <f>+N244</f>
        <v>1</v>
      </c>
    </row>
    <row r="245" spans="2:19" x14ac:dyDescent="0.25">
      <c r="B245" s="6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S245" s="2"/>
    </row>
    <row r="246" spans="2:19" x14ac:dyDescent="0.25">
      <c r="B246" s="6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S246" s="2"/>
    </row>
    <row r="247" spans="2:19" x14ac:dyDescent="0.25">
      <c r="B247" s="7" t="s">
        <v>69</v>
      </c>
      <c r="C247" s="4" t="s">
        <v>70</v>
      </c>
      <c r="D247" s="7" t="s">
        <v>5</v>
      </c>
      <c r="E247" s="2"/>
      <c r="F247" s="7" t="s">
        <v>6</v>
      </c>
      <c r="G247" s="2"/>
      <c r="H247" s="2"/>
      <c r="I247" s="2"/>
      <c r="N247" s="2"/>
      <c r="O247" s="2"/>
      <c r="P247" s="7" t="s">
        <v>5</v>
      </c>
      <c r="Q247" s="2"/>
      <c r="R247" s="7" t="s">
        <v>13</v>
      </c>
      <c r="S247" s="2"/>
    </row>
    <row r="248" spans="2:19" x14ac:dyDescent="0.25">
      <c r="B248" s="14"/>
      <c r="C248" s="12" t="s">
        <v>14</v>
      </c>
      <c r="D248" s="13">
        <f>2400+-5</f>
        <v>2395</v>
      </c>
      <c r="E248" s="13" t="s">
        <v>8</v>
      </c>
      <c r="F248" s="13">
        <f>1900-5</f>
        <v>1895</v>
      </c>
      <c r="G248" s="13"/>
      <c r="H248" s="13">
        <v>1</v>
      </c>
      <c r="I248" s="13"/>
      <c r="J248" s="13"/>
      <c r="K248" s="8"/>
      <c r="L248" s="13"/>
      <c r="M248" s="13"/>
      <c r="N248" s="13"/>
      <c r="O248" s="13"/>
      <c r="P248" s="13">
        <f>+D248-100</f>
        <v>2295</v>
      </c>
      <c r="Q248" s="13" t="s">
        <v>8</v>
      </c>
      <c r="R248" s="13">
        <f>+(F248-203)/3</f>
        <v>564</v>
      </c>
      <c r="S248" s="13">
        <f>+H248</f>
        <v>1</v>
      </c>
    </row>
    <row r="249" spans="2:19" x14ac:dyDescent="0.25">
      <c r="B249" s="14">
        <v>0.33</v>
      </c>
      <c r="C249" s="12" t="s">
        <v>15</v>
      </c>
      <c r="D249" s="2">
        <f>+D248-130</f>
        <v>2265</v>
      </c>
      <c r="E249" s="2"/>
      <c r="F249" s="2">
        <f>+F248-130</f>
        <v>1765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S249" s="2"/>
    </row>
    <row r="250" spans="2:19" x14ac:dyDescent="0.25">
      <c r="B250" s="14">
        <v>0.33</v>
      </c>
      <c r="D250" s="8">
        <f>+D248+43</f>
        <v>2438</v>
      </c>
      <c r="E250" s="8"/>
      <c r="F250" s="8">
        <f>+F248+43</f>
        <v>1938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S250" s="2"/>
    </row>
    <row r="251" spans="2:19" x14ac:dyDescent="0.25">
      <c r="B251" s="14">
        <v>0.33</v>
      </c>
      <c r="Q251" s="7"/>
    </row>
    <row r="252" spans="2:19" x14ac:dyDescent="0.25">
      <c r="B252" s="6"/>
      <c r="C252" s="4"/>
      <c r="D252" s="4"/>
      <c r="E252" s="7"/>
      <c r="K252" s="7"/>
      <c r="Q252" s="7"/>
      <c r="S252" s="2"/>
    </row>
    <row r="253" spans="2:19" x14ac:dyDescent="0.25">
      <c r="B253" s="7" t="s">
        <v>71</v>
      </c>
      <c r="C253" s="4" t="s">
        <v>72</v>
      </c>
      <c r="D253" s="7" t="s">
        <v>5</v>
      </c>
      <c r="E253" s="2"/>
      <c r="F253" s="7" t="s">
        <v>6</v>
      </c>
      <c r="G253" s="2"/>
      <c r="H253" s="2"/>
      <c r="I253" s="2"/>
      <c r="N253" s="2"/>
      <c r="O253" s="2"/>
      <c r="P253" s="7" t="s">
        <v>5</v>
      </c>
      <c r="Q253" s="2"/>
      <c r="R253" s="7" t="s">
        <v>13</v>
      </c>
      <c r="S253" s="2"/>
    </row>
    <row r="254" spans="2:19" x14ac:dyDescent="0.25">
      <c r="B254" s="14">
        <v>0.33</v>
      </c>
      <c r="C254" s="12" t="s">
        <v>14</v>
      </c>
      <c r="D254" s="13">
        <f>1550-5</f>
        <v>1545</v>
      </c>
      <c r="E254" s="13" t="s">
        <v>8</v>
      </c>
      <c r="F254" s="13">
        <f>1900-5</f>
        <v>1895</v>
      </c>
      <c r="G254" s="13"/>
      <c r="H254" s="13">
        <v>1</v>
      </c>
      <c r="I254" s="13"/>
      <c r="J254" s="13"/>
      <c r="K254" s="8"/>
      <c r="L254" s="13"/>
      <c r="M254" s="13"/>
      <c r="N254" s="13"/>
      <c r="O254" s="13"/>
      <c r="P254" s="13">
        <f>+D254-100</f>
        <v>1445</v>
      </c>
      <c r="Q254" s="13" t="s">
        <v>8</v>
      </c>
      <c r="R254" s="13">
        <f>+(F254-203)/3</f>
        <v>564</v>
      </c>
      <c r="S254" s="13">
        <f>+H254</f>
        <v>1</v>
      </c>
    </row>
    <row r="255" spans="2:19" x14ac:dyDescent="0.25">
      <c r="B255" s="14">
        <v>0.33</v>
      </c>
      <c r="C255" s="12" t="s">
        <v>15</v>
      </c>
      <c r="D255" s="2">
        <f>+D254-130</f>
        <v>1415</v>
      </c>
      <c r="E255" s="2"/>
      <c r="F255" s="2">
        <f>+F254-130</f>
        <v>1765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S255" s="2"/>
    </row>
    <row r="256" spans="2:19" x14ac:dyDescent="0.25">
      <c r="B256" s="14">
        <v>0.33</v>
      </c>
      <c r="D256" s="8">
        <f>+D254+43</f>
        <v>1588</v>
      </c>
      <c r="E256" s="8"/>
      <c r="F256" s="8">
        <f>+F254+43</f>
        <v>1938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S256" s="2"/>
    </row>
    <row r="257" spans="2:19" x14ac:dyDescent="0.25">
      <c r="Q257" s="7"/>
    </row>
    <row r="258" spans="2:19" x14ac:dyDescent="0.25">
      <c r="B258" s="4" t="s">
        <v>41</v>
      </c>
      <c r="C258" s="4" t="s">
        <v>73</v>
      </c>
    </row>
    <row r="259" spans="2:19" x14ac:dyDescent="0.25">
      <c r="B259" s="1"/>
      <c r="C259" s="15" t="s">
        <v>38</v>
      </c>
      <c r="D259" s="16" t="s">
        <v>5</v>
      </c>
      <c r="E259" s="15"/>
      <c r="F259" s="16" t="s">
        <v>6</v>
      </c>
      <c r="G259" s="2"/>
      <c r="H259" s="2"/>
      <c r="J259" s="4"/>
    </row>
    <row r="260" spans="2:19" x14ac:dyDescent="0.25">
      <c r="B260" s="1"/>
      <c r="C260" s="15">
        <v>693</v>
      </c>
      <c r="D260" s="16">
        <f>2400-10</f>
        <v>2390</v>
      </c>
      <c r="E260" s="15" t="s">
        <v>8</v>
      </c>
      <c r="F260" s="15">
        <f>1400-10</f>
        <v>1390</v>
      </c>
      <c r="H260" s="17">
        <v>1</v>
      </c>
      <c r="L260" s="2"/>
      <c r="M260" s="2"/>
      <c r="N260" s="7"/>
      <c r="O260" s="2"/>
      <c r="P260" s="7"/>
      <c r="Q260" s="2"/>
    </row>
    <row r="261" spans="2:19" x14ac:dyDescent="0.25">
      <c r="B261" s="1"/>
      <c r="D261" s="7"/>
      <c r="E261" s="2" t="s">
        <v>18</v>
      </c>
      <c r="F261" s="7"/>
      <c r="G261" s="2"/>
      <c r="H261" s="2"/>
      <c r="L261" s="2"/>
      <c r="M261" s="2"/>
      <c r="N261" s="7"/>
      <c r="O261" s="2"/>
      <c r="P261" s="7"/>
    </row>
    <row r="262" spans="2:19" x14ac:dyDescent="0.25">
      <c r="B262" s="1"/>
      <c r="D262" s="7" t="s">
        <v>5</v>
      </c>
      <c r="E262" s="2"/>
      <c r="F262" s="7" t="s">
        <v>6</v>
      </c>
      <c r="G262" s="2"/>
      <c r="H262" s="2"/>
      <c r="M262" s="2"/>
      <c r="N262" s="2"/>
      <c r="O262" s="7"/>
      <c r="P262" s="7" t="s">
        <v>5</v>
      </c>
      <c r="Q262" s="2"/>
      <c r="R262" s="7" t="s">
        <v>13</v>
      </c>
      <c r="S262" s="2"/>
    </row>
    <row r="263" spans="2:19" x14ac:dyDescent="0.25">
      <c r="B263" s="1"/>
      <c r="D263" s="2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0"/>
      <c r="Q263" s="2"/>
      <c r="R263" s="2"/>
      <c r="S263" s="2"/>
    </row>
    <row r="264" spans="2:19" x14ac:dyDescent="0.25">
      <c r="B264" s="1"/>
      <c r="D264" s="26">
        <f>+(D260/2)+3</f>
        <v>1198</v>
      </c>
      <c r="E264" s="2" t="s">
        <v>8</v>
      </c>
      <c r="F264" s="2">
        <f>+C260+5</f>
        <v>698</v>
      </c>
      <c r="G264" s="2"/>
      <c r="H264" s="2">
        <v>2</v>
      </c>
      <c r="I264" s="2"/>
      <c r="J264" s="26">
        <f>+D264-68</f>
        <v>1130</v>
      </c>
      <c r="K264" s="7" t="s">
        <v>8</v>
      </c>
      <c r="L264" s="2">
        <f>+F264-68</f>
        <v>630</v>
      </c>
      <c r="M264" s="2"/>
      <c r="N264" s="2">
        <v>2</v>
      </c>
      <c r="O264" s="2"/>
      <c r="P264" s="26">
        <f>+J264-140</f>
        <v>990</v>
      </c>
      <c r="Q264" s="2" t="s">
        <v>8</v>
      </c>
      <c r="R264" s="2">
        <f>+L264-140</f>
        <v>490</v>
      </c>
      <c r="S264" s="2">
        <f>+N264</f>
        <v>2</v>
      </c>
    </row>
    <row r="265" spans="2:19" x14ac:dyDescent="0.25">
      <c r="B265" s="1"/>
      <c r="D265" s="26">
        <f>+D260+5</f>
        <v>2395</v>
      </c>
      <c r="E265" s="17" t="s">
        <v>8</v>
      </c>
      <c r="F265" s="2">
        <f>+F260+1-C260</f>
        <v>698</v>
      </c>
      <c r="H265" s="2">
        <v>1</v>
      </c>
      <c r="J265" s="21"/>
      <c r="P265" s="20">
        <f>+D265-99</f>
        <v>2296</v>
      </c>
      <c r="Q265" s="2" t="s">
        <v>8</v>
      </c>
      <c r="R265" s="2">
        <f>+F265-99</f>
        <v>599</v>
      </c>
      <c r="S265" s="1">
        <v>1</v>
      </c>
    </row>
    <row r="266" spans="2:19" x14ac:dyDescent="0.25">
      <c r="B266" s="1"/>
      <c r="P266" s="20"/>
      <c r="Q266" s="4"/>
      <c r="R266" s="2"/>
    </row>
    <row r="267" spans="2:19" x14ac:dyDescent="0.25">
      <c r="B267" s="1"/>
      <c r="K267" s="7"/>
      <c r="Q267" s="7"/>
      <c r="S267" s="2"/>
    </row>
    <row r="268" spans="2:19" x14ac:dyDescent="0.25">
      <c r="B268" s="6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S268" s="2"/>
    </row>
    <row r="269" spans="2:19" x14ac:dyDescent="0.25">
      <c r="B269" s="4" t="s">
        <v>74</v>
      </c>
      <c r="C269" s="4" t="s">
        <v>75</v>
      </c>
      <c r="L269" s="4" t="s">
        <v>76</v>
      </c>
    </row>
    <row r="270" spans="2:19" x14ac:dyDescent="0.25">
      <c r="B270" s="1"/>
      <c r="C270" s="15" t="s">
        <v>38</v>
      </c>
      <c r="D270" s="16" t="s">
        <v>5</v>
      </c>
      <c r="E270" s="15"/>
      <c r="F270" s="16" t="s">
        <v>6</v>
      </c>
      <c r="G270" s="2"/>
      <c r="H270" s="2"/>
      <c r="J270" s="4"/>
    </row>
    <row r="271" spans="2:19" x14ac:dyDescent="0.25">
      <c r="B271" s="1"/>
      <c r="C271" s="15">
        <v>697</v>
      </c>
      <c r="D271" s="16">
        <f>1540-10</f>
        <v>1530</v>
      </c>
      <c r="E271" s="15" t="s">
        <v>8</v>
      </c>
      <c r="F271" s="15">
        <v>1390</v>
      </c>
      <c r="H271" s="17">
        <v>1</v>
      </c>
      <c r="L271" s="2"/>
      <c r="M271" s="2"/>
      <c r="N271" s="7"/>
      <c r="O271" s="2"/>
      <c r="P271" s="7"/>
      <c r="Q271" s="2"/>
    </row>
    <row r="272" spans="2:19" x14ac:dyDescent="0.25">
      <c r="B272" s="1"/>
      <c r="D272" s="7"/>
      <c r="E272" s="2" t="s">
        <v>18</v>
      </c>
      <c r="F272" s="7"/>
      <c r="G272" s="2"/>
      <c r="H272" s="2"/>
      <c r="L272" s="2"/>
      <c r="M272" s="2"/>
      <c r="N272" s="7"/>
      <c r="O272" s="2"/>
      <c r="P272" s="7"/>
      <c r="Q272" s="1" t="s">
        <v>43</v>
      </c>
    </row>
    <row r="273" spans="2:19" x14ac:dyDescent="0.25">
      <c r="B273" s="1"/>
      <c r="D273" s="7" t="s">
        <v>5</v>
      </c>
      <c r="E273" s="2"/>
      <c r="F273" s="7" t="s">
        <v>6</v>
      </c>
      <c r="G273" s="2"/>
      <c r="H273" s="2"/>
      <c r="M273" s="2"/>
      <c r="N273" s="2"/>
      <c r="O273" s="7"/>
      <c r="P273" s="7" t="s">
        <v>5</v>
      </c>
      <c r="Q273" s="2"/>
      <c r="R273" s="7" t="s">
        <v>13</v>
      </c>
      <c r="S273" s="2"/>
    </row>
    <row r="274" spans="2:19" x14ac:dyDescent="0.25">
      <c r="B274" s="1">
        <v>693</v>
      </c>
      <c r="D274" s="2">
        <f>+D271+5</f>
        <v>1535</v>
      </c>
      <c r="E274" s="2" t="s">
        <v>8</v>
      </c>
      <c r="F274" s="2">
        <f>+F271+5-C271</f>
        <v>698</v>
      </c>
      <c r="G274" s="2"/>
      <c r="H274" s="2">
        <f>+H271</f>
        <v>1</v>
      </c>
      <c r="I274" s="2"/>
      <c r="J274" s="2"/>
      <c r="K274" s="2" t="s">
        <v>3</v>
      </c>
      <c r="L274" s="2"/>
      <c r="M274" s="2"/>
      <c r="N274" s="2"/>
      <c r="O274" s="2"/>
      <c r="P274" s="20"/>
      <c r="Q274" s="2"/>
      <c r="R274" s="2"/>
      <c r="S274" s="2"/>
    </row>
    <row r="275" spans="2:19" x14ac:dyDescent="0.25">
      <c r="B275" s="1"/>
      <c r="D275" s="20">
        <f>+D271+5</f>
        <v>1535</v>
      </c>
      <c r="E275" s="2" t="s">
        <v>8</v>
      </c>
      <c r="F275" s="2">
        <f>+B274+5</f>
        <v>698</v>
      </c>
      <c r="G275" s="2"/>
      <c r="H275" s="2">
        <f>+H271</f>
        <v>1</v>
      </c>
      <c r="I275" s="2"/>
      <c r="J275" s="2">
        <f>+D275-68</f>
        <v>1467</v>
      </c>
      <c r="K275" s="7" t="s">
        <v>8</v>
      </c>
      <c r="L275" s="2">
        <f>+F275-68</f>
        <v>630</v>
      </c>
      <c r="M275" s="2"/>
      <c r="N275" s="2">
        <v>1</v>
      </c>
      <c r="O275" s="2"/>
      <c r="P275" s="2">
        <f>+J275-140</f>
        <v>1327</v>
      </c>
      <c r="Q275" s="2" t="s">
        <v>8</v>
      </c>
      <c r="R275" s="2">
        <f>+L275-140</f>
        <v>490</v>
      </c>
      <c r="S275" s="2">
        <f>+N275</f>
        <v>1</v>
      </c>
    </row>
    <row r="276" spans="2:19" x14ac:dyDescent="0.25">
      <c r="B276" s="1"/>
      <c r="J276" s="21"/>
      <c r="P276" s="21"/>
    </row>
    <row r="277" spans="2:19" x14ac:dyDescent="0.25">
      <c r="B277" s="1"/>
      <c r="G277" s="27"/>
    </row>
    <row r="278" spans="2:19" x14ac:dyDescent="0.25">
      <c r="B278" s="1"/>
      <c r="K278" s="7"/>
      <c r="Q278" s="7"/>
      <c r="S278" s="2"/>
    </row>
    <row r="279" spans="2:19" x14ac:dyDescent="0.25">
      <c r="B279" s="1"/>
      <c r="K279" s="7"/>
      <c r="Q279" s="7"/>
      <c r="S279" s="2"/>
    </row>
    <row r="280" spans="2:19" x14ac:dyDescent="0.25">
      <c r="B280" s="4" t="s">
        <v>77</v>
      </c>
      <c r="C280" s="4" t="s">
        <v>75</v>
      </c>
    </row>
    <row r="281" spans="2:19" x14ac:dyDescent="0.25">
      <c r="B281" s="1"/>
      <c r="C281" s="15" t="s">
        <v>38</v>
      </c>
      <c r="D281" s="16" t="s">
        <v>5</v>
      </c>
      <c r="E281" s="15"/>
      <c r="F281" s="16" t="s">
        <v>6</v>
      </c>
      <c r="G281" s="2"/>
      <c r="H281" s="2"/>
      <c r="J281" s="4"/>
    </row>
    <row r="282" spans="2:19" x14ac:dyDescent="0.25">
      <c r="B282" s="1"/>
      <c r="C282" s="15">
        <v>693</v>
      </c>
      <c r="D282" s="16">
        <f>2255-10</f>
        <v>2245</v>
      </c>
      <c r="E282" s="15" t="s">
        <v>8</v>
      </c>
      <c r="F282" s="15">
        <f>1400-10</f>
        <v>1390</v>
      </c>
      <c r="H282" s="17">
        <v>1</v>
      </c>
      <c r="L282" s="2"/>
      <c r="M282" s="2"/>
      <c r="N282" s="7"/>
      <c r="O282" s="2"/>
      <c r="P282" s="7"/>
      <c r="Q282" s="2"/>
    </row>
    <row r="283" spans="2:19" x14ac:dyDescent="0.25">
      <c r="B283" s="1"/>
      <c r="D283" s="7"/>
      <c r="E283" s="2" t="s">
        <v>18</v>
      </c>
      <c r="F283" s="7"/>
      <c r="G283" s="2"/>
      <c r="H283" s="2"/>
      <c r="L283" s="2"/>
      <c r="M283" s="2"/>
      <c r="N283" s="7"/>
      <c r="O283" s="2"/>
      <c r="P283" s="7"/>
    </row>
    <row r="284" spans="2:19" x14ac:dyDescent="0.25">
      <c r="B284" s="1"/>
      <c r="D284" s="7" t="s">
        <v>5</v>
      </c>
      <c r="E284" s="2"/>
      <c r="F284" s="7" t="s">
        <v>6</v>
      </c>
      <c r="G284" s="2"/>
      <c r="H284" s="2"/>
      <c r="M284" s="2"/>
      <c r="N284" s="2"/>
      <c r="O284" s="7"/>
      <c r="P284" s="7" t="s">
        <v>5</v>
      </c>
      <c r="Q284" s="2"/>
      <c r="R284" s="7" t="s">
        <v>13</v>
      </c>
      <c r="S284" s="2"/>
    </row>
    <row r="285" spans="2:19" x14ac:dyDescent="0.25">
      <c r="B285" s="1"/>
      <c r="D285" s="2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0"/>
      <c r="Q285" s="2"/>
      <c r="R285" s="2"/>
      <c r="S285" s="2"/>
    </row>
    <row r="286" spans="2:19" x14ac:dyDescent="0.25">
      <c r="B286" s="1"/>
      <c r="D286" s="26">
        <f>+(D282/2)+3</f>
        <v>1125.5</v>
      </c>
      <c r="E286" s="2" t="s">
        <v>8</v>
      </c>
      <c r="F286" s="2">
        <f>+C282+5</f>
        <v>698</v>
      </c>
      <c r="G286" s="2"/>
      <c r="H286" s="2">
        <v>2</v>
      </c>
      <c r="I286" s="2"/>
      <c r="J286" s="26">
        <f>+D286-68</f>
        <v>1057.5</v>
      </c>
      <c r="K286" s="7" t="s">
        <v>8</v>
      </c>
      <c r="L286" s="2">
        <f>+F286-68</f>
        <v>630</v>
      </c>
      <c r="M286" s="2"/>
      <c r="N286" s="2">
        <v>2</v>
      </c>
      <c r="O286" s="2"/>
      <c r="P286" s="26">
        <f>+J286-140</f>
        <v>917.5</v>
      </c>
      <c r="Q286" s="2" t="s">
        <v>8</v>
      </c>
      <c r="R286" s="2">
        <f>+L286-140</f>
        <v>490</v>
      </c>
      <c r="S286" s="2">
        <f>+N286</f>
        <v>2</v>
      </c>
    </row>
    <row r="287" spans="2:19" x14ac:dyDescent="0.25">
      <c r="B287" s="1"/>
      <c r="D287" s="26">
        <f>+D282+5</f>
        <v>2250</v>
      </c>
      <c r="E287" s="17" t="s">
        <v>8</v>
      </c>
      <c r="F287" s="2">
        <f>+F282+1-C282</f>
        <v>698</v>
      </c>
      <c r="H287" s="2">
        <v>1</v>
      </c>
      <c r="J287" s="21"/>
      <c r="P287" s="20">
        <f>+D287-99</f>
        <v>2151</v>
      </c>
      <c r="Q287" s="2" t="s">
        <v>8</v>
      </c>
      <c r="R287" s="2">
        <f>+F287-99</f>
        <v>599</v>
      </c>
      <c r="S287" s="1">
        <v>1</v>
      </c>
    </row>
    <row r="288" spans="2:19" x14ac:dyDescent="0.25">
      <c r="B288" s="1"/>
      <c r="P288" s="20"/>
      <c r="Q288" s="4"/>
      <c r="R288" s="2"/>
    </row>
    <row r="289" spans="2:19" x14ac:dyDescent="0.25">
      <c r="B289" s="1"/>
      <c r="K289" s="7"/>
      <c r="Q289" s="7"/>
      <c r="S289" s="2"/>
    </row>
    <row r="290" spans="2:19" x14ac:dyDescent="0.25">
      <c r="B290" s="6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S290" s="2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0"/>
  <sheetViews>
    <sheetView topLeftCell="B182" workbookViewId="0">
      <selection activeCell="I197" sqref="I197"/>
    </sheetView>
  </sheetViews>
  <sheetFormatPr baseColWidth="10" defaultColWidth="11.42578125" defaultRowHeight="15" x14ac:dyDescent="0.25"/>
  <cols>
    <col min="1" max="1" width="1" style="1" customWidth="1"/>
    <col min="2" max="2" width="5.42578125" style="2" customWidth="1"/>
    <col min="3" max="3" width="14.7109375" style="1" customWidth="1"/>
    <col min="4" max="4" width="6.42578125" style="1" customWidth="1"/>
    <col min="5" max="5" width="3" style="1" customWidth="1"/>
    <col min="6" max="6" width="5.85546875" style="1" customWidth="1"/>
    <col min="7" max="7" width="2.42578125" style="1" customWidth="1"/>
    <col min="8" max="8" width="2.85546875" style="1" customWidth="1"/>
    <col min="9" max="9" width="2.42578125" style="1" customWidth="1"/>
    <col min="10" max="10" width="6.28515625" style="1" bestFit="1" customWidth="1"/>
    <col min="11" max="11" width="3.42578125" style="1" customWidth="1"/>
    <col min="12" max="12" width="5.5703125" style="1" customWidth="1"/>
    <col min="13" max="13" width="3.42578125" style="1" customWidth="1"/>
    <col min="14" max="14" width="3" style="1" customWidth="1"/>
    <col min="15" max="15" width="2" style="1" customWidth="1"/>
    <col min="16" max="16" width="7.5703125" style="1" customWidth="1"/>
    <col min="17" max="17" width="4.85546875" style="1" bestFit="1" customWidth="1"/>
    <col min="18" max="18" width="5.85546875" style="1" customWidth="1"/>
    <col min="19" max="19" width="2.85546875" style="1" customWidth="1"/>
    <col min="20" max="20" width="4.42578125" style="1" customWidth="1"/>
    <col min="21" max="16384" width="11.42578125" style="1"/>
  </cols>
  <sheetData>
    <row r="1" spans="1:19" x14ac:dyDescent="0.25">
      <c r="B1" s="7"/>
      <c r="C1" s="1" t="s">
        <v>29</v>
      </c>
      <c r="S1" s="2"/>
    </row>
    <row r="2" spans="1:19" x14ac:dyDescent="0.25">
      <c r="D2" s="2"/>
      <c r="E2" s="2"/>
      <c r="F2" s="2"/>
      <c r="G2" s="2"/>
      <c r="H2" s="2"/>
      <c r="I2" s="2"/>
      <c r="J2" s="2"/>
      <c r="K2" s="8"/>
      <c r="L2" s="2"/>
      <c r="M2" s="2"/>
      <c r="N2" s="2"/>
      <c r="O2" s="2"/>
      <c r="P2" s="2"/>
      <c r="Q2" s="2"/>
      <c r="R2" s="2"/>
      <c r="S2" s="2"/>
    </row>
    <row r="3" spans="1:19" x14ac:dyDescent="0.25">
      <c r="D3" s="2"/>
      <c r="E3" s="2" t="s">
        <v>2</v>
      </c>
      <c r="F3" s="2"/>
      <c r="G3" s="2"/>
      <c r="H3" s="2"/>
      <c r="I3" s="2"/>
      <c r="J3" s="2"/>
      <c r="K3" s="8" t="s">
        <v>30</v>
      </c>
      <c r="L3" s="2"/>
      <c r="M3" s="2"/>
      <c r="N3" s="2"/>
      <c r="O3" s="2"/>
      <c r="P3" s="2"/>
      <c r="Q3" s="2" t="s">
        <v>4</v>
      </c>
      <c r="R3" s="2"/>
      <c r="S3" s="2"/>
    </row>
    <row r="4" spans="1:19" x14ac:dyDescent="0.25">
      <c r="D4" s="2">
        <v>3360</v>
      </c>
      <c r="E4" s="2" t="s">
        <v>8</v>
      </c>
      <c r="F4" s="2">
        <v>2390</v>
      </c>
      <c r="G4" s="2"/>
      <c r="H4" s="2">
        <v>1</v>
      </c>
      <c r="I4" s="2"/>
      <c r="J4" s="2">
        <f>+(D4+17)/2</f>
        <v>1688.5</v>
      </c>
      <c r="K4" s="2" t="s">
        <v>8</v>
      </c>
      <c r="L4" s="2">
        <f>+F4-76</f>
        <v>2314</v>
      </c>
      <c r="M4" s="2"/>
      <c r="N4" s="2">
        <f>+H4*2</f>
        <v>2</v>
      </c>
      <c r="O4" s="2"/>
      <c r="P4" s="2">
        <f>+J4-178</f>
        <v>1510.5</v>
      </c>
      <c r="Q4" s="2" t="s">
        <v>8</v>
      </c>
      <c r="R4" s="2">
        <f>+L4-178</f>
        <v>2136</v>
      </c>
      <c r="S4" s="2">
        <f>+N4</f>
        <v>2</v>
      </c>
    </row>
    <row r="5" spans="1:19" x14ac:dyDescent="0.25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s="50" customFormat="1" x14ac:dyDescent="0.25">
      <c r="B6" s="68"/>
      <c r="C6" s="69" t="s">
        <v>32</v>
      </c>
      <c r="D6" s="70"/>
      <c r="J6" s="61"/>
      <c r="P6" s="71"/>
      <c r="Q6" s="71"/>
      <c r="R6" s="71"/>
      <c r="S6" s="59"/>
    </row>
    <row r="7" spans="1:19" x14ac:dyDescent="0.25">
      <c r="A7" s="4"/>
      <c r="B7" s="19"/>
      <c r="D7" s="2"/>
      <c r="E7" s="2"/>
      <c r="F7" s="2"/>
      <c r="G7" s="2"/>
      <c r="H7" s="2"/>
      <c r="I7" s="2"/>
      <c r="J7" s="20"/>
      <c r="K7" s="2"/>
      <c r="L7" s="2"/>
      <c r="M7" s="2"/>
      <c r="N7" s="2"/>
      <c r="O7" s="2"/>
      <c r="P7" s="20"/>
      <c r="Q7" s="20"/>
      <c r="R7" s="20"/>
      <c r="S7" s="2"/>
    </row>
    <row r="8" spans="1:19" x14ac:dyDescent="0.25">
      <c r="B8" s="19"/>
      <c r="D8" s="2"/>
      <c r="E8" s="2" t="s">
        <v>2</v>
      </c>
      <c r="F8" s="2"/>
      <c r="G8" s="2"/>
      <c r="H8" s="2"/>
      <c r="I8" s="2"/>
      <c r="J8" s="20"/>
      <c r="K8" s="2" t="s">
        <v>3</v>
      </c>
      <c r="L8" s="2"/>
      <c r="M8" s="2"/>
      <c r="N8" s="2"/>
      <c r="O8" s="2"/>
      <c r="P8" s="20"/>
      <c r="Q8" s="20" t="s">
        <v>4</v>
      </c>
      <c r="R8" s="20"/>
      <c r="S8" s="2"/>
    </row>
    <row r="9" spans="1:19" x14ac:dyDescent="0.25">
      <c r="B9" s="19"/>
      <c r="D9" s="2">
        <v>1985</v>
      </c>
      <c r="E9" s="2" t="s">
        <v>8</v>
      </c>
      <c r="F9" s="2">
        <v>1365</v>
      </c>
      <c r="G9" s="2"/>
      <c r="H9" s="2">
        <v>1</v>
      </c>
      <c r="I9" s="2">
        <v>0</v>
      </c>
      <c r="J9" s="20">
        <f>+(D9/2)+2</f>
        <v>994.5</v>
      </c>
      <c r="K9" s="2" t="s">
        <v>8</v>
      </c>
      <c r="L9" s="2">
        <f>+F9-76</f>
        <v>1289</v>
      </c>
      <c r="M9" s="2"/>
      <c r="N9" s="2">
        <f>+H9*2</f>
        <v>2</v>
      </c>
      <c r="O9" s="2"/>
      <c r="P9" s="20">
        <f>+J9-135</f>
        <v>859.5</v>
      </c>
      <c r="Q9" s="20" t="s">
        <v>8</v>
      </c>
      <c r="R9" s="20">
        <f>+L9-135</f>
        <v>1154</v>
      </c>
      <c r="S9" s="2">
        <f>+N9</f>
        <v>2</v>
      </c>
    </row>
    <row r="10" spans="1:19" x14ac:dyDescent="0.25">
      <c r="B10" s="19"/>
      <c r="J10" s="21"/>
      <c r="P10" s="21"/>
      <c r="Q10" s="21"/>
      <c r="R10" s="21"/>
      <c r="S10" s="2"/>
    </row>
    <row r="11" spans="1:19" x14ac:dyDescent="0.25">
      <c r="B11" s="6"/>
      <c r="C11" s="4" t="s">
        <v>117</v>
      </c>
      <c r="D11" s="4"/>
      <c r="E11" s="7" t="s">
        <v>2</v>
      </c>
      <c r="K11" s="7" t="s">
        <v>3</v>
      </c>
      <c r="Q11" s="7" t="s">
        <v>4</v>
      </c>
      <c r="S11" s="2"/>
    </row>
    <row r="12" spans="1:19" x14ac:dyDescent="0.25">
      <c r="B12" s="6"/>
      <c r="D12" s="7" t="s">
        <v>5</v>
      </c>
      <c r="E12" s="2"/>
      <c r="F12" s="7" t="s">
        <v>6</v>
      </c>
      <c r="G12" s="2"/>
      <c r="H12" s="2"/>
      <c r="I12" s="2"/>
      <c r="J12" s="7" t="s">
        <v>5</v>
      </c>
      <c r="K12" s="2"/>
      <c r="L12" s="7" t="s">
        <v>6</v>
      </c>
      <c r="M12" s="7"/>
      <c r="N12" s="2"/>
      <c r="O12" s="2"/>
      <c r="P12" s="7" t="s">
        <v>5</v>
      </c>
      <c r="Q12" s="2"/>
      <c r="R12" s="7" t="s">
        <v>6</v>
      </c>
      <c r="S12" s="2"/>
    </row>
    <row r="13" spans="1:19" x14ac:dyDescent="0.25">
      <c r="B13" s="6"/>
      <c r="D13" s="2"/>
      <c r="E13" s="2"/>
      <c r="F13" s="2"/>
      <c r="G13" s="2"/>
      <c r="H13" s="2"/>
      <c r="I13" s="2"/>
      <c r="J13" s="2"/>
      <c r="K13" s="8" t="s">
        <v>84</v>
      </c>
      <c r="L13" s="2"/>
      <c r="M13" s="2"/>
      <c r="N13" s="2"/>
      <c r="O13" s="2"/>
      <c r="P13" s="2"/>
      <c r="Q13" s="9"/>
      <c r="R13" s="2"/>
      <c r="S13" s="2"/>
    </row>
    <row r="14" spans="1:19" x14ac:dyDescent="0.25">
      <c r="B14" s="6"/>
      <c r="D14" s="2">
        <v>815</v>
      </c>
      <c r="E14" s="2" t="s">
        <v>8</v>
      </c>
      <c r="F14" s="2">
        <v>1220</v>
      </c>
      <c r="G14" s="2"/>
      <c r="H14" s="2">
        <v>1</v>
      </c>
      <c r="I14" s="2"/>
      <c r="J14" s="2">
        <f>+D14-68</f>
        <v>747</v>
      </c>
      <c r="K14" s="7" t="s">
        <v>8</v>
      </c>
      <c r="L14" s="2">
        <f>+F14-68</f>
        <v>1152</v>
      </c>
      <c r="M14" s="2"/>
      <c r="N14" s="2">
        <f>+H14*1</f>
        <v>1</v>
      </c>
      <c r="O14" s="2"/>
      <c r="P14" s="2">
        <f>+J14-140</f>
        <v>607</v>
      </c>
      <c r="Q14" s="2" t="s">
        <v>8</v>
      </c>
      <c r="R14" s="2">
        <f>+L14-140</f>
        <v>1012</v>
      </c>
      <c r="S14" s="2">
        <f>+N14</f>
        <v>1</v>
      </c>
    </row>
    <row r="15" spans="1:19" x14ac:dyDescent="0.25">
      <c r="B15" s="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S15" s="2"/>
    </row>
    <row r="16" spans="1:19" x14ac:dyDescent="0.25">
      <c r="B16" s="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2"/>
    </row>
    <row r="17" spans="2:20" x14ac:dyDescent="0.25">
      <c r="B17" s="6"/>
      <c r="C17" s="4" t="s">
        <v>12</v>
      </c>
      <c r="D17" s="4"/>
      <c r="E17" s="7" t="s">
        <v>2</v>
      </c>
      <c r="K17" s="7" t="s">
        <v>3</v>
      </c>
      <c r="Q17" s="7" t="s">
        <v>4</v>
      </c>
      <c r="S17" s="2"/>
    </row>
    <row r="18" spans="2:20" x14ac:dyDescent="0.25">
      <c r="B18" s="6"/>
      <c r="D18" s="7" t="s">
        <v>5</v>
      </c>
      <c r="E18" s="2"/>
      <c r="F18" s="7" t="s">
        <v>6</v>
      </c>
      <c r="G18" s="2"/>
      <c r="H18" s="2"/>
      <c r="I18" s="2"/>
      <c r="J18" s="7" t="s">
        <v>5</v>
      </c>
      <c r="K18" s="2"/>
      <c r="L18" s="7" t="s">
        <v>6</v>
      </c>
      <c r="M18" s="7"/>
      <c r="N18" s="2"/>
      <c r="O18" s="2"/>
      <c r="P18" s="7" t="s">
        <v>5</v>
      </c>
      <c r="Q18" s="2"/>
      <c r="R18" s="7" t="s">
        <v>6</v>
      </c>
      <c r="S18" s="2"/>
    </row>
    <row r="19" spans="2:20" x14ac:dyDescent="0.25">
      <c r="B19" s="6"/>
      <c r="D19" s="2"/>
      <c r="E19" s="2"/>
      <c r="F19" s="2"/>
      <c r="G19" s="2"/>
      <c r="H19" s="2"/>
      <c r="I19" s="2"/>
      <c r="J19" s="2"/>
      <c r="K19" s="8"/>
      <c r="L19" s="2"/>
      <c r="M19" s="2"/>
      <c r="N19" s="2"/>
      <c r="O19" s="2"/>
      <c r="P19" s="2"/>
      <c r="Q19" s="9"/>
      <c r="R19" s="2"/>
      <c r="S19" s="2"/>
    </row>
    <row r="20" spans="2:20" x14ac:dyDescent="0.25">
      <c r="B20" s="6"/>
      <c r="D20" s="2">
        <v>1005</v>
      </c>
      <c r="E20" s="2" t="s">
        <v>8</v>
      </c>
      <c r="F20" s="2">
        <v>1005</v>
      </c>
      <c r="G20" s="2"/>
      <c r="H20" s="2">
        <v>10</v>
      </c>
      <c r="I20" s="2"/>
      <c r="J20" s="2">
        <f>+D20-68</f>
        <v>937</v>
      </c>
      <c r="K20" s="7" t="s">
        <v>8</v>
      </c>
      <c r="L20" s="2">
        <f>+F20-68</f>
        <v>937</v>
      </c>
      <c r="M20" s="2"/>
      <c r="N20" s="2">
        <f>+H20</f>
        <v>10</v>
      </c>
      <c r="O20" s="2"/>
      <c r="P20" s="2">
        <f>+J20-140</f>
        <v>797</v>
      </c>
      <c r="Q20" s="2" t="s">
        <v>8</v>
      </c>
      <c r="R20" s="2">
        <f>+L20-140</f>
        <v>797</v>
      </c>
      <c r="S20" s="2">
        <f>+N20</f>
        <v>10</v>
      </c>
    </row>
    <row r="21" spans="2:20" x14ac:dyDescent="0.25">
      <c r="B21" s="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</row>
    <row r="22" spans="2:20" x14ac:dyDescent="0.25">
      <c r="B22" s="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</row>
    <row r="23" spans="2:20" s="40" customFormat="1" x14ac:dyDescent="0.25">
      <c r="B23" s="31"/>
      <c r="C23" s="62" t="s">
        <v>86</v>
      </c>
      <c r="D23" s="31" t="s">
        <v>5</v>
      </c>
      <c r="E23" s="17"/>
      <c r="F23" s="31" t="s">
        <v>6</v>
      </c>
      <c r="G23" s="17"/>
      <c r="H23" s="17"/>
      <c r="I23" s="17"/>
      <c r="N23" s="17"/>
      <c r="O23" s="17"/>
      <c r="P23" s="31" t="s">
        <v>5</v>
      </c>
      <c r="Q23" s="17"/>
      <c r="R23" s="31" t="s">
        <v>13</v>
      </c>
      <c r="S23" s="17"/>
    </row>
    <row r="24" spans="2:20" s="40" customFormat="1" x14ac:dyDescent="0.25">
      <c r="B24" s="17"/>
      <c r="C24" s="63" t="s">
        <v>14</v>
      </c>
      <c r="D24" s="64">
        <v>1005</v>
      </c>
      <c r="E24" s="64" t="s">
        <v>8</v>
      </c>
      <c r="F24" s="64">
        <v>1005</v>
      </c>
      <c r="G24" s="64"/>
      <c r="H24" s="64">
        <v>1</v>
      </c>
      <c r="I24" s="64"/>
      <c r="J24" s="64"/>
      <c r="K24" s="65"/>
      <c r="L24" s="64"/>
      <c r="M24" s="64"/>
      <c r="N24" s="64"/>
      <c r="O24" s="64"/>
      <c r="P24" s="64">
        <f>+D24-99</f>
        <v>906</v>
      </c>
      <c r="Q24" s="64" t="s">
        <v>8</v>
      </c>
      <c r="R24" s="64">
        <f>+F24-99</f>
        <v>906</v>
      </c>
      <c r="S24" s="64">
        <f>+H24*1</f>
        <v>1</v>
      </c>
    </row>
    <row r="25" spans="2:20" s="40" customFormat="1" x14ac:dyDescent="0.25">
      <c r="B25" s="66"/>
      <c r="C25" s="63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S25" s="17"/>
    </row>
    <row r="26" spans="2:20" s="40" customFormat="1" x14ac:dyDescent="0.25">
      <c r="B26" s="66"/>
      <c r="D26" s="65"/>
      <c r="E26" s="65"/>
      <c r="F26" s="65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S26" s="17"/>
    </row>
    <row r="27" spans="2:20" s="40" customFormat="1" x14ac:dyDescent="0.25">
      <c r="B27" s="17"/>
      <c r="Q27" s="31"/>
    </row>
    <row r="28" spans="2:20" s="40" customFormat="1" x14ac:dyDescent="0.25">
      <c r="B28" s="67"/>
      <c r="C28" s="62"/>
      <c r="D28" s="62"/>
      <c r="E28" s="31"/>
      <c r="F28" s="40">
        <v>6</v>
      </c>
      <c r="K28" s="31"/>
      <c r="Q28" s="31"/>
      <c r="S28" s="17"/>
    </row>
    <row r="29" spans="2:20" x14ac:dyDescent="0.25">
      <c r="B29" s="19"/>
      <c r="C29" s="4" t="s">
        <v>81</v>
      </c>
      <c r="D29" s="7" t="s">
        <v>5</v>
      </c>
      <c r="E29" s="2"/>
      <c r="F29" s="7" t="s">
        <v>6</v>
      </c>
      <c r="G29" s="2"/>
      <c r="H29" s="2"/>
      <c r="I29" s="2"/>
      <c r="J29" s="7" t="s">
        <v>5</v>
      </c>
      <c r="K29" s="2"/>
      <c r="L29" s="7" t="s">
        <v>6</v>
      </c>
      <c r="M29" s="7"/>
      <c r="N29" s="2"/>
      <c r="O29" s="2"/>
      <c r="P29" s="7" t="s">
        <v>5</v>
      </c>
      <c r="Q29" s="2"/>
      <c r="R29" s="7" t="s">
        <v>6</v>
      </c>
      <c r="S29" s="2"/>
      <c r="T29" s="6"/>
    </row>
    <row r="30" spans="2:20" x14ac:dyDescent="0.25">
      <c r="B30" s="19"/>
      <c r="D30" s="2"/>
      <c r="E30" s="2"/>
      <c r="F30" s="2"/>
      <c r="G30" s="2"/>
      <c r="H30" s="2"/>
      <c r="I30" s="2"/>
      <c r="J30" s="2"/>
      <c r="K30" s="8"/>
      <c r="L30" s="2"/>
      <c r="M30" s="2"/>
      <c r="N30" s="2"/>
      <c r="O30" s="2"/>
      <c r="P30" s="2"/>
      <c r="Q30" s="9"/>
      <c r="R30" s="2"/>
      <c r="S30" s="2"/>
      <c r="T30" s="6"/>
    </row>
    <row r="31" spans="2:20" x14ac:dyDescent="0.25">
      <c r="B31" s="19"/>
      <c r="D31" s="2">
        <v>795</v>
      </c>
      <c r="E31" s="2" t="s">
        <v>8</v>
      </c>
      <c r="F31" s="2">
        <v>795</v>
      </c>
      <c r="G31" s="2"/>
      <c r="H31" s="2">
        <v>1</v>
      </c>
      <c r="I31" s="2"/>
      <c r="J31" s="2">
        <f>+D31-68</f>
        <v>727</v>
      </c>
      <c r="K31" s="7" t="s">
        <v>8</v>
      </c>
      <c r="L31" s="2">
        <f>+F31-68</f>
        <v>727</v>
      </c>
      <c r="M31" s="2"/>
      <c r="N31" s="2">
        <f>+H31*1</f>
        <v>1</v>
      </c>
      <c r="O31" s="2"/>
      <c r="P31" s="2">
        <f>+J31-140</f>
        <v>587</v>
      </c>
      <c r="Q31" s="2" t="s">
        <v>8</v>
      </c>
      <c r="R31" s="2">
        <f>+L31-140</f>
        <v>587</v>
      </c>
      <c r="S31" s="2">
        <f>+N31</f>
        <v>1</v>
      </c>
      <c r="T31" s="6"/>
    </row>
    <row r="32" spans="2:20" x14ac:dyDescent="0.25">
      <c r="B32" s="19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2"/>
      <c r="T32" s="6"/>
    </row>
    <row r="33" spans="1:22" x14ac:dyDescent="0.25">
      <c r="B33" s="19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6"/>
    </row>
    <row r="34" spans="1:22" x14ac:dyDescent="0.25">
      <c r="B34" s="19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S34" s="2"/>
      <c r="T34" s="6"/>
    </row>
    <row r="35" spans="1:22" s="25" customFormat="1" x14ac:dyDescent="0.25">
      <c r="B35" s="38"/>
      <c r="C35" s="25" t="s">
        <v>62</v>
      </c>
      <c r="S35" s="38"/>
      <c r="U35" s="17"/>
      <c r="V35" s="39"/>
    </row>
    <row r="36" spans="1:22" x14ac:dyDescent="0.25">
      <c r="S36" s="2"/>
      <c r="U36" s="17"/>
      <c r="V36" s="40"/>
    </row>
    <row r="37" spans="1:22" x14ac:dyDescent="0.25">
      <c r="D37" s="4"/>
      <c r="E37" s="7" t="s">
        <v>2</v>
      </c>
      <c r="K37" s="7" t="s">
        <v>3</v>
      </c>
      <c r="Q37" s="7" t="s">
        <v>4</v>
      </c>
      <c r="S37" s="2"/>
      <c r="U37" s="17"/>
      <c r="V37" s="40"/>
    </row>
    <row r="38" spans="1:22" x14ac:dyDescent="0.25">
      <c r="D38" s="7" t="s">
        <v>5</v>
      </c>
      <c r="E38" s="2"/>
      <c r="F38" s="7" t="s">
        <v>6</v>
      </c>
      <c r="G38" s="2"/>
      <c r="H38" s="2"/>
      <c r="I38" s="2"/>
      <c r="J38" s="7" t="s">
        <v>5</v>
      </c>
      <c r="K38" s="2"/>
      <c r="L38" s="7" t="s">
        <v>6</v>
      </c>
      <c r="M38" s="7"/>
      <c r="N38" s="2"/>
      <c r="O38" s="2"/>
      <c r="P38" s="7" t="s">
        <v>5</v>
      </c>
      <c r="Q38" s="2"/>
      <c r="R38" s="7" t="s">
        <v>6</v>
      </c>
      <c r="S38" s="2"/>
      <c r="U38" s="17"/>
      <c r="V38" s="40"/>
    </row>
    <row r="39" spans="1:22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U39" s="17"/>
      <c r="V39" s="40"/>
    </row>
    <row r="40" spans="1:22" x14ac:dyDescent="0.25">
      <c r="D40" s="2">
        <v>1135</v>
      </c>
      <c r="E40" s="2" t="s">
        <v>8</v>
      </c>
      <c r="F40" s="2">
        <v>2342</v>
      </c>
      <c r="G40" s="2"/>
      <c r="H40" s="2">
        <v>1</v>
      </c>
      <c r="I40" s="2"/>
      <c r="J40" s="2">
        <f>+D40-68</f>
        <v>1067</v>
      </c>
      <c r="K40" s="2" t="s">
        <v>8</v>
      </c>
      <c r="L40" s="2">
        <f>+F40-68</f>
        <v>2274</v>
      </c>
      <c r="M40" s="2"/>
      <c r="N40" s="2">
        <f>+H40</f>
        <v>1</v>
      </c>
      <c r="O40" s="2"/>
      <c r="P40" s="11">
        <f>+J40-186</f>
        <v>881</v>
      </c>
      <c r="Q40" s="7" t="s">
        <v>8</v>
      </c>
      <c r="R40" s="11">
        <f>+L40-186</f>
        <v>2088</v>
      </c>
      <c r="S40" s="2">
        <f>+N40</f>
        <v>1</v>
      </c>
      <c r="U40" s="2"/>
    </row>
    <row r="42" spans="1:22" x14ac:dyDescent="0.25">
      <c r="D42" s="2"/>
      <c r="E42" s="2"/>
      <c r="F42" s="2"/>
      <c r="G42" s="2"/>
      <c r="H42" s="2"/>
      <c r="I42" s="2"/>
      <c r="J42" s="20"/>
      <c r="K42" s="7"/>
      <c r="L42" s="2"/>
      <c r="M42" s="2"/>
      <c r="N42" s="2"/>
      <c r="O42" s="2"/>
      <c r="P42" s="20"/>
      <c r="Q42" s="2"/>
      <c r="R42" s="2"/>
      <c r="S42" s="2"/>
      <c r="U42" s="2"/>
    </row>
    <row r="43" spans="1:22" customFormat="1" x14ac:dyDescent="0.25">
      <c r="A43" s="4"/>
      <c r="B43" s="7">
        <v>1</v>
      </c>
      <c r="C43" s="4" t="s">
        <v>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7"/>
    </row>
    <row r="44" spans="1:22" customFormat="1" x14ac:dyDescent="0.25">
      <c r="A44" s="4"/>
      <c r="B44" s="7"/>
      <c r="C44" s="4"/>
      <c r="D44" s="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7"/>
    </row>
    <row r="45" spans="1:22" customFormat="1" x14ac:dyDescent="0.25">
      <c r="A45" s="4"/>
      <c r="B45" s="7"/>
      <c r="C45" s="4"/>
      <c r="D45" s="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7" t="s">
        <v>4</v>
      </c>
      <c r="R45" s="8"/>
      <c r="S45" s="7"/>
    </row>
    <row r="46" spans="1:22" customFormat="1" x14ac:dyDescent="0.25">
      <c r="A46" s="4"/>
      <c r="B46" s="7"/>
      <c r="C46" s="4"/>
      <c r="D46" s="7"/>
      <c r="E46" s="7" t="s">
        <v>2</v>
      </c>
      <c r="F46" s="7"/>
      <c r="G46" s="7"/>
      <c r="H46" s="7"/>
      <c r="I46" s="7"/>
      <c r="J46" s="7"/>
      <c r="K46" s="7" t="s">
        <v>10</v>
      </c>
      <c r="L46" s="7"/>
      <c r="M46" s="7"/>
      <c r="N46" s="7"/>
      <c r="O46" s="7"/>
      <c r="P46" s="11"/>
      <c r="Q46" s="7"/>
      <c r="R46" s="7"/>
      <c r="S46" s="7"/>
    </row>
    <row r="47" spans="1:22" customFormat="1" x14ac:dyDescent="0.25">
      <c r="A47" s="4"/>
      <c r="B47" s="7"/>
      <c r="C47" s="4"/>
      <c r="D47" s="7">
        <f>1395-5</f>
        <v>1390</v>
      </c>
      <c r="E47" s="7" t="s">
        <v>8</v>
      </c>
      <c r="F47" s="7">
        <f>1000-5</f>
        <v>995</v>
      </c>
      <c r="G47" s="7"/>
      <c r="H47" s="7">
        <v>1</v>
      </c>
      <c r="I47" s="7"/>
      <c r="J47" s="11">
        <f>+(D47/2)-32</f>
        <v>663</v>
      </c>
      <c r="K47" s="7" t="s">
        <v>8</v>
      </c>
      <c r="L47" s="7">
        <f>+F47-68</f>
        <v>927</v>
      </c>
      <c r="M47" s="7">
        <f>+H47*2</f>
        <v>2</v>
      </c>
      <c r="N47" s="7"/>
      <c r="O47" s="7"/>
      <c r="P47" s="11">
        <f>+J47-140</f>
        <v>523</v>
      </c>
      <c r="Q47" s="7" t="s">
        <v>8</v>
      </c>
      <c r="R47" s="7">
        <f>+L47-140</f>
        <v>787</v>
      </c>
      <c r="S47" s="7">
        <f>+M47</f>
        <v>2</v>
      </c>
    </row>
    <row r="48" spans="1:22" customFormat="1" x14ac:dyDescent="0.25">
      <c r="A48" s="4"/>
      <c r="B48" s="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7"/>
      <c r="R48" s="4"/>
      <c r="S48" s="4"/>
    </row>
    <row r="49" spans="2:19" x14ac:dyDescent="0.25">
      <c r="B49" s="6">
        <v>1</v>
      </c>
      <c r="C49" s="4" t="s">
        <v>11</v>
      </c>
      <c r="D49" s="4"/>
      <c r="E49" s="7" t="s">
        <v>2</v>
      </c>
      <c r="K49" s="7" t="s">
        <v>3</v>
      </c>
      <c r="Q49" s="7" t="s">
        <v>4</v>
      </c>
      <c r="S49" s="2"/>
    </row>
    <row r="50" spans="2:19" x14ac:dyDescent="0.25">
      <c r="B50" s="6"/>
      <c r="D50" s="7" t="s">
        <v>5</v>
      </c>
      <c r="E50" s="2"/>
      <c r="F50" s="7" t="s">
        <v>6</v>
      </c>
      <c r="G50" s="2"/>
      <c r="H50" s="2"/>
      <c r="I50" s="2"/>
      <c r="J50" s="7" t="s">
        <v>5</v>
      </c>
      <c r="K50" s="2"/>
      <c r="L50" s="7" t="s">
        <v>6</v>
      </c>
      <c r="M50" s="7"/>
      <c r="N50" s="2"/>
      <c r="O50" s="2"/>
      <c r="P50" s="7" t="s">
        <v>5</v>
      </c>
      <c r="Q50" s="2"/>
      <c r="R50" s="7" t="s">
        <v>6</v>
      </c>
      <c r="S50" s="2"/>
    </row>
    <row r="51" spans="2:19" x14ac:dyDescent="0.25">
      <c r="B51" s="6"/>
      <c r="D51" s="2"/>
      <c r="E51" s="2"/>
      <c r="F51" s="2"/>
      <c r="G51" s="2"/>
      <c r="H51" s="2"/>
      <c r="I51" s="2"/>
      <c r="J51" s="2"/>
      <c r="K51" s="8"/>
      <c r="L51" s="2"/>
      <c r="M51" s="2"/>
      <c r="N51" s="2"/>
      <c r="O51" s="2"/>
      <c r="P51" s="2"/>
      <c r="Q51" s="9"/>
      <c r="R51" s="2"/>
      <c r="S51" s="2"/>
    </row>
    <row r="52" spans="2:19" x14ac:dyDescent="0.25">
      <c r="B52" s="6"/>
      <c r="D52" s="2">
        <f>800-5</f>
        <v>795</v>
      </c>
      <c r="E52" s="2" t="s">
        <v>8</v>
      </c>
      <c r="F52" s="2">
        <f>1010-5</f>
        <v>1005</v>
      </c>
      <c r="G52" s="2"/>
      <c r="H52" s="2">
        <v>10</v>
      </c>
      <c r="I52" s="2"/>
      <c r="J52" s="2">
        <f>+D52-68</f>
        <v>727</v>
      </c>
      <c r="K52" s="7" t="s">
        <v>8</v>
      </c>
      <c r="L52" s="2">
        <f>+F52-68</f>
        <v>937</v>
      </c>
      <c r="M52" s="2"/>
      <c r="N52" s="2">
        <f>+H52</f>
        <v>10</v>
      </c>
      <c r="O52" s="2"/>
      <c r="P52" s="2">
        <f>+J52-140</f>
        <v>587</v>
      </c>
      <c r="Q52" s="2" t="s">
        <v>8</v>
      </c>
      <c r="R52" s="2">
        <f>+L52-140</f>
        <v>797</v>
      </c>
      <c r="S52" s="2">
        <f>+N52</f>
        <v>10</v>
      </c>
    </row>
    <row r="53" spans="2:19" x14ac:dyDescent="0.25">
      <c r="B53" s="6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S53" s="2"/>
    </row>
    <row r="54" spans="2:19" x14ac:dyDescent="0.25">
      <c r="B54" s="6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S54" s="2"/>
    </row>
    <row r="55" spans="2:19" x14ac:dyDescent="0.25">
      <c r="B55" s="6">
        <v>1</v>
      </c>
      <c r="C55" s="4" t="s">
        <v>12</v>
      </c>
      <c r="D55" s="4"/>
      <c r="E55" s="7" t="s">
        <v>2</v>
      </c>
      <c r="K55" s="7" t="s">
        <v>3</v>
      </c>
      <c r="Q55" s="7" t="s">
        <v>4</v>
      </c>
      <c r="S55" s="2"/>
    </row>
    <row r="56" spans="2:19" x14ac:dyDescent="0.25">
      <c r="B56" s="6"/>
      <c r="D56" s="7" t="s">
        <v>5</v>
      </c>
      <c r="E56" s="2"/>
      <c r="F56" s="7" t="s">
        <v>6</v>
      </c>
      <c r="G56" s="2"/>
      <c r="H56" s="2"/>
      <c r="I56" s="2"/>
      <c r="J56" s="7" t="s">
        <v>5</v>
      </c>
      <c r="K56" s="2"/>
      <c r="L56" s="7" t="s">
        <v>6</v>
      </c>
      <c r="M56" s="7"/>
      <c r="N56" s="2"/>
      <c r="O56" s="2"/>
      <c r="P56" s="7" t="s">
        <v>5</v>
      </c>
      <c r="Q56" s="2"/>
      <c r="R56" s="7" t="s">
        <v>6</v>
      </c>
      <c r="S56" s="2"/>
    </row>
    <row r="57" spans="2:19" x14ac:dyDescent="0.25">
      <c r="B57" s="6"/>
      <c r="D57" s="2"/>
      <c r="E57" s="2"/>
      <c r="F57" s="2"/>
      <c r="G57" s="2"/>
      <c r="H57" s="2"/>
      <c r="I57" s="2"/>
      <c r="J57" s="2"/>
      <c r="K57" s="8"/>
      <c r="L57" s="2"/>
      <c r="M57" s="2"/>
      <c r="N57" s="2"/>
      <c r="O57" s="2"/>
      <c r="P57" s="2"/>
      <c r="Q57" s="9"/>
      <c r="R57" s="2"/>
      <c r="S57" s="2"/>
    </row>
    <row r="58" spans="2:19" x14ac:dyDescent="0.25">
      <c r="B58" s="6"/>
      <c r="D58" s="2">
        <v>1000</v>
      </c>
      <c r="E58" s="2" t="s">
        <v>8</v>
      </c>
      <c r="F58" s="2">
        <v>1000</v>
      </c>
      <c r="G58" s="2"/>
      <c r="H58" s="2">
        <v>10</v>
      </c>
      <c r="I58" s="2"/>
      <c r="J58" s="2">
        <f>+D58-68</f>
        <v>932</v>
      </c>
      <c r="K58" s="7" t="s">
        <v>8</v>
      </c>
      <c r="L58" s="2">
        <f>+F58-68</f>
        <v>932</v>
      </c>
      <c r="M58" s="2"/>
      <c r="N58" s="2">
        <f>+H58</f>
        <v>10</v>
      </c>
      <c r="O58" s="2"/>
      <c r="P58" s="2">
        <f>+J58-140</f>
        <v>792</v>
      </c>
      <c r="Q58" s="2" t="s">
        <v>8</v>
      </c>
      <c r="R58" s="2">
        <f>+L58-140</f>
        <v>792</v>
      </c>
      <c r="S58" s="2">
        <f>+N58</f>
        <v>10</v>
      </c>
    </row>
    <row r="59" spans="2:19" x14ac:dyDescent="0.25">
      <c r="B59" s="6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S59" s="2"/>
    </row>
    <row r="60" spans="2:19" x14ac:dyDescent="0.25">
      <c r="B60" s="6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S60" s="2"/>
    </row>
    <row r="61" spans="2:19" x14ac:dyDescent="0.25">
      <c r="B61" s="6">
        <v>1</v>
      </c>
      <c r="C61" s="4" t="s">
        <v>12</v>
      </c>
      <c r="D61" s="4"/>
      <c r="E61" s="7" t="s">
        <v>2</v>
      </c>
      <c r="K61" s="7" t="s">
        <v>3</v>
      </c>
      <c r="Q61" s="7" t="s">
        <v>4</v>
      </c>
      <c r="S61" s="2"/>
    </row>
    <row r="62" spans="2:19" x14ac:dyDescent="0.25">
      <c r="B62" s="6"/>
      <c r="D62" s="7" t="s">
        <v>5</v>
      </c>
      <c r="E62" s="2"/>
      <c r="F62" s="7" t="s">
        <v>6</v>
      </c>
      <c r="G62" s="2"/>
      <c r="H62" s="2"/>
      <c r="I62" s="2"/>
      <c r="J62" s="7" t="s">
        <v>5</v>
      </c>
      <c r="K62" s="2"/>
      <c r="L62" s="7" t="s">
        <v>6</v>
      </c>
      <c r="M62" s="7"/>
      <c r="N62" s="2"/>
      <c r="O62" s="2"/>
      <c r="P62" s="7" t="s">
        <v>5</v>
      </c>
      <c r="Q62" s="2"/>
      <c r="R62" s="7" t="s">
        <v>6</v>
      </c>
      <c r="S62" s="2"/>
    </row>
    <row r="63" spans="2:19" x14ac:dyDescent="0.25">
      <c r="B63" s="6"/>
      <c r="D63" s="2"/>
      <c r="E63" s="2"/>
      <c r="F63" s="2"/>
      <c r="G63" s="2"/>
      <c r="H63" s="2"/>
      <c r="I63" s="2"/>
      <c r="J63" s="2"/>
      <c r="K63" s="8"/>
      <c r="L63" s="2"/>
      <c r="M63" s="2"/>
      <c r="N63" s="2"/>
      <c r="O63" s="2"/>
      <c r="P63" s="2"/>
      <c r="Q63" s="9"/>
      <c r="R63" s="2"/>
      <c r="S63" s="2"/>
    </row>
    <row r="64" spans="2:19" x14ac:dyDescent="0.25">
      <c r="B64" s="6"/>
      <c r="D64" s="2">
        <f>800-5</f>
        <v>795</v>
      </c>
      <c r="E64" s="2" t="s">
        <v>8</v>
      </c>
      <c r="F64" s="2">
        <f>1010-5</f>
        <v>1005</v>
      </c>
      <c r="G64" s="2"/>
      <c r="H64" s="2">
        <v>10</v>
      </c>
      <c r="I64" s="2"/>
      <c r="J64" s="2">
        <f>+D64-68</f>
        <v>727</v>
      </c>
      <c r="K64" s="7" t="s">
        <v>8</v>
      </c>
      <c r="L64" s="2">
        <f>+F64-68</f>
        <v>937</v>
      </c>
      <c r="M64" s="2"/>
      <c r="N64" s="2">
        <f>+H64</f>
        <v>10</v>
      </c>
      <c r="O64" s="2"/>
      <c r="P64" s="2">
        <f>+J64-140</f>
        <v>587</v>
      </c>
      <c r="Q64" s="2" t="s">
        <v>8</v>
      </c>
      <c r="R64" s="2">
        <f>+L64-140</f>
        <v>797</v>
      </c>
      <c r="S64" s="2">
        <f>+N64</f>
        <v>10</v>
      </c>
    </row>
    <row r="65" spans="2:21" x14ac:dyDescent="0.25">
      <c r="B65" s="6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S65" s="2"/>
    </row>
    <row r="66" spans="2:21" x14ac:dyDescent="0.25">
      <c r="B66" s="6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S66" s="2"/>
    </row>
    <row r="67" spans="2:21" x14ac:dyDescent="0.25">
      <c r="B67" s="7">
        <v>1</v>
      </c>
      <c r="C67" s="4" t="s">
        <v>87</v>
      </c>
      <c r="D67" s="7" t="s">
        <v>5</v>
      </c>
      <c r="E67" s="2"/>
      <c r="F67" s="7" t="s">
        <v>6</v>
      </c>
      <c r="G67" s="2"/>
      <c r="H67" s="2"/>
      <c r="I67" s="2"/>
      <c r="N67" s="2"/>
      <c r="O67" s="2"/>
      <c r="P67" s="7" t="s">
        <v>5</v>
      </c>
      <c r="Q67" s="2"/>
      <c r="R67" s="7" t="s">
        <v>13</v>
      </c>
      <c r="S67" s="2"/>
    </row>
    <row r="68" spans="2:21" x14ac:dyDescent="0.25">
      <c r="C68" s="12" t="s">
        <v>14</v>
      </c>
      <c r="D68" s="13">
        <v>1000</v>
      </c>
      <c r="E68" s="13" t="s">
        <v>8</v>
      </c>
      <c r="F68" s="13">
        <v>1000</v>
      </c>
      <c r="G68" s="13"/>
      <c r="H68" s="13">
        <v>1</v>
      </c>
      <c r="I68" s="13"/>
      <c r="J68" s="13"/>
      <c r="K68" s="8"/>
      <c r="L68" s="13"/>
      <c r="M68" s="13"/>
      <c r="N68" s="13"/>
      <c r="O68" s="13"/>
      <c r="P68" s="13">
        <f>+D68-84</f>
        <v>916</v>
      </c>
      <c r="Q68" s="13" t="s">
        <v>8</v>
      </c>
      <c r="R68" s="13">
        <f>+F68-84</f>
        <v>916</v>
      </c>
      <c r="S68" s="13">
        <f>+H68*1</f>
        <v>1</v>
      </c>
    </row>
    <row r="69" spans="2:21" x14ac:dyDescent="0.25">
      <c r="B69" s="14"/>
      <c r="C69" s="12" t="s">
        <v>15</v>
      </c>
      <c r="D69" s="2">
        <f>+D68-130</f>
        <v>870</v>
      </c>
      <c r="E69" s="2"/>
      <c r="F69" s="2">
        <f>+F68-130</f>
        <v>870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S69" s="2"/>
    </row>
    <row r="70" spans="2:21" x14ac:dyDescent="0.25">
      <c r="B70" s="14"/>
      <c r="D70" s="8">
        <f>+D68+43</f>
        <v>1043</v>
      </c>
      <c r="E70" s="8"/>
      <c r="F70" s="8">
        <f>+F68+43</f>
        <v>1043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S70" s="2"/>
    </row>
    <row r="71" spans="2:21" x14ac:dyDescent="0.25">
      <c r="Q71" s="7"/>
    </row>
    <row r="72" spans="2:21" x14ac:dyDescent="0.25">
      <c r="B72" s="6"/>
      <c r="C72" s="4"/>
      <c r="D72" s="4"/>
      <c r="E72" s="7"/>
      <c r="K72" s="7"/>
      <c r="Q72" s="7"/>
      <c r="S72" s="2"/>
    </row>
    <row r="73" spans="2:21" x14ac:dyDescent="0.25">
      <c r="B73" s="6">
        <v>1</v>
      </c>
      <c r="C73" s="4" t="s">
        <v>16</v>
      </c>
      <c r="D73" s="4"/>
      <c r="E73" s="7"/>
      <c r="K73" s="7"/>
      <c r="Q73" s="7"/>
      <c r="S73" s="2"/>
    </row>
    <row r="74" spans="2:21" x14ac:dyDescent="0.25">
      <c r="B74" s="7"/>
      <c r="C74" s="15" t="s">
        <v>17</v>
      </c>
      <c r="D74" s="16" t="s">
        <v>5</v>
      </c>
      <c r="E74" s="15"/>
      <c r="F74" s="16" t="s">
        <v>6</v>
      </c>
      <c r="G74" s="2"/>
      <c r="H74" s="2"/>
      <c r="J74" s="4"/>
      <c r="P74" s="2"/>
      <c r="Q74" s="2"/>
      <c r="R74" s="2"/>
      <c r="S74" s="2"/>
      <c r="U74" s="2"/>
    </row>
    <row r="75" spans="2:21" x14ac:dyDescent="0.25">
      <c r="C75" s="15">
        <f>+D75/2</f>
        <v>1062.5</v>
      </c>
      <c r="D75" s="15">
        <v>2125</v>
      </c>
      <c r="E75" s="15" t="s">
        <v>8</v>
      </c>
      <c r="F75" s="15">
        <v>1280</v>
      </c>
      <c r="H75" s="17">
        <v>1</v>
      </c>
      <c r="L75" s="2"/>
      <c r="M75" s="2"/>
      <c r="N75" s="7"/>
      <c r="O75" s="2"/>
      <c r="P75" s="7"/>
      <c r="Q75" s="2"/>
      <c r="R75" s="2"/>
      <c r="S75" s="2"/>
      <c r="U75" s="2"/>
    </row>
    <row r="76" spans="2:21" x14ac:dyDescent="0.25">
      <c r="D76" s="7"/>
      <c r="E76" s="2" t="s">
        <v>18</v>
      </c>
      <c r="F76" s="7"/>
      <c r="G76" s="2"/>
      <c r="H76" s="2"/>
      <c r="L76" s="2"/>
      <c r="M76" s="2"/>
      <c r="N76" s="7"/>
      <c r="O76" s="2"/>
      <c r="P76" s="7"/>
      <c r="Q76" s="2" t="s">
        <v>4</v>
      </c>
      <c r="R76" s="2"/>
      <c r="S76" s="2"/>
      <c r="U76" s="2"/>
    </row>
    <row r="77" spans="2:21" x14ac:dyDescent="0.25">
      <c r="D77" s="7" t="s">
        <v>5</v>
      </c>
      <c r="E77" s="2"/>
      <c r="F77" s="7" t="s">
        <v>6</v>
      </c>
      <c r="G77" s="2"/>
      <c r="H77" s="2"/>
      <c r="K77" s="4" t="s">
        <v>19</v>
      </c>
      <c r="M77" s="2"/>
      <c r="N77" s="2"/>
      <c r="O77" s="7"/>
      <c r="P77" s="7" t="s">
        <v>5</v>
      </c>
      <c r="Q77" s="2"/>
      <c r="R77" s="7" t="s">
        <v>13</v>
      </c>
      <c r="S77" s="2"/>
      <c r="U77" s="2"/>
    </row>
    <row r="78" spans="2:21" x14ac:dyDescent="0.25">
      <c r="D78" s="18">
        <f>+D75-C75</f>
        <v>1062.5</v>
      </c>
      <c r="E78" s="2"/>
      <c r="F78" s="2"/>
      <c r="G78" s="19"/>
      <c r="H78" s="2">
        <f>+H75</f>
        <v>1</v>
      </c>
      <c r="I78" s="2"/>
      <c r="J78" s="2"/>
      <c r="K78" s="2" t="s">
        <v>3</v>
      </c>
      <c r="L78" s="2"/>
      <c r="M78" s="2"/>
      <c r="N78" s="2"/>
      <c r="O78" s="2"/>
      <c r="P78" s="20">
        <f>+D78-75</f>
        <v>987.5</v>
      </c>
      <c r="Q78" s="2" t="s">
        <v>8</v>
      </c>
      <c r="R78" s="2">
        <f>+F79-99</f>
        <v>1186</v>
      </c>
      <c r="S78" s="2">
        <f>+H75</f>
        <v>1</v>
      </c>
      <c r="U78" s="2"/>
    </row>
    <row r="79" spans="2:21" x14ac:dyDescent="0.25">
      <c r="B79" s="41"/>
      <c r="D79" s="20">
        <f>+D75+5</f>
        <v>2130</v>
      </c>
      <c r="E79" s="2" t="s">
        <v>8</v>
      </c>
      <c r="F79" s="2">
        <f>+F75+5</f>
        <v>1285</v>
      </c>
      <c r="G79" s="19" t="s">
        <v>20</v>
      </c>
      <c r="H79" s="2">
        <f>+H75</f>
        <v>1</v>
      </c>
      <c r="I79" s="2"/>
      <c r="J79" s="20">
        <f>+C75-41</f>
        <v>1021.5</v>
      </c>
      <c r="K79" s="2" t="s">
        <v>8</v>
      </c>
      <c r="L79" s="2">
        <f>+F79-68</f>
        <v>1217</v>
      </c>
      <c r="M79" s="2"/>
      <c r="N79" s="2">
        <f>+H75</f>
        <v>1</v>
      </c>
      <c r="O79" s="2"/>
      <c r="P79" s="20">
        <f>+J79-140</f>
        <v>881.5</v>
      </c>
      <c r="Q79" s="2" t="s">
        <v>8</v>
      </c>
      <c r="R79" s="2">
        <f>+L79-140</f>
        <v>1077</v>
      </c>
      <c r="S79" s="2">
        <f>+H75</f>
        <v>1</v>
      </c>
      <c r="U79" s="2"/>
    </row>
    <row r="80" spans="2:21" x14ac:dyDescent="0.25">
      <c r="D80" s="21"/>
      <c r="E80" s="17"/>
      <c r="J80" s="21"/>
      <c r="P80" s="20"/>
      <c r="Q80" s="20"/>
      <c r="R80" s="20"/>
      <c r="S80" s="2"/>
      <c r="U80" s="2"/>
    </row>
    <row r="81" spans="2:21" x14ac:dyDescent="0.25">
      <c r="B81" s="6"/>
      <c r="C81" s="4"/>
      <c r="D81" s="4"/>
      <c r="E81" s="7"/>
      <c r="K81" s="7"/>
      <c r="Q81" s="7"/>
      <c r="S81" s="2"/>
    </row>
    <row r="82" spans="2:21" x14ac:dyDescent="0.25">
      <c r="B82" s="6"/>
      <c r="C82" s="4" t="s">
        <v>16</v>
      </c>
      <c r="D82" s="4"/>
      <c r="E82" s="7"/>
      <c r="K82" s="7"/>
      <c r="Q82" s="7"/>
      <c r="S82" s="2"/>
    </row>
    <row r="83" spans="2:21" x14ac:dyDescent="0.25">
      <c r="B83" s="7"/>
      <c r="C83" s="15" t="s">
        <v>21</v>
      </c>
      <c r="D83" s="16" t="s">
        <v>5</v>
      </c>
      <c r="E83" s="15"/>
      <c r="F83" s="16" t="s">
        <v>6</v>
      </c>
      <c r="G83" s="2"/>
      <c r="H83" s="2"/>
      <c r="J83" s="4"/>
      <c r="P83" s="2"/>
      <c r="Q83" s="2"/>
      <c r="R83" s="2"/>
      <c r="S83" s="2"/>
      <c r="U83" s="2"/>
    </row>
    <row r="84" spans="2:21" x14ac:dyDescent="0.25">
      <c r="C84" s="15">
        <f>+D84/2</f>
        <v>745</v>
      </c>
      <c r="D84" s="15">
        <f>1500-10</f>
        <v>1490</v>
      </c>
      <c r="E84" s="15" t="s">
        <v>8</v>
      </c>
      <c r="F84" s="15">
        <f>1500-10</f>
        <v>1490</v>
      </c>
      <c r="H84" s="17">
        <v>1</v>
      </c>
      <c r="L84" s="2"/>
      <c r="M84" s="2"/>
      <c r="N84" s="7"/>
      <c r="O84" s="2"/>
      <c r="P84" s="7"/>
      <c r="Q84" s="2"/>
      <c r="R84" s="2"/>
      <c r="S84" s="2"/>
      <c r="U84" s="2"/>
    </row>
    <row r="85" spans="2:21" x14ac:dyDescent="0.25">
      <c r="D85" s="7"/>
      <c r="E85" s="2" t="s">
        <v>18</v>
      </c>
      <c r="F85" s="7"/>
      <c r="G85" s="2"/>
      <c r="H85" s="2"/>
      <c r="L85" s="2"/>
      <c r="M85" s="2"/>
      <c r="N85" s="7"/>
      <c r="O85" s="2"/>
      <c r="P85" s="7"/>
      <c r="Q85" s="2" t="s">
        <v>4</v>
      </c>
      <c r="R85" s="2"/>
      <c r="S85" s="2"/>
      <c r="U85" s="2"/>
    </row>
    <row r="86" spans="2:21" x14ac:dyDescent="0.25">
      <c r="D86" s="7" t="s">
        <v>5</v>
      </c>
      <c r="E86" s="2"/>
      <c r="F86" s="7" t="s">
        <v>6</v>
      </c>
      <c r="G86" s="2"/>
      <c r="H86" s="2"/>
      <c r="K86" s="4" t="s">
        <v>19</v>
      </c>
      <c r="M86" s="2"/>
      <c r="N86" s="2"/>
      <c r="O86" s="7"/>
      <c r="P86" s="7" t="s">
        <v>5</v>
      </c>
      <c r="Q86" s="2"/>
      <c r="R86" s="7" t="s">
        <v>13</v>
      </c>
      <c r="S86" s="2"/>
      <c r="U86" s="2"/>
    </row>
    <row r="87" spans="2:21" x14ac:dyDescent="0.25">
      <c r="D87" s="18">
        <f>+D84-C84</f>
        <v>745</v>
      </c>
      <c r="E87" s="2"/>
      <c r="F87" s="2"/>
      <c r="G87" s="19"/>
      <c r="H87" s="2">
        <f>+H84</f>
        <v>1</v>
      </c>
      <c r="I87" s="2"/>
      <c r="J87" s="2"/>
      <c r="K87" s="2" t="s">
        <v>3</v>
      </c>
      <c r="L87" s="2"/>
      <c r="M87" s="2"/>
      <c r="N87" s="2"/>
      <c r="O87" s="2"/>
      <c r="P87" s="20">
        <f>+D87-75</f>
        <v>670</v>
      </c>
      <c r="Q87" s="2" t="s">
        <v>8</v>
      </c>
      <c r="R87" s="2">
        <f>+F88-99</f>
        <v>1396</v>
      </c>
      <c r="S87" s="2">
        <f>+H84</f>
        <v>1</v>
      </c>
      <c r="U87" s="2"/>
    </row>
    <row r="88" spans="2:21" x14ac:dyDescent="0.25">
      <c r="D88" s="20">
        <f>+D84+5</f>
        <v>1495</v>
      </c>
      <c r="E88" s="2" t="s">
        <v>8</v>
      </c>
      <c r="F88" s="2">
        <f>+F84+5</f>
        <v>1495</v>
      </c>
      <c r="G88" s="19" t="s">
        <v>20</v>
      </c>
      <c r="H88" s="2">
        <f>+H84</f>
        <v>1</v>
      </c>
      <c r="I88" s="2"/>
      <c r="J88" s="20">
        <f>+C84-41</f>
        <v>704</v>
      </c>
      <c r="K88" s="2" t="s">
        <v>8</v>
      </c>
      <c r="L88" s="2">
        <f>+F88-68</f>
        <v>1427</v>
      </c>
      <c r="M88" s="2"/>
      <c r="N88" s="2">
        <f>+H84</f>
        <v>1</v>
      </c>
      <c r="O88" s="2"/>
      <c r="P88" s="20">
        <f>+J88-140</f>
        <v>564</v>
      </c>
      <c r="Q88" s="2" t="s">
        <v>8</v>
      </c>
      <c r="R88" s="2">
        <f>+L88-140</f>
        <v>1287</v>
      </c>
      <c r="S88" s="2">
        <f>+H84</f>
        <v>1</v>
      </c>
      <c r="U88" s="2"/>
    </row>
    <row r="89" spans="2:21" x14ac:dyDescent="0.25">
      <c r="D89" s="21"/>
      <c r="E89" s="17"/>
      <c r="J89" s="21"/>
      <c r="P89" s="20"/>
      <c r="Q89" s="20"/>
      <c r="R89" s="20"/>
      <c r="S89" s="2"/>
      <c r="U89" s="2"/>
    </row>
    <row r="90" spans="2:21" x14ac:dyDescent="0.25">
      <c r="B90" s="1"/>
      <c r="K90" s="7"/>
      <c r="Q90" s="7"/>
      <c r="S90" s="2"/>
    </row>
    <row r="91" spans="2:21" x14ac:dyDescent="0.25">
      <c r="B91" s="1"/>
      <c r="K91" s="7"/>
      <c r="Q91" s="7"/>
      <c r="S91" s="2"/>
    </row>
    <row r="92" spans="2:21" x14ac:dyDescent="0.25">
      <c r="B92" s="7"/>
      <c r="C92" s="15" t="s">
        <v>17</v>
      </c>
      <c r="D92" s="16" t="s">
        <v>5</v>
      </c>
      <c r="E92" s="15"/>
      <c r="F92" s="16" t="s">
        <v>6</v>
      </c>
      <c r="G92" s="2"/>
      <c r="H92" s="2"/>
      <c r="I92" s="1" t="s">
        <v>22</v>
      </c>
      <c r="J92" s="4"/>
      <c r="P92" s="2"/>
      <c r="Q92" s="2"/>
      <c r="R92" s="2"/>
      <c r="S92" s="2"/>
      <c r="U92" s="2"/>
    </row>
    <row r="93" spans="2:21" x14ac:dyDescent="0.25">
      <c r="C93" s="15">
        <v>920</v>
      </c>
      <c r="D93" s="15">
        <v>2490</v>
      </c>
      <c r="E93" s="15" t="s">
        <v>8</v>
      </c>
      <c r="F93" s="15">
        <v>1890</v>
      </c>
      <c r="H93" s="17">
        <v>10</v>
      </c>
      <c r="L93" s="2"/>
      <c r="M93" s="2"/>
      <c r="N93" s="7"/>
      <c r="O93" s="2"/>
      <c r="P93" s="7"/>
      <c r="Q93" s="2"/>
      <c r="R93" s="2"/>
      <c r="S93" s="2"/>
      <c r="U93" s="2"/>
    </row>
    <row r="94" spans="2:21" x14ac:dyDescent="0.25">
      <c r="B94" s="15" t="s">
        <v>23</v>
      </c>
      <c r="D94" s="7"/>
      <c r="E94" s="2" t="s">
        <v>18</v>
      </c>
      <c r="F94" s="7"/>
      <c r="G94" s="2"/>
      <c r="H94" s="2"/>
      <c r="L94" s="2"/>
      <c r="M94" s="2"/>
      <c r="N94" s="7"/>
      <c r="O94" s="2"/>
      <c r="P94" s="7"/>
      <c r="Q94" s="2" t="s">
        <v>4</v>
      </c>
      <c r="R94" s="2"/>
      <c r="S94" s="2"/>
      <c r="U94" s="2"/>
    </row>
    <row r="95" spans="2:21" x14ac:dyDescent="0.25">
      <c r="B95" s="15" t="s">
        <v>24</v>
      </c>
      <c r="D95" s="7" t="s">
        <v>5</v>
      </c>
      <c r="E95" s="2"/>
      <c r="F95" s="7" t="s">
        <v>6</v>
      </c>
      <c r="G95" s="2"/>
      <c r="H95" s="2"/>
      <c r="K95" s="4"/>
      <c r="M95" s="2"/>
      <c r="N95" s="2"/>
      <c r="O95" s="7"/>
      <c r="P95" s="7" t="s">
        <v>5</v>
      </c>
      <c r="Q95" s="2"/>
      <c r="R95" s="7" t="s">
        <v>13</v>
      </c>
      <c r="S95" s="2"/>
      <c r="U95" s="2"/>
    </row>
    <row r="96" spans="2:21" x14ac:dyDescent="0.25">
      <c r="B96" s="15">
        <v>1000</v>
      </c>
      <c r="D96" s="18">
        <f>+D93-C93</f>
        <v>1570</v>
      </c>
      <c r="E96" s="2"/>
      <c r="F96" s="2"/>
      <c r="G96" s="19" t="s">
        <v>25</v>
      </c>
      <c r="H96" s="2"/>
      <c r="I96" s="2"/>
      <c r="J96" s="2"/>
      <c r="K96" s="2" t="s">
        <v>3</v>
      </c>
      <c r="L96" s="2"/>
      <c r="M96" s="2"/>
      <c r="N96" s="2"/>
      <c r="O96" s="2"/>
      <c r="P96" s="20">
        <f>+D96-75</f>
        <v>1495</v>
      </c>
      <c r="Q96" s="2" t="s">
        <v>8</v>
      </c>
      <c r="R96" s="2">
        <f>+F97-99</f>
        <v>906</v>
      </c>
      <c r="S96" s="2">
        <f>+H93</f>
        <v>10</v>
      </c>
      <c r="U96" s="2"/>
    </row>
    <row r="97" spans="2:21" x14ac:dyDescent="0.25">
      <c r="D97" s="20">
        <f>+D93+5</f>
        <v>2495</v>
      </c>
      <c r="E97" s="2" t="s">
        <v>8</v>
      </c>
      <c r="F97" s="2">
        <f>+B96+5</f>
        <v>1005</v>
      </c>
      <c r="G97" s="19" t="s">
        <v>20</v>
      </c>
      <c r="H97" s="2">
        <f>+H93</f>
        <v>10</v>
      </c>
      <c r="I97" s="2"/>
      <c r="J97" s="20">
        <f>+C93-41</f>
        <v>879</v>
      </c>
      <c r="K97" s="2" t="s">
        <v>8</v>
      </c>
      <c r="L97" s="2">
        <f>+F97-68</f>
        <v>937</v>
      </c>
      <c r="M97" s="2"/>
      <c r="N97" s="2">
        <f>+H93</f>
        <v>10</v>
      </c>
      <c r="O97" s="2"/>
      <c r="P97" s="20">
        <f>+J97-128</f>
        <v>751</v>
      </c>
      <c r="Q97" s="2" t="s">
        <v>8</v>
      </c>
      <c r="R97" s="2">
        <f>+L97-128</f>
        <v>809</v>
      </c>
      <c r="S97" s="2">
        <f>+H93</f>
        <v>10</v>
      </c>
      <c r="U97" s="2"/>
    </row>
    <row r="98" spans="2:21" x14ac:dyDescent="0.25">
      <c r="D98" s="21">
        <f>+D97</f>
        <v>2495</v>
      </c>
      <c r="E98" s="17" t="s">
        <v>8</v>
      </c>
      <c r="F98" s="1">
        <f>+(F93-B96)+2</f>
        <v>892</v>
      </c>
      <c r="H98" s="1">
        <f>+H97</f>
        <v>10</v>
      </c>
      <c r="J98" s="21"/>
      <c r="P98" s="20">
        <f>+D98-99</f>
        <v>2396</v>
      </c>
      <c r="Q98" s="20" t="s">
        <v>8</v>
      </c>
      <c r="R98" s="20">
        <f>+F98-99</f>
        <v>793</v>
      </c>
      <c r="S98" s="2">
        <f>+H98</f>
        <v>10</v>
      </c>
      <c r="U98" s="2"/>
    </row>
    <row r="99" spans="2:21" x14ac:dyDescent="0.25">
      <c r="B99" s="1"/>
      <c r="D99" s="21"/>
      <c r="J99" s="24" t="s">
        <v>26</v>
      </c>
      <c r="P99" s="2"/>
      <c r="Q99" s="2"/>
      <c r="R99" s="2"/>
      <c r="S99" s="2"/>
      <c r="U99" s="2"/>
    </row>
    <row r="100" spans="2:21" x14ac:dyDescent="0.25">
      <c r="B100" s="1"/>
      <c r="K100" s="7"/>
      <c r="Q100" s="7"/>
      <c r="S100" s="2"/>
      <c r="U100" s="2"/>
    </row>
    <row r="101" spans="2:21" x14ac:dyDescent="0.25">
      <c r="B101" s="7" t="s">
        <v>27</v>
      </c>
      <c r="C101" s="15" t="s">
        <v>17</v>
      </c>
      <c r="D101" s="16" t="s">
        <v>5</v>
      </c>
      <c r="E101" s="15"/>
      <c r="F101" s="16" t="s">
        <v>6</v>
      </c>
      <c r="G101" s="2"/>
      <c r="H101" s="2"/>
      <c r="I101" s="1" t="s">
        <v>28</v>
      </c>
      <c r="J101" s="4"/>
      <c r="P101" s="2"/>
      <c r="Q101" s="2"/>
      <c r="R101" s="2"/>
      <c r="S101" s="2"/>
      <c r="U101" s="2"/>
    </row>
    <row r="102" spans="2:21" x14ac:dyDescent="0.25">
      <c r="C102" s="15">
        <v>920</v>
      </c>
      <c r="D102" s="15">
        <v>2490</v>
      </c>
      <c r="E102" s="15" t="s">
        <v>8</v>
      </c>
      <c r="F102" s="15">
        <v>1890</v>
      </c>
      <c r="H102" s="17">
        <v>10</v>
      </c>
      <c r="L102" s="2"/>
      <c r="M102" s="2"/>
      <c r="N102" s="7"/>
      <c r="O102" s="2"/>
      <c r="P102" s="7"/>
      <c r="Q102" s="2"/>
      <c r="R102" s="2"/>
      <c r="S102" s="2"/>
      <c r="U102" s="2"/>
    </row>
    <row r="103" spans="2:21" x14ac:dyDescent="0.25">
      <c r="B103" s="15" t="s">
        <v>23</v>
      </c>
      <c r="D103" s="7"/>
      <c r="E103" s="2" t="s">
        <v>18</v>
      </c>
      <c r="F103" s="7"/>
      <c r="G103" s="2"/>
      <c r="H103" s="2"/>
      <c r="L103" s="2"/>
      <c r="M103" s="2"/>
      <c r="N103" s="7"/>
      <c r="O103" s="2"/>
      <c r="P103" s="7"/>
      <c r="Q103" s="2" t="s">
        <v>4</v>
      </c>
      <c r="R103" s="2"/>
      <c r="S103" s="2"/>
      <c r="U103" s="2"/>
    </row>
    <row r="104" spans="2:21" x14ac:dyDescent="0.25">
      <c r="B104" s="15" t="s">
        <v>24</v>
      </c>
      <c r="D104" s="7" t="s">
        <v>5</v>
      </c>
      <c r="E104" s="2"/>
      <c r="F104" s="7" t="s">
        <v>6</v>
      </c>
      <c r="G104" s="2"/>
      <c r="H104" s="2"/>
      <c r="K104" s="4"/>
      <c r="M104" s="2"/>
      <c r="N104" s="2"/>
      <c r="O104" s="7"/>
      <c r="P104" s="7" t="s">
        <v>5</v>
      </c>
      <c r="Q104" s="2"/>
      <c r="R104" s="7" t="s">
        <v>13</v>
      </c>
      <c r="S104" s="2"/>
      <c r="U104" s="2"/>
    </row>
    <row r="105" spans="2:21" x14ac:dyDescent="0.25">
      <c r="B105" s="15">
        <v>1000</v>
      </c>
      <c r="D105" s="18">
        <f>+D102-C102</f>
        <v>1570</v>
      </c>
      <c r="E105" s="2"/>
      <c r="F105" s="2"/>
      <c r="G105" s="19"/>
      <c r="H105" s="2"/>
      <c r="I105" s="2"/>
      <c r="J105" s="2"/>
      <c r="K105" s="2" t="s">
        <v>3</v>
      </c>
      <c r="L105" s="2"/>
      <c r="M105" s="2"/>
      <c r="N105" s="2"/>
      <c r="O105" s="2"/>
      <c r="P105" s="20">
        <f>+D105-75</f>
        <v>1495</v>
      </c>
      <c r="Q105" s="2" t="s">
        <v>8</v>
      </c>
      <c r="R105" s="2">
        <f>+F106-99</f>
        <v>906</v>
      </c>
      <c r="S105" s="2">
        <f>+H102</f>
        <v>10</v>
      </c>
      <c r="U105" s="2"/>
    </row>
    <row r="106" spans="2:21" x14ac:dyDescent="0.25">
      <c r="D106" s="20">
        <f>+D102+5</f>
        <v>2495</v>
      </c>
      <c r="E106" s="2" t="s">
        <v>8</v>
      </c>
      <c r="F106" s="2">
        <f>+B105+5</f>
        <v>1005</v>
      </c>
      <c r="G106" s="19" t="s">
        <v>20</v>
      </c>
      <c r="H106" s="2">
        <f>+H102</f>
        <v>10</v>
      </c>
      <c r="I106" s="2"/>
      <c r="J106" s="20">
        <f>+C102-41</f>
        <v>879</v>
      </c>
      <c r="K106" s="2" t="s">
        <v>8</v>
      </c>
      <c r="L106" s="2">
        <f>+F106-68</f>
        <v>937</v>
      </c>
      <c r="M106" s="2"/>
      <c r="N106" s="2">
        <f>+H102</f>
        <v>10</v>
      </c>
      <c r="O106" s="2"/>
      <c r="P106" s="20">
        <f>+J106-128</f>
        <v>751</v>
      </c>
      <c r="Q106" s="2" t="s">
        <v>8</v>
      </c>
      <c r="R106" s="2">
        <f>+L106-128</f>
        <v>809</v>
      </c>
      <c r="S106" s="2">
        <f>+H102</f>
        <v>10</v>
      </c>
      <c r="U106" s="2"/>
    </row>
    <row r="107" spans="2:21" x14ac:dyDescent="0.25">
      <c r="D107" s="21">
        <f>+D106</f>
        <v>2495</v>
      </c>
      <c r="E107" s="17" t="s">
        <v>8</v>
      </c>
      <c r="F107" s="1">
        <f>+(F102-B105)+2</f>
        <v>892</v>
      </c>
      <c r="G107" s="1" t="s">
        <v>25</v>
      </c>
      <c r="H107" s="1">
        <f>+H106</f>
        <v>10</v>
      </c>
      <c r="J107" s="21"/>
      <c r="P107" s="20">
        <f>+D107-99</f>
        <v>2396</v>
      </c>
      <c r="Q107" s="20" t="s">
        <v>8</v>
      </c>
      <c r="R107" s="20">
        <f>+F107-99</f>
        <v>793</v>
      </c>
      <c r="S107" s="2">
        <f>+H107</f>
        <v>10</v>
      </c>
      <c r="U107" s="2"/>
    </row>
    <row r="108" spans="2:21" x14ac:dyDescent="0.25">
      <c r="B108" s="1"/>
      <c r="D108" s="21"/>
      <c r="J108" s="24" t="s">
        <v>26</v>
      </c>
      <c r="P108" s="2"/>
      <c r="Q108" s="2"/>
      <c r="R108" s="2"/>
      <c r="S108" s="2"/>
      <c r="U108" s="2"/>
    </row>
    <row r="109" spans="2:21" x14ac:dyDescent="0.25">
      <c r="B109" s="1"/>
      <c r="K109" s="7"/>
      <c r="Q109" s="7"/>
      <c r="S109" s="2"/>
      <c r="U109" s="2"/>
    </row>
    <row r="110" spans="2:21" x14ac:dyDescent="0.25">
      <c r="B110" s="7" t="s">
        <v>27</v>
      </c>
      <c r="C110" s="1" t="s">
        <v>29</v>
      </c>
      <c r="S110" s="2"/>
    </row>
    <row r="111" spans="2:21" x14ac:dyDescent="0.25">
      <c r="D111" s="2"/>
      <c r="E111" s="2"/>
      <c r="F111" s="2"/>
      <c r="G111" s="2"/>
      <c r="H111" s="2"/>
      <c r="I111" s="2"/>
      <c r="J111" s="2"/>
      <c r="K111" s="8"/>
      <c r="L111" s="2"/>
      <c r="M111" s="2"/>
      <c r="N111" s="2"/>
      <c r="O111" s="2"/>
      <c r="P111" s="2"/>
      <c r="Q111" s="2"/>
      <c r="R111" s="2"/>
      <c r="S111" s="2"/>
    </row>
    <row r="112" spans="2:21" x14ac:dyDescent="0.25">
      <c r="D112" s="2"/>
      <c r="E112" s="2" t="s">
        <v>2</v>
      </c>
      <c r="F112" s="2"/>
      <c r="G112" s="2"/>
      <c r="H112" s="2"/>
      <c r="I112" s="2"/>
      <c r="J112" s="2"/>
      <c r="K112" s="8" t="s">
        <v>30</v>
      </c>
      <c r="L112" s="2"/>
      <c r="M112" s="2"/>
      <c r="N112" s="2"/>
      <c r="O112" s="2"/>
      <c r="P112" s="2"/>
      <c r="Q112" s="2" t="s">
        <v>4</v>
      </c>
      <c r="R112" s="2"/>
      <c r="S112" s="2"/>
    </row>
    <row r="113" spans="1:21" x14ac:dyDescent="0.25">
      <c r="D113" s="2">
        <v>2000</v>
      </c>
      <c r="E113" s="2" t="s">
        <v>8</v>
      </c>
      <c r="F113" s="2">
        <v>2000</v>
      </c>
      <c r="G113" s="2"/>
      <c r="H113" s="2">
        <v>1</v>
      </c>
      <c r="I113" s="2"/>
      <c r="J113" s="2">
        <f>+(D113+17)/2</f>
        <v>1008.5</v>
      </c>
      <c r="K113" s="2" t="s">
        <v>8</v>
      </c>
      <c r="L113" s="2">
        <f>+F113-76</f>
        <v>1924</v>
      </c>
      <c r="M113" s="2"/>
      <c r="N113" s="2">
        <f>+H113*2</f>
        <v>2</v>
      </c>
      <c r="O113" s="2"/>
      <c r="P113" s="2">
        <f>+J113-178</f>
        <v>830.5</v>
      </c>
      <c r="Q113" s="2" t="s">
        <v>8</v>
      </c>
      <c r="R113" s="2">
        <f>+L113-178</f>
        <v>1746</v>
      </c>
      <c r="S113" s="2">
        <f>+N113</f>
        <v>2</v>
      </c>
    </row>
    <row r="114" spans="1:21" x14ac:dyDescent="0.25">
      <c r="S114" s="2"/>
    </row>
    <row r="115" spans="1:21" x14ac:dyDescent="0.25">
      <c r="B115" s="3" t="s">
        <v>31</v>
      </c>
      <c r="C115" s="4" t="s">
        <v>32</v>
      </c>
      <c r="D115" s="4"/>
      <c r="J115" s="21"/>
      <c r="P115" s="21"/>
      <c r="Q115" s="21"/>
      <c r="R115" s="21"/>
      <c r="S115" s="2"/>
    </row>
    <row r="116" spans="1:21" x14ac:dyDescent="0.25">
      <c r="A116" s="4" t="s">
        <v>33</v>
      </c>
      <c r="B116" s="19"/>
      <c r="D116" s="2"/>
      <c r="E116" s="2"/>
      <c r="F116" s="2"/>
      <c r="G116" s="2"/>
      <c r="H116" s="2"/>
      <c r="I116" s="2"/>
      <c r="J116" s="20"/>
      <c r="K116" s="2"/>
      <c r="L116" s="2"/>
      <c r="M116" s="2"/>
      <c r="N116" s="2"/>
      <c r="O116" s="2"/>
      <c r="P116" s="20"/>
      <c r="Q116" s="20"/>
      <c r="R116" s="20"/>
      <c r="S116" s="2"/>
    </row>
    <row r="117" spans="1:21" x14ac:dyDescent="0.25">
      <c r="B117" s="19"/>
      <c r="D117" s="2"/>
      <c r="E117" s="2" t="s">
        <v>2</v>
      </c>
      <c r="F117" s="2"/>
      <c r="G117" s="2"/>
      <c r="H117" s="2"/>
      <c r="I117" s="2"/>
      <c r="J117" s="20"/>
      <c r="K117" s="2" t="s">
        <v>3</v>
      </c>
      <c r="L117" s="2"/>
      <c r="M117" s="2"/>
      <c r="N117" s="2"/>
      <c r="O117" s="2"/>
      <c r="P117" s="20"/>
      <c r="Q117" s="20" t="s">
        <v>4</v>
      </c>
      <c r="R117" s="20"/>
      <c r="S117" s="2"/>
    </row>
    <row r="118" spans="1:21" x14ac:dyDescent="0.25">
      <c r="B118" s="19"/>
      <c r="D118" s="2">
        <v>1405</v>
      </c>
      <c r="E118" s="2" t="s">
        <v>8</v>
      </c>
      <c r="F118" s="2">
        <v>1705</v>
      </c>
      <c r="G118" s="2"/>
      <c r="H118" s="2">
        <v>1</v>
      </c>
      <c r="I118" s="2"/>
      <c r="J118" s="20">
        <f>+(D118/2)+2</f>
        <v>704.5</v>
      </c>
      <c r="K118" s="2" t="s">
        <v>8</v>
      </c>
      <c r="L118" s="2">
        <f>+F118-76</f>
        <v>1629</v>
      </c>
      <c r="M118" s="2"/>
      <c r="N118" s="2">
        <f>+H118*2</f>
        <v>2</v>
      </c>
      <c r="O118" s="2"/>
      <c r="P118" s="20">
        <f>+J118-135</f>
        <v>569.5</v>
      </c>
      <c r="Q118" s="20" t="s">
        <v>8</v>
      </c>
      <c r="R118" s="20">
        <f>+L118-135</f>
        <v>1494</v>
      </c>
      <c r="S118" s="2">
        <f>+N118</f>
        <v>2</v>
      </c>
    </row>
    <row r="119" spans="1:21" x14ac:dyDescent="0.25">
      <c r="B119" s="19"/>
      <c r="J119" s="21"/>
      <c r="P119" s="21"/>
      <c r="Q119" s="21"/>
      <c r="R119" s="21"/>
      <c r="S119" s="2"/>
    </row>
    <row r="120" spans="1:21" x14ac:dyDescent="0.25">
      <c r="B120" s="7" t="s">
        <v>34</v>
      </c>
      <c r="C120" s="1" t="s">
        <v>35</v>
      </c>
      <c r="Q120" s="2"/>
      <c r="U120" s="2"/>
    </row>
    <row r="121" spans="1:21" x14ac:dyDescent="0.25">
      <c r="Q121" s="2"/>
      <c r="U121" s="2"/>
    </row>
    <row r="122" spans="1:21" x14ac:dyDescent="0.25">
      <c r="Q122" s="2"/>
      <c r="U122" s="2"/>
    </row>
    <row r="123" spans="1:21" x14ac:dyDescent="0.25">
      <c r="D123" s="2"/>
      <c r="E123" s="2" t="s">
        <v>2</v>
      </c>
      <c r="F123" s="2"/>
      <c r="G123" s="2"/>
      <c r="H123" s="2"/>
      <c r="I123" s="2"/>
      <c r="J123" s="2"/>
      <c r="K123" s="2" t="s">
        <v>24</v>
      </c>
      <c r="L123" s="2"/>
      <c r="M123" s="2"/>
      <c r="N123" s="2"/>
      <c r="O123" s="2"/>
      <c r="P123" s="2"/>
      <c r="Q123" s="2" t="s">
        <v>4</v>
      </c>
      <c r="U123" s="2"/>
    </row>
    <row r="124" spans="1:21" x14ac:dyDescent="0.25">
      <c r="D124" s="2">
        <f>2510-5</f>
        <v>2505</v>
      </c>
      <c r="E124" s="2" t="s">
        <v>8</v>
      </c>
      <c r="F124" s="2">
        <f>1010-5</f>
        <v>1005</v>
      </c>
      <c r="G124" s="2"/>
      <c r="H124" s="2">
        <v>1</v>
      </c>
      <c r="I124" s="2"/>
      <c r="J124" s="20">
        <f>+(D124/3)+31</f>
        <v>866</v>
      </c>
      <c r="K124" s="7" t="s">
        <v>8</v>
      </c>
      <c r="L124" s="2">
        <f>+F124-76</f>
        <v>929</v>
      </c>
      <c r="M124" s="2">
        <f>+H124*3</f>
        <v>3</v>
      </c>
      <c r="N124" s="2"/>
      <c r="O124" s="2"/>
      <c r="P124" s="20">
        <f>+J124-135</f>
        <v>731</v>
      </c>
      <c r="Q124" s="2" t="s">
        <v>8</v>
      </c>
      <c r="R124" s="2">
        <f>+L124-135</f>
        <v>794</v>
      </c>
      <c r="S124" s="2">
        <f>+M124</f>
        <v>3</v>
      </c>
      <c r="U124" s="2"/>
    </row>
    <row r="125" spans="1:21" x14ac:dyDescent="0.25">
      <c r="D125" s="2"/>
      <c r="E125" s="2"/>
      <c r="F125" s="2"/>
      <c r="G125" s="2"/>
      <c r="H125" s="2"/>
      <c r="I125" s="2"/>
      <c r="J125" s="20"/>
      <c r="K125" s="7"/>
      <c r="L125" s="2"/>
      <c r="M125" s="2"/>
      <c r="N125" s="2"/>
      <c r="O125" s="2"/>
      <c r="P125" s="20"/>
      <c r="Q125" s="2"/>
      <c r="R125" s="2"/>
      <c r="S125" s="2"/>
      <c r="U125" s="2"/>
    </row>
    <row r="126" spans="1:21" x14ac:dyDescent="0.25">
      <c r="B126" s="1"/>
      <c r="K126" s="8"/>
      <c r="Q126" s="7"/>
      <c r="S126" s="2"/>
    </row>
    <row r="127" spans="1:21" s="25" customFormat="1" x14ac:dyDescent="0.25">
      <c r="A127" s="1"/>
      <c r="B127" s="4" t="s">
        <v>36</v>
      </c>
      <c r="C127" s="1" t="s">
        <v>37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1" x14ac:dyDescent="0.25">
      <c r="B128" s="1"/>
      <c r="C128" s="15" t="s">
        <v>38</v>
      </c>
      <c r="D128" s="16" t="s">
        <v>5</v>
      </c>
      <c r="E128" s="15"/>
      <c r="F128" s="16" t="s">
        <v>6</v>
      </c>
      <c r="G128" s="2"/>
      <c r="H128" s="2"/>
      <c r="J128" s="4"/>
      <c r="K128" s="8" t="s">
        <v>39</v>
      </c>
    </row>
    <row r="129" spans="1:20" x14ac:dyDescent="0.25">
      <c r="B129" s="1"/>
      <c r="C129" s="15">
        <v>1000</v>
      </c>
      <c r="D129" s="16">
        <f>2000-10</f>
        <v>1990</v>
      </c>
      <c r="E129" s="15" t="s">
        <v>8</v>
      </c>
      <c r="F129" s="15">
        <f>1795-10</f>
        <v>1785</v>
      </c>
      <c r="H129" s="17">
        <v>10</v>
      </c>
      <c r="L129" s="2"/>
      <c r="M129" s="2"/>
      <c r="N129" s="7"/>
      <c r="O129" s="2"/>
      <c r="P129" s="7"/>
      <c r="Q129" s="2"/>
    </row>
    <row r="130" spans="1:20" x14ac:dyDescent="0.25">
      <c r="B130" s="1"/>
      <c r="D130" s="7"/>
      <c r="E130" s="2" t="s">
        <v>18</v>
      </c>
      <c r="F130" s="7"/>
      <c r="G130" s="2"/>
      <c r="H130" s="2"/>
      <c r="L130" s="2"/>
      <c r="M130" s="2"/>
      <c r="N130" s="7"/>
      <c r="O130" s="2"/>
      <c r="P130" s="7"/>
    </row>
    <row r="131" spans="1:20" x14ac:dyDescent="0.25">
      <c r="B131" s="1"/>
      <c r="D131" s="7" t="s">
        <v>5</v>
      </c>
      <c r="E131" s="2"/>
      <c r="F131" s="7" t="s">
        <v>6</v>
      </c>
      <c r="G131" s="2"/>
      <c r="H131" s="2"/>
      <c r="M131" s="2"/>
      <c r="N131" s="2"/>
      <c r="O131" s="7"/>
      <c r="P131" s="7" t="s">
        <v>5</v>
      </c>
      <c r="Q131" s="2"/>
      <c r="R131" s="7" t="s">
        <v>13</v>
      </c>
      <c r="S131" s="2"/>
    </row>
    <row r="132" spans="1:20" x14ac:dyDescent="0.25">
      <c r="B132" s="14"/>
      <c r="D132" s="26"/>
      <c r="E132" s="2"/>
      <c r="F132" s="2"/>
      <c r="G132" s="2"/>
      <c r="H132" s="2"/>
      <c r="I132" s="2"/>
      <c r="J132" s="2"/>
      <c r="K132" s="2" t="s">
        <v>3</v>
      </c>
      <c r="L132" s="2"/>
      <c r="M132" s="2"/>
      <c r="N132" s="2"/>
      <c r="O132" s="2"/>
      <c r="P132" s="20"/>
      <c r="Q132" s="2"/>
      <c r="R132" s="2"/>
      <c r="S132" s="2"/>
    </row>
    <row r="133" spans="1:20" x14ac:dyDescent="0.25">
      <c r="B133" s="14"/>
      <c r="D133" s="26">
        <f>+(D129/2)+3</f>
        <v>998</v>
      </c>
      <c r="E133" s="2" t="s">
        <v>8</v>
      </c>
      <c r="F133" s="2">
        <f>+C129+5</f>
        <v>1005</v>
      </c>
      <c r="G133" s="2"/>
      <c r="H133" s="2">
        <f>+H129*2</f>
        <v>20</v>
      </c>
      <c r="I133" s="2"/>
      <c r="J133" s="26">
        <f>+D133-68</f>
        <v>930</v>
      </c>
      <c r="K133" s="7" t="s">
        <v>8</v>
      </c>
      <c r="L133" s="2">
        <f>+F133-68</f>
        <v>937</v>
      </c>
      <c r="M133" s="2"/>
      <c r="N133" s="2">
        <f>+H133</f>
        <v>20</v>
      </c>
      <c r="O133" s="2"/>
      <c r="P133" s="26">
        <f>+J133-140</f>
        <v>790</v>
      </c>
      <c r="Q133" s="2" t="s">
        <v>8</v>
      </c>
      <c r="R133" s="2">
        <f>+L133-140</f>
        <v>797</v>
      </c>
      <c r="S133" s="2">
        <f>+N133</f>
        <v>20</v>
      </c>
    </row>
    <row r="134" spans="1:20" x14ac:dyDescent="0.25">
      <c r="B134" s="14"/>
      <c r="D134" s="26">
        <f>+D129+5</f>
        <v>1995</v>
      </c>
      <c r="E134" s="17" t="s">
        <v>8</v>
      </c>
      <c r="F134" s="2">
        <f>+F129+1-C129</f>
        <v>786</v>
      </c>
      <c r="H134" s="2">
        <f>+H129*1</f>
        <v>10</v>
      </c>
      <c r="J134" s="21"/>
      <c r="K134" s="1" t="s">
        <v>40</v>
      </c>
      <c r="P134" s="20">
        <f>+D134-99</f>
        <v>1896</v>
      </c>
      <c r="Q134" s="2" t="s">
        <v>8</v>
      </c>
      <c r="R134" s="2">
        <f>+F134-99</f>
        <v>687</v>
      </c>
      <c r="S134" s="1">
        <f>+H134</f>
        <v>10</v>
      </c>
    </row>
    <row r="135" spans="1:20" x14ac:dyDescent="0.25">
      <c r="B135" s="1"/>
      <c r="P135" s="20"/>
      <c r="Q135" s="4"/>
      <c r="R135" s="2"/>
    </row>
    <row r="136" spans="1:20" s="25" customFormat="1" x14ac:dyDescent="0.25">
      <c r="A136" s="1"/>
      <c r="B136" s="14"/>
      <c r="C136" s="1"/>
      <c r="D136" s="1"/>
      <c r="E136" s="1"/>
      <c r="F136" s="1"/>
      <c r="G136" s="1"/>
      <c r="H136" s="1"/>
      <c r="I136" s="1"/>
      <c r="J136" s="1"/>
      <c r="K136" s="7"/>
      <c r="L136" s="1"/>
      <c r="M136" s="1"/>
      <c r="N136" s="1"/>
      <c r="O136" s="1"/>
      <c r="P136" s="1"/>
      <c r="Q136" s="7"/>
      <c r="R136" s="1"/>
      <c r="S136" s="2"/>
      <c r="T136" s="1"/>
    </row>
    <row r="137" spans="1:20" x14ac:dyDescent="0.25">
      <c r="B137" s="1"/>
      <c r="K137" s="7"/>
      <c r="Q137" s="7"/>
      <c r="S137" s="2"/>
    </row>
    <row r="138" spans="1:20" x14ac:dyDescent="0.25">
      <c r="B138" s="4" t="s">
        <v>41</v>
      </c>
      <c r="C138" s="1" t="s">
        <v>42</v>
      </c>
    </row>
    <row r="139" spans="1:20" x14ac:dyDescent="0.25">
      <c r="B139" s="1"/>
      <c r="C139" s="15" t="s">
        <v>38</v>
      </c>
      <c r="D139" s="16" t="s">
        <v>5</v>
      </c>
      <c r="E139" s="15"/>
      <c r="F139" s="16" t="s">
        <v>6</v>
      </c>
      <c r="G139" s="2"/>
      <c r="H139" s="2"/>
      <c r="J139" s="4"/>
      <c r="K139" s="8" t="s">
        <v>39</v>
      </c>
    </row>
    <row r="140" spans="1:20" x14ac:dyDescent="0.25">
      <c r="B140" s="1"/>
      <c r="C140" s="15">
        <v>1000</v>
      </c>
      <c r="D140" s="16">
        <f>1500-10</f>
        <v>1490</v>
      </c>
      <c r="E140" s="15" t="s">
        <v>8</v>
      </c>
      <c r="F140" s="15">
        <v>1490</v>
      </c>
      <c r="H140" s="17">
        <v>1</v>
      </c>
      <c r="L140" s="2"/>
      <c r="M140" s="2"/>
      <c r="N140" s="7"/>
      <c r="O140" s="2"/>
      <c r="P140" s="7"/>
      <c r="Q140" s="2"/>
    </row>
    <row r="141" spans="1:20" x14ac:dyDescent="0.25">
      <c r="B141" s="1"/>
      <c r="D141" s="7"/>
      <c r="E141" s="2" t="s">
        <v>18</v>
      </c>
      <c r="F141" s="7"/>
      <c r="G141" s="2"/>
      <c r="H141" s="2"/>
      <c r="L141" s="2"/>
      <c r="M141" s="2"/>
      <c r="N141" s="7"/>
      <c r="O141" s="2"/>
      <c r="P141" s="7"/>
      <c r="Q141" s="1" t="s">
        <v>43</v>
      </c>
    </row>
    <row r="142" spans="1:20" x14ac:dyDescent="0.25">
      <c r="B142" s="1"/>
      <c r="D142" s="7" t="s">
        <v>5</v>
      </c>
      <c r="E142" s="2"/>
      <c r="F142" s="7" t="s">
        <v>6</v>
      </c>
      <c r="G142" s="2"/>
      <c r="H142" s="2"/>
      <c r="M142" s="2"/>
      <c r="N142" s="2"/>
      <c r="O142" s="7"/>
      <c r="P142" s="7" t="s">
        <v>5</v>
      </c>
      <c r="Q142" s="2"/>
      <c r="R142" s="7" t="s">
        <v>13</v>
      </c>
      <c r="S142" s="2"/>
    </row>
    <row r="143" spans="1:20" x14ac:dyDescent="0.25">
      <c r="B143" s="1">
        <f>+C140</f>
        <v>1000</v>
      </c>
      <c r="K143" s="1" t="s">
        <v>3</v>
      </c>
    </row>
    <row r="144" spans="1:20" x14ac:dyDescent="0.25">
      <c r="B144" s="1"/>
      <c r="D144" s="20">
        <f>+D140+5</f>
        <v>1495</v>
      </c>
      <c r="E144" s="2" t="s">
        <v>8</v>
      </c>
      <c r="F144" s="2">
        <f>+B143+4</f>
        <v>1004</v>
      </c>
      <c r="G144" s="2"/>
      <c r="H144" s="2">
        <f>+H140</f>
        <v>1</v>
      </c>
      <c r="I144" s="2"/>
      <c r="J144" s="20">
        <f>+D144-68</f>
        <v>1427</v>
      </c>
      <c r="K144" s="7" t="s">
        <v>8</v>
      </c>
      <c r="L144" s="2">
        <f>+F144-68</f>
        <v>936</v>
      </c>
      <c r="M144" s="2"/>
      <c r="N144" s="2">
        <f>+H144</f>
        <v>1</v>
      </c>
      <c r="O144" s="2"/>
      <c r="P144" s="2">
        <f>+J144-140</f>
        <v>1287</v>
      </c>
      <c r="Q144" s="2" t="s">
        <v>8</v>
      </c>
      <c r="R144" s="2">
        <f>+L144-140</f>
        <v>796</v>
      </c>
      <c r="S144" s="2">
        <f>+N144</f>
        <v>1</v>
      </c>
    </row>
    <row r="145" spans="1:20" x14ac:dyDescent="0.25">
      <c r="B145" s="1"/>
      <c r="D145" s="2">
        <f>+D140+5</f>
        <v>1495</v>
      </c>
      <c r="E145" s="2" t="s">
        <v>8</v>
      </c>
      <c r="F145" s="2">
        <f>+F140+4-C140</f>
        <v>494</v>
      </c>
      <c r="G145" s="2"/>
      <c r="H145" s="2">
        <f>+H140</f>
        <v>1</v>
      </c>
      <c r="I145" s="2"/>
      <c r="J145" s="2"/>
      <c r="K145" s="2" t="s">
        <v>3</v>
      </c>
      <c r="L145" s="2"/>
      <c r="M145" s="2"/>
      <c r="N145" s="2"/>
      <c r="O145" s="2"/>
      <c r="P145" s="20"/>
      <c r="Q145" s="2"/>
      <c r="R145" s="2"/>
      <c r="S145" s="2"/>
    </row>
    <row r="146" spans="1:20" x14ac:dyDescent="0.25">
      <c r="B146" s="1"/>
      <c r="G146" s="27"/>
    </row>
    <row r="147" spans="1:20" x14ac:dyDescent="0.25">
      <c r="B147" s="1"/>
      <c r="K147" s="7"/>
      <c r="Q147" s="7"/>
      <c r="S147" s="2"/>
    </row>
    <row r="148" spans="1:20" x14ac:dyDescent="0.25">
      <c r="B148" s="1"/>
      <c r="K148" s="7"/>
      <c r="Q148" s="7"/>
      <c r="S148" s="2"/>
    </row>
    <row r="149" spans="1:20" x14ac:dyDescent="0.25">
      <c r="B149" s="4" t="s">
        <v>44</v>
      </c>
      <c r="C149" s="1" t="s">
        <v>45</v>
      </c>
      <c r="K149" s="7"/>
      <c r="Q149" s="7"/>
      <c r="S149" s="2"/>
    </row>
    <row r="150" spans="1:20" x14ac:dyDescent="0.25">
      <c r="B150" s="1"/>
      <c r="K150" s="7"/>
      <c r="Q150" s="7"/>
      <c r="S150" s="2"/>
    </row>
    <row r="151" spans="1:20" x14ac:dyDescent="0.25">
      <c r="B151" s="1"/>
      <c r="D151" s="2" t="s">
        <v>5</v>
      </c>
      <c r="E151" s="2"/>
      <c r="F151" s="2" t="s">
        <v>6</v>
      </c>
      <c r="G151" s="2"/>
      <c r="H151" s="2"/>
      <c r="I151" s="2"/>
      <c r="J151" s="2"/>
      <c r="K151" s="2" t="s">
        <v>3</v>
      </c>
      <c r="L151" s="2"/>
      <c r="M151" s="2"/>
      <c r="N151" s="2"/>
      <c r="O151" s="2"/>
      <c r="P151" s="20"/>
      <c r="Q151" s="2"/>
      <c r="R151" s="2"/>
      <c r="S151" s="2"/>
      <c r="T151" s="2"/>
    </row>
    <row r="152" spans="1:20" x14ac:dyDescent="0.25">
      <c r="B152" s="1"/>
      <c r="D152" s="2">
        <f>2295-5</f>
        <v>2290</v>
      </c>
      <c r="E152" s="2" t="s">
        <v>8</v>
      </c>
      <c r="F152" s="2">
        <f>1000-5</f>
        <v>995</v>
      </c>
      <c r="G152" s="2"/>
      <c r="H152" s="2">
        <v>1</v>
      </c>
      <c r="I152" s="2"/>
      <c r="J152" s="2">
        <f>+((D152-5)/2)-42</f>
        <v>1100.5</v>
      </c>
      <c r="K152" s="7" t="s">
        <v>8</v>
      </c>
      <c r="L152" s="2">
        <f>+F152-68</f>
        <v>927</v>
      </c>
      <c r="M152" s="2"/>
      <c r="N152" s="2">
        <f>+H152*1</f>
        <v>1</v>
      </c>
      <c r="O152" s="2"/>
      <c r="P152" s="26">
        <f>+J152-140</f>
        <v>960.5</v>
      </c>
      <c r="Q152" s="2" t="s">
        <v>8</v>
      </c>
      <c r="R152" s="2">
        <f>+L152-140</f>
        <v>787</v>
      </c>
      <c r="S152" s="2">
        <f>+N152</f>
        <v>1</v>
      </c>
      <c r="T152" s="2"/>
    </row>
    <row r="153" spans="1:20" x14ac:dyDescent="0.25">
      <c r="B153" s="1"/>
      <c r="K153" s="7"/>
      <c r="Q153" s="7"/>
      <c r="S153" s="2"/>
    </row>
    <row r="154" spans="1:20" customFormat="1" x14ac:dyDescent="0.25">
      <c r="A154" s="4" t="s">
        <v>33</v>
      </c>
      <c r="B154" s="28" t="s">
        <v>46</v>
      </c>
      <c r="C154" s="4" t="s">
        <v>47</v>
      </c>
      <c r="P154" s="21"/>
      <c r="Q154" s="21"/>
      <c r="R154" s="21"/>
      <c r="S154" s="1"/>
    </row>
    <row r="155" spans="1:20" customFormat="1" x14ac:dyDescent="0.25">
      <c r="C155" s="29" t="s">
        <v>38</v>
      </c>
      <c r="D155" s="23" t="s">
        <v>5</v>
      </c>
      <c r="E155" s="22"/>
      <c r="F155" s="23" t="s">
        <v>6</v>
      </c>
      <c r="G155" s="2"/>
      <c r="H155" s="2"/>
      <c r="J155" s="28"/>
      <c r="K155" s="8" t="s">
        <v>39</v>
      </c>
      <c r="P155" s="21"/>
      <c r="Q155" s="21"/>
      <c r="R155" s="21"/>
      <c r="S155" s="1"/>
    </row>
    <row r="156" spans="1:20" customFormat="1" x14ac:dyDescent="0.25">
      <c r="C156" s="29">
        <v>1050</v>
      </c>
      <c r="D156" s="29">
        <v>3495</v>
      </c>
      <c r="E156" s="29" t="s">
        <v>8</v>
      </c>
      <c r="F156" s="29">
        <v>2145</v>
      </c>
      <c r="G156" s="1"/>
      <c r="H156" s="17">
        <v>2</v>
      </c>
      <c r="I156" s="1"/>
      <c r="J156" s="1"/>
      <c r="K156" s="1"/>
      <c r="L156" s="2"/>
      <c r="M156" s="2"/>
      <c r="N156" s="7"/>
      <c r="O156" s="2"/>
      <c r="P156" s="11"/>
      <c r="Q156" s="20"/>
      <c r="R156" s="21"/>
      <c r="S156" s="1"/>
    </row>
    <row r="157" spans="1:20" customFormat="1" x14ac:dyDescent="0.25">
      <c r="D157" s="7"/>
      <c r="E157" s="2" t="s">
        <v>18</v>
      </c>
      <c r="F157" s="7"/>
      <c r="G157" s="2"/>
      <c r="H157" s="2"/>
      <c r="I157" s="1"/>
      <c r="J157" s="1"/>
      <c r="K157" s="1"/>
      <c r="L157" s="2"/>
      <c r="M157" s="2"/>
      <c r="N157" s="7"/>
      <c r="O157" s="2"/>
      <c r="P157" s="11"/>
      <c r="Q157" s="21" t="s">
        <v>43</v>
      </c>
      <c r="R157" s="21"/>
      <c r="S157" s="1"/>
    </row>
    <row r="158" spans="1:20" customFormat="1" x14ac:dyDescent="0.25">
      <c r="D158" s="7" t="s">
        <v>5</v>
      </c>
      <c r="E158" s="2"/>
      <c r="F158" s="7" t="s">
        <v>6</v>
      </c>
      <c r="G158" s="2"/>
      <c r="H158" s="2"/>
      <c r="I158" s="1"/>
      <c r="J158" s="1"/>
      <c r="K158" s="1"/>
      <c r="L158" s="1"/>
      <c r="M158" s="2"/>
      <c r="N158" s="2"/>
      <c r="O158" s="7"/>
      <c r="P158" s="11" t="s">
        <v>5</v>
      </c>
      <c r="Q158" s="20"/>
      <c r="R158" s="11" t="s">
        <v>13</v>
      </c>
      <c r="S158" s="2"/>
    </row>
    <row r="159" spans="1:20" customFormat="1" x14ac:dyDescent="0.25">
      <c r="D159" s="1"/>
      <c r="E159" s="1"/>
      <c r="F159" s="1"/>
      <c r="G159" s="1"/>
      <c r="H159" s="1"/>
      <c r="I159" s="1"/>
      <c r="J159" s="1"/>
      <c r="K159" s="2" t="s">
        <v>3</v>
      </c>
      <c r="L159" s="1"/>
      <c r="M159" s="1"/>
      <c r="N159" s="1"/>
      <c r="O159" s="1"/>
      <c r="P159" s="1"/>
      <c r="Q159" s="1"/>
      <c r="R159" s="1"/>
      <c r="S159" s="1"/>
    </row>
    <row r="160" spans="1:20" customFormat="1" x14ac:dyDescent="0.25">
      <c r="D160" s="26">
        <f>+(D156/3)+3</f>
        <v>1168</v>
      </c>
      <c r="E160" s="2" t="s">
        <v>8</v>
      </c>
      <c r="F160" s="2">
        <f>+C156+5</f>
        <v>1055</v>
      </c>
      <c r="G160" s="2"/>
      <c r="H160" s="2">
        <f>+H156*3</f>
        <v>6</v>
      </c>
      <c r="I160" s="2"/>
      <c r="J160" s="26">
        <f>+D160-68</f>
        <v>1100</v>
      </c>
      <c r="K160" s="7" t="s">
        <v>8</v>
      </c>
      <c r="L160" s="2">
        <f>+F160-68</f>
        <v>987</v>
      </c>
      <c r="M160" s="2"/>
      <c r="N160" s="2">
        <f>+H160</f>
        <v>6</v>
      </c>
      <c r="O160" s="2"/>
      <c r="P160" s="20">
        <f>+J160-140</f>
        <v>960</v>
      </c>
      <c r="Q160" s="20" t="s">
        <v>8</v>
      </c>
      <c r="R160" s="20">
        <f>+L160-140</f>
        <v>847</v>
      </c>
      <c r="S160" s="2">
        <f>+N160</f>
        <v>6</v>
      </c>
    </row>
    <row r="161" spans="1:20" customFormat="1" x14ac:dyDescent="0.25">
      <c r="D161" s="26">
        <f>+(D156/3)+3</f>
        <v>1168</v>
      </c>
      <c r="E161" s="2" t="s">
        <v>8</v>
      </c>
      <c r="F161" s="2">
        <f>+F156+2-C156</f>
        <v>1097</v>
      </c>
      <c r="G161" s="2"/>
      <c r="H161" s="2">
        <f>+H160</f>
        <v>6</v>
      </c>
      <c r="I161" s="2"/>
      <c r="J161" s="2"/>
      <c r="K161" s="2" t="s">
        <v>40</v>
      </c>
      <c r="L161" s="2"/>
      <c r="M161" s="2"/>
      <c r="N161" s="2"/>
      <c r="O161" s="2"/>
      <c r="P161" s="20">
        <f>+D161-99</f>
        <v>1069</v>
      </c>
      <c r="Q161" s="20" t="s">
        <v>8</v>
      </c>
      <c r="R161" s="20">
        <f>+F161-99</f>
        <v>998</v>
      </c>
      <c r="S161" s="2">
        <f>+H161</f>
        <v>6</v>
      </c>
    </row>
    <row r="162" spans="1:20" customFormat="1" x14ac:dyDescent="0.25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20"/>
      <c r="Q162" s="30"/>
      <c r="R162" s="20"/>
      <c r="S162" s="1"/>
    </row>
    <row r="163" spans="1:20" customFormat="1" x14ac:dyDescent="0.25">
      <c r="A163" s="1"/>
      <c r="D163" s="1"/>
      <c r="E163" s="1"/>
      <c r="F163" s="1"/>
      <c r="G163" s="1"/>
      <c r="H163" s="1"/>
      <c r="I163" s="1"/>
      <c r="J163" s="1"/>
      <c r="K163" s="7"/>
      <c r="L163" s="1"/>
      <c r="M163" s="1"/>
      <c r="N163" s="1"/>
      <c r="O163" s="1"/>
      <c r="P163" s="21"/>
      <c r="Q163" s="11"/>
      <c r="R163" s="21"/>
      <c r="S163" s="2"/>
      <c r="T163" s="1"/>
    </row>
    <row r="164" spans="1:20" customFormat="1" x14ac:dyDescent="0.25">
      <c r="A164" s="1"/>
      <c r="G164" s="1"/>
      <c r="H164" s="1"/>
      <c r="I164" s="1"/>
      <c r="J164" s="1"/>
      <c r="K164" s="7"/>
      <c r="L164" s="1"/>
      <c r="M164" s="1"/>
      <c r="N164" s="1"/>
      <c r="O164" s="1"/>
      <c r="P164" s="21"/>
      <c r="Q164" s="11"/>
      <c r="R164" s="21"/>
      <c r="S164" s="2"/>
      <c r="T164" s="1"/>
    </row>
    <row r="165" spans="1:20" x14ac:dyDescent="0.25">
      <c r="A165" s="4"/>
      <c r="B165" s="3" t="s">
        <v>48</v>
      </c>
      <c r="C165" s="4" t="s">
        <v>49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1:20" x14ac:dyDescent="0.25">
      <c r="A166" s="4"/>
      <c r="B166" s="3"/>
      <c r="C166" s="16" t="s">
        <v>38</v>
      </c>
      <c r="D166" s="16" t="s">
        <v>5</v>
      </c>
      <c r="E166" s="16"/>
      <c r="F166" s="16" t="s">
        <v>6</v>
      </c>
      <c r="G166" s="7"/>
      <c r="H166" s="7"/>
      <c r="I166" s="4"/>
      <c r="J166" s="4"/>
      <c r="K166" s="8" t="s">
        <v>39</v>
      </c>
      <c r="L166" s="4"/>
      <c r="M166" s="4"/>
      <c r="N166" s="4"/>
      <c r="O166" s="4"/>
      <c r="P166" s="4"/>
      <c r="Q166" s="4"/>
      <c r="R166" s="4"/>
      <c r="S166" s="4"/>
    </row>
    <row r="167" spans="1:20" x14ac:dyDescent="0.25">
      <c r="A167" s="4"/>
      <c r="B167" s="3"/>
      <c r="C167" s="16">
        <v>1050</v>
      </c>
      <c r="D167" s="16">
        <v>2000</v>
      </c>
      <c r="E167" s="16" t="s">
        <v>8</v>
      </c>
      <c r="F167" s="16">
        <v>2145</v>
      </c>
      <c r="G167" s="4"/>
      <c r="H167" s="31">
        <v>1</v>
      </c>
      <c r="I167" s="4"/>
      <c r="J167" s="4"/>
      <c r="K167" s="4"/>
      <c r="L167" s="7"/>
      <c r="M167" s="7"/>
      <c r="N167" s="7"/>
      <c r="O167" s="7"/>
      <c r="P167" s="7"/>
      <c r="Q167" s="7"/>
      <c r="R167" s="4"/>
      <c r="S167" s="4"/>
    </row>
    <row r="168" spans="1:20" x14ac:dyDescent="0.25">
      <c r="A168" s="4"/>
      <c r="B168" s="3"/>
      <c r="C168" s="4"/>
      <c r="D168" s="7"/>
      <c r="E168" s="7" t="s">
        <v>18</v>
      </c>
      <c r="F168" s="7"/>
      <c r="G168" s="7"/>
      <c r="H168" s="7"/>
      <c r="I168" s="4"/>
      <c r="J168" s="4"/>
      <c r="K168" s="4"/>
      <c r="L168" s="7"/>
      <c r="M168" s="7"/>
      <c r="N168" s="7"/>
      <c r="O168" s="7"/>
      <c r="P168" s="7"/>
      <c r="Q168" s="4" t="s">
        <v>43</v>
      </c>
      <c r="R168" s="4"/>
      <c r="S168" s="4"/>
    </row>
    <row r="169" spans="1:20" x14ac:dyDescent="0.25">
      <c r="A169" s="4"/>
      <c r="B169" s="3"/>
      <c r="C169" s="4"/>
      <c r="D169" s="7" t="s">
        <v>5</v>
      </c>
      <c r="E169" s="7"/>
      <c r="F169" s="7" t="s">
        <v>6</v>
      </c>
      <c r="G169" s="7"/>
      <c r="H169" s="7"/>
      <c r="I169" s="4"/>
      <c r="J169" s="4"/>
      <c r="K169" s="4"/>
      <c r="L169" s="4"/>
      <c r="M169" s="7"/>
      <c r="N169" s="7"/>
      <c r="O169" s="7"/>
      <c r="P169" s="7" t="s">
        <v>5</v>
      </c>
      <c r="Q169" s="7"/>
      <c r="R169" s="7" t="s">
        <v>13</v>
      </c>
      <c r="S169" s="7"/>
    </row>
    <row r="170" spans="1:20" x14ac:dyDescent="0.25">
      <c r="A170" s="4"/>
      <c r="B170" s="3"/>
      <c r="C170" s="4"/>
      <c r="D170" s="32"/>
      <c r="E170" s="7"/>
      <c r="F170" s="7"/>
      <c r="G170" s="7"/>
      <c r="H170" s="7"/>
      <c r="I170" s="7"/>
      <c r="J170" s="7"/>
      <c r="K170" s="7" t="s">
        <v>3</v>
      </c>
      <c r="L170" s="7"/>
      <c r="M170" s="7"/>
      <c r="N170" s="7"/>
      <c r="O170" s="7"/>
      <c r="P170" s="11"/>
      <c r="Q170" s="7"/>
      <c r="R170" s="7"/>
      <c r="S170" s="7"/>
    </row>
    <row r="171" spans="1:20" x14ac:dyDescent="0.25">
      <c r="A171" s="4"/>
      <c r="B171" s="3"/>
      <c r="C171" s="4"/>
      <c r="D171" s="32">
        <f>+(D167/2)+3</f>
        <v>1003</v>
      </c>
      <c r="E171" s="7" t="s">
        <v>8</v>
      </c>
      <c r="F171" s="7">
        <f>+C167+5</f>
        <v>1055</v>
      </c>
      <c r="G171" s="7"/>
      <c r="H171" s="7">
        <f>+H167*2</f>
        <v>2</v>
      </c>
      <c r="I171" s="7"/>
      <c r="J171" s="32">
        <f>+D171-68</f>
        <v>935</v>
      </c>
      <c r="K171" s="32" t="s">
        <v>8</v>
      </c>
      <c r="L171" s="32">
        <f>+F171-68</f>
        <v>987</v>
      </c>
      <c r="M171" s="7"/>
      <c r="N171" s="7">
        <f>+H171</f>
        <v>2</v>
      </c>
      <c r="O171" s="7"/>
      <c r="P171" s="32">
        <f>+J171-140</f>
        <v>795</v>
      </c>
      <c r="Q171" s="32" t="s">
        <v>8</v>
      </c>
      <c r="R171" s="32">
        <f>+L171-140</f>
        <v>847</v>
      </c>
      <c r="S171" s="32">
        <f>+H171</f>
        <v>2</v>
      </c>
    </row>
    <row r="172" spans="1:20" x14ac:dyDescent="0.25">
      <c r="A172" s="4"/>
      <c r="B172" s="3"/>
      <c r="C172" s="4"/>
      <c r="D172" s="32">
        <f>+(D167/2)+3</f>
        <v>1003</v>
      </c>
      <c r="E172" s="7" t="s">
        <v>8</v>
      </c>
      <c r="F172" s="7">
        <f>+F167+2-C167</f>
        <v>1097</v>
      </c>
      <c r="G172" s="7"/>
      <c r="H172" s="7">
        <f>+H171</f>
        <v>2</v>
      </c>
      <c r="I172" s="7"/>
      <c r="J172" s="7"/>
      <c r="K172" s="7" t="s">
        <v>40</v>
      </c>
      <c r="L172" s="7"/>
      <c r="M172" s="7"/>
      <c r="N172" s="7"/>
      <c r="O172" s="7"/>
      <c r="P172" s="11">
        <f>+D172-99</f>
        <v>904</v>
      </c>
      <c r="Q172" s="7" t="s">
        <v>8</v>
      </c>
      <c r="R172" s="7">
        <f>+F172-99</f>
        <v>998</v>
      </c>
      <c r="S172" s="32">
        <f>+H172</f>
        <v>2</v>
      </c>
    </row>
    <row r="173" spans="1:20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1"/>
      <c r="Q173" s="4"/>
      <c r="R173" s="7"/>
      <c r="S173" s="4"/>
    </row>
    <row r="174" spans="1:20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7"/>
      <c r="L174" s="4"/>
      <c r="M174" s="4"/>
      <c r="N174" s="4"/>
      <c r="O174" s="4"/>
      <c r="P174" s="4"/>
      <c r="Q174" s="7"/>
      <c r="R174" s="4"/>
      <c r="S174" s="7"/>
    </row>
    <row r="175" spans="1:20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7"/>
      <c r="L175" s="4"/>
      <c r="M175" s="4"/>
      <c r="N175" s="4"/>
      <c r="O175" s="4"/>
      <c r="P175" s="4"/>
      <c r="Q175" s="7"/>
      <c r="R175" s="4"/>
      <c r="S175" s="7"/>
    </row>
    <row r="176" spans="1:20" customFormat="1" x14ac:dyDescent="0.25">
      <c r="A176" s="4" t="s">
        <v>33</v>
      </c>
      <c r="B176" s="28" t="s">
        <v>50</v>
      </c>
      <c r="C176" s="28" t="s">
        <v>51</v>
      </c>
      <c r="D176" s="1" t="s">
        <v>52</v>
      </c>
      <c r="K176" s="8" t="s">
        <v>39</v>
      </c>
      <c r="P176" s="1"/>
      <c r="Q176" s="1"/>
      <c r="R176" s="1"/>
      <c r="S176" s="1"/>
    </row>
    <row r="177" spans="1:22" customFormat="1" x14ac:dyDescent="0.25">
      <c r="C177" s="33"/>
      <c r="D177" s="23" t="s">
        <v>5</v>
      </c>
      <c r="E177" s="22"/>
      <c r="F177" s="23" t="s">
        <v>6</v>
      </c>
      <c r="G177" s="2"/>
      <c r="H177" s="2"/>
      <c r="J177" s="28"/>
      <c r="N177" s="8"/>
      <c r="P177" s="1"/>
      <c r="Q177" s="1"/>
      <c r="R177" s="1"/>
      <c r="S177" s="1"/>
    </row>
    <row r="178" spans="1:22" customFormat="1" x14ac:dyDescent="0.25">
      <c r="C178" s="33"/>
      <c r="D178" s="29">
        <v>2495</v>
      </c>
      <c r="E178" s="29" t="s">
        <v>8</v>
      </c>
      <c r="F178" s="29">
        <v>1480</v>
      </c>
      <c r="G178" s="1"/>
      <c r="H178" s="17">
        <v>2</v>
      </c>
      <c r="I178" s="1"/>
      <c r="J178" s="1"/>
      <c r="K178" s="1"/>
      <c r="L178" s="2"/>
      <c r="M178" s="2"/>
      <c r="N178" s="7"/>
      <c r="O178" s="2"/>
      <c r="P178" s="7"/>
      <c r="Q178" s="2"/>
      <c r="R178" s="1"/>
      <c r="S178" s="1"/>
    </row>
    <row r="179" spans="1:22" customFormat="1" x14ac:dyDescent="0.25">
      <c r="D179" s="7"/>
      <c r="E179" s="2" t="s">
        <v>18</v>
      </c>
      <c r="F179" s="7"/>
      <c r="G179" s="2"/>
      <c r="H179" s="2"/>
      <c r="I179" s="1"/>
      <c r="J179" s="1"/>
      <c r="K179" s="1"/>
      <c r="L179" s="2"/>
      <c r="M179" s="2"/>
      <c r="N179" s="7"/>
      <c r="O179" s="2"/>
      <c r="P179" s="7"/>
      <c r="Q179" s="1" t="s">
        <v>52</v>
      </c>
      <c r="R179" s="1"/>
      <c r="S179" s="1"/>
    </row>
    <row r="180" spans="1:22" customFormat="1" x14ac:dyDescent="0.25">
      <c r="D180" s="7" t="s">
        <v>5</v>
      </c>
      <c r="E180" s="2"/>
      <c r="F180" s="7" t="s">
        <v>6</v>
      </c>
      <c r="G180" s="2"/>
      <c r="H180" s="2"/>
      <c r="I180" s="1"/>
      <c r="J180" s="1"/>
      <c r="K180" s="1"/>
      <c r="L180" s="1"/>
      <c r="M180" s="2"/>
      <c r="N180" s="2"/>
      <c r="O180" s="7"/>
      <c r="P180" s="7" t="s">
        <v>5</v>
      </c>
      <c r="Q180" s="2"/>
      <c r="R180" s="7" t="s">
        <v>13</v>
      </c>
      <c r="S180" s="2"/>
    </row>
    <row r="181" spans="1:22" customFormat="1" x14ac:dyDescent="0.25">
      <c r="D181" s="26">
        <f>+(D178/3)+3</f>
        <v>834.66666666666663</v>
      </c>
      <c r="E181" s="2" t="s">
        <v>8</v>
      </c>
      <c r="F181" s="2">
        <f>+F178+5</f>
        <v>1485</v>
      </c>
      <c r="G181" s="2"/>
      <c r="H181" s="2">
        <v>4</v>
      </c>
      <c r="I181" s="2"/>
      <c r="J181" s="2"/>
      <c r="K181" s="2" t="s">
        <v>3</v>
      </c>
      <c r="L181" s="2"/>
      <c r="M181" s="2"/>
      <c r="N181" s="2"/>
      <c r="O181" s="2"/>
      <c r="P181" s="26">
        <f>+D181-99</f>
        <v>735.66666666666663</v>
      </c>
      <c r="Q181" s="2" t="s">
        <v>8</v>
      </c>
      <c r="R181" s="2">
        <f>+F181-99</f>
        <v>1386</v>
      </c>
      <c r="S181" s="2">
        <f>+H181</f>
        <v>4</v>
      </c>
    </row>
    <row r="182" spans="1:22" customFormat="1" x14ac:dyDescent="0.25">
      <c r="D182" s="26">
        <f>+(D178/3)+3</f>
        <v>834.66666666666663</v>
      </c>
      <c r="E182" s="2" t="s">
        <v>8</v>
      </c>
      <c r="F182" s="2">
        <f>+F178+5</f>
        <v>1485</v>
      </c>
      <c r="G182" s="2"/>
      <c r="H182" s="2">
        <v>2</v>
      </c>
      <c r="I182" s="2"/>
      <c r="J182" s="26">
        <f>+D182-68</f>
        <v>766.66666666666663</v>
      </c>
      <c r="K182" s="7" t="s">
        <v>8</v>
      </c>
      <c r="L182" s="2">
        <f>+F182-68</f>
        <v>1417</v>
      </c>
      <c r="M182" s="2"/>
      <c r="N182" s="2">
        <v>2</v>
      </c>
      <c r="O182" s="2"/>
      <c r="P182" s="26">
        <f>+J182-140</f>
        <v>626.66666666666663</v>
      </c>
      <c r="Q182" s="2" t="s">
        <v>8</v>
      </c>
      <c r="R182" s="2">
        <f>+L182-140</f>
        <v>1277</v>
      </c>
      <c r="S182" s="2">
        <f>+N182</f>
        <v>2</v>
      </c>
    </row>
    <row r="183" spans="1:22" customFormat="1" x14ac:dyDescent="0.25">
      <c r="A183" s="1"/>
      <c r="B183" s="28" t="s">
        <v>53</v>
      </c>
      <c r="C183" s="28"/>
      <c r="E183" s="34" t="s">
        <v>54</v>
      </c>
    </row>
    <row r="184" spans="1:22" customFormat="1" x14ac:dyDescent="0.25">
      <c r="C184" s="29" t="s">
        <v>17</v>
      </c>
      <c r="D184" s="23" t="s">
        <v>5</v>
      </c>
      <c r="E184" s="22"/>
      <c r="F184" s="23" t="s">
        <v>6</v>
      </c>
      <c r="G184" s="2"/>
      <c r="H184" s="2"/>
      <c r="J184" s="35" t="s">
        <v>19</v>
      </c>
    </row>
    <row r="185" spans="1:22" customFormat="1" x14ac:dyDescent="0.25">
      <c r="C185" s="29">
        <v>1000</v>
      </c>
      <c r="D185" s="29">
        <v>2000</v>
      </c>
      <c r="E185" s="29" t="s">
        <v>8</v>
      </c>
      <c r="F185" s="29">
        <v>2000</v>
      </c>
      <c r="G185" s="1"/>
      <c r="H185" s="17">
        <v>1</v>
      </c>
      <c r="I185" s="1"/>
      <c r="J185" s="1"/>
      <c r="K185" s="1"/>
      <c r="L185" s="2"/>
      <c r="M185" s="2"/>
      <c r="N185" s="7"/>
      <c r="O185" s="2"/>
      <c r="P185" s="7"/>
      <c r="Q185" s="2"/>
    </row>
    <row r="186" spans="1:22" customFormat="1" x14ac:dyDescent="0.25">
      <c r="D186" s="7"/>
      <c r="E186" s="2" t="s">
        <v>18</v>
      </c>
      <c r="F186" s="7"/>
      <c r="G186" s="2"/>
      <c r="H186" s="2"/>
      <c r="I186" s="1"/>
      <c r="J186" s="1"/>
      <c r="K186" s="1"/>
      <c r="L186" s="2"/>
      <c r="M186" s="2"/>
      <c r="N186" s="7"/>
      <c r="O186" s="2"/>
      <c r="P186" s="7"/>
      <c r="Q186" t="s">
        <v>43</v>
      </c>
    </row>
    <row r="187" spans="1:22" customFormat="1" x14ac:dyDescent="0.25">
      <c r="D187" s="7" t="s">
        <v>5</v>
      </c>
      <c r="E187" s="2"/>
      <c r="F187" s="7" t="s">
        <v>6</v>
      </c>
      <c r="G187" s="2"/>
      <c r="H187" s="2"/>
      <c r="I187" s="1"/>
      <c r="J187" s="1"/>
      <c r="K187" s="1"/>
      <c r="L187" s="1"/>
      <c r="M187" s="2"/>
      <c r="N187" s="2"/>
      <c r="O187" s="7"/>
      <c r="P187" s="7" t="s">
        <v>5</v>
      </c>
      <c r="Q187" s="2"/>
      <c r="R187" s="7" t="s">
        <v>13</v>
      </c>
      <c r="S187" s="2"/>
    </row>
    <row r="188" spans="1:22" customFormat="1" x14ac:dyDescent="0.25">
      <c r="B188">
        <v>1000</v>
      </c>
      <c r="D188" s="2">
        <f>+C185+5</f>
        <v>1005</v>
      </c>
      <c r="E188" s="2" t="s">
        <v>8</v>
      </c>
      <c r="F188" s="2">
        <f>+F185-B188+5</f>
        <v>1005</v>
      </c>
      <c r="G188" s="3" t="s">
        <v>55</v>
      </c>
      <c r="H188" s="2">
        <f>+H185</f>
        <v>1</v>
      </c>
      <c r="I188" s="2"/>
      <c r="J188" s="2"/>
      <c r="K188" s="2" t="s">
        <v>3</v>
      </c>
      <c r="L188" s="2"/>
      <c r="M188" s="2"/>
      <c r="N188" s="2"/>
      <c r="O188" s="2"/>
      <c r="P188" s="20">
        <f>+D188-99</f>
        <v>906</v>
      </c>
      <c r="Q188" s="2" t="s">
        <v>8</v>
      </c>
      <c r="R188" s="2">
        <f>+F188-99</f>
        <v>906</v>
      </c>
      <c r="S188" s="2">
        <f>+H185</f>
        <v>1</v>
      </c>
    </row>
    <row r="189" spans="1:22" customFormat="1" x14ac:dyDescent="0.25">
      <c r="D189" s="20">
        <f>+C185+5</f>
        <v>1005</v>
      </c>
      <c r="E189" s="2" t="s">
        <v>8</v>
      </c>
      <c r="F189" s="2">
        <f>+B188+5</f>
        <v>1005</v>
      </c>
      <c r="G189" s="3" t="s">
        <v>56</v>
      </c>
      <c r="H189" s="2">
        <f>+H185</f>
        <v>1</v>
      </c>
      <c r="I189" s="2"/>
      <c r="J189" s="20">
        <f>+D189-68</f>
        <v>937</v>
      </c>
      <c r="K189" s="2" t="s">
        <v>8</v>
      </c>
      <c r="L189" s="2">
        <f>+F189-68</f>
        <v>937</v>
      </c>
      <c r="M189" s="2"/>
      <c r="N189" s="2">
        <f>+H185</f>
        <v>1</v>
      </c>
      <c r="O189" s="2"/>
      <c r="P189" s="20">
        <f>+J189-40</f>
        <v>897</v>
      </c>
      <c r="Q189" s="2" t="s">
        <v>8</v>
      </c>
      <c r="R189" s="2">
        <f>+L189-140</f>
        <v>797</v>
      </c>
      <c r="S189" s="2">
        <f>+H185</f>
        <v>1</v>
      </c>
    </row>
    <row r="190" spans="1:22" customFormat="1" x14ac:dyDescent="0.25">
      <c r="D190" s="34">
        <f>+D185-C185+5</f>
        <v>1005</v>
      </c>
      <c r="E190" s="36" t="s">
        <v>8</v>
      </c>
      <c r="F190">
        <f>+F185+5</f>
        <v>2005</v>
      </c>
      <c r="G190" s="28" t="s">
        <v>57</v>
      </c>
      <c r="J190" s="37"/>
      <c r="P190" s="20">
        <f>+D190-99</f>
        <v>906</v>
      </c>
      <c r="Q190" s="2" t="s">
        <v>8</v>
      </c>
      <c r="R190" s="2">
        <f>+F190-99</f>
        <v>1906</v>
      </c>
      <c r="S190" s="2">
        <v>1</v>
      </c>
    </row>
    <row r="191" spans="1:22" customFormat="1" x14ac:dyDescent="0.25">
      <c r="J191" s="37"/>
      <c r="P191" s="37"/>
    </row>
    <row r="192" spans="1:22" s="25" customFormat="1" x14ac:dyDescent="0.25">
      <c r="B192" s="25" t="s">
        <v>58</v>
      </c>
      <c r="L192" s="25" t="s">
        <v>59</v>
      </c>
      <c r="S192" s="38"/>
      <c r="U192" s="17"/>
      <c r="V192" s="39"/>
    </row>
    <row r="193" spans="2:22" x14ac:dyDescent="0.25">
      <c r="S193" s="2"/>
      <c r="U193" s="17"/>
      <c r="V193" s="40"/>
    </row>
    <row r="194" spans="2:22" x14ac:dyDescent="0.25">
      <c r="D194" s="4"/>
      <c r="E194" s="7" t="s">
        <v>2</v>
      </c>
      <c r="K194" s="7" t="s">
        <v>3</v>
      </c>
      <c r="Q194" s="7" t="s">
        <v>4</v>
      </c>
      <c r="S194" s="2"/>
      <c r="U194" s="17"/>
      <c r="V194" s="40"/>
    </row>
    <row r="195" spans="2:22" x14ac:dyDescent="0.25">
      <c r="D195" s="7" t="s">
        <v>5</v>
      </c>
      <c r="E195" s="2"/>
      <c r="F195" s="7" t="s">
        <v>6</v>
      </c>
      <c r="G195" s="2"/>
      <c r="H195" s="2"/>
      <c r="I195" s="2"/>
      <c r="J195" s="7" t="s">
        <v>5</v>
      </c>
      <c r="K195" s="2"/>
      <c r="L195" s="7" t="s">
        <v>6</v>
      </c>
      <c r="M195" s="7"/>
      <c r="N195" s="2"/>
      <c r="O195" s="2"/>
      <c r="P195" s="7" t="s">
        <v>5</v>
      </c>
      <c r="Q195" s="2"/>
      <c r="R195" s="7" t="s">
        <v>6</v>
      </c>
      <c r="S195" s="2"/>
      <c r="U195" s="17"/>
      <c r="V195" s="40"/>
    </row>
    <row r="196" spans="2:22" x14ac:dyDescent="0.25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U196" s="17"/>
      <c r="V196" s="40"/>
    </row>
    <row r="197" spans="2:22" x14ac:dyDescent="0.25">
      <c r="D197" s="2">
        <v>1158</v>
      </c>
      <c r="E197" s="2" t="s">
        <v>8</v>
      </c>
      <c r="F197" s="2">
        <v>2022</v>
      </c>
      <c r="G197" s="2"/>
      <c r="H197" s="2">
        <v>1</v>
      </c>
      <c r="I197" s="2"/>
      <c r="J197" s="2">
        <f>+D197-68</f>
        <v>1090</v>
      </c>
      <c r="K197" s="2" t="s">
        <v>8</v>
      </c>
      <c r="L197" s="2">
        <f>+F197-21</f>
        <v>2001</v>
      </c>
      <c r="M197" s="2"/>
      <c r="N197" s="2">
        <f>+H197</f>
        <v>1</v>
      </c>
      <c r="O197" s="2"/>
      <c r="P197" s="11">
        <f>+J197-186</f>
        <v>904</v>
      </c>
      <c r="Q197" s="7" t="s">
        <v>8</v>
      </c>
      <c r="R197" s="11">
        <f>+L197-186</f>
        <v>1815</v>
      </c>
      <c r="S197" s="2">
        <f>+N197</f>
        <v>1</v>
      </c>
      <c r="U197" s="2"/>
    </row>
    <row r="198" spans="2:22" x14ac:dyDescent="0.25">
      <c r="J198" s="27" t="s">
        <v>60</v>
      </c>
      <c r="S198" s="2"/>
      <c r="U198" s="2"/>
    </row>
    <row r="199" spans="2:22" x14ac:dyDescent="0.25">
      <c r="B199" s="1"/>
      <c r="D199" s="1" t="s">
        <v>61</v>
      </c>
      <c r="U199" s="2"/>
    </row>
    <row r="200" spans="2:22" x14ac:dyDescent="0.25">
      <c r="B200" s="1"/>
      <c r="U200" s="2"/>
    </row>
    <row r="201" spans="2:22" s="25" customFormat="1" x14ac:dyDescent="0.25">
      <c r="B201" s="25" t="s">
        <v>58</v>
      </c>
      <c r="S201" s="38"/>
      <c r="U201" s="17"/>
      <c r="V201" s="39"/>
    </row>
    <row r="202" spans="2:22" x14ac:dyDescent="0.25">
      <c r="S202" s="2"/>
      <c r="U202" s="17">
        <f>42-8</f>
        <v>34</v>
      </c>
      <c r="V202" s="40">
        <f>+F206-U202</f>
        <v>2308</v>
      </c>
    </row>
    <row r="203" spans="2:22" x14ac:dyDescent="0.25">
      <c r="D203" s="4"/>
      <c r="E203" s="7" t="s">
        <v>2</v>
      </c>
      <c r="K203" s="7" t="s">
        <v>120</v>
      </c>
      <c r="Q203" s="7" t="s">
        <v>4</v>
      </c>
      <c r="S203" s="2"/>
      <c r="U203" s="17"/>
      <c r="V203" s="40"/>
    </row>
    <row r="204" spans="2:22" x14ac:dyDescent="0.25">
      <c r="D204" s="7" t="s">
        <v>5</v>
      </c>
      <c r="E204" s="2"/>
      <c r="F204" s="7" t="s">
        <v>6</v>
      </c>
      <c r="G204" s="2"/>
      <c r="H204" s="2"/>
      <c r="I204" s="2"/>
      <c r="J204" s="7" t="s">
        <v>5</v>
      </c>
      <c r="K204" s="2"/>
      <c r="L204" s="7" t="s">
        <v>6</v>
      </c>
      <c r="M204" s="7"/>
      <c r="N204" s="2"/>
      <c r="O204" s="2"/>
      <c r="P204" s="7" t="s">
        <v>5</v>
      </c>
      <c r="Q204" s="2"/>
      <c r="R204" s="7" t="s">
        <v>6</v>
      </c>
      <c r="S204" s="2"/>
      <c r="U204" s="17"/>
      <c r="V204" s="40"/>
    </row>
    <row r="205" spans="2:22" x14ac:dyDescent="0.25"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U205" s="17"/>
      <c r="V205" s="40"/>
    </row>
    <row r="206" spans="2:22" x14ac:dyDescent="0.25">
      <c r="D206" s="2">
        <v>1135</v>
      </c>
      <c r="E206" s="2" t="s">
        <v>8</v>
      </c>
      <c r="F206" s="2">
        <v>2342</v>
      </c>
      <c r="G206" s="2"/>
      <c r="H206" s="2">
        <v>1</v>
      </c>
      <c r="I206" s="2"/>
      <c r="J206" s="2">
        <f>+D206-68</f>
        <v>1067</v>
      </c>
      <c r="K206" s="2" t="s">
        <v>8</v>
      </c>
      <c r="L206" s="2">
        <f>+F206-34</f>
        <v>2308</v>
      </c>
      <c r="M206" s="2"/>
      <c r="N206" s="2">
        <f>+H206</f>
        <v>1</v>
      </c>
      <c r="O206" s="2"/>
      <c r="P206" s="11">
        <f>+J206-186</f>
        <v>881</v>
      </c>
      <c r="Q206" s="7" t="s">
        <v>8</v>
      </c>
      <c r="R206" s="73">
        <v>1170</v>
      </c>
      <c r="S206" s="2">
        <f>+N206</f>
        <v>1</v>
      </c>
      <c r="U206" s="2"/>
    </row>
    <row r="207" spans="2:22" x14ac:dyDescent="0.25">
      <c r="J207" s="27" t="s">
        <v>122</v>
      </c>
      <c r="S207" s="2"/>
      <c r="U207" s="2"/>
    </row>
    <row r="208" spans="2:22" x14ac:dyDescent="0.25">
      <c r="B208" s="1"/>
      <c r="D208" s="1" t="s">
        <v>61</v>
      </c>
      <c r="U208" s="2"/>
    </row>
    <row r="209" spans="2:22" x14ac:dyDescent="0.25">
      <c r="B209" s="1"/>
      <c r="U209" s="2"/>
    </row>
    <row r="210" spans="2:22" s="25" customFormat="1" x14ac:dyDescent="0.25">
      <c r="B210" s="25" t="s">
        <v>62</v>
      </c>
      <c r="S210" s="38"/>
      <c r="U210" s="17"/>
      <c r="V210" s="39"/>
    </row>
    <row r="211" spans="2:22" x14ac:dyDescent="0.25">
      <c r="S211" s="2"/>
      <c r="U211" s="17"/>
      <c r="V211" s="40"/>
    </row>
    <row r="212" spans="2:22" x14ac:dyDescent="0.25">
      <c r="D212" s="4"/>
      <c r="E212" s="7" t="s">
        <v>2</v>
      </c>
      <c r="K212" s="7" t="s">
        <v>3</v>
      </c>
      <c r="Q212" s="7" t="s">
        <v>4</v>
      </c>
      <c r="S212" s="2"/>
      <c r="U212" s="17"/>
      <c r="V212" s="40"/>
    </row>
    <row r="213" spans="2:22" x14ac:dyDescent="0.25">
      <c r="D213" s="7" t="s">
        <v>5</v>
      </c>
      <c r="E213" s="2"/>
      <c r="F213" s="7" t="s">
        <v>6</v>
      </c>
      <c r="G213" s="2"/>
      <c r="H213" s="2"/>
      <c r="I213" s="2"/>
      <c r="J213" s="7" t="s">
        <v>5</v>
      </c>
      <c r="K213" s="2"/>
      <c r="L213" s="7" t="s">
        <v>6</v>
      </c>
      <c r="M213" s="7"/>
      <c r="N213" s="2"/>
      <c r="O213" s="2"/>
      <c r="P213" s="7" t="s">
        <v>5</v>
      </c>
      <c r="Q213" s="2"/>
      <c r="R213" s="7" t="s">
        <v>6</v>
      </c>
      <c r="S213" s="2"/>
      <c r="U213" s="17"/>
      <c r="V213" s="40"/>
    </row>
    <row r="214" spans="2:22" x14ac:dyDescent="0.25"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U214" s="17"/>
      <c r="V214" s="40"/>
    </row>
    <row r="215" spans="2:22" x14ac:dyDescent="0.25">
      <c r="D215" s="2">
        <f>1400-5</f>
        <v>1395</v>
      </c>
      <c r="E215" s="2" t="s">
        <v>8</v>
      </c>
      <c r="F215" s="2">
        <f>2004-5</f>
        <v>1999</v>
      </c>
      <c r="G215" s="2"/>
      <c r="H215" s="2">
        <v>1</v>
      </c>
      <c r="I215" s="2"/>
      <c r="J215" s="2">
        <f>+D215-68</f>
        <v>1327</v>
      </c>
      <c r="K215" s="2" t="s">
        <v>8</v>
      </c>
      <c r="L215" s="2">
        <f>+F215-68</f>
        <v>1931</v>
      </c>
      <c r="M215" s="2"/>
      <c r="N215" s="2">
        <f>+H215</f>
        <v>1</v>
      </c>
      <c r="O215" s="2"/>
      <c r="P215" s="11">
        <f>+J215-186</f>
        <v>1141</v>
      </c>
      <c r="Q215" s="7" t="s">
        <v>8</v>
      </c>
      <c r="R215" s="11">
        <f>+L215-186</f>
        <v>1745</v>
      </c>
      <c r="S215" s="2">
        <f>+N215</f>
        <v>1</v>
      </c>
      <c r="U215" s="2"/>
    </row>
    <row r="216" spans="2:22" x14ac:dyDescent="0.25">
      <c r="J216" s="27"/>
      <c r="S216" s="2"/>
      <c r="U216" s="2"/>
    </row>
    <row r="217" spans="2:22" s="25" customFormat="1" x14ac:dyDescent="0.25">
      <c r="B217" s="25" t="s">
        <v>62</v>
      </c>
      <c r="S217" s="38"/>
      <c r="U217" s="17"/>
      <c r="V217" s="39"/>
    </row>
    <row r="218" spans="2:22" x14ac:dyDescent="0.25">
      <c r="S218" s="2"/>
      <c r="U218" s="17"/>
      <c r="V218" s="40"/>
    </row>
    <row r="219" spans="2:22" x14ac:dyDescent="0.25">
      <c r="D219" s="4"/>
      <c r="E219" s="7" t="s">
        <v>2</v>
      </c>
      <c r="K219" s="7" t="s">
        <v>3</v>
      </c>
      <c r="Q219" s="7" t="s">
        <v>4</v>
      </c>
      <c r="S219" s="2"/>
      <c r="U219" s="17"/>
      <c r="V219" s="40"/>
    </row>
    <row r="220" spans="2:22" x14ac:dyDescent="0.25">
      <c r="D220" s="7" t="s">
        <v>5</v>
      </c>
      <c r="E220" s="2"/>
      <c r="F220" s="7" t="s">
        <v>6</v>
      </c>
      <c r="G220" s="2"/>
      <c r="H220" s="2"/>
      <c r="I220" s="2"/>
      <c r="J220" s="7" t="s">
        <v>5</v>
      </c>
      <c r="K220" s="2"/>
      <c r="L220" s="7" t="s">
        <v>6</v>
      </c>
      <c r="M220" s="7"/>
      <c r="N220" s="2"/>
      <c r="O220" s="2"/>
      <c r="P220" s="7" t="s">
        <v>5</v>
      </c>
      <c r="Q220" s="2"/>
      <c r="R220" s="7" t="s">
        <v>6</v>
      </c>
      <c r="S220" s="2"/>
      <c r="U220" s="17"/>
      <c r="V220" s="40"/>
    </row>
    <row r="221" spans="2:22" x14ac:dyDescent="0.25"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U221" s="17"/>
      <c r="V221" s="40"/>
    </row>
    <row r="222" spans="2:22" x14ac:dyDescent="0.25">
      <c r="D222" s="2">
        <f>1400-5</f>
        <v>1395</v>
      </c>
      <c r="E222" s="2" t="s">
        <v>8</v>
      </c>
      <c r="F222" s="2">
        <f>2004-5</f>
        <v>1999</v>
      </c>
      <c r="G222" s="2"/>
      <c r="H222" s="2">
        <v>1</v>
      </c>
      <c r="I222" s="2"/>
      <c r="J222" s="2">
        <f>+D222-68</f>
        <v>1327</v>
      </c>
      <c r="K222" s="2" t="s">
        <v>8</v>
      </c>
      <c r="L222" s="2">
        <f>+F222-68</f>
        <v>1931</v>
      </c>
      <c r="M222" s="2"/>
      <c r="N222" s="2">
        <f>+H222</f>
        <v>1</v>
      </c>
      <c r="O222" s="2"/>
      <c r="P222" s="11">
        <f>+J222-186</f>
        <v>1141</v>
      </c>
      <c r="Q222" s="7" t="s">
        <v>8</v>
      </c>
      <c r="R222" s="11">
        <f>+L222-186</f>
        <v>1745</v>
      </c>
      <c r="S222" s="2">
        <f>+N222</f>
        <v>1</v>
      </c>
      <c r="U222" s="2"/>
    </row>
    <row r="223" spans="2:22" x14ac:dyDescent="0.25">
      <c r="B223" s="6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S223" s="2"/>
    </row>
    <row r="224" spans="2:22" s="4" customFormat="1" ht="12.75" x14ac:dyDescent="0.2">
      <c r="B224" s="7" t="s">
        <v>121</v>
      </c>
      <c r="C224" s="10" t="s">
        <v>64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S224" s="7"/>
    </row>
    <row r="225" spans="2:19" s="4" customFormat="1" ht="12.75" x14ac:dyDescent="0.2">
      <c r="B225" s="7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7"/>
    </row>
    <row r="226" spans="2:19" s="4" customFormat="1" ht="12.75" x14ac:dyDescent="0.2">
      <c r="B226" s="7"/>
      <c r="D226" s="7"/>
      <c r="E226" s="8"/>
      <c r="F226" s="8"/>
      <c r="G226" s="8"/>
      <c r="H226" s="8"/>
      <c r="I226" s="8"/>
      <c r="J226" s="27" t="s">
        <v>122</v>
      </c>
      <c r="K226" s="8"/>
      <c r="L226" s="8"/>
      <c r="M226" s="8"/>
      <c r="N226" s="8"/>
      <c r="O226" s="8"/>
      <c r="P226" s="8"/>
      <c r="Q226" s="7" t="s">
        <v>4</v>
      </c>
      <c r="R226" s="8"/>
      <c r="S226" s="7"/>
    </row>
    <row r="227" spans="2:19" s="4" customFormat="1" ht="12.75" x14ac:dyDescent="0.2">
      <c r="B227" s="7"/>
      <c r="D227" s="7"/>
      <c r="E227" s="7" t="s">
        <v>2</v>
      </c>
      <c r="F227" s="7"/>
      <c r="G227" s="7"/>
      <c r="H227" s="7"/>
      <c r="I227" s="7"/>
      <c r="J227" s="7"/>
      <c r="K227" s="7" t="s">
        <v>65</v>
      </c>
      <c r="L227" s="7"/>
      <c r="M227" s="7"/>
      <c r="N227" s="7"/>
      <c r="O227" s="7"/>
      <c r="P227" s="11"/>
      <c r="Q227" s="7"/>
      <c r="R227" s="7"/>
      <c r="S227" s="7"/>
    </row>
    <row r="228" spans="2:19" s="4" customFormat="1" x14ac:dyDescent="0.25">
      <c r="B228" s="7"/>
      <c r="D228" s="7">
        <v>1605</v>
      </c>
      <c r="E228" s="7" t="s">
        <v>8</v>
      </c>
      <c r="F228" s="7">
        <v>2202</v>
      </c>
      <c r="G228" s="7"/>
      <c r="H228" s="7">
        <v>1</v>
      </c>
      <c r="I228" s="7"/>
      <c r="J228" s="11">
        <f>+(D228/2)-32</f>
        <v>770.5</v>
      </c>
      <c r="K228" s="7" t="s">
        <v>8</v>
      </c>
      <c r="L228" s="2">
        <f>+F228-34</f>
        <v>2168</v>
      </c>
      <c r="M228" s="7">
        <f>+H228*2</f>
        <v>2</v>
      </c>
      <c r="N228" s="7"/>
      <c r="O228" s="7"/>
      <c r="P228" s="11">
        <f>+J228-186</f>
        <v>584.5</v>
      </c>
      <c r="Q228" s="7" t="s">
        <v>8</v>
      </c>
      <c r="R228" s="11">
        <f>+L228-186</f>
        <v>1982</v>
      </c>
      <c r="S228" s="7">
        <f>+M228</f>
        <v>2</v>
      </c>
    </row>
    <row r="229" spans="2:19" s="4" customFormat="1" ht="12.75" x14ac:dyDescent="0.2">
      <c r="B229" s="7"/>
      <c r="Q229" s="7"/>
    </row>
    <row r="230" spans="2:19" s="4" customFormat="1" ht="12.75" x14ac:dyDescent="0.2">
      <c r="B230" s="7" t="s">
        <v>63</v>
      </c>
      <c r="C230" s="10" t="s">
        <v>66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S230" s="7"/>
    </row>
    <row r="231" spans="2:19" s="4" customFormat="1" ht="12.75" x14ac:dyDescent="0.2">
      <c r="B231" s="7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7"/>
    </row>
    <row r="232" spans="2:19" s="4" customFormat="1" ht="12.75" x14ac:dyDescent="0.2">
      <c r="B232" s="7"/>
      <c r="D232" s="7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7" t="s">
        <v>4</v>
      </c>
      <c r="R232" s="8"/>
      <c r="S232" s="7"/>
    </row>
    <row r="233" spans="2:19" s="4" customFormat="1" ht="12.75" x14ac:dyDescent="0.2">
      <c r="B233" s="7"/>
      <c r="D233" s="7"/>
      <c r="E233" s="7" t="s">
        <v>2</v>
      </c>
      <c r="F233" s="7"/>
      <c r="G233" s="7"/>
      <c r="H233" s="7"/>
      <c r="I233" s="7"/>
      <c r="J233" s="7"/>
      <c r="K233" s="7" t="s">
        <v>65</v>
      </c>
      <c r="L233" s="7"/>
      <c r="M233" s="7"/>
      <c r="N233" s="7"/>
      <c r="O233" s="7"/>
      <c r="P233" s="11"/>
      <c r="Q233" s="7"/>
      <c r="R233" s="7"/>
      <c r="S233" s="7"/>
    </row>
    <row r="234" spans="2:19" s="4" customFormat="1" ht="12.75" x14ac:dyDescent="0.2">
      <c r="B234" s="7"/>
      <c r="D234" s="7">
        <v>1805</v>
      </c>
      <c r="E234" s="7" t="s">
        <v>8</v>
      </c>
      <c r="F234" s="7">
        <v>2103</v>
      </c>
      <c r="G234" s="7"/>
      <c r="H234" s="7">
        <v>1</v>
      </c>
      <c r="I234" s="7"/>
      <c r="J234" s="11">
        <f>+(D234/2)-33</f>
        <v>869.5</v>
      </c>
      <c r="K234" s="7" t="s">
        <v>8</v>
      </c>
      <c r="L234" s="7">
        <f>+F234-21</f>
        <v>2082</v>
      </c>
      <c r="M234" s="7">
        <f>+H234*2</f>
        <v>2</v>
      </c>
      <c r="N234" s="7"/>
      <c r="O234" s="7"/>
      <c r="P234" s="11">
        <f>+J234-186</f>
        <v>683.5</v>
      </c>
      <c r="Q234" s="7" t="s">
        <v>8</v>
      </c>
      <c r="R234" s="11">
        <f>+L234-186</f>
        <v>1896</v>
      </c>
      <c r="S234" s="7">
        <f>+M234</f>
        <v>2</v>
      </c>
    </row>
    <row r="235" spans="2:19" x14ac:dyDescent="0.25">
      <c r="B235" s="6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S235" s="2"/>
    </row>
    <row r="236" spans="2:19" x14ac:dyDescent="0.25">
      <c r="B236" s="6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S236" s="2"/>
    </row>
    <row r="237" spans="2:19" x14ac:dyDescent="0.25">
      <c r="B237" s="6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S237" s="2"/>
    </row>
    <row r="238" spans="2:19" x14ac:dyDescent="0.25">
      <c r="B238" s="6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S238" s="2"/>
    </row>
    <row r="239" spans="2:19" x14ac:dyDescent="0.25">
      <c r="B239" s="6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S239" s="2"/>
    </row>
    <row r="240" spans="2:19" x14ac:dyDescent="0.25">
      <c r="B240" s="6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S240" s="2"/>
    </row>
    <row r="241" spans="2:19" x14ac:dyDescent="0.25">
      <c r="B241" s="6" t="s">
        <v>67</v>
      </c>
      <c r="C241" s="4" t="s">
        <v>68</v>
      </c>
      <c r="D241" s="4"/>
      <c r="E241" s="7" t="s">
        <v>2</v>
      </c>
      <c r="K241" s="7" t="s">
        <v>3</v>
      </c>
      <c r="Q241" s="7" t="s">
        <v>4</v>
      </c>
      <c r="S241" s="2"/>
    </row>
    <row r="242" spans="2:19" x14ac:dyDescent="0.25">
      <c r="B242" s="6"/>
      <c r="D242" s="7" t="s">
        <v>5</v>
      </c>
      <c r="E242" s="2"/>
      <c r="F242" s="7" t="s">
        <v>6</v>
      </c>
      <c r="G242" s="2"/>
      <c r="H242" s="2"/>
      <c r="I242" s="2"/>
      <c r="J242" s="7" t="s">
        <v>5</v>
      </c>
      <c r="K242" s="2"/>
      <c r="L242" s="7" t="s">
        <v>6</v>
      </c>
      <c r="M242" s="7"/>
      <c r="N242" s="2"/>
      <c r="O242" s="2"/>
      <c r="P242" s="7" t="s">
        <v>5</v>
      </c>
      <c r="Q242" s="2"/>
      <c r="R242" s="7" t="s">
        <v>6</v>
      </c>
      <c r="S242" s="2"/>
    </row>
    <row r="243" spans="2:19" x14ac:dyDescent="0.25">
      <c r="B243" s="6"/>
      <c r="D243" s="2"/>
      <c r="E243" s="2"/>
      <c r="F243" s="2"/>
      <c r="G243" s="2"/>
      <c r="H243" s="2"/>
      <c r="I243" s="2"/>
      <c r="J243" s="2"/>
      <c r="K243" s="8"/>
      <c r="L243" s="2"/>
      <c r="M243" s="2"/>
      <c r="N243" s="2"/>
      <c r="O243" s="2"/>
      <c r="P243" s="2"/>
      <c r="Q243" s="9" t="s">
        <v>7</v>
      </c>
      <c r="R243" s="2"/>
      <c r="S243" s="2"/>
    </row>
    <row r="244" spans="2:19" x14ac:dyDescent="0.25">
      <c r="B244" s="6"/>
      <c r="D244" s="2">
        <f>795-5</f>
        <v>790</v>
      </c>
      <c r="E244" s="2" t="s">
        <v>8</v>
      </c>
      <c r="F244" s="2">
        <v>795</v>
      </c>
      <c r="G244" s="2"/>
      <c r="H244" s="2">
        <v>1</v>
      </c>
      <c r="I244" s="2"/>
      <c r="J244" s="2">
        <f>+D244-68</f>
        <v>722</v>
      </c>
      <c r="K244" s="7" t="s">
        <v>8</v>
      </c>
      <c r="L244" s="2">
        <f>+F244-68</f>
        <v>727</v>
      </c>
      <c r="M244" s="2"/>
      <c r="N244" s="2">
        <v>1</v>
      </c>
      <c r="O244" s="2"/>
      <c r="P244" s="2">
        <f>+J244-140</f>
        <v>582</v>
      </c>
      <c r="Q244" s="7" t="s">
        <v>8</v>
      </c>
      <c r="R244" s="2">
        <f>+L244-140</f>
        <v>587</v>
      </c>
      <c r="S244" s="2">
        <f>+N244</f>
        <v>1</v>
      </c>
    </row>
    <row r="245" spans="2:19" x14ac:dyDescent="0.25">
      <c r="B245" s="6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S245" s="2"/>
    </row>
    <row r="246" spans="2:19" x14ac:dyDescent="0.25">
      <c r="B246" s="6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S246" s="2"/>
    </row>
    <row r="247" spans="2:19" x14ac:dyDescent="0.25">
      <c r="B247" s="7" t="s">
        <v>69</v>
      </c>
      <c r="C247" s="4" t="s">
        <v>70</v>
      </c>
      <c r="D247" s="7" t="s">
        <v>5</v>
      </c>
      <c r="E247" s="2"/>
      <c r="F247" s="7" t="s">
        <v>6</v>
      </c>
      <c r="G247" s="2"/>
      <c r="H247" s="2"/>
      <c r="I247" s="2"/>
      <c r="N247" s="2"/>
      <c r="O247" s="2"/>
      <c r="P247" s="7" t="s">
        <v>5</v>
      </c>
      <c r="Q247" s="2"/>
      <c r="R247" s="7" t="s">
        <v>13</v>
      </c>
      <c r="S247" s="2"/>
    </row>
    <row r="248" spans="2:19" x14ac:dyDescent="0.25">
      <c r="B248" s="14"/>
      <c r="C248" s="12" t="s">
        <v>14</v>
      </c>
      <c r="D248" s="13">
        <f>2400+-5</f>
        <v>2395</v>
      </c>
      <c r="E248" s="13" t="s">
        <v>8</v>
      </c>
      <c r="F248" s="13">
        <f>1900-5</f>
        <v>1895</v>
      </c>
      <c r="G248" s="13"/>
      <c r="H248" s="13">
        <v>1</v>
      </c>
      <c r="I248" s="13"/>
      <c r="J248" s="13"/>
      <c r="K248" s="8"/>
      <c r="L248" s="13"/>
      <c r="M248" s="13"/>
      <c r="N248" s="13"/>
      <c r="O248" s="13"/>
      <c r="P248" s="13">
        <f>+D248-100</f>
        <v>2295</v>
      </c>
      <c r="Q248" s="13" t="s">
        <v>8</v>
      </c>
      <c r="R248" s="13">
        <f>+(F248-203)/3</f>
        <v>564</v>
      </c>
      <c r="S248" s="13">
        <f>+H248</f>
        <v>1</v>
      </c>
    </row>
    <row r="249" spans="2:19" x14ac:dyDescent="0.25">
      <c r="B249" s="14">
        <v>0.33</v>
      </c>
      <c r="C249" s="12" t="s">
        <v>15</v>
      </c>
      <c r="D249" s="2">
        <f>+D248-130</f>
        <v>2265</v>
      </c>
      <c r="E249" s="2"/>
      <c r="F249" s="2">
        <f>+F248-130</f>
        <v>1765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S249" s="2"/>
    </row>
    <row r="250" spans="2:19" x14ac:dyDescent="0.25">
      <c r="B250" s="14">
        <v>0.33</v>
      </c>
      <c r="D250" s="8">
        <f>+D248+43</f>
        <v>2438</v>
      </c>
      <c r="E250" s="8"/>
      <c r="F250" s="8">
        <f>+F248+43</f>
        <v>1938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S250" s="2"/>
    </row>
    <row r="251" spans="2:19" x14ac:dyDescent="0.25">
      <c r="B251" s="14">
        <v>0.33</v>
      </c>
      <c r="Q251" s="7"/>
    </row>
    <row r="252" spans="2:19" x14ac:dyDescent="0.25">
      <c r="B252" s="6"/>
      <c r="C252" s="4"/>
      <c r="D252" s="4"/>
      <c r="E252" s="7"/>
      <c r="K252" s="7"/>
      <c r="Q252" s="7"/>
      <c r="S252" s="2"/>
    </row>
    <row r="253" spans="2:19" x14ac:dyDescent="0.25">
      <c r="B253" s="7" t="s">
        <v>71</v>
      </c>
      <c r="C253" s="4" t="s">
        <v>72</v>
      </c>
      <c r="D253" s="7" t="s">
        <v>5</v>
      </c>
      <c r="E253" s="2"/>
      <c r="F253" s="7" t="s">
        <v>6</v>
      </c>
      <c r="G253" s="2"/>
      <c r="H253" s="2"/>
      <c r="I253" s="2"/>
      <c r="N253" s="2"/>
      <c r="O253" s="2"/>
      <c r="P253" s="7" t="s">
        <v>5</v>
      </c>
      <c r="Q253" s="2"/>
      <c r="R253" s="7" t="s">
        <v>13</v>
      </c>
      <c r="S253" s="2"/>
    </row>
    <row r="254" spans="2:19" x14ac:dyDescent="0.25">
      <c r="B254" s="14">
        <v>0.33</v>
      </c>
      <c r="C254" s="12" t="s">
        <v>14</v>
      </c>
      <c r="D254" s="13">
        <f>1550-5</f>
        <v>1545</v>
      </c>
      <c r="E254" s="13" t="s">
        <v>8</v>
      </c>
      <c r="F254" s="13">
        <f>1900-5</f>
        <v>1895</v>
      </c>
      <c r="G254" s="13"/>
      <c r="H254" s="13">
        <v>1</v>
      </c>
      <c r="I254" s="13"/>
      <c r="J254" s="13"/>
      <c r="K254" s="8"/>
      <c r="L254" s="13"/>
      <c r="M254" s="13"/>
      <c r="N254" s="13"/>
      <c r="O254" s="13"/>
      <c r="P254" s="13">
        <f>+D254-100</f>
        <v>1445</v>
      </c>
      <c r="Q254" s="13" t="s">
        <v>8</v>
      </c>
      <c r="R254" s="13">
        <f>+(F254-203)/3</f>
        <v>564</v>
      </c>
      <c r="S254" s="13">
        <f>+H254</f>
        <v>1</v>
      </c>
    </row>
    <row r="255" spans="2:19" x14ac:dyDescent="0.25">
      <c r="B255" s="14">
        <v>0.33</v>
      </c>
      <c r="C255" s="12" t="s">
        <v>15</v>
      </c>
      <c r="D255" s="2">
        <f>+D254-130</f>
        <v>1415</v>
      </c>
      <c r="E255" s="2"/>
      <c r="F255" s="2">
        <f>+F254-130</f>
        <v>1765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S255" s="2"/>
    </row>
    <row r="256" spans="2:19" x14ac:dyDescent="0.25">
      <c r="B256" s="14">
        <v>0.33</v>
      </c>
      <c r="D256" s="8">
        <f>+D254+43</f>
        <v>1588</v>
      </c>
      <c r="E256" s="8"/>
      <c r="F256" s="8">
        <f>+F254+43</f>
        <v>1938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S256" s="2"/>
    </row>
    <row r="257" spans="2:19" x14ac:dyDescent="0.25">
      <c r="Q257" s="7"/>
    </row>
    <row r="258" spans="2:19" x14ac:dyDescent="0.25">
      <c r="B258" s="4" t="s">
        <v>41</v>
      </c>
      <c r="C258" s="4" t="s">
        <v>73</v>
      </c>
    </row>
    <row r="259" spans="2:19" x14ac:dyDescent="0.25">
      <c r="B259" s="1"/>
      <c r="C259" s="15" t="s">
        <v>38</v>
      </c>
      <c r="D259" s="16" t="s">
        <v>5</v>
      </c>
      <c r="E259" s="15"/>
      <c r="F259" s="16" t="s">
        <v>6</v>
      </c>
      <c r="G259" s="2"/>
      <c r="H259" s="2"/>
      <c r="J259" s="4"/>
    </row>
    <row r="260" spans="2:19" x14ac:dyDescent="0.25">
      <c r="B260" s="1"/>
      <c r="C260" s="15">
        <v>693</v>
      </c>
      <c r="D260" s="16">
        <f>2400-10</f>
        <v>2390</v>
      </c>
      <c r="E260" s="15" t="s">
        <v>8</v>
      </c>
      <c r="F260" s="15">
        <f>1400-10</f>
        <v>1390</v>
      </c>
      <c r="H260" s="17">
        <v>1</v>
      </c>
      <c r="L260" s="2"/>
      <c r="M260" s="2"/>
      <c r="N260" s="7"/>
      <c r="O260" s="2"/>
      <c r="P260" s="7"/>
      <c r="Q260" s="2"/>
    </row>
    <row r="261" spans="2:19" x14ac:dyDescent="0.25">
      <c r="B261" s="1"/>
      <c r="D261" s="7"/>
      <c r="E261" s="2" t="s">
        <v>18</v>
      </c>
      <c r="F261" s="7"/>
      <c r="G261" s="2"/>
      <c r="H261" s="2"/>
      <c r="L261" s="2"/>
      <c r="M261" s="2"/>
      <c r="N261" s="7"/>
      <c r="O261" s="2"/>
      <c r="P261" s="7"/>
    </row>
    <row r="262" spans="2:19" x14ac:dyDescent="0.25">
      <c r="B262" s="1"/>
      <c r="D262" s="7" t="s">
        <v>5</v>
      </c>
      <c r="E262" s="2"/>
      <c r="F262" s="7" t="s">
        <v>6</v>
      </c>
      <c r="G262" s="2"/>
      <c r="H262" s="2"/>
      <c r="M262" s="2"/>
      <c r="N262" s="2"/>
      <c r="O262" s="7"/>
      <c r="P262" s="7" t="s">
        <v>5</v>
      </c>
      <c r="Q262" s="2"/>
      <c r="R262" s="7" t="s">
        <v>13</v>
      </c>
      <c r="S262" s="2"/>
    </row>
    <row r="263" spans="2:19" x14ac:dyDescent="0.25">
      <c r="B263" s="1"/>
      <c r="D263" s="2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0"/>
      <c r="Q263" s="2"/>
      <c r="R263" s="2"/>
      <c r="S263" s="2"/>
    </row>
    <row r="264" spans="2:19" x14ac:dyDescent="0.25">
      <c r="B264" s="1"/>
      <c r="D264" s="26">
        <f>+(D260/2)+3</f>
        <v>1198</v>
      </c>
      <c r="E264" s="2" t="s">
        <v>8</v>
      </c>
      <c r="F264" s="2">
        <f>+C260+5</f>
        <v>698</v>
      </c>
      <c r="G264" s="2"/>
      <c r="H264" s="2">
        <v>2</v>
      </c>
      <c r="I264" s="2"/>
      <c r="J264" s="26">
        <f>+D264-68</f>
        <v>1130</v>
      </c>
      <c r="K264" s="7" t="s">
        <v>8</v>
      </c>
      <c r="L264" s="2">
        <f>+F264-68</f>
        <v>630</v>
      </c>
      <c r="M264" s="2"/>
      <c r="N264" s="2">
        <v>2</v>
      </c>
      <c r="O264" s="2"/>
      <c r="P264" s="26">
        <f>+J264-140</f>
        <v>990</v>
      </c>
      <c r="Q264" s="2" t="s">
        <v>8</v>
      </c>
      <c r="R264" s="2">
        <f>+L264-140</f>
        <v>490</v>
      </c>
      <c r="S264" s="2">
        <f>+N264</f>
        <v>2</v>
      </c>
    </row>
    <row r="265" spans="2:19" x14ac:dyDescent="0.25">
      <c r="B265" s="1"/>
      <c r="D265" s="26">
        <f>+D260+5</f>
        <v>2395</v>
      </c>
      <c r="E265" s="17" t="s">
        <v>8</v>
      </c>
      <c r="F265" s="2">
        <f>+F260+1-C260</f>
        <v>698</v>
      </c>
      <c r="H265" s="2">
        <v>1</v>
      </c>
      <c r="J265" s="21"/>
      <c r="P265" s="20">
        <f>+D265-99</f>
        <v>2296</v>
      </c>
      <c r="Q265" s="2" t="s">
        <v>8</v>
      </c>
      <c r="R265" s="2">
        <f>+F265-99</f>
        <v>599</v>
      </c>
      <c r="S265" s="1">
        <v>1</v>
      </c>
    </row>
    <row r="266" spans="2:19" x14ac:dyDescent="0.25">
      <c r="B266" s="1"/>
      <c r="P266" s="20"/>
      <c r="Q266" s="4"/>
      <c r="R266" s="2"/>
    </row>
    <row r="267" spans="2:19" x14ac:dyDescent="0.25">
      <c r="B267" s="1"/>
      <c r="K267" s="7"/>
      <c r="Q267" s="7"/>
      <c r="S267" s="2"/>
    </row>
    <row r="268" spans="2:19" x14ac:dyDescent="0.25">
      <c r="B268" s="6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S268" s="2"/>
    </row>
    <row r="269" spans="2:19" x14ac:dyDescent="0.25">
      <c r="B269" s="4" t="s">
        <v>74</v>
      </c>
      <c r="C269" s="4" t="s">
        <v>75</v>
      </c>
      <c r="L269" s="4" t="s">
        <v>76</v>
      </c>
    </row>
    <row r="270" spans="2:19" x14ac:dyDescent="0.25">
      <c r="B270" s="1"/>
      <c r="C270" s="15" t="s">
        <v>38</v>
      </c>
      <c r="D270" s="16" t="s">
        <v>5</v>
      </c>
      <c r="E270" s="15"/>
      <c r="F270" s="16" t="s">
        <v>6</v>
      </c>
      <c r="G270" s="2"/>
      <c r="H270" s="2"/>
      <c r="J270" s="4"/>
    </row>
    <row r="271" spans="2:19" x14ac:dyDescent="0.25">
      <c r="B271" s="1"/>
      <c r="C271" s="15">
        <v>697</v>
      </c>
      <c r="D271" s="16">
        <f>1540-10</f>
        <v>1530</v>
      </c>
      <c r="E271" s="15" t="s">
        <v>8</v>
      </c>
      <c r="F271" s="15">
        <v>1390</v>
      </c>
      <c r="H271" s="17">
        <v>1</v>
      </c>
      <c r="L271" s="2"/>
      <c r="M271" s="2"/>
      <c r="N271" s="7"/>
      <c r="O271" s="2"/>
      <c r="P271" s="7"/>
      <c r="Q271" s="2"/>
    </row>
    <row r="272" spans="2:19" x14ac:dyDescent="0.25">
      <c r="B272" s="1"/>
      <c r="D272" s="7"/>
      <c r="E272" s="2" t="s">
        <v>18</v>
      </c>
      <c r="F272" s="7"/>
      <c r="G272" s="2"/>
      <c r="H272" s="2"/>
      <c r="L272" s="2"/>
      <c r="M272" s="2"/>
      <c r="N272" s="7"/>
      <c r="O272" s="2"/>
      <c r="P272" s="7"/>
      <c r="Q272" s="1" t="s">
        <v>43</v>
      </c>
    </row>
    <row r="273" spans="2:19" x14ac:dyDescent="0.25">
      <c r="B273" s="1"/>
      <c r="D273" s="7" t="s">
        <v>5</v>
      </c>
      <c r="E273" s="2"/>
      <c r="F273" s="7" t="s">
        <v>6</v>
      </c>
      <c r="G273" s="2"/>
      <c r="H273" s="2"/>
      <c r="M273" s="2"/>
      <c r="N273" s="2"/>
      <c r="O273" s="7"/>
      <c r="P273" s="7" t="s">
        <v>5</v>
      </c>
      <c r="Q273" s="2"/>
      <c r="R273" s="7" t="s">
        <v>13</v>
      </c>
      <c r="S273" s="2"/>
    </row>
    <row r="274" spans="2:19" x14ac:dyDescent="0.25">
      <c r="B274" s="1">
        <v>693</v>
      </c>
      <c r="D274" s="2">
        <f>+D271+5</f>
        <v>1535</v>
      </c>
      <c r="E274" s="2" t="s">
        <v>8</v>
      </c>
      <c r="F274" s="2">
        <f>+F271+5-C271</f>
        <v>698</v>
      </c>
      <c r="G274" s="2"/>
      <c r="H274" s="2">
        <f>+H271</f>
        <v>1</v>
      </c>
      <c r="I274" s="2"/>
      <c r="J274" s="2"/>
      <c r="K274" s="2" t="s">
        <v>3</v>
      </c>
      <c r="L274" s="2"/>
      <c r="M274" s="2"/>
      <c r="N274" s="2"/>
      <c r="O274" s="2"/>
      <c r="P274" s="20"/>
      <c r="Q274" s="2"/>
      <c r="R274" s="2"/>
      <c r="S274" s="2"/>
    </row>
    <row r="275" spans="2:19" x14ac:dyDescent="0.25">
      <c r="B275" s="1"/>
      <c r="D275" s="20">
        <f>+D271+5</f>
        <v>1535</v>
      </c>
      <c r="E275" s="2" t="s">
        <v>8</v>
      </c>
      <c r="F275" s="2">
        <f>+B274+5</f>
        <v>698</v>
      </c>
      <c r="G275" s="2"/>
      <c r="H275" s="2">
        <f>+H271</f>
        <v>1</v>
      </c>
      <c r="I275" s="2"/>
      <c r="J275" s="2">
        <f>+D275-68</f>
        <v>1467</v>
      </c>
      <c r="K275" s="7" t="s">
        <v>8</v>
      </c>
      <c r="L275" s="2">
        <f>+F275-68</f>
        <v>630</v>
      </c>
      <c r="M275" s="2"/>
      <c r="N275" s="2">
        <v>1</v>
      </c>
      <c r="O275" s="2"/>
      <c r="P275" s="2">
        <f>+J275-140</f>
        <v>1327</v>
      </c>
      <c r="Q275" s="2" t="s">
        <v>8</v>
      </c>
      <c r="R275" s="2">
        <f>+L275-140</f>
        <v>490</v>
      </c>
      <c r="S275" s="2">
        <f>+N275</f>
        <v>1</v>
      </c>
    </row>
    <row r="276" spans="2:19" x14ac:dyDescent="0.25">
      <c r="B276" s="1"/>
      <c r="J276" s="21"/>
      <c r="P276" s="21"/>
    </row>
    <row r="277" spans="2:19" x14ac:dyDescent="0.25">
      <c r="B277" s="1"/>
      <c r="G277" s="27"/>
    </row>
    <row r="278" spans="2:19" x14ac:dyDescent="0.25">
      <c r="B278" s="1"/>
      <c r="K278" s="7"/>
      <c r="Q278" s="7"/>
      <c r="S278" s="2"/>
    </row>
    <row r="279" spans="2:19" x14ac:dyDescent="0.25">
      <c r="B279" s="1"/>
      <c r="K279" s="7"/>
      <c r="Q279" s="7"/>
      <c r="S279" s="2"/>
    </row>
    <row r="280" spans="2:19" x14ac:dyDescent="0.25">
      <c r="B280" s="4" t="s">
        <v>77</v>
      </c>
      <c r="C280" s="4" t="s">
        <v>75</v>
      </c>
    </row>
    <row r="281" spans="2:19" x14ac:dyDescent="0.25">
      <c r="B281" s="1"/>
      <c r="C281" s="15" t="s">
        <v>38</v>
      </c>
      <c r="D281" s="16" t="s">
        <v>5</v>
      </c>
      <c r="E281" s="15"/>
      <c r="F281" s="16" t="s">
        <v>6</v>
      </c>
      <c r="G281" s="2"/>
      <c r="H281" s="2"/>
      <c r="J281" s="4"/>
    </row>
    <row r="282" spans="2:19" x14ac:dyDescent="0.25">
      <c r="B282" s="1"/>
      <c r="C282" s="15">
        <v>693</v>
      </c>
      <c r="D282" s="16">
        <f>2255-10</f>
        <v>2245</v>
      </c>
      <c r="E282" s="15" t="s">
        <v>8</v>
      </c>
      <c r="F282" s="15">
        <f>1400-10</f>
        <v>1390</v>
      </c>
      <c r="H282" s="17">
        <v>1</v>
      </c>
      <c r="L282" s="2"/>
      <c r="M282" s="2"/>
      <c r="N282" s="7"/>
      <c r="O282" s="2"/>
      <c r="P282" s="7"/>
      <c r="Q282" s="2"/>
    </row>
    <row r="283" spans="2:19" x14ac:dyDescent="0.25">
      <c r="B283" s="1"/>
      <c r="D283" s="7"/>
      <c r="E283" s="2" t="s">
        <v>18</v>
      </c>
      <c r="F283" s="7"/>
      <c r="G283" s="2"/>
      <c r="H283" s="2"/>
      <c r="L283" s="2"/>
      <c r="M283" s="2"/>
      <c r="N283" s="7"/>
      <c r="O283" s="2"/>
      <c r="P283" s="7"/>
    </row>
    <row r="284" spans="2:19" x14ac:dyDescent="0.25">
      <c r="B284" s="1"/>
      <c r="D284" s="7" t="s">
        <v>5</v>
      </c>
      <c r="E284" s="2"/>
      <c r="F284" s="7" t="s">
        <v>6</v>
      </c>
      <c r="G284" s="2"/>
      <c r="H284" s="2"/>
      <c r="M284" s="2"/>
      <c r="N284" s="2"/>
      <c r="O284" s="7"/>
      <c r="P284" s="7" t="s">
        <v>5</v>
      </c>
      <c r="Q284" s="2"/>
      <c r="R284" s="7" t="s">
        <v>13</v>
      </c>
      <c r="S284" s="2"/>
    </row>
    <row r="285" spans="2:19" x14ac:dyDescent="0.25">
      <c r="B285" s="1"/>
      <c r="D285" s="2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0"/>
      <c r="Q285" s="2"/>
      <c r="R285" s="2"/>
      <c r="S285" s="2"/>
    </row>
    <row r="286" spans="2:19" x14ac:dyDescent="0.25">
      <c r="B286" s="1"/>
      <c r="D286" s="26">
        <f>+(D282/2)+3</f>
        <v>1125.5</v>
      </c>
      <c r="E286" s="2" t="s">
        <v>8</v>
      </c>
      <c r="F286" s="2">
        <f>+C282+5</f>
        <v>698</v>
      </c>
      <c r="G286" s="2"/>
      <c r="H286" s="2">
        <v>2</v>
      </c>
      <c r="I286" s="2"/>
      <c r="J286" s="26">
        <f>+D286-68</f>
        <v>1057.5</v>
      </c>
      <c r="K286" s="7" t="s">
        <v>8</v>
      </c>
      <c r="L286" s="2">
        <f>+F286-68</f>
        <v>630</v>
      </c>
      <c r="M286" s="2"/>
      <c r="N286" s="2">
        <v>2</v>
      </c>
      <c r="O286" s="2"/>
      <c r="P286" s="26">
        <f>+J286-140</f>
        <v>917.5</v>
      </c>
      <c r="Q286" s="2" t="s">
        <v>8</v>
      </c>
      <c r="R286" s="2">
        <f>+L286-140</f>
        <v>490</v>
      </c>
      <c r="S286" s="2">
        <f>+N286</f>
        <v>2</v>
      </c>
    </row>
    <row r="287" spans="2:19" x14ac:dyDescent="0.25">
      <c r="B287" s="1"/>
      <c r="D287" s="26">
        <f>+D282+5</f>
        <v>2250</v>
      </c>
      <c r="E287" s="17" t="s">
        <v>8</v>
      </c>
      <c r="F287" s="2">
        <f>+F282+1-C282</f>
        <v>698</v>
      </c>
      <c r="H287" s="2">
        <v>1</v>
      </c>
      <c r="J287" s="21"/>
      <c r="P287" s="20">
        <f>+D287-99</f>
        <v>2151</v>
      </c>
      <c r="Q287" s="2" t="s">
        <v>8</v>
      </c>
      <c r="R287" s="2">
        <f>+F287-99</f>
        <v>599</v>
      </c>
      <c r="S287" s="1">
        <v>1</v>
      </c>
    </row>
    <row r="288" spans="2:19" x14ac:dyDescent="0.25">
      <c r="B288" s="1"/>
      <c r="P288" s="20"/>
      <c r="Q288" s="4"/>
      <c r="R288" s="2"/>
    </row>
    <row r="289" spans="2:19" x14ac:dyDescent="0.25">
      <c r="B289" s="1"/>
      <c r="K289" s="7"/>
      <c r="Q289" s="7"/>
      <c r="S289" s="2"/>
    </row>
    <row r="290" spans="2:19" x14ac:dyDescent="0.25">
      <c r="B290" s="6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S290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0.71093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500 y 802</vt:lpstr>
      <vt:lpstr>Pauta Original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 Preferido</dc:creator>
  <cp:lastModifiedBy>ALESSANDRO ENRIQUE ARENAS VALDES</cp:lastModifiedBy>
  <cp:lastPrinted>2019-04-11T16:46:24Z</cp:lastPrinted>
  <dcterms:created xsi:type="dcterms:W3CDTF">2017-08-19T20:44:33Z</dcterms:created>
  <dcterms:modified xsi:type="dcterms:W3CDTF">2026-10-22T15:56:23Z</dcterms:modified>
</cp:coreProperties>
</file>