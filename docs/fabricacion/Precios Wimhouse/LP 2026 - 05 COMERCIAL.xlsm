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ss\Desktop\Precios Winhouse\"/>
    </mc:Choice>
  </mc:AlternateContent>
  <xr:revisionPtr revIDLastSave="0" documentId="8_{6647CAB3-B535-4B47-BE23-3B82E7949B67}" xr6:coauthVersionLast="47" xr6:coauthVersionMax="47" xr10:uidLastSave="{00000000-0000-0000-0000-000000000000}"/>
  <workbookProtection workbookAlgorithmName="SHA-512" workbookHashValue="Sdj65VMnlhrPWU9brhXtr06YaxJXJyXhoZkuFSviUNUmLRdMaDPyy3a/d0Nbq6nDl/sbZ+gtYolsePAAbfY9Fg==" workbookSaltValue="5+fMuMG0QLMOWSSd6WQ7aQ==" workbookSpinCount="100000" lockStructure="1"/>
  <bookViews>
    <workbookView xWindow="-120" yWindow="-120" windowWidth="29040" windowHeight="15720" tabRatio="738" xr2:uid="{00000000-000D-0000-FFFF-FFFF00000000}"/>
  </bookViews>
  <sheets>
    <sheet name="LISTA PERFILES" sheetId="30" r:id="rId1"/>
    <sheet name="LISTA HERRAJES Y ACCESORIOS" sheetId="19" r:id="rId2"/>
    <sheet name="LISTA BARRANDAS" sheetId="31" state="hidden" r:id="rId3"/>
  </sheets>
  <externalReferences>
    <externalReference r:id="rId4"/>
    <externalReference r:id="rId5"/>
  </externalReferences>
  <definedNames>
    <definedName name="_xlnm._FilterDatabase" localSheetId="2" hidden="1">'LISTA BARRANDAS'!$C$13:$K$112</definedName>
    <definedName name="_xlnm._FilterDatabase" localSheetId="1" hidden="1">'LISTA HERRAJES Y ACCESORIOS'!$C$13:$K$430</definedName>
    <definedName name="_xlnm._FilterDatabase" localSheetId="0" hidden="1">'LISTA PERFILES'!$C$12:$K$423</definedName>
    <definedName name="_xleta.IF" hidden="1" xlm="1">#NAME?</definedName>
    <definedName name="_xlnm.Print_Area" localSheetId="1">'LISTA HERRAJES Y ACCESORIOS'!$C$1:$H$281</definedName>
    <definedName name="_xlnm.Print_Area" localSheetId="0">'LISTA PERFILES'!$C$1:$K$433</definedName>
  </definedNames>
  <calcPr calcId="191028"/>
  <customWorkbookViews>
    <customWorkbookView name="hogar - Vista personalizada" guid="{847B58C1-92C7-41D2-B144-3E6FCA67883A}" mergeInterval="0" personalView="1" maximized="1" xWindow="1" yWindow="1" windowWidth="1440" windowHeight="670" tabRatio="94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4" i="30" l="1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4" i="30"/>
  <c r="J135" i="30"/>
  <c r="J136" i="30"/>
  <c r="K136" i="30" s="1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6" i="30"/>
  <c r="J157" i="30"/>
  <c r="J158" i="30"/>
  <c r="J159" i="30"/>
  <c r="J160" i="30"/>
  <c r="J161" i="30"/>
  <c r="J162" i="30"/>
  <c r="J163" i="30"/>
  <c r="J164" i="30"/>
  <c r="J165" i="30"/>
  <c r="K165" i="30" s="1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K194" i="30" s="1"/>
  <c r="J195" i="30"/>
  <c r="J196" i="30"/>
  <c r="J197" i="30"/>
  <c r="J198" i="30"/>
  <c r="K198" i="30" s="1"/>
  <c r="J199" i="30"/>
  <c r="J200" i="30"/>
  <c r="K200" i="30" s="1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K214" i="30" s="1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K236" i="30" s="1"/>
  <c r="J237" i="30"/>
  <c r="J238" i="30"/>
  <c r="J239" i="30"/>
  <c r="J240" i="30"/>
  <c r="J241" i="30"/>
  <c r="J242" i="30"/>
  <c r="J243" i="30"/>
  <c r="J244" i="30"/>
  <c r="J245" i="30"/>
  <c r="J246" i="30"/>
  <c r="J247" i="30"/>
  <c r="J248" i="30"/>
  <c r="J249" i="30"/>
  <c r="J250" i="30"/>
  <c r="J251" i="30"/>
  <c r="J252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K264" i="30" s="1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299" i="30"/>
  <c r="J300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3" i="30"/>
  <c r="J324" i="30"/>
  <c r="J325" i="30"/>
  <c r="J326" i="30"/>
  <c r="J327" i="30"/>
  <c r="J328" i="30"/>
  <c r="J329" i="30"/>
  <c r="J330" i="30"/>
  <c r="J331" i="30"/>
  <c r="J332" i="30"/>
  <c r="J333" i="30"/>
  <c r="K333" i="30" s="1"/>
  <c r="J334" i="30"/>
  <c r="J335" i="30"/>
  <c r="J336" i="30"/>
  <c r="J337" i="30"/>
  <c r="J338" i="30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J352" i="30"/>
  <c r="J353" i="30"/>
  <c r="J354" i="30"/>
  <c r="J355" i="30"/>
  <c r="J356" i="30"/>
  <c r="J357" i="30"/>
  <c r="J358" i="30"/>
  <c r="J359" i="30"/>
  <c r="J360" i="30"/>
  <c r="J361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K377" i="30" s="1"/>
  <c r="J378" i="30"/>
  <c r="J379" i="30"/>
  <c r="J380" i="30"/>
  <c r="J381" i="30"/>
  <c r="J382" i="30"/>
  <c r="J383" i="30"/>
  <c r="J384" i="30"/>
  <c r="J385" i="30"/>
  <c r="J386" i="30"/>
  <c r="K386" i="30" s="1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13" i="30"/>
  <c r="I392" i="19"/>
  <c r="I393" i="19"/>
  <c r="I394" i="19"/>
  <c r="I254" i="19"/>
  <c r="I138" i="19"/>
  <c r="I255" i="19"/>
  <c r="I264" i="19"/>
  <c r="I265" i="19"/>
  <c r="I108" i="19"/>
  <c r="I109" i="19"/>
  <c r="I100" i="19"/>
  <c r="I319" i="19"/>
  <c r="I320" i="19"/>
  <c r="I321" i="19"/>
  <c r="I345" i="19"/>
  <c r="I426" i="19"/>
  <c r="I55" i="19"/>
  <c r="I177" i="19"/>
  <c r="I178" i="19"/>
  <c r="I378" i="19"/>
  <c r="J392" i="19"/>
  <c r="K392" i="19" s="1"/>
  <c r="J393" i="19"/>
  <c r="K393" i="19" s="1"/>
  <c r="J394" i="19"/>
  <c r="K394" i="19" s="1"/>
  <c r="J254" i="19"/>
  <c r="K254" i="19" s="1"/>
  <c r="J138" i="19"/>
  <c r="K138" i="19" s="1"/>
  <c r="J255" i="19"/>
  <c r="K255" i="19" s="1"/>
  <c r="J264" i="19"/>
  <c r="K264" i="19" s="1"/>
  <c r="J265" i="19"/>
  <c r="K265" i="19" s="1"/>
  <c r="J108" i="19"/>
  <c r="K108" i="19" s="1"/>
  <c r="J109" i="19"/>
  <c r="K109" i="19" s="1"/>
  <c r="J100" i="19"/>
  <c r="K100" i="19" s="1"/>
  <c r="J319" i="19"/>
  <c r="K319" i="19" s="1"/>
  <c r="J320" i="19"/>
  <c r="K320" i="19" s="1"/>
  <c r="J321" i="19"/>
  <c r="K321" i="19" s="1"/>
  <c r="J345" i="19"/>
  <c r="K345" i="19" s="1"/>
  <c r="J426" i="19"/>
  <c r="K426" i="19" s="1"/>
  <c r="J55" i="19"/>
  <c r="K55" i="19" s="1"/>
  <c r="J177" i="19"/>
  <c r="K177" i="19" s="1"/>
  <c r="J178" i="19"/>
  <c r="K178" i="19" s="1"/>
  <c r="J378" i="19"/>
  <c r="K378" i="19" s="1"/>
  <c r="J226" i="19"/>
  <c r="K226" i="19" s="1"/>
  <c r="J227" i="19"/>
  <c r="K227" i="19" s="1"/>
  <c r="J224" i="19"/>
  <c r="K224" i="19" s="1"/>
  <c r="J223" i="19"/>
  <c r="K223" i="19" s="1"/>
  <c r="J228" i="19"/>
  <c r="K228" i="19" s="1"/>
  <c r="J231" i="19"/>
  <c r="K231" i="19" s="1"/>
  <c r="J230" i="19"/>
  <c r="K230" i="19" s="1"/>
  <c r="J220" i="19"/>
  <c r="K220" i="19" s="1"/>
  <c r="J221" i="19"/>
  <c r="K221" i="19" s="1"/>
  <c r="J301" i="19"/>
  <c r="K301" i="19" s="1"/>
  <c r="J302" i="19"/>
  <c r="K302" i="19" s="1"/>
  <c r="J303" i="19"/>
  <c r="K303" i="19" s="1"/>
  <c r="J304" i="19"/>
  <c r="K304" i="19" s="1"/>
  <c r="J305" i="19"/>
  <c r="K305" i="19" s="1"/>
  <c r="J306" i="19"/>
  <c r="K306" i="19" s="1"/>
  <c r="J316" i="19"/>
  <c r="K316" i="19" s="1"/>
  <c r="J317" i="19"/>
  <c r="K317" i="19" s="1"/>
  <c r="J318" i="19"/>
  <c r="J325" i="19"/>
  <c r="K325" i="19" s="1"/>
  <c r="J326" i="19"/>
  <c r="J327" i="19"/>
  <c r="J424" i="19"/>
  <c r="J22" i="19"/>
  <c r="K22" i="19" s="1"/>
  <c r="J26" i="19"/>
  <c r="K26" i="19" s="1"/>
  <c r="J23" i="19"/>
  <c r="K23" i="19" s="1"/>
  <c r="J24" i="19"/>
  <c r="K24" i="19" s="1"/>
  <c r="J429" i="19"/>
  <c r="K429" i="19" s="1"/>
  <c r="J27" i="19"/>
  <c r="K27" i="19" s="1"/>
  <c r="J28" i="19"/>
  <c r="K28" i="19" s="1"/>
  <c r="J418" i="19"/>
  <c r="J25" i="19"/>
  <c r="K25" i="19" s="1"/>
  <c r="J214" i="19"/>
  <c r="K214" i="19" s="1"/>
  <c r="J234" i="19"/>
  <c r="K234" i="19" s="1"/>
  <c r="J49" i="19"/>
  <c r="K49" i="19" s="1"/>
  <c r="J419" i="19"/>
  <c r="K419" i="19" s="1"/>
  <c r="J48" i="19"/>
  <c r="K48" i="19" s="1"/>
  <c r="J50" i="19"/>
  <c r="K50" i="19" s="1"/>
  <c r="J140" i="19"/>
  <c r="K140" i="19" s="1"/>
  <c r="J238" i="19"/>
  <c r="K238" i="19" s="1"/>
  <c r="J340" i="19"/>
  <c r="K340" i="19" s="1"/>
  <c r="J69" i="19"/>
  <c r="K69" i="19" s="1"/>
  <c r="J337" i="19"/>
  <c r="K337" i="19" s="1"/>
  <c r="J410" i="19"/>
  <c r="K410" i="19" s="1"/>
  <c r="J423" i="19"/>
  <c r="J411" i="19"/>
  <c r="J338" i="19"/>
  <c r="J339" i="19"/>
  <c r="K339" i="19" s="1"/>
  <c r="J422" i="19"/>
  <c r="J412" i="19"/>
  <c r="K412" i="19" s="1"/>
  <c r="J425" i="19"/>
  <c r="K425" i="19" s="1"/>
  <c r="J413" i="19"/>
  <c r="K413" i="19" s="1"/>
  <c r="J414" i="19"/>
  <c r="K414" i="19" s="1"/>
  <c r="J415" i="19"/>
  <c r="K415" i="19" s="1"/>
  <c r="J416" i="19"/>
  <c r="K416" i="19" s="1"/>
  <c r="J332" i="19"/>
  <c r="K332" i="19" s="1"/>
  <c r="J67" i="19"/>
  <c r="K67" i="19" s="1"/>
  <c r="J68" i="19"/>
  <c r="K68" i="19" s="1"/>
  <c r="J417" i="19"/>
  <c r="J141" i="19"/>
  <c r="K141" i="19" s="1"/>
  <c r="J54" i="19"/>
  <c r="K54" i="19" s="1"/>
  <c r="J64" i="19"/>
  <c r="K64" i="19" s="1"/>
  <c r="J65" i="19"/>
  <c r="K65" i="19" s="1"/>
  <c r="J66" i="19"/>
  <c r="K66" i="19" s="1"/>
  <c r="J427" i="19"/>
  <c r="K427" i="19" s="1"/>
  <c r="J428" i="19"/>
  <c r="K428" i="19" s="1"/>
  <c r="J73" i="19"/>
  <c r="K73" i="19" s="1"/>
  <c r="J232" i="19"/>
  <c r="K232" i="19" s="1"/>
  <c r="J430" i="19"/>
  <c r="K430" i="19" s="1"/>
  <c r="J29" i="19"/>
  <c r="J51" i="19"/>
  <c r="K51" i="19" s="1"/>
  <c r="J53" i="19"/>
  <c r="K53" i="19" s="1"/>
  <c r="J343" i="19"/>
  <c r="K343" i="19" s="1"/>
  <c r="J52" i="19"/>
  <c r="K52" i="19" s="1"/>
  <c r="J30" i="19"/>
  <c r="K30" i="19" s="1"/>
  <c r="J421" i="19"/>
  <c r="K421" i="19" s="1"/>
  <c r="J31" i="19"/>
  <c r="K31" i="19" s="1"/>
  <c r="J147" i="19"/>
  <c r="K147" i="19" s="1"/>
  <c r="J408" i="19"/>
  <c r="K408" i="19" s="1"/>
  <c r="J420" i="19"/>
  <c r="K420" i="19" s="1"/>
  <c r="J409" i="19"/>
  <c r="K409" i="19" s="1"/>
  <c r="J90" i="19"/>
  <c r="K90" i="19" s="1"/>
  <c r="J91" i="19"/>
  <c r="K91" i="19" s="1"/>
  <c r="J92" i="19"/>
  <c r="K92" i="19" s="1"/>
  <c r="J152" i="19"/>
  <c r="K152" i="19" s="1"/>
  <c r="J32" i="19"/>
  <c r="K32" i="19" s="1"/>
  <c r="J33" i="19"/>
  <c r="K33" i="19" s="1"/>
  <c r="J34" i="19"/>
  <c r="K34" i="19" s="1"/>
  <c r="J137" i="19"/>
  <c r="K137" i="19" s="1"/>
  <c r="J18" i="19"/>
  <c r="K18" i="19" s="1"/>
  <c r="J19" i="19"/>
  <c r="K19" i="19" s="1"/>
  <c r="J70" i="19"/>
  <c r="K70" i="19" s="1"/>
  <c r="J405" i="19"/>
  <c r="J86" i="19"/>
  <c r="J87" i="19"/>
  <c r="J88" i="19"/>
  <c r="K88" i="19" s="1"/>
  <c r="J89" i="19"/>
  <c r="K89" i="19" s="1"/>
  <c r="J59" i="19"/>
  <c r="K59" i="19" s="1"/>
  <c r="J127" i="19"/>
  <c r="K127" i="19" s="1"/>
  <c r="J406" i="19"/>
  <c r="K406" i="19" s="1"/>
  <c r="J72" i="19"/>
  <c r="K72" i="19" s="1"/>
  <c r="J20" i="19"/>
  <c r="K20" i="19" s="1"/>
  <c r="J21" i="19"/>
  <c r="J71" i="19"/>
  <c r="K71" i="19" s="1"/>
  <c r="J85" i="19"/>
  <c r="K85" i="19" s="1"/>
  <c r="J407" i="19"/>
  <c r="K407" i="19" s="1"/>
  <c r="J331" i="19"/>
  <c r="K331" i="19" s="1"/>
  <c r="J37" i="19"/>
  <c r="K37" i="19" s="1"/>
  <c r="J38" i="19"/>
  <c r="K38" i="19" s="1"/>
  <c r="J39" i="19"/>
  <c r="K39" i="19" s="1"/>
  <c r="J143" i="19"/>
  <c r="K143" i="19" s="1"/>
  <c r="J84" i="19"/>
  <c r="K84" i="19" s="1"/>
  <c r="J56" i="19"/>
  <c r="K56" i="19" s="1"/>
  <c r="J159" i="19"/>
  <c r="K159" i="19" s="1"/>
  <c r="J139" i="19"/>
  <c r="K139" i="19" s="1"/>
  <c r="J144" i="19"/>
  <c r="K144" i="19" s="1"/>
  <c r="J142" i="19"/>
  <c r="K142" i="19" s="1"/>
  <c r="J57" i="19"/>
  <c r="J215" i="19"/>
  <c r="K215" i="19" s="1"/>
  <c r="J150" i="19"/>
  <c r="K150" i="19" s="1"/>
  <c r="J151" i="19"/>
  <c r="K151" i="19" s="1"/>
  <c r="J58" i="19"/>
  <c r="K58" i="19" s="1"/>
  <c r="J78" i="19"/>
  <c r="K78" i="19" s="1"/>
  <c r="J77" i="19"/>
  <c r="K77" i="19" s="1"/>
  <c r="J79" i="19"/>
  <c r="K79" i="19" s="1"/>
  <c r="J81" i="19"/>
  <c r="K81" i="19" s="1"/>
  <c r="J82" i="19"/>
  <c r="K82" i="19" s="1"/>
  <c r="J222" i="19"/>
  <c r="K222" i="19" s="1"/>
  <c r="J80" i="19"/>
  <c r="K80" i="19" s="1"/>
  <c r="J83" i="19"/>
  <c r="K83" i="19" s="1"/>
  <c r="J341" i="19"/>
  <c r="K341" i="19" s="1"/>
  <c r="J146" i="19"/>
  <c r="K146" i="19" s="1"/>
  <c r="J60" i="19"/>
  <c r="K60" i="19" s="1"/>
  <c r="J62" i="19"/>
  <c r="K62" i="19" s="1"/>
  <c r="J61" i="19"/>
  <c r="K61" i="19" s="1"/>
  <c r="J161" i="19"/>
  <c r="K161" i="19" s="1"/>
  <c r="J371" i="19"/>
  <c r="K371" i="19" s="1"/>
  <c r="J36" i="19"/>
  <c r="K36" i="19" s="1"/>
  <c r="J63" i="19"/>
  <c r="J17" i="19"/>
  <c r="K17" i="19" s="1"/>
  <c r="J153" i="19"/>
  <c r="J145" i="19"/>
  <c r="J35" i="19"/>
  <c r="K35" i="19" s="1"/>
  <c r="J149" i="19"/>
  <c r="K149" i="19" s="1"/>
  <c r="J351" i="19"/>
  <c r="K351" i="19" s="1"/>
  <c r="J399" i="19"/>
  <c r="K399" i="19" s="1"/>
  <c r="J110" i="19"/>
  <c r="K110" i="19" s="1"/>
  <c r="J372" i="19"/>
  <c r="K372" i="19" s="1"/>
  <c r="J373" i="19"/>
  <c r="K373" i="19" s="1"/>
  <c r="J374" i="19"/>
  <c r="K374" i="19" s="1"/>
  <c r="J40" i="19"/>
  <c r="K40" i="19" s="1"/>
  <c r="J42" i="19"/>
  <c r="K42" i="19" s="1"/>
  <c r="J342" i="19"/>
  <c r="J154" i="19"/>
  <c r="K154" i="19" s="1"/>
  <c r="J368" i="19"/>
  <c r="K368" i="19" s="1"/>
  <c r="J148" i="19"/>
  <c r="K148" i="19" s="1"/>
  <c r="J162" i="19"/>
  <c r="K162" i="19" s="1"/>
  <c r="J308" i="19"/>
  <c r="K308" i="19" s="1"/>
  <c r="J116" i="19"/>
  <c r="K116" i="19" s="1"/>
  <c r="J101" i="19"/>
  <c r="K101" i="19" s="1"/>
  <c r="J336" i="19"/>
  <c r="K336" i="19" s="1"/>
  <c r="J102" i="19"/>
  <c r="K102" i="19" s="1"/>
  <c r="J103" i="19"/>
  <c r="K103" i="19" s="1"/>
  <c r="J43" i="19"/>
  <c r="K43" i="19" s="1"/>
  <c r="J369" i="19"/>
  <c r="K369" i="19" s="1"/>
  <c r="J128" i="19"/>
  <c r="K128" i="19" s="1"/>
  <c r="J41" i="19"/>
  <c r="K41" i="19" s="1"/>
  <c r="J370" i="19"/>
  <c r="K370" i="19" s="1"/>
  <c r="J125" i="19"/>
  <c r="K125" i="19" s="1"/>
  <c r="J350" i="19"/>
  <c r="K350" i="19" s="1"/>
  <c r="J366" i="19"/>
  <c r="K366" i="19" s="1"/>
  <c r="J111" i="19"/>
  <c r="K111" i="19" s="1"/>
  <c r="J157" i="19"/>
  <c r="K157" i="19" s="1"/>
  <c r="J93" i="19"/>
  <c r="K93" i="19" s="1"/>
  <c r="J74" i="19"/>
  <c r="K74" i="19" s="1"/>
  <c r="J156" i="19"/>
  <c r="K156" i="19" s="1"/>
  <c r="J334" i="19"/>
  <c r="K334" i="19" s="1"/>
  <c r="J295" i="19"/>
  <c r="K295" i="19" s="1"/>
  <c r="J190" i="19"/>
  <c r="K190" i="19" s="1"/>
  <c r="J397" i="19"/>
  <c r="K397" i="19" s="1"/>
  <c r="J398" i="19"/>
  <c r="K398" i="19" s="1"/>
  <c r="J126" i="19"/>
  <c r="K126" i="19" s="1"/>
  <c r="J312" i="19"/>
  <c r="K312" i="19" s="1"/>
  <c r="J367" i="19"/>
  <c r="K367" i="19" s="1"/>
  <c r="J155" i="19"/>
  <c r="K155" i="19" s="1"/>
  <c r="J112" i="19"/>
  <c r="K112" i="19" s="1"/>
  <c r="J179" i="19"/>
  <c r="K179" i="19" s="1"/>
  <c r="J296" i="19"/>
  <c r="K296" i="19" s="1"/>
  <c r="J297" i="19"/>
  <c r="K297" i="19" s="1"/>
  <c r="J401" i="19"/>
  <c r="K401" i="19" s="1"/>
  <c r="J403" i="19"/>
  <c r="K403" i="19" s="1"/>
  <c r="J270" i="19"/>
  <c r="K270" i="19" s="1"/>
  <c r="J352" i="19"/>
  <c r="K352" i="19" s="1"/>
  <c r="J328" i="19"/>
  <c r="K328" i="19" s="1"/>
  <c r="J76" i="19"/>
  <c r="K76" i="19" s="1"/>
  <c r="J75" i="19"/>
  <c r="K75" i="19" s="1"/>
  <c r="J379" i="19"/>
  <c r="K379" i="19" s="1"/>
  <c r="J329" i="19"/>
  <c r="K329" i="19" s="1"/>
  <c r="J192" i="19"/>
  <c r="K192" i="19" s="1"/>
  <c r="J129" i="19"/>
  <c r="K129" i="19" s="1"/>
  <c r="J180" i="19"/>
  <c r="K180" i="19" s="1"/>
  <c r="J380" i="19"/>
  <c r="K380" i="19" s="1"/>
  <c r="J131" i="19"/>
  <c r="K131" i="19" s="1"/>
  <c r="J235" i="19"/>
  <c r="K235" i="19" s="1"/>
  <c r="J237" i="19"/>
  <c r="K237" i="19" s="1"/>
  <c r="J229" i="19"/>
  <c r="K229" i="19" s="1"/>
  <c r="J400" i="19"/>
  <c r="K400" i="19" s="1"/>
  <c r="J333" i="19"/>
  <c r="K333" i="19" s="1"/>
  <c r="J402" i="19"/>
  <c r="K402" i="19" s="1"/>
  <c r="J404" i="19"/>
  <c r="K404" i="19" s="1"/>
  <c r="J170" i="19"/>
  <c r="K170" i="19" s="1"/>
  <c r="J113" i="19"/>
  <c r="K113" i="19" s="1"/>
  <c r="J298" i="19"/>
  <c r="K298" i="19" s="1"/>
  <c r="J299" i="19"/>
  <c r="K299" i="19" s="1"/>
  <c r="J300" i="19"/>
  <c r="K300" i="19" s="1"/>
  <c r="J202" i="19"/>
  <c r="K202" i="19" s="1"/>
  <c r="J206" i="19"/>
  <c r="K206" i="19" s="1"/>
  <c r="J330" i="19"/>
  <c r="K330" i="19" s="1"/>
  <c r="J335" i="19"/>
  <c r="K335" i="19" s="1"/>
  <c r="J307" i="19"/>
  <c r="K307" i="19" s="1"/>
  <c r="J169" i="19"/>
  <c r="K169" i="19" s="1"/>
  <c r="J191" i="19"/>
  <c r="K191" i="19" s="1"/>
  <c r="J347" i="19"/>
  <c r="K347" i="19" s="1"/>
  <c r="J94" i="19"/>
  <c r="K94" i="19" s="1"/>
  <c r="J375" i="19"/>
  <c r="K375" i="19" s="1"/>
  <c r="J200" i="19"/>
  <c r="K200" i="19" s="1"/>
  <c r="J346" i="19"/>
  <c r="K346" i="19" s="1"/>
  <c r="J181" i="19"/>
  <c r="K181" i="19" s="1"/>
  <c r="J171" i="19"/>
  <c r="K171" i="19" s="1"/>
  <c r="J107" i="19"/>
  <c r="K107" i="19" s="1"/>
  <c r="J386" i="19"/>
  <c r="K386" i="19" s="1"/>
  <c r="J207" i="19"/>
  <c r="K207" i="19" s="1"/>
  <c r="J236" i="19"/>
  <c r="K236" i="19" s="1"/>
  <c r="J136" i="19"/>
  <c r="K136" i="19" s="1"/>
  <c r="J387" i="19"/>
  <c r="K387" i="19" s="1"/>
  <c r="J114" i="19"/>
  <c r="K114" i="19" s="1"/>
  <c r="J349" i="19"/>
  <c r="K349" i="19" s="1"/>
  <c r="J14" i="19"/>
  <c r="K14" i="19" s="1"/>
  <c r="J184" i="19"/>
  <c r="K184" i="19" s="1"/>
  <c r="J311" i="19"/>
  <c r="K311" i="19" s="1"/>
  <c r="J376" i="19"/>
  <c r="K376" i="19" s="1"/>
  <c r="J95" i="19"/>
  <c r="K95" i="19" s="1"/>
  <c r="J201" i="19"/>
  <c r="K201" i="19" s="1"/>
  <c r="J309" i="19"/>
  <c r="K309" i="19" s="1"/>
  <c r="J310" i="19"/>
  <c r="K310" i="19" s="1"/>
  <c r="J280" i="19"/>
  <c r="K280" i="19" s="1"/>
  <c r="J15" i="19"/>
  <c r="K15" i="19" s="1"/>
  <c r="J281" i="19"/>
  <c r="K281" i="19" s="1"/>
  <c r="J173" i="19"/>
  <c r="K173" i="19" s="1"/>
  <c r="J172" i="19"/>
  <c r="K172" i="19" s="1"/>
  <c r="J115" i="19"/>
  <c r="K115" i="19" s="1"/>
  <c r="J272" i="19"/>
  <c r="K272" i="19" s="1"/>
  <c r="J273" i="19"/>
  <c r="K273" i="19" s="1"/>
  <c r="J348" i="19"/>
  <c r="K348" i="19" s="1"/>
  <c r="J185" i="19"/>
  <c r="K185" i="19" s="1"/>
  <c r="J361" i="19"/>
  <c r="K361" i="19" s="1"/>
  <c r="J277" i="19"/>
  <c r="K277" i="19" s="1"/>
  <c r="J362" i="19"/>
  <c r="K362" i="19" s="1"/>
  <c r="J193" i="19"/>
  <c r="K193" i="19" s="1"/>
  <c r="J197" i="19"/>
  <c r="K197" i="19" s="1"/>
  <c r="J239" i="19"/>
  <c r="K239" i="19" s="1"/>
  <c r="J363" i="19"/>
  <c r="K363" i="19" s="1"/>
  <c r="J174" i="19"/>
  <c r="K174" i="19" s="1"/>
  <c r="J282" i="19"/>
  <c r="K282" i="19" s="1"/>
  <c r="J283" i="19"/>
  <c r="K283" i="19" s="1"/>
  <c r="J284" i="19"/>
  <c r="K284" i="19" s="1"/>
  <c r="J285" i="19"/>
  <c r="K285" i="19" s="1"/>
  <c r="J286" i="19"/>
  <c r="K286" i="19" s="1"/>
  <c r="J158" i="19"/>
  <c r="K158" i="19" s="1"/>
  <c r="J364" i="19"/>
  <c r="K364" i="19" s="1"/>
  <c r="J130" i="19"/>
  <c r="K130" i="19" s="1"/>
  <c r="J292" i="19"/>
  <c r="K292" i="19" s="1"/>
  <c r="J16" i="19"/>
  <c r="K16" i="19" s="1"/>
  <c r="J186" i="19"/>
  <c r="K186" i="19" s="1"/>
  <c r="J135" i="19"/>
  <c r="K135" i="19" s="1"/>
  <c r="J365" i="19"/>
  <c r="K365" i="19" s="1"/>
  <c r="J354" i="19"/>
  <c r="K354" i="19" s="1"/>
  <c r="J175" i="19"/>
  <c r="K175" i="19" s="1"/>
  <c r="J267" i="19"/>
  <c r="K267" i="19" s="1"/>
  <c r="J268" i="19"/>
  <c r="K268" i="19" s="1"/>
  <c r="J194" i="19"/>
  <c r="K194" i="19" s="1"/>
  <c r="J293" i="19"/>
  <c r="K293" i="19" s="1"/>
  <c r="J294" i="19"/>
  <c r="K294" i="19" s="1"/>
  <c r="J122" i="19"/>
  <c r="K122" i="19" s="1"/>
  <c r="J358" i="19"/>
  <c r="K358" i="19" s="1"/>
  <c r="J187" i="19"/>
  <c r="K187" i="19" s="1"/>
  <c r="J164" i="19"/>
  <c r="K164" i="19" s="1"/>
  <c r="J377" i="19"/>
  <c r="K377" i="19" s="1"/>
  <c r="J355" i="19"/>
  <c r="K355" i="19" s="1"/>
  <c r="J117" i="19"/>
  <c r="K117" i="19" s="1"/>
  <c r="J176" i="19"/>
  <c r="K176" i="19" s="1"/>
  <c r="J359" i="19"/>
  <c r="K359" i="19" s="1"/>
  <c r="J123" i="19"/>
  <c r="K123" i="19" s="1"/>
  <c r="J188" i="19"/>
  <c r="K188" i="19" s="1"/>
  <c r="J195" i="19"/>
  <c r="K195" i="19" s="1"/>
  <c r="J163" i="19"/>
  <c r="K163" i="19" s="1"/>
  <c r="J390" i="19"/>
  <c r="K390" i="19" s="1"/>
  <c r="J165" i="19"/>
  <c r="K165" i="19" s="1"/>
  <c r="J118" i="19"/>
  <c r="K118" i="19" s="1"/>
  <c r="J356" i="19"/>
  <c r="K356" i="19" s="1"/>
  <c r="J269" i="19"/>
  <c r="K269" i="19" s="1"/>
  <c r="J196" i="19"/>
  <c r="K196" i="19" s="1"/>
  <c r="J124" i="19"/>
  <c r="K124" i="19" s="1"/>
  <c r="J213" i="19"/>
  <c r="K213" i="19" s="1"/>
  <c r="J313" i="19"/>
  <c r="K313" i="19" s="1"/>
  <c r="J314" i="19"/>
  <c r="K314" i="19" s="1"/>
  <c r="J315" i="19"/>
  <c r="K315" i="19" s="1"/>
  <c r="J189" i="19"/>
  <c r="K189" i="19" s="1"/>
  <c r="J384" i="19"/>
  <c r="K384" i="19" s="1"/>
  <c r="J199" i="19"/>
  <c r="K199" i="19" s="1"/>
  <c r="J132" i="19"/>
  <c r="K132" i="19" s="1"/>
  <c r="J357" i="19"/>
  <c r="K357" i="19" s="1"/>
  <c r="J353" i="19"/>
  <c r="K353" i="19" s="1"/>
  <c r="J168" i="19"/>
  <c r="K168" i="19" s="1"/>
  <c r="J266" i="19"/>
  <c r="K266" i="19" s="1"/>
  <c r="J388" i="19"/>
  <c r="K388" i="19" s="1"/>
  <c r="J360" i="19"/>
  <c r="K360" i="19" s="1"/>
  <c r="J198" i="19"/>
  <c r="K198" i="19" s="1"/>
  <c r="J119" i="19"/>
  <c r="K119" i="19" s="1"/>
  <c r="J104" i="19"/>
  <c r="K104" i="19" s="1"/>
  <c r="J233" i="19"/>
  <c r="K233" i="19" s="1"/>
  <c r="J105" i="19"/>
  <c r="K105" i="19" s="1"/>
  <c r="J106" i="19"/>
  <c r="K106" i="19" s="1"/>
  <c r="J134" i="19"/>
  <c r="K134" i="19" s="1"/>
  <c r="J389" i="19"/>
  <c r="K389" i="19" s="1"/>
  <c r="J344" i="19"/>
  <c r="K344" i="19" s="1"/>
  <c r="J278" i="19"/>
  <c r="K278" i="19" s="1"/>
  <c r="J120" i="19"/>
  <c r="K120" i="19" s="1"/>
  <c r="J279" i="19"/>
  <c r="K279" i="19" s="1"/>
  <c r="J271" i="19"/>
  <c r="K271" i="19" s="1"/>
  <c r="J385" i="19"/>
  <c r="K385" i="19" s="1"/>
  <c r="J243" i="19"/>
  <c r="K243" i="19" s="1"/>
  <c r="J252" i="19"/>
  <c r="K252" i="19" s="1"/>
  <c r="J203" i="19"/>
  <c r="K203" i="19" s="1"/>
  <c r="J121" i="19"/>
  <c r="K121" i="19" s="1"/>
  <c r="J274" i="19"/>
  <c r="K274" i="19" s="1"/>
  <c r="J275" i="19"/>
  <c r="K275" i="19" s="1"/>
  <c r="J276" i="19"/>
  <c r="K276" i="19" s="1"/>
  <c r="J205" i="19"/>
  <c r="K205" i="19" s="1"/>
  <c r="J160" i="19"/>
  <c r="K160" i="19" s="1"/>
  <c r="J244" i="19"/>
  <c r="K244" i="19" s="1"/>
  <c r="J245" i="19"/>
  <c r="K245" i="19" s="1"/>
  <c r="J204" i="19"/>
  <c r="K204" i="19" s="1"/>
  <c r="J166" i="19"/>
  <c r="K166" i="19" s="1"/>
  <c r="J182" i="19"/>
  <c r="K182" i="19" s="1"/>
  <c r="J167" i="19"/>
  <c r="K167" i="19" s="1"/>
  <c r="J183" i="19"/>
  <c r="K183" i="19" s="1"/>
  <c r="J133" i="19"/>
  <c r="K133" i="19" s="1"/>
  <c r="J322" i="19"/>
  <c r="K322" i="19" s="1"/>
  <c r="J96" i="19"/>
  <c r="K96" i="19" s="1"/>
  <c r="J97" i="19"/>
  <c r="K97" i="19" s="1"/>
  <c r="J248" i="19"/>
  <c r="K248" i="19" s="1"/>
  <c r="J249" i="19"/>
  <c r="K249" i="19" s="1"/>
  <c r="J240" i="19"/>
  <c r="K240" i="19" s="1"/>
  <c r="J323" i="19"/>
  <c r="K323" i="19" s="1"/>
  <c r="J324" i="19"/>
  <c r="K324" i="19" s="1"/>
  <c r="J44" i="19"/>
  <c r="K44" i="19" s="1"/>
  <c r="J45" i="19"/>
  <c r="K45" i="19" s="1"/>
  <c r="J47" i="19"/>
  <c r="K47" i="19" s="1"/>
  <c r="J251" i="19"/>
  <c r="K251" i="19" s="1"/>
  <c r="J99" i="19"/>
  <c r="K99" i="19" s="1"/>
  <c r="J250" i="19"/>
  <c r="K250" i="19" s="1"/>
  <c r="J242" i="19"/>
  <c r="K242" i="19" s="1"/>
  <c r="J46" i="19"/>
  <c r="K46" i="19" s="1"/>
  <c r="J246" i="19"/>
  <c r="K246" i="19" s="1"/>
  <c r="J241" i="19"/>
  <c r="K241" i="19" s="1"/>
  <c r="J247" i="19"/>
  <c r="K247" i="19" s="1"/>
  <c r="J287" i="19"/>
  <c r="K287" i="19" s="1"/>
  <c r="J288" i="19"/>
  <c r="K288" i="19" s="1"/>
  <c r="J291" i="19"/>
  <c r="K291" i="19" s="1"/>
  <c r="J290" i="19"/>
  <c r="K290" i="19" s="1"/>
  <c r="J216" i="19"/>
  <c r="K216" i="19" s="1"/>
  <c r="J217" i="19"/>
  <c r="K217" i="19" s="1"/>
  <c r="J382" i="19"/>
  <c r="K382" i="19" s="1"/>
  <c r="J395" i="19"/>
  <c r="K395" i="19" s="1"/>
  <c r="J289" i="19"/>
  <c r="K289" i="19" s="1"/>
  <c r="J381" i="19"/>
  <c r="K381" i="19" s="1"/>
  <c r="J218" i="19"/>
  <c r="K218" i="19" s="1"/>
  <c r="J219" i="19"/>
  <c r="K219" i="19" s="1"/>
  <c r="J253" i="19"/>
  <c r="K253" i="19" s="1"/>
  <c r="J396" i="19"/>
  <c r="K396" i="19" s="1"/>
  <c r="J262" i="19"/>
  <c r="K262" i="19" s="1"/>
  <c r="J256" i="19"/>
  <c r="K256" i="19" s="1"/>
  <c r="J261" i="19"/>
  <c r="K261" i="19" s="1"/>
  <c r="J260" i="19"/>
  <c r="K260" i="19" s="1"/>
  <c r="J257" i="19"/>
  <c r="K257" i="19" s="1"/>
  <c r="J259" i="19"/>
  <c r="K259" i="19" s="1"/>
  <c r="J258" i="19"/>
  <c r="K258" i="19" s="1"/>
  <c r="J383" i="19"/>
  <c r="K383" i="19" s="1"/>
  <c r="J208" i="19"/>
  <c r="K208" i="19" s="1"/>
  <c r="J210" i="19"/>
  <c r="K210" i="19" s="1"/>
  <c r="J212" i="19"/>
  <c r="K212" i="19" s="1"/>
  <c r="J263" i="19"/>
  <c r="K263" i="19" s="1"/>
  <c r="J209" i="19"/>
  <c r="K209" i="19" s="1"/>
  <c r="J211" i="19"/>
  <c r="K211" i="19" s="1"/>
  <c r="J391" i="19"/>
  <c r="K391" i="19" s="1"/>
  <c r="J98" i="19"/>
  <c r="K98" i="19" s="1"/>
  <c r="J225" i="19"/>
  <c r="F392" i="19"/>
  <c r="F393" i="19"/>
  <c r="F394" i="19"/>
  <c r="F254" i="19"/>
  <c r="F138" i="19"/>
  <c r="F255" i="19"/>
  <c r="F264" i="19"/>
  <c r="F265" i="19"/>
  <c r="F108" i="19"/>
  <c r="F109" i="19"/>
  <c r="F100" i="19"/>
  <c r="F319" i="19"/>
  <c r="F320" i="19"/>
  <c r="F321" i="19"/>
  <c r="F345" i="19"/>
  <c r="F426" i="19"/>
  <c r="F55" i="19"/>
  <c r="F177" i="19"/>
  <c r="F178" i="19"/>
  <c r="F378" i="19"/>
  <c r="E392" i="19"/>
  <c r="E393" i="19"/>
  <c r="E394" i="19"/>
  <c r="E254" i="19"/>
  <c r="E138" i="19"/>
  <c r="E255" i="19"/>
  <c r="E264" i="19"/>
  <c r="E265" i="19"/>
  <c r="E108" i="19"/>
  <c r="E109" i="19"/>
  <c r="E100" i="19"/>
  <c r="E319" i="19"/>
  <c r="E320" i="19"/>
  <c r="E321" i="19"/>
  <c r="E345" i="19"/>
  <c r="E426" i="19"/>
  <c r="E55" i="19"/>
  <c r="E177" i="19"/>
  <c r="E178" i="19"/>
  <c r="E378" i="19"/>
  <c r="D392" i="19"/>
  <c r="D393" i="19"/>
  <c r="D394" i="19"/>
  <c r="D254" i="19"/>
  <c r="D138" i="19"/>
  <c r="D255" i="19"/>
  <c r="D264" i="19"/>
  <c r="D265" i="19"/>
  <c r="D108" i="19"/>
  <c r="D109" i="19"/>
  <c r="D100" i="19"/>
  <c r="D319" i="19"/>
  <c r="D320" i="19"/>
  <c r="D321" i="19"/>
  <c r="D345" i="19"/>
  <c r="D426" i="19"/>
  <c r="D55" i="19"/>
  <c r="D177" i="19"/>
  <c r="D178" i="19"/>
  <c r="D378" i="19"/>
  <c r="F226" i="19"/>
  <c r="F227" i="19"/>
  <c r="F224" i="19"/>
  <c r="F223" i="19"/>
  <c r="F228" i="19"/>
  <c r="F231" i="19"/>
  <c r="F230" i="19"/>
  <c r="F220" i="19"/>
  <c r="F221" i="19"/>
  <c r="F301" i="19"/>
  <c r="F302" i="19"/>
  <c r="F303" i="19"/>
  <c r="F304" i="19"/>
  <c r="F305" i="19"/>
  <c r="F306" i="19"/>
  <c r="F316" i="19"/>
  <c r="F317" i="19"/>
  <c r="F318" i="19"/>
  <c r="F325" i="19"/>
  <c r="F326" i="19"/>
  <c r="F327" i="19"/>
  <c r="F424" i="19"/>
  <c r="F22" i="19"/>
  <c r="F26" i="19"/>
  <c r="F23" i="19"/>
  <c r="F24" i="19"/>
  <c r="F429" i="19"/>
  <c r="F27" i="19"/>
  <c r="F28" i="19"/>
  <c r="F418" i="19"/>
  <c r="F25" i="19"/>
  <c r="F214" i="19"/>
  <c r="F234" i="19"/>
  <c r="F49" i="19"/>
  <c r="F419" i="19"/>
  <c r="F48" i="19"/>
  <c r="F50" i="19"/>
  <c r="F140" i="19"/>
  <c r="F238" i="19"/>
  <c r="F340" i="19"/>
  <c r="F69" i="19"/>
  <c r="F337" i="19"/>
  <c r="F410" i="19"/>
  <c r="F423" i="19"/>
  <c r="F411" i="19"/>
  <c r="F338" i="19"/>
  <c r="F339" i="19"/>
  <c r="F422" i="19"/>
  <c r="F412" i="19"/>
  <c r="F425" i="19"/>
  <c r="F413" i="19"/>
  <c r="F414" i="19"/>
  <c r="F415" i="19"/>
  <c r="F416" i="19"/>
  <c r="F332" i="19"/>
  <c r="F67" i="19"/>
  <c r="F68" i="19"/>
  <c r="F417" i="19"/>
  <c r="F141" i="19"/>
  <c r="F54" i="19"/>
  <c r="F64" i="19"/>
  <c r="F65" i="19"/>
  <c r="F66" i="19"/>
  <c r="F427" i="19"/>
  <c r="F428" i="19"/>
  <c r="F73" i="19"/>
  <c r="F232" i="19"/>
  <c r="F430" i="19"/>
  <c r="F29" i="19"/>
  <c r="F51" i="19"/>
  <c r="F53" i="19"/>
  <c r="F343" i="19"/>
  <c r="F52" i="19"/>
  <c r="F30" i="19"/>
  <c r="F421" i="19"/>
  <c r="F31" i="19"/>
  <c r="F147" i="19"/>
  <c r="F408" i="19"/>
  <c r="F420" i="19"/>
  <c r="F409" i="19"/>
  <c r="F90" i="19"/>
  <c r="F91" i="19"/>
  <c r="F92" i="19"/>
  <c r="F152" i="19"/>
  <c r="F32" i="19"/>
  <c r="F33" i="19"/>
  <c r="F34" i="19"/>
  <c r="F137" i="19"/>
  <c r="F18" i="19"/>
  <c r="F19" i="19"/>
  <c r="F70" i="19"/>
  <c r="F405" i="19"/>
  <c r="F86" i="19"/>
  <c r="F87" i="19"/>
  <c r="F88" i="19"/>
  <c r="F89" i="19"/>
  <c r="F59" i="19"/>
  <c r="F127" i="19"/>
  <c r="F406" i="19"/>
  <c r="F72" i="19"/>
  <c r="F20" i="19"/>
  <c r="F21" i="19"/>
  <c r="F71" i="19"/>
  <c r="F85" i="19"/>
  <c r="F407" i="19"/>
  <c r="F331" i="19"/>
  <c r="F37" i="19"/>
  <c r="F38" i="19"/>
  <c r="F39" i="19"/>
  <c r="F143" i="19"/>
  <c r="F84" i="19"/>
  <c r="F56" i="19"/>
  <c r="F159" i="19"/>
  <c r="F139" i="19"/>
  <c r="F144" i="19"/>
  <c r="F142" i="19"/>
  <c r="F57" i="19"/>
  <c r="F215" i="19"/>
  <c r="F150" i="19"/>
  <c r="F151" i="19"/>
  <c r="F58" i="19"/>
  <c r="F78" i="19"/>
  <c r="F77" i="19"/>
  <c r="F79" i="19"/>
  <c r="F81" i="19"/>
  <c r="F82" i="19"/>
  <c r="F222" i="19"/>
  <c r="F80" i="19"/>
  <c r="F83" i="19"/>
  <c r="F341" i="19"/>
  <c r="F146" i="19"/>
  <c r="F60" i="19"/>
  <c r="F62" i="19"/>
  <c r="F61" i="19"/>
  <c r="F161" i="19"/>
  <c r="F371" i="19"/>
  <c r="F36" i="19"/>
  <c r="F63" i="19"/>
  <c r="F17" i="19"/>
  <c r="F153" i="19"/>
  <c r="F145" i="19"/>
  <c r="F35" i="19"/>
  <c r="F149" i="19"/>
  <c r="F351" i="19"/>
  <c r="F399" i="19"/>
  <c r="F110" i="19"/>
  <c r="F372" i="19"/>
  <c r="F373" i="19"/>
  <c r="F374" i="19"/>
  <c r="F40" i="19"/>
  <c r="F42" i="19"/>
  <c r="F342" i="19"/>
  <c r="F154" i="19"/>
  <c r="F368" i="19"/>
  <c r="F148" i="19"/>
  <c r="F162" i="19"/>
  <c r="F308" i="19"/>
  <c r="F116" i="19"/>
  <c r="F101" i="19"/>
  <c r="F336" i="19"/>
  <c r="F102" i="19"/>
  <c r="F103" i="19"/>
  <c r="F43" i="19"/>
  <c r="F369" i="19"/>
  <c r="F128" i="19"/>
  <c r="F41" i="19"/>
  <c r="F370" i="19"/>
  <c r="F125" i="19"/>
  <c r="F350" i="19"/>
  <c r="F366" i="19"/>
  <c r="F111" i="19"/>
  <c r="F157" i="19"/>
  <c r="F93" i="19"/>
  <c r="F74" i="19"/>
  <c r="F156" i="19"/>
  <c r="F334" i="19"/>
  <c r="F295" i="19"/>
  <c r="F190" i="19"/>
  <c r="F397" i="19"/>
  <c r="F398" i="19"/>
  <c r="F126" i="19"/>
  <c r="F312" i="19"/>
  <c r="F367" i="19"/>
  <c r="F155" i="19"/>
  <c r="F112" i="19"/>
  <c r="F179" i="19"/>
  <c r="F296" i="19"/>
  <c r="F297" i="19"/>
  <c r="F401" i="19"/>
  <c r="F403" i="19"/>
  <c r="F270" i="19"/>
  <c r="F352" i="19"/>
  <c r="F328" i="19"/>
  <c r="F76" i="19"/>
  <c r="F75" i="19"/>
  <c r="F379" i="19"/>
  <c r="F329" i="19"/>
  <c r="F192" i="19"/>
  <c r="F129" i="19"/>
  <c r="F180" i="19"/>
  <c r="F380" i="19"/>
  <c r="F131" i="19"/>
  <c r="F235" i="19"/>
  <c r="F237" i="19"/>
  <c r="F229" i="19"/>
  <c r="F400" i="19"/>
  <c r="F333" i="19"/>
  <c r="F402" i="19"/>
  <c r="F404" i="19"/>
  <c r="F170" i="19"/>
  <c r="F113" i="19"/>
  <c r="F298" i="19"/>
  <c r="F299" i="19"/>
  <c r="F300" i="19"/>
  <c r="F202" i="19"/>
  <c r="F206" i="19"/>
  <c r="F330" i="19"/>
  <c r="F335" i="19"/>
  <c r="F307" i="19"/>
  <c r="F169" i="19"/>
  <c r="F191" i="19"/>
  <c r="F347" i="19"/>
  <c r="F94" i="19"/>
  <c r="F375" i="19"/>
  <c r="F200" i="19"/>
  <c r="F346" i="19"/>
  <c r="F181" i="19"/>
  <c r="F171" i="19"/>
  <c r="F107" i="19"/>
  <c r="F386" i="19"/>
  <c r="F207" i="19"/>
  <c r="F236" i="19"/>
  <c r="F136" i="19"/>
  <c r="F387" i="19"/>
  <c r="F114" i="19"/>
  <c r="F349" i="19"/>
  <c r="F14" i="19"/>
  <c r="F184" i="19"/>
  <c r="F311" i="19"/>
  <c r="F376" i="19"/>
  <c r="F95" i="19"/>
  <c r="F201" i="19"/>
  <c r="F309" i="19"/>
  <c r="F310" i="19"/>
  <c r="F280" i="19"/>
  <c r="F15" i="19"/>
  <c r="F281" i="19"/>
  <c r="F173" i="19"/>
  <c r="F172" i="19"/>
  <c r="F115" i="19"/>
  <c r="F272" i="19"/>
  <c r="F273" i="19"/>
  <c r="F348" i="19"/>
  <c r="F185" i="19"/>
  <c r="F361" i="19"/>
  <c r="F277" i="19"/>
  <c r="F362" i="19"/>
  <c r="F193" i="19"/>
  <c r="F197" i="19"/>
  <c r="F239" i="19"/>
  <c r="F363" i="19"/>
  <c r="F174" i="19"/>
  <c r="F282" i="19"/>
  <c r="F283" i="19"/>
  <c r="F284" i="19"/>
  <c r="F285" i="19"/>
  <c r="F286" i="19"/>
  <c r="F158" i="19"/>
  <c r="F364" i="19"/>
  <c r="F130" i="19"/>
  <c r="F292" i="19"/>
  <c r="F16" i="19"/>
  <c r="F186" i="19"/>
  <c r="F135" i="19"/>
  <c r="F365" i="19"/>
  <c r="F354" i="19"/>
  <c r="F175" i="19"/>
  <c r="F267" i="19"/>
  <c r="F268" i="19"/>
  <c r="F194" i="19"/>
  <c r="F293" i="19"/>
  <c r="F294" i="19"/>
  <c r="F122" i="19"/>
  <c r="F358" i="19"/>
  <c r="F187" i="19"/>
  <c r="F164" i="19"/>
  <c r="F377" i="19"/>
  <c r="F355" i="19"/>
  <c r="F117" i="19"/>
  <c r="F176" i="19"/>
  <c r="F359" i="19"/>
  <c r="F123" i="19"/>
  <c r="F188" i="19"/>
  <c r="F195" i="19"/>
  <c r="F163" i="19"/>
  <c r="F390" i="19"/>
  <c r="F165" i="19"/>
  <c r="F118" i="19"/>
  <c r="F356" i="19"/>
  <c r="F269" i="19"/>
  <c r="F196" i="19"/>
  <c r="F124" i="19"/>
  <c r="F213" i="19"/>
  <c r="F313" i="19"/>
  <c r="F314" i="19"/>
  <c r="F315" i="19"/>
  <c r="F189" i="19"/>
  <c r="F384" i="19"/>
  <c r="F199" i="19"/>
  <c r="F132" i="19"/>
  <c r="F357" i="19"/>
  <c r="F353" i="19"/>
  <c r="F168" i="19"/>
  <c r="F266" i="19"/>
  <c r="F388" i="19"/>
  <c r="F360" i="19"/>
  <c r="F198" i="19"/>
  <c r="F119" i="19"/>
  <c r="F104" i="19"/>
  <c r="F233" i="19"/>
  <c r="F105" i="19"/>
  <c r="F106" i="19"/>
  <c r="F134" i="19"/>
  <c r="F389" i="19"/>
  <c r="F344" i="19"/>
  <c r="F278" i="19"/>
  <c r="F120" i="19"/>
  <c r="F279" i="19"/>
  <c r="F271" i="19"/>
  <c r="F385" i="19"/>
  <c r="F243" i="19"/>
  <c r="F252" i="19"/>
  <c r="F203" i="19"/>
  <c r="F121" i="19"/>
  <c r="F274" i="19"/>
  <c r="F275" i="19"/>
  <c r="F276" i="19"/>
  <c r="F205" i="19"/>
  <c r="F160" i="19"/>
  <c r="F244" i="19"/>
  <c r="F245" i="19"/>
  <c r="F204" i="19"/>
  <c r="F166" i="19"/>
  <c r="F182" i="19"/>
  <c r="F167" i="19"/>
  <c r="F183" i="19"/>
  <c r="F133" i="19"/>
  <c r="F322" i="19"/>
  <c r="F96" i="19"/>
  <c r="F97" i="19"/>
  <c r="F248" i="19"/>
  <c r="F249" i="19"/>
  <c r="F240" i="19"/>
  <c r="F323" i="19"/>
  <c r="F324" i="19"/>
  <c r="F44" i="19"/>
  <c r="F45" i="19"/>
  <c r="F47" i="19"/>
  <c r="F251" i="19"/>
  <c r="F99" i="19"/>
  <c r="F250" i="19"/>
  <c r="F242" i="19"/>
  <c r="F46" i="19"/>
  <c r="F246" i="19"/>
  <c r="F241" i="19"/>
  <c r="F247" i="19"/>
  <c r="F287" i="19"/>
  <c r="F288" i="19"/>
  <c r="F291" i="19"/>
  <c r="F290" i="19"/>
  <c r="F216" i="19"/>
  <c r="F217" i="19"/>
  <c r="F382" i="19"/>
  <c r="F395" i="19"/>
  <c r="F289" i="19"/>
  <c r="F381" i="19"/>
  <c r="F218" i="19"/>
  <c r="F219" i="19"/>
  <c r="F253" i="19"/>
  <c r="F396" i="19"/>
  <c r="F262" i="19"/>
  <c r="F256" i="19"/>
  <c r="F261" i="19"/>
  <c r="F260" i="19"/>
  <c r="F257" i="19"/>
  <c r="F259" i="19"/>
  <c r="F258" i="19"/>
  <c r="F383" i="19"/>
  <c r="F208" i="19"/>
  <c r="F210" i="19"/>
  <c r="F212" i="19"/>
  <c r="F263" i="19"/>
  <c r="F209" i="19"/>
  <c r="F211" i="19"/>
  <c r="F391" i="19"/>
  <c r="F98" i="19"/>
  <c r="F225" i="19"/>
  <c r="E226" i="19"/>
  <c r="E227" i="19"/>
  <c r="E224" i="19"/>
  <c r="E223" i="19"/>
  <c r="E228" i="19"/>
  <c r="E231" i="19"/>
  <c r="E230" i="19"/>
  <c r="E220" i="19"/>
  <c r="E221" i="19"/>
  <c r="E301" i="19"/>
  <c r="E302" i="19"/>
  <c r="E303" i="19"/>
  <c r="E304" i="19"/>
  <c r="E305" i="19"/>
  <c r="E306" i="19"/>
  <c r="E316" i="19"/>
  <c r="E317" i="19"/>
  <c r="E318" i="19"/>
  <c r="E325" i="19"/>
  <c r="E326" i="19"/>
  <c r="E327" i="19"/>
  <c r="E424" i="19"/>
  <c r="E22" i="19"/>
  <c r="E26" i="19"/>
  <c r="E23" i="19"/>
  <c r="E24" i="19"/>
  <c r="E429" i="19"/>
  <c r="E27" i="19"/>
  <c r="E28" i="19"/>
  <c r="E418" i="19"/>
  <c r="E25" i="19"/>
  <c r="E214" i="19"/>
  <c r="E234" i="19"/>
  <c r="E49" i="19"/>
  <c r="E419" i="19"/>
  <c r="E48" i="19"/>
  <c r="E50" i="19"/>
  <c r="E140" i="19"/>
  <c r="E238" i="19"/>
  <c r="E340" i="19"/>
  <c r="E69" i="19"/>
  <c r="E337" i="19"/>
  <c r="E410" i="19"/>
  <c r="E423" i="19"/>
  <c r="E411" i="19"/>
  <c r="E338" i="19"/>
  <c r="E339" i="19"/>
  <c r="E422" i="19"/>
  <c r="E412" i="19"/>
  <c r="E425" i="19"/>
  <c r="E413" i="19"/>
  <c r="E414" i="19"/>
  <c r="E415" i="19"/>
  <c r="E416" i="19"/>
  <c r="E332" i="19"/>
  <c r="E67" i="19"/>
  <c r="E68" i="19"/>
  <c r="E417" i="19"/>
  <c r="E141" i="19"/>
  <c r="E54" i="19"/>
  <c r="E64" i="19"/>
  <c r="E65" i="19"/>
  <c r="E66" i="19"/>
  <c r="E427" i="19"/>
  <c r="E428" i="19"/>
  <c r="E73" i="19"/>
  <c r="E232" i="19"/>
  <c r="E430" i="19"/>
  <c r="E29" i="19"/>
  <c r="E51" i="19"/>
  <c r="E53" i="19"/>
  <c r="E343" i="19"/>
  <c r="E52" i="19"/>
  <c r="E30" i="19"/>
  <c r="E421" i="19"/>
  <c r="E31" i="19"/>
  <c r="E147" i="19"/>
  <c r="E408" i="19"/>
  <c r="E420" i="19"/>
  <c r="E409" i="19"/>
  <c r="E90" i="19"/>
  <c r="E91" i="19"/>
  <c r="E92" i="19"/>
  <c r="E152" i="19"/>
  <c r="E32" i="19"/>
  <c r="E33" i="19"/>
  <c r="E34" i="19"/>
  <c r="E137" i="19"/>
  <c r="E18" i="19"/>
  <c r="E19" i="19"/>
  <c r="E70" i="19"/>
  <c r="E405" i="19"/>
  <c r="E86" i="19"/>
  <c r="E87" i="19"/>
  <c r="E88" i="19"/>
  <c r="E89" i="19"/>
  <c r="E59" i="19"/>
  <c r="E127" i="19"/>
  <c r="E406" i="19"/>
  <c r="E72" i="19"/>
  <c r="E20" i="19"/>
  <c r="E21" i="19"/>
  <c r="E71" i="19"/>
  <c r="E85" i="19"/>
  <c r="E407" i="19"/>
  <c r="E331" i="19"/>
  <c r="E37" i="19"/>
  <c r="E38" i="19"/>
  <c r="E39" i="19"/>
  <c r="E143" i="19"/>
  <c r="E84" i="19"/>
  <c r="E56" i="19"/>
  <c r="E159" i="19"/>
  <c r="E139" i="19"/>
  <c r="E144" i="19"/>
  <c r="E142" i="19"/>
  <c r="E57" i="19"/>
  <c r="E215" i="19"/>
  <c r="E150" i="19"/>
  <c r="E151" i="19"/>
  <c r="E58" i="19"/>
  <c r="E78" i="19"/>
  <c r="E77" i="19"/>
  <c r="E79" i="19"/>
  <c r="E81" i="19"/>
  <c r="E82" i="19"/>
  <c r="E222" i="19"/>
  <c r="E80" i="19"/>
  <c r="E83" i="19"/>
  <c r="E341" i="19"/>
  <c r="E146" i="19"/>
  <c r="E60" i="19"/>
  <c r="E62" i="19"/>
  <c r="E61" i="19"/>
  <c r="E161" i="19"/>
  <c r="E371" i="19"/>
  <c r="E36" i="19"/>
  <c r="E63" i="19"/>
  <c r="E17" i="19"/>
  <c r="E153" i="19"/>
  <c r="E145" i="19"/>
  <c r="E35" i="19"/>
  <c r="E149" i="19"/>
  <c r="E351" i="19"/>
  <c r="E399" i="19"/>
  <c r="E110" i="19"/>
  <c r="E372" i="19"/>
  <c r="E373" i="19"/>
  <c r="E374" i="19"/>
  <c r="E40" i="19"/>
  <c r="E42" i="19"/>
  <c r="E342" i="19"/>
  <c r="E154" i="19"/>
  <c r="E368" i="19"/>
  <c r="E148" i="19"/>
  <c r="E162" i="19"/>
  <c r="E308" i="19"/>
  <c r="E116" i="19"/>
  <c r="E101" i="19"/>
  <c r="E336" i="19"/>
  <c r="E102" i="19"/>
  <c r="E103" i="19"/>
  <c r="E43" i="19"/>
  <c r="E369" i="19"/>
  <c r="E128" i="19"/>
  <c r="E41" i="19"/>
  <c r="E370" i="19"/>
  <c r="E125" i="19"/>
  <c r="E350" i="19"/>
  <c r="E366" i="19"/>
  <c r="E111" i="19"/>
  <c r="E157" i="19"/>
  <c r="E93" i="19"/>
  <c r="E74" i="19"/>
  <c r="E156" i="19"/>
  <c r="E334" i="19"/>
  <c r="E295" i="19"/>
  <c r="E190" i="19"/>
  <c r="E397" i="19"/>
  <c r="E398" i="19"/>
  <c r="E126" i="19"/>
  <c r="E312" i="19"/>
  <c r="E367" i="19"/>
  <c r="E155" i="19"/>
  <c r="E112" i="19"/>
  <c r="E179" i="19"/>
  <c r="E296" i="19"/>
  <c r="E297" i="19"/>
  <c r="E401" i="19"/>
  <c r="E403" i="19"/>
  <c r="E270" i="19"/>
  <c r="E352" i="19"/>
  <c r="E328" i="19"/>
  <c r="E76" i="19"/>
  <c r="E75" i="19"/>
  <c r="E379" i="19"/>
  <c r="E329" i="19"/>
  <c r="E192" i="19"/>
  <c r="E129" i="19"/>
  <c r="E180" i="19"/>
  <c r="E380" i="19"/>
  <c r="E131" i="19"/>
  <c r="E235" i="19"/>
  <c r="E237" i="19"/>
  <c r="E229" i="19"/>
  <c r="E400" i="19"/>
  <c r="E333" i="19"/>
  <c r="E402" i="19"/>
  <c r="E404" i="19"/>
  <c r="E170" i="19"/>
  <c r="E113" i="19"/>
  <c r="E298" i="19"/>
  <c r="E299" i="19"/>
  <c r="E300" i="19"/>
  <c r="E202" i="19"/>
  <c r="E206" i="19"/>
  <c r="E330" i="19"/>
  <c r="E335" i="19"/>
  <c r="E307" i="19"/>
  <c r="E169" i="19"/>
  <c r="E191" i="19"/>
  <c r="E347" i="19"/>
  <c r="E94" i="19"/>
  <c r="E375" i="19"/>
  <c r="E200" i="19"/>
  <c r="E346" i="19"/>
  <c r="E181" i="19"/>
  <c r="E171" i="19"/>
  <c r="E107" i="19"/>
  <c r="E386" i="19"/>
  <c r="E207" i="19"/>
  <c r="E236" i="19"/>
  <c r="E136" i="19"/>
  <c r="E387" i="19"/>
  <c r="E114" i="19"/>
  <c r="E349" i="19"/>
  <c r="E14" i="19"/>
  <c r="E184" i="19"/>
  <c r="E311" i="19"/>
  <c r="E376" i="19"/>
  <c r="E95" i="19"/>
  <c r="E201" i="19"/>
  <c r="E309" i="19"/>
  <c r="E310" i="19"/>
  <c r="E280" i="19"/>
  <c r="E15" i="19"/>
  <c r="E281" i="19"/>
  <c r="E173" i="19"/>
  <c r="E172" i="19"/>
  <c r="E115" i="19"/>
  <c r="E272" i="19"/>
  <c r="E273" i="19"/>
  <c r="E348" i="19"/>
  <c r="E185" i="19"/>
  <c r="E361" i="19"/>
  <c r="E277" i="19"/>
  <c r="E362" i="19"/>
  <c r="E193" i="19"/>
  <c r="E197" i="19"/>
  <c r="E239" i="19"/>
  <c r="E363" i="19"/>
  <c r="E174" i="19"/>
  <c r="E282" i="19"/>
  <c r="E283" i="19"/>
  <c r="E284" i="19"/>
  <c r="E285" i="19"/>
  <c r="E286" i="19"/>
  <c r="E158" i="19"/>
  <c r="E364" i="19"/>
  <c r="E130" i="19"/>
  <c r="E292" i="19"/>
  <c r="E16" i="19"/>
  <c r="E186" i="19"/>
  <c r="E135" i="19"/>
  <c r="E365" i="19"/>
  <c r="E354" i="19"/>
  <c r="E175" i="19"/>
  <c r="E267" i="19"/>
  <c r="E268" i="19"/>
  <c r="E194" i="19"/>
  <c r="E293" i="19"/>
  <c r="E294" i="19"/>
  <c r="E122" i="19"/>
  <c r="E358" i="19"/>
  <c r="E187" i="19"/>
  <c r="E164" i="19"/>
  <c r="E377" i="19"/>
  <c r="E355" i="19"/>
  <c r="E117" i="19"/>
  <c r="E176" i="19"/>
  <c r="E359" i="19"/>
  <c r="E123" i="19"/>
  <c r="E188" i="19"/>
  <c r="E195" i="19"/>
  <c r="E163" i="19"/>
  <c r="E390" i="19"/>
  <c r="E165" i="19"/>
  <c r="E118" i="19"/>
  <c r="E356" i="19"/>
  <c r="E269" i="19"/>
  <c r="E196" i="19"/>
  <c r="E124" i="19"/>
  <c r="E213" i="19"/>
  <c r="E313" i="19"/>
  <c r="E314" i="19"/>
  <c r="E315" i="19"/>
  <c r="E189" i="19"/>
  <c r="E384" i="19"/>
  <c r="E199" i="19"/>
  <c r="E132" i="19"/>
  <c r="E357" i="19"/>
  <c r="E353" i="19"/>
  <c r="E168" i="19"/>
  <c r="E266" i="19"/>
  <c r="E388" i="19"/>
  <c r="E360" i="19"/>
  <c r="E198" i="19"/>
  <c r="E119" i="19"/>
  <c r="E104" i="19"/>
  <c r="E233" i="19"/>
  <c r="E105" i="19"/>
  <c r="E106" i="19"/>
  <c r="E134" i="19"/>
  <c r="E389" i="19"/>
  <c r="E344" i="19"/>
  <c r="E278" i="19"/>
  <c r="E120" i="19"/>
  <c r="E279" i="19"/>
  <c r="E271" i="19"/>
  <c r="E385" i="19"/>
  <c r="E243" i="19"/>
  <c r="E252" i="19"/>
  <c r="E203" i="19"/>
  <c r="E121" i="19"/>
  <c r="E274" i="19"/>
  <c r="E275" i="19"/>
  <c r="E276" i="19"/>
  <c r="E205" i="19"/>
  <c r="E160" i="19"/>
  <c r="E244" i="19"/>
  <c r="E245" i="19"/>
  <c r="E204" i="19"/>
  <c r="E166" i="19"/>
  <c r="E182" i="19"/>
  <c r="E167" i="19"/>
  <c r="E183" i="19"/>
  <c r="E133" i="19"/>
  <c r="E322" i="19"/>
  <c r="E96" i="19"/>
  <c r="E97" i="19"/>
  <c r="E248" i="19"/>
  <c r="E249" i="19"/>
  <c r="E240" i="19"/>
  <c r="E323" i="19"/>
  <c r="E324" i="19"/>
  <c r="E44" i="19"/>
  <c r="E45" i="19"/>
  <c r="E47" i="19"/>
  <c r="E251" i="19"/>
  <c r="E99" i="19"/>
  <c r="E250" i="19"/>
  <c r="E242" i="19"/>
  <c r="E46" i="19"/>
  <c r="E246" i="19"/>
  <c r="E241" i="19"/>
  <c r="E247" i="19"/>
  <c r="E287" i="19"/>
  <c r="E288" i="19"/>
  <c r="E291" i="19"/>
  <c r="E290" i="19"/>
  <c r="E216" i="19"/>
  <c r="E217" i="19"/>
  <c r="E382" i="19"/>
  <c r="E395" i="19"/>
  <c r="E289" i="19"/>
  <c r="E381" i="19"/>
  <c r="E218" i="19"/>
  <c r="E219" i="19"/>
  <c r="E253" i="19"/>
  <c r="E396" i="19"/>
  <c r="E262" i="19"/>
  <c r="E256" i="19"/>
  <c r="E261" i="19"/>
  <c r="E260" i="19"/>
  <c r="E257" i="19"/>
  <c r="E259" i="19"/>
  <c r="E258" i="19"/>
  <c r="E383" i="19"/>
  <c r="E208" i="19"/>
  <c r="E210" i="19"/>
  <c r="E212" i="19"/>
  <c r="E263" i="19"/>
  <c r="E209" i="19"/>
  <c r="E211" i="19"/>
  <c r="E391" i="19"/>
  <c r="E98" i="19"/>
  <c r="E225" i="19"/>
  <c r="D226" i="19"/>
  <c r="D227" i="19"/>
  <c r="D224" i="19"/>
  <c r="D223" i="19"/>
  <c r="D228" i="19"/>
  <c r="D231" i="19"/>
  <c r="D230" i="19"/>
  <c r="D220" i="19"/>
  <c r="D221" i="19"/>
  <c r="D301" i="19"/>
  <c r="D302" i="19"/>
  <c r="D303" i="19"/>
  <c r="D304" i="19"/>
  <c r="D305" i="19"/>
  <c r="D306" i="19"/>
  <c r="D316" i="19"/>
  <c r="D317" i="19"/>
  <c r="D318" i="19"/>
  <c r="D325" i="19"/>
  <c r="D326" i="19"/>
  <c r="D327" i="19"/>
  <c r="D424" i="19"/>
  <c r="D22" i="19"/>
  <c r="D26" i="19"/>
  <c r="D23" i="19"/>
  <c r="D24" i="19"/>
  <c r="D429" i="19"/>
  <c r="D27" i="19"/>
  <c r="D28" i="19"/>
  <c r="D418" i="19"/>
  <c r="D25" i="19"/>
  <c r="D214" i="19"/>
  <c r="D234" i="19"/>
  <c r="D49" i="19"/>
  <c r="D419" i="19"/>
  <c r="D48" i="19"/>
  <c r="D50" i="19"/>
  <c r="D140" i="19"/>
  <c r="D238" i="19"/>
  <c r="D340" i="19"/>
  <c r="D69" i="19"/>
  <c r="D337" i="19"/>
  <c r="D410" i="19"/>
  <c r="D423" i="19"/>
  <c r="D411" i="19"/>
  <c r="D338" i="19"/>
  <c r="D339" i="19"/>
  <c r="D422" i="19"/>
  <c r="D412" i="19"/>
  <c r="D425" i="19"/>
  <c r="D413" i="19"/>
  <c r="D414" i="19"/>
  <c r="D415" i="19"/>
  <c r="D416" i="19"/>
  <c r="D332" i="19"/>
  <c r="D67" i="19"/>
  <c r="D68" i="19"/>
  <c r="D417" i="19"/>
  <c r="D141" i="19"/>
  <c r="D54" i="19"/>
  <c r="D64" i="19"/>
  <c r="D65" i="19"/>
  <c r="D66" i="19"/>
  <c r="D427" i="19"/>
  <c r="D428" i="19"/>
  <c r="D73" i="19"/>
  <c r="D232" i="19"/>
  <c r="D430" i="19"/>
  <c r="D29" i="19"/>
  <c r="D51" i="19"/>
  <c r="D53" i="19"/>
  <c r="D343" i="19"/>
  <c r="D52" i="19"/>
  <c r="D30" i="19"/>
  <c r="D421" i="19"/>
  <c r="D31" i="19"/>
  <c r="D147" i="19"/>
  <c r="D408" i="19"/>
  <c r="D420" i="19"/>
  <c r="D409" i="19"/>
  <c r="D90" i="19"/>
  <c r="D91" i="19"/>
  <c r="D92" i="19"/>
  <c r="D152" i="19"/>
  <c r="D32" i="19"/>
  <c r="D33" i="19"/>
  <c r="D34" i="19"/>
  <c r="D137" i="19"/>
  <c r="D18" i="19"/>
  <c r="D19" i="19"/>
  <c r="D70" i="19"/>
  <c r="D405" i="19"/>
  <c r="D86" i="19"/>
  <c r="D87" i="19"/>
  <c r="D88" i="19"/>
  <c r="D89" i="19"/>
  <c r="D59" i="19"/>
  <c r="D127" i="19"/>
  <c r="D406" i="19"/>
  <c r="D72" i="19"/>
  <c r="D20" i="19"/>
  <c r="D21" i="19"/>
  <c r="D71" i="19"/>
  <c r="D85" i="19"/>
  <c r="D407" i="19"/>
  <c r="D331" i="19"/>
  <c r="D37" i="19"/>
  <c r="D38" i="19"/>
  <c r="D39" i="19"/>
  <c r="D143" i="19"/>
  <c r="D84" i="19"/>
  <c r="D56" i="19"/>
  <c r="D159" i="19"/>
  <c r="D139" i="19"/>
  <c r="D144" i="19"/>
  <c r="D142" i="19"/>
  <c r="D57" i="19"/>
  <c r="D215" i="19"/>
  <c r="D150" i="19"/>
  <c r="D151" i="19"/>
  <c r="D58" i="19"/>
  <c r="D78" i="19"/>
  <c r="D77" i="19"/>
  <c r="D79" i="19"/>
  <c r="D81" i="19"/>
  <c r="D82" i="19"/>
  <c r="D222" i="19"/>
  <c r="D80" i="19"/>
  <c r="D83" i="19"/>
  <c r="D341" i="19"/>
  <c r="D146" i="19"/>
  <c r="D60" i="19"/>
  <c r="D62" i="19"/>
  <c r="D61" i="19"/>
  <c r="D161" i="19"/>
  <c r="D371" i="19"/>
  <c r="D36" i="19"/>
  <c r="D63" i="19"/>
  <c r="D17" i="19"/>
  <c r="D153" i="19"/>
  <c r="D145" i="19"/>
  <c r="D35" i="19"/>
  <c r="D149" i="19"/>
  <c r="D351" i="19"/>
  <c r="D399" i="19"/>
  <c r="D110" i="19"/>
  <c r="D372" i="19"/>
  <c r="D373" i="19"/>
  <c r="D374" i="19"/>
  <c r="D40" i="19"/>
  <c r="D42" i="19"/>
  <c r="D342" i="19"/>
  <c r="D154" i="19"/>
  <c r="D368" i="19"/>
  <c r="D148" i="19"/>
  <c r="D162" i="19"/>
  <c r="D308" i="19"/>
  <c r="D116" i="19"/>
  <c r="D101" i="19"/>
  <c r="D336" i="19"/>
  <c r="D102" i="19"/>
  <c r="D103" i="19"/>
  <c r="D43" i="19"/>
  <c r="D369" i="19"/>
  <c r="D128" i="19"/>
  <c r="D41" i="19"/>
  <c r="D370" i="19"/>
  <c r="D125" i="19"/>
  <c r="D350" i="19"/>
  <c r="D366" i="19"/>
  <c r="D111" i="19"/>
  <c r="D157" i="19"/>
  <c r="D93" i="19"/>
  <c r="D74" i="19"/>
  <c r="D156" i="19"/>
  <c r="D334" i="19"/>
  <c r="D295" i="19"/>
  <c r="D190" i="19"/>
  <c r="D397" i="19"/>
  <c r="D398" i="19"/>
  <c r="D126" i="19"/>
  <c r="D312" i="19"/>
  <c r="D367" i="19"/>
  <c r="D155" i="19"/>
  <c r="D112" i="19"/>
  <c r="D179" i="19"/>
  <c r="D296" i="19"/>
  <c r="D297" i="19"/>
  <c r="D401" i="19"/>
  <c r="D403" i="19"/>
  <c r="D270" i="19"/>
  <c r="D352" i="19"/>
  <c r="D328" i="19"/>
  <c r="D76" i="19"/>
  <c r="D75" i="19"/>
  <c r="D379" i="19"/>
  <c r="D329" i="19"/>
  <c r="D192" i="19"/>
  <c r="D129" i="19"/>
  <c r="D180" i="19"/>
  <c r="D380" i="19"/>
  <c r="D131" i="19"/>
  <c r="D235" i="19"/>
  <c r="D237" i="19"/>
  <c r="D229" i="19"/>
  <c r="D400" i="19"/>
  <c r="D333" i="19"/>
  <c r="D402" i="19"/>
  <c r="D404" i="19"/>
  <c r="D170" i="19"/>
  <c r="D113" i="19"/>
  <c r="D298" i="19"/>
  <c r="D299" i="19"/>
  <c r="D300" i="19"/>
  <c r="D202" i="19"/>
  <c r="D206" i="19"/>
  <c r="D330" i="19"/>
  <c r="D335" i="19"/>
  <c r="D307" i="19"/>
  <c r="D169" i="19"/>
  <c r="D191" i="19"/>
  <c r="D347" i="19"/>
  <c r="D94" i="19"/>
  <c r="D375" i="19"/>
  <c r="D200" i="19"/>
  <c r="D346" i="19"/>
  <c r="D181" i="19"/>
  <c r="D171" i="19"/>
  <c r="D107" i="19"/>
  <c r="D386" i="19"/>
  <c r="D207" i="19"/>
  <c r="D236" i="19"/>
  <c r="D136" i="19"/>
  <c r="D387" i="19"/>
  <c r="D114" i="19"/>
  <c r="D349" i="19"/>
  <c r="D14" i="19"/>
  <c r="D184" i="19"/>
  <c r="D311" i="19"/>
  <c r="D376" i="19"/>
  <c r="D95" i="19"/>
  <c r="D201" i="19"/>
  <c r="D309" i="19"/>
  <c r="D310" i="19"/>
  <c r="D280" i="19"/>
  <c r="D15" i="19"/>
  <c r="D281" i="19"/>
  <c r="D173" i="19"/>
  <c r="D172" i="19"/>
  <c r="D115" i="19"/>
  <c r="D272" i="19"/>
  <c r="D273" i="19"/>
  <c r="D348" i="19"/>
  <c r="D185" i="19"/>
  <c r="D361" i="19"/>
  <c r="D277" i="19"/>
  <c r="D362" i="19"/>
  <c r="D193" i="19"/>
  <c r="D197" i="19"/>
  <c r="D239" i="19"/>
  <c r="D363" i="19"/>
  <c r="D174" i="19"/>
  <c r="D282" i="19"/>
  <c r="D283" i="19"/>
  <c r="D284" i="19"/>
  <c r="D285" i="19"/>
  <c r="D286" i="19"/>
  <c r="D158" i="19"/>
  <c r="D364" i="19"/>
  <c r="D130" i="19"/>
  <c r="D292" i="19"/>
  <c r="D16" i="19"/>
  <c r="D186" i="19"/>
  <c r="D135" i="19"/>
  <c r="D365" i="19"/>
  <c r="D354" i="19"/>
  <c r="D175" i="19"/>
  <c r="D267" i="19"/>
  <c r="D268" i="19"/>
  <c r="D194" i="19"/>
  <c r="D293" i="19"/>
  <c r="D294" i="19"/>
  <c r="D122" i="19"/>
  <c r="D358" i="19"/>
  <c r="D187" i="19"/>
  <c r="D164" i="19"/>
  <c r="D377" i="19"/>
  <c r="D355" i="19"/>
  <c r="D117" i="19"/>
  <c r="D176" i="19"/>
  <c r="D359" i="19"/>
  <c r="D123" i="19"/>
  <c r="D188" i="19"/>
  <c r="D195" i="19"/>
  <c r="D163" i="19"/>
  <c r="D390" i="19"/>
  <c r="D165" i="19"/>
  <c r="D118" i="19"/>
  <c r="D356" i="19"/>
  <c r="D269" i="19"/>
  <c r="D196" i="19"/>
  <c r="D124" i="19"/>
  <c r="D213" i="19"/>
  <c r="D313" i="19"/>
  <c r="D314" i="19"/>
  <c r="D315" i="19"/>
  <c r="D189" i="19"/>
  <c r="D384" i="19"/>
  <c r="D199" i="19"/>
  <c r="D132" i="19"/>
  <c r="D357" i="19"/>
  <c r="D353" i="19"/>
  <c r="D168" i="19"/>
  <c r="D266" i="19"/>
  <c r="D388" i="19"/>
  <c r="D360" i="19"/>
  <c r="D198" i="19"/>
  <c r="D119" i="19"/>
  <c r="D104" i="19"/>
  <c r="D233" i="19"/>
  <c r="D105" i="19"/>
  <c r="D106" i="19"/>
  <c r="D134" i="19"/>
  <c r="D389" i="19"/>
  <c r="D344" i="19"/>
  <c r="D278" i="19"/>
  <c r="D120" i="19"/>
  <c r="D279" i="19"/>
  <c r="D271" i="19"/>
  <c r="D385" i="19"/>
  <c r="D243" i="19"/>
  <c r="D252" i="19"/>
  <c r="D203" i="19"/>
  <c r="D121" i="19"/>
  <c r="D274" i="19"/>
  <c r="D275" i="19"/>
  <c r="D276" i="19"/>
  <c r="D205" i="19"/>
  <c r="D160" i="19"/>
  <c r="D244" i="19"/>
  <c r="D245" i="19"/>
  <c r="D204" i="19"/>
  <c r="D166" i="19"/>
  <c r="D182" i="19"/>
  <c r="D167" i="19"/>
  <c r="D183" i="19"/>
  <c r="D133" i="19"/>
  <c r="D322" i="19"/>
  <c r="D96" i="19"/>
  <c r="D97" i="19"/>
  <c r="D248" i="19"/>
  <c r="D249" i="19"/>
  <c r="D240" i="19"/>
  <c r="D323" i="19"/>
  <c r="D324" i="19"/>
  <c r="D44" i="19"/>
  <c r="D45" i="19"/>
  <c r="D47" i="19"/>
  <c r="D251" i="19"/>
  <c r="D99" i="19"/>
  <c r="D250" i="19"/>
  <c r="D242" i="19"/>
  <c r="D46" i="19"/>
  <c r="D246" i="19"/>
  <c r="D241" i="19"/>
  <c r="D247" i="19"/>
  <c r="D287" i="19"/>
  <c r="D288" i="19"/>
  <c r="D291" i="19"/>
  <c r="D290" i="19"/>
  <c r="D216" i="19"/>
  <c r="D217" i="19"/>
  <c r="D382" i="19"/>
  <c r="D395" i="19"/>
  <c r="D289" i="19"/>
  <c r="D381" i="19"/>
  <c r="D218" i="19"/>
  <c r="D219" i="19"/>
  <c r="D253" i="19"/>
  <c r="D396" i="19"/>
  <c r="D262" i="19"/>
  <c r="D256" i="19"/>
  <c r="D261" i="19"/>
  <c r="D260" i="19"/>
  <c r="D257" i="19"/>
  <c r="D259" i="19"/>
  <c r="D258" i="19"/>
  <c r="D383" i="19"/>
  <c r="D208" i="19"/>
  <c r="D210" i="19"/>
  <c r="D212" i="19"/>
  <c r="D263" i="19"/>
  <c r="D209" i="19"/>
  <c r="D211" i="19"/>
  <c r="D391" i="19"/>
  <c r="D98" i="19"/>
  <c r="D225" i="19"/>
  <c r="D103" i="30"/>
  <c r="D26" i="30"/>
  <c r="D324" i="30"/>
  <c r="D15" i="30"/>
  <c r="D385" i="30"/>
  <c r="D338" i="30"/>
  <c r="D355" i="30"/>
  <c r="D291" i="30"/>
  <c r="D267" i="30"/>
  <c r="D145" i="30"/>
  <c r="D270" i="30"/>
  <c r="D132" i="30"/>
  <c r="D278" i="30"/>
  <c r="D184" i="30"/>
  <c r="D71" i="30"/>
  <c r="D391" i="30"/>
  <c r="D268" i="30"/>
  <c r="D67" i="30"/>
  <c r="D124" i="30"/>
  <c r="D210" i="30"/>
  <c r="D420" i="30"/>
  <c r="D186" i="30"/>
  <c r="D112" i="30"/>
  <c r="D315" i="30"/>
  <c r="D356" i="30"/>
  <c r="D164" i="30"/>
  <c r="D40" i="30"/>
  <c r="D269" i="30"/>
  <c r="D51" i="30"/>
  <c r="D53" i="30"/>
  <c r="D389" i="30"/>
  <c r="D66" i="30"/>
  <c r="D306" i="30"/>
  <c r="D246" i="30"/>
  <c r="D300" i="30"/>
  <c r="D206" i="30"/>
  <c r="D301" i="30"/>
  <c r="D196" i="30"/>
  <c r="D81" i="30"/>
  <c r="D271" i="30"/>
  <c r="D227" i="30"/>
  <c r="D117" i="30"/>
  <c r="D361" i="30"/>
  <c r="D363" i="30"/>
  <c r="D282" i="30"/>
  <c r="D45" i="30"/>
  <c r="D80" i="30"/>
  <c r="D62" i="30"/>
  <c r="D340" i="30"/>
  <c r="D126" i="30"/>
  <c r="D368" i="30"/>
  <c r="D128" i="30"/>
  <c r="D72" i="30"/>
  <c r="D195" i="30"/>
  <c r="D294" i="30"/>
  <c r="D387" i="30"/>
  <c r="D326" i="30"/>
  <c r="D212" i="30"/>
  <c r="D101" i="30"/>
  <c r="D64" i="30"/>
  <c r="D260" i="30"/>
  <c r="D298" i="30"/>
  <c r="D344" i="30"/>
  <c r="D329" i="30"/>
  <c r="D332" i="30"/>
  <c r="D219" i="30"/>
  <c r="D235" i="30"/>
  <c r="D187" i="30"/>
  <c r="D203" i="30"/>
  <c r="D125" i="30"/>
  <c r="D243" i="30"/>
  <c r="D266" i="30"/>
  <c r="D253" i="30"/>
  <c r="D262" i="30"/>
  <c r="D252" i="30"/>
  <c r="D59" i="30"/>
  <c r="D328" i="30"/>
  <c r="D42" i="30"/>
  <c r="D129" i="30"/>
  <c r="D205" i="30"/>
  <c r="D14" i="30"/>
  <c r="D419" i="30"/>
  <c r="D345" i="30"/>
  <c r="D20" i="30"/>
  <c r="D422" i="30"/>
  <c r="D191" i="30"/>
  <c r="D364" i="30"/>
  <c r="D346" i="30"/>
  <c r="D163" i="30"/>
  <c r="D353" i="30"/>
  <c r="D192" i="30"/>
  <c r="D28" i="30"/>
  <c r="D34" i="30"/>
  <c r="D54" i="30"/>
  <c r="D354" i="30"/>
  <c r="D393" i="30"/>
  <c r="D343" i="30"/>
  <c r="D122" i="30"/>
  <c r="D265" i="30"/>
  <c r="D161" i="30"/>
  <c r="D382" i="30"/>
  <c r="D339" i="30"/>
  <c r="D113" i="30"/>
  <c r="D118" i="30"/>
  <c r="D119" i="30"/>
  <c r="D390" i="30"/>
  <c r="D19" i="30"/>
  <c r="D18" i="30"/>
  <c r="D289" i="30"/>
  <c r="D423" i="30"/>
  <c r="D207" i="30"/>
  <c r="D249" i="30"/>
  <c r="D166" i="30"/>
  <c r="D292" i="30"/>
  <c r="D293" i="30"/>
  <c r="D299" i="30"/>
  <c r="D225" i="30"/>
  <c r="D415" i="30"/>
  <c r="D261" i="30"/>
  <c r="D403" i="30"/>
  <c r="D48" i="30"/>
  <c r="D202" i="30"/>
  <c r="D162" i="30"/>
  <c r="D52" i="30"/>
  <c r="D114" i="30"/>
  <c r="D60" i="30"/>
  <c r="D359" i="30"/>
  <c r="D239" i="30"/>
  <c r="D357" i="30"/>
  <c r="D279" i="30"/>
  <c r="D296" i="30"/>
  <c r="D44" i="30"/>
  <c r="D176" i="30"/>
  <c r="D208" i="30"/>
  <c r="D250" i="30"/>
  <c r="D258" i="30"/>
  <c r="D238" i="30"/>
  <c r="D242" i="30"/>
  <c r="D183" i="30"/>
  <c r="D380" i="30"/>
  <c r="D321" i="30"/>
  <c r="D24" i="30"/>
  <c r="D421" i="30"/>
  <c r="D123" i="30"/>
  <c r="D407" i="30"/>
  <c r="D143" i="30"/>
  <c r="D254" i="30"/>
  <c r="D376" i="30"/>
  <c r="D87" i="30"/>
  <c r="D115" i="30"/>
  <c r="D150" i="30"/>
  <c r="D367" i="30"/>
  <c r="D295" i="30"/>
  <c r="D96" i="30"/>
  <c r="D280" i="30"/>
  <c r="D281" i="30"/>
  <c r="D77" i="30"/>
  <c r="D388" i="30"/>
  <c r="D185" i="30"/>
  <c r="D16" i="30"/>
  <c r="D79" i="30"/>
  <c r="D65" i="30"/>
  <c r="D263" i="30"/>
  <c r="D378" i="30"/>
  <c r="D89" i="30"/>
  <c r="D290" i="30"/>
  <c r="D288" i="30"/>
  <c r="D47" i="30"/>
  <c r="D75" i="30"/>
  <c r="D69" i="30"/>
  <c r="D82" i="30"/>
  <c r="D83" i="30"/>
  <c r="D70" i="30"/>
  <c r="D379" i="30"/>
  <c r="D375" i="30"/>
  <c r="D199" i="30"/>
  <c r="D23" i="30"/>
  <c r="D317" i="30"/>
  <c r="D222" i="30"/>
  <c r="D245" i="30"/>
  <c r="D76" i="30"/>
  <c r="D49" i="30"/>
  <c r="D50" i="30"/>
  <c r="D97" i="30"/>
  <c r="D188" i="30"/>
  <c r="D111" i="30"/>
  <c r="D116" i="30"/>
  <c r="D255" i="30"/>
  <c r="D190" i="30"/>
  <c r="D98" i="30"/>
  <c r="D99" i="30"/>
  <c r="D241" i="30"/>
  <c r="D256" i="30"/>
  <c r="D17" i="30"/>
  <c r="D155" i="30"/>
  <c r="D318" i="30"/>
  <c r="D157" i="30"/>
  <c r="D236" i="30"/>
  <c r="D30" i="30"/>
  <c r="D127" i="30"/>
  <c r="D333" i="30"/>
  <c r="D198" i="30"/>
  <c r="D257" i="30"/>
  <c r="D193" i="30"/>
  <c r="D171" i="30"/>
  <c r="D240" i="30"/>
  <c r="D237" i="30"/>
  <c r="D347" i="30"/>
  <c r="D226" i="30"/>
  <c r="D178" i="30"/>
  <c r="D330" i="30"/>
  <c r="D41" i="30"/>
  <c r="D412" i="30"/>
  <c r="D173" i="30"/>
  <c r="D233" i="30"/>
  <c r="D402" i="30"/>
  <c r="D121" i="30"/>
  <c r="D29" i="30"/>
  <c r="D316" i="30"/>
  <c r="D392" i="30"/>
  <c r="D311" i="30"/>
  <c r="D74" i="30"/>
  <c r="D133" i="30"/>
  <c r="D134" i="30"/>
  <c r="D224" i="30"/>
  <c r="D362" i="30"/>
  <c r="D414" i="30"/>
  <c r="D411" i="30"/>
  <c r="D180" i="30"/>
  <c r="D181" i="30"/>
  <c r="D248" i="30"/>
  <c r="D94" i="30"/>
  <c r="D400" i="30"/>
  <c r="D43" i="30"/>
  <c r="D214" i="30"/>
  <c r="D377" i="30"/>
  <c r="D86" i="30"/>
  <c r="D200" i="30"/>
  <c r="D264" i="30"/>
  <c r="D322" i="30"/>
  <c r="D174" i="30"/>
  <c r="D21" i="30"/>
  <c r="D22" i="30"/>
  <c r="D146" i="30"/>
  <c r="D215" i="30"/>
  <c r="D216" i="30"/>
  <c r="D92" i="30"/>
  <c r="D131" i="30"/>
  <c r="D153" i="30"/>
  <c r="D348" i="30"/>
  <c r="D358" i="30"/>
  <c r="D46" i="30"/>
  <c r="D154" i="30"/>
  <c r="D149" i="30"/>
  <c r="D144" i="30"/>
  <c r="D147" i="30"/>
  <c r="D401" i="30"/>
  <c r="D309" i="30"/>
  <c r="D274" i="30"/>
  <c r="D305" i="30"/>
  <c r="D231" i="30"/>
  <c r="D167" i="30"/>
  <c r="D372" i="30"/>
  <c r="D360" i="30"/>
  <c r="D110" i="30"/>
  <c r="D408" i="30"/>
  <c r="D85" i="30"/>
  <c r="D334" i="30"/>
  <c r="D336" i="30"/>
  <c r="D140" i="30"/>
  <c r="D141" i="30"/>
  <c r="D341" i="30"/>
  <c r="D365" i="30"/>
  <c r="D335" i="30"/>
  <c r="D35" i="30"/>
  <c r="D177" i="30"/>
  <c r="D312" i="30"/>
  <c r="D325" i="30"/>
  <c r="D221" i="30"/>
  <c r="D88" i="30"/>
  <c r="D327" i="30"/>
  <c r="D337" i="30"/>
  <c r="D139" i="30"/>
  <c r="D395" i="30"/>
  <c r="D399" i="30"/>
  <c r="D259" i="30"/>
  <c r="D217" i="30"/>
  <c r="D302" i="30"/>
  <c r="D179" i="30"/>
  <c r="D27" i="30"/>
  <c r="D36" i="30"/>
  <c r="D209" i="30"/>
  <c r="D251" i="30"/>
  <c r="D229" i="30"/>
  <c r="D61" i="30"/>
  <c r="D284" i="30"/>
  <c r="D169" i="30"/>
  <c r="D371" i="30"/>
  <c r="D394" i="30"/>
  <c r="D230" i="30"/>
  <c r="D39" i="30"/>
  <c r="D13" i="30"/>
  <c r="D416" i="30"/>
  <c r="D272" i="30"/>
  <c r="D78" i="30"/>
  <c r="D201" i="30"/>
  <c r="D100" i="30"/>
  <c r="D91" i="30"/>
  <c r="D136" i="30"/>
  <c r="D350" i="30"/>
  <c r="D351" i="30"/>
  <c r="D223" i="30"/>
  <c r="D108" i="30"/>
  <c r="D398" i="30"/>
  <c r="D313" i="30"/>
  <c r="D247" i="30"/>
  <c r="D409" i="30"/>
  <c r="D410" i="30"/>
  <c r="D90" i="30"/>
  <c r="D397" i="30"/>
  <c r="D273" i="30"/>
  <c r="D63" i="30"/>
  <c r="D165" i="30"/>
  <c r="D106" i="30"/>
  <c r="D194" i="30"/>
  <c r="D386" i="30"/>
  <c r="D189" i="30"/>
  <c r="D95" i="30"/>
  <c r="D277" i="30"/>
  <c r="D213" i="30"/>
  <c r="D68" i="30"/>
  <c r="D204" i="30"/>
  <c r="D220" i="30"/>
  <c r="D107" i="30"/>
  <c r="D160" i="30"/>
  <c r="D137" i="30"/>
  <c r="D331" i="30"/>
  <c r="D308" i="30"/>
  <c r="D404" i="30"/>
  <c r="D37" i="30"/>
  <c r="D287" i="30"/>
  <c r="D32" i="30"/>
  <c r="D33" i="30"/>
  <c r="D405" i="30"/>
  <c r="D38" i="30"/>
  <c r="D297" i="30"/>
  <c r="D234" i="30"/>
  <c r="D218" i="30"/>
  <c r="D168" i="30"/>
  <c r="D135" i="30"/>
  <c r="D319" i="30"/>
  <c r="D109" i="30"/>
  <c r="D102" i="30"/>
  <c r="D370" i="30"/>
  <c r="D323" i="30"/>
  <c r="D158" i="30"/>
  <c r="D159" i="30"/>
  <c r="D228" i="30"/>
  <c r="D307" i="30"/>
  <c r="D303" i="30"/>
  <c r="D283" i="30"/>
  <c r="D31" i="30"/>
  <c r="D175" i="30"/>
  <c r="D211" i="30"/>
  <c r="D352" i="30"/>
  <c r="D244" i="30"/>
  <c r="D105" i="30"/>
  <c r="D152" i="30"/>
  <c r="D138" i="30"/>
  <c r="D384" i="30"/>
  <c r="D151" i="30"/>
  <c r="D172" i="30"/>
  <c r="D342" i="30"/>
  <c r="D310" i="30"/>
  <c r="D156" i="30"/>
  <c r="D418" i="30"/>
  <c r="D56" i="30"/>
  <c r="D57" i="30"/>
  <c r="D120" i="30"/>
  <c r="D232" i="30"/>
  <c r="D373" i="30"/>
  <c r="D381" i="30"/>
  <c r="D170" i="30"/>
  <c r="D275" i="30"/>
  <c r="D197" i="30"/>
  <c r="D285" i="30"/>
  <c r="D314" i="30"/>
  <c r="D417" i="30"/>
  <c r="D130" i="30"/>
  <c r="D142" i="30"/>
  <c r="D320" i="30"/>
  <c r="D413" i="30"/>
  <c r="D369" i="30"/>
  <c r="D366" i="30"/>
  <c r="D276" i="30"/>
  <c r="D55" i="30"/>
  <c r="D286" i="30"/>
  <c r="D383" i="30"/>
  <c r="D374" i="30"/>
  <c r="D25" i="30"/>
  <c r="D396" i="30"/>
  <c r="D84" i="30"/>
  <c r="D73" i="30"/>
  <c r="D304" i="30"/>
  <c r="D93" i="30"/>
  <c r="D58" i="30"/>
  <c r="D406" i="30"/>
  <c r="D148" i="30"/>
  <c r="D182" i="30"/>
  <c r="D349" i="30"/>
  <c r="D104" i="30"/>
  <c r="F103" i="30"/>
  <c r="F26" i="30"/>
  <c r="F324" i="30"/>
  <c r="F15" i="30"/>
  <c r="F385" i="30"/>
  <c r="F338" i="30"/>
  <c r="F355" i="30"/>
  <c r="F291" i="30"/>
  <c r="F267" i="30"/>
  <c r="F145" i="30"/>
  <c r="F270" i="30"/>
  <c r="F132" i="30"/>
  <c r="F278" i="30"/>
  <c r="F184" i="30"/>
  <c r="F71" i="30"/>
  <c r="F391" i="30"/>
  <c r="F268" i="30"/>
  <c r="F67" i="30"/>
  <c r="F124" i="30"/>
  <c r="F210" i="30"/>
  <c r="F420" i="30"/>
  <c r="F186" i="30"/>
  <c r="F112" i="30"/>
  <c r="F315" i="30"/>
  <c r="F356" i="30"/>
  <c r="F164" i="30"/>
  <c r="F40" i="30"/>
  <c r="F269" i="30"/>
  <c r="F51" i="30"/>
  <c r="F53" i="30"/>
  <c r="F389" i="30"/>
  <c r="F66" i="30"/>
  <c r="F306" i="30"/>
  <c r="F246" i="30"/>
  <c r="F300" i="30"/>
  <c r="F206" i="30"/>
  <c r="F301" i="30"/>
  <c r="F196" i="30"/>
  <c r="F81" i="30"/>
  <c r="F271" i="30"/>
  <c r="F227" i="30"/>
  <c r="F117" i="30"/>
  <c r="F361" i="30"/>
  <c r="F363" i="30"/>
  <c r="F282" i="30"/>
  <c r="F45" i="30"/>
  <c r="F80" i="30"/>
  <c r="F62" i="30"/>
  <c r="F340" i="30"/>
  <c r="F126" i="30"/>
  <c r="F368" i="30"/>
  <c r="F128" i="30"/>
  <c r="F72" i="30"/>
  <c r="F195" i="30"/>
  <c r="F294" i="30"/>
  <c r="F387" i="30"/>
  <c r="F326" i="30"/>
  <c r="F212" i="30"/>
  <c r="F101" i="30"/>
  <c r="F64" i="30"/>
  <c r="F260" i="30"/>
  <c r="F298" i="30"/>
  <c r="F344" i="30"/>
  <c r="F329" i="30"/>
  <c r="F332" i="30"/>
  <c r="F219" i="30"/>
  <c r="F235" i="30"/>
  <c r="F187" i="30"/>
  <c r="F203" i="30"/>
  <c r="F125" i="30"/>
  <c r="F243" i="30"/>
  <c r="F266" i="30"/>
  <c r="F253" i="30"/>
  <c r="F262" i="30"/>
  <c r="F252" i="30"/>
  <c r="F59" i="30"/>
  <c r="F328" i="30"/>
  <c r="F42" i="30"/>
  <c r="F129" i="30"/>
  <c r="F205" i="30"/>
  <c r="F14" i="30"/>
  <c r="F419" i="30"/>
  <c r="F345" i="30"/>
  <c r="F20" i="30"/>
  <c r="F422" i="30"/>
  <c r="F191" i="30"/>
  <c r="F364" i="30"/>
  <c r="F346" i="30"/>
  <c r="F163" i="30"/>
  <c r="F353" i="30"/>
  <c r="F192" i="30"/>
  <c r="F28" i="30"/>
  <c r="F34" i="30"/>
  <c r="F54" i="30"/>
  <c r="F354" i="30"/>
  <c r="F393" i="30"/>
  <c r="F343" i="30"/>
  <c r="F122" i="30"/>
  <c r="F265" i="30"/>
  <c r="F161" i="30"/>
  <c r="F382" i="30"/>
  <c r="F339" i="30"/>
  <c r="F113" i="30"/>
  <c r="F118" i="30"/>
  <c r="F119" i="30"/>
  <c r="F390" i="30"/>
  <c r="F19" i="30"/>
  <c r="F18" i="30"/>
  <c r="F289" i="30"/>
  <c r="F423" i="30"/>
  <c r="F207" i="30"/>
  <c r="F249" i="30"/>
  <c r="F166" i="30"/>
  <c r="F292" i="30"/>
  <c r="F293" i="30"/>
  <c r="F299" i="30"/>
  <c r="F225" i="30"/>
  <c r="F415" i="30"/>
  <c r="F261" i="30"/>
  <c r="F403" i="30"/>
  <c r="F48" i="30"/>
  <c r="F202" i="30"/>
  <c r="F162" i="30"/>
  <c r="F52" i="30"/>
  <c r="F114" i="30"/>
  <c r="F60" i="30"/>
  <c r="F359" i="30"/>
  <c r="F239" i="30"/>
  <c r="F357" i="30"/>
  <c r="F279" i="30"/>
  <c r="F296" i="30"/>
  <c r="F44" i="30"/>
  <c r="F176" i="30"/>
  <c r="F208" i="30"/>
  <c r="F250" i="30"/>
  <c r="F258" i="30"/>
  <c r="F238" i="30"/>
  <c r="F242" i="30"/>
  <c r="F183" i="30"/>
  <c r="F380" i="30"/>
  <c r="F321" i="30"/>
  <c r="F24" i="30"/>
  <c r="F421" i="30"/>
  <c r="F123" i="30"/>
  <c r="F407" i="30"/>
  <c r="F143" i="30"/>
  <c r="F254" i="30"/>
  <c r="F376" i="30"/>
  <c r="F87" i="30"/>
  <c r="F115" i="30"/>
  <c r="F150" i="30"/>
  <c r="F367" i="30"/>
  <c r="F295" i="30"/>
  <c r="F96" i="30"/>
  <c r="F280" i="30"/>
  <c r="F281" i="30"/>
  <c r="F77" i="30"/>
  <c r="F388" i="30"/>
  <c r="F185" i="30"/>
  <c r="F16" i="30"/>
  <c r="F79" i="30"/>
  <c r="F65" i="30"/>
  <c r="F263" i="30"/>
  <c r="F378" i="30"/>
  <c r="F89" i="30"/>
  <c r="F290" i="30"/>
  <c r="F288" i="30"/>
  <c r="F47" i="30"/>
  <c r="F75" i="30"/>
  <c r="F69" i="30"/>
  <c r="F82" i="30"/>
  <c r="F83" i="30"/>
  <c r="F70" i="30"/>
  <c r="F379" i="30"/>
  <c r="F375" i="30"/>
  <c r="F199" i="30"/>
  <c r="F23" i="30"/>
  <c r="F317" i="30"/>
  <c r="F222" i="30"/>
  <c r="F245" i="30"/>
  <c r="F76" i="30"/>
  <c r="F49" i="30"/>
  <c r="F50" i="30"/>
  <c r="F97" i="30"/>
  <c r="F188" i="30"/>
  <c r="F111" i="30"/>
  <c r="F116" i="30"/>
  <c r="F255" i="30"/>
  <c r="F190" i="30"/>
  <c r="F98" i="30"/>
  <c r="F99" i="30"/>
  <c r="F241" i="30"/>
  <c r="F256" i="30"/>
  <c r="F17" i="30"/>
  <c r="F155" i="30"/>
  <c r="F318" i="30"/>
  <c r="F157" i="30"/>
  <c r="F236" i="30"/>
  <c r="F30" i="30"/>
  <c r="F127" i="30"/>
  <c r="F333" i="30"/>
  <c r="F198" i="30"/>
  <c r="F257" i="30"/>
  <c r="F193" i="30"/>
  <c r="F171" i="30"/>
  <c r="F240" i="30"/>
  <c r="F237" i="30"/>
  <c r="F347" i="30"/>
  <c r="F226" i="30"/>
  <c r="F178" i="30"/>
  <c r="F330" i="30"/>
  <c r="F41" i="30"/>
  <c r="F412" i="30"/>
  <c r="F173" i="30"/>
  <c r="F233" i="30"/>
  <c r="F402" i="30"/>
  <c r="F121" i="30"/>
  <c r="F29" i="30"/>
  <c r="F316" i="30"/>
  <c r="F392" i="30"/>
  <c r="F311" i="30"/>
  <c r="F74" i="30"/>
  <c r="F133" i="30"/>
  <c r="F134" i="30"/>
  <c r="F224" i="30"/>
  <c r="F362" i="30"/>
  <c r="F414" i="30"/>
  <c r="F411" i="30"/>
  <c r="F180" i="30"/>
  <c r="F181" i="30"/>
  <c r="F248" i="30"/>
  <c r="F94" i="30"/>
  <c r="F400" i="30"/>
  <c r="F43" i="30"/>
  <c r="F214" i="30"/>
  <c r="F377" i="30"/>
  <c r="F86" i="30"/>
  <c r="F200" i="30"/>
  <c r="F264" i="30"/>
  <c r="F322" i="30"/>
  <c r="F174" i="30"/>
  <c r="F21" i="30"/>
  <c r="F22" i="30"/>
  <c r="F146" i="30"/>
  <c r="F215" i="30"/>
  <c r="F216" i="30"/>
  <c r="F92" i="30"/>
  <c r="F131" i="30"/>
  <c r="F153" i="30"/>
  <c r="F348" i="30"/>
  <c r="F358" i="30"/>
  <c r="F46" i="30"/>
  <c r="F154" i="30"/>
  <c r="F149" i="30"/>
  <c r="F144" i="30"/>
  <c r="F147" i="30"/>
  <c r="F401" i="30"/>
  <c r="F309" i="30"/>
  <c r="F274" i="30"/>
  <c r="F305" i="30"/>
  <c r="F231" i="30"/>
  <c r="F167" i="30"/>
  <c r="F372" i="30"/>
  <c r="F360" i="30"/>
  <c r="F110" i="30"/>
  <c r="F408" i="30"/>
  <c r="F85" i="30"/>
  <c r="F334" i="30"/>
  <c r="F336" i="30"/>
  <c r="F140" i="30"/>
  <c r="F141" i="30"/>
  <c r="F341" i="30"/>
  <c r="F365" i="30"/>
  <c r="F335" i="30"/>
  <c r="F35" i="30"/>
  <c r="F177" i="30"/>
  <c r="F312" i="30"/>
  <c r="F325" i="30"/>
  <c r="F221" i="30"/>
  <c r="F88" i="30"/>
  <c r="F327" i="30"/>
  <c r="F337" i="30"/>
  <c r="F139" i="30"/>
  <c r="F395" i="30"/>
  <c r="F399" i="30"/>
  <c r="F259" i="30"/>
  <c r="F217" i="30"/>
  <c r="F302" i="30"/>
  <c r="F179" i="30"/>
  <c r="F27" i="30"/>
  <c r="F36" i="30"/>
  <c r="F209" i="30"/>
  <c r="F251" i="30"/>
  <c r="F229" i="30"/>
  <c r="F61" i="30"/>
  <c r="F284" i="30"/>
  <c r="F169" i="30"/>
  <c r="F371" i="30"/>
  <c r="F394" i="30"/>
  <c r="F230" i="30"/>
  <c r="F39" i="30"/>
  <c r="F13" i="30"/>
  <c r="F416" i="30"/>
  <c r="F272" i="30"/>
  <c r="F78" i="30"/>
  <c r="F201" i="30"/>
  <c r="F100" i="30"/>
  <c r="F91" i="30"/>
  <c r="F136" i="30"/>
  <c r="F350" i="30"/>
  <c r="F351" i="30"/>
  <c r="F223" i="30"/>
  <c r="F108" i="30"/>
  <c r="F398" i="30"/>
  <c r="F313" i="30"/>
  <c r="F247" i="30"/>
  <c r="F409" i="30"/>
  <c r="F410" i="30"/>
  <c r="F90" i="30"/>
  <c r="F397" i="30"/>
  <c r="F273" i="30"/>
  <c r="F63" i="30"/>
  <c r="F165" i="30"/>
  <c r="F106" i="30"/>
  <c r="F194" i="30"/>
  <c r="F386" i="30"/>
  <c r="F189" i="30"/>
  <c r="F95" i="30"/>
  <c r="F277" i="30"/>
  <c r="F213" i="30"/>
  <c r="F68" i="30"/>
  <c r="F204" i="30"/>
  <c r="F220" i="30"/>
  <c r="F107" i="30"/>
  <c r="F160" i="30"/>
  <c r="F137" i="30"/>
  <c r="F331" i="30"/>
  <c r="F308" i="30"/>
  <c r="F404" i="30"/>
  <c r="F37" i="30"/>
  <c r="F287" i="30"/>
  <c r="F32" i="30"/>
  <c r="F33" i="30"/>
  <c r="F405" i="30"/>
  <c r="F38" i="30"/>
  <c r="F297" i="30"/>
  <c r="F234" i="30"/>
  <c r="F218" i="30"/>
  <c r="F168" i="30"/>
  <c r="F135" i="30"/>
  <c r="F319" i="30"/>
  <c r="F109" i="30"/>
  <c r="F102" i="30"/>
  <c r="F370" i="30"/>
  <c r="F323" i="30"/>
  <c r="F158" i="30"/>
  <c r="F159" i="30"/>
  <c r="F228" i="30"/>
  <c r="F307" i="30"/>
  <c r="F303" i="30"/>
  <c r="F283" i="30"/>
  <c r="F31" i="30"/>
  <c r="F175" i="30"/>
  <c r="F211" i="30"/>
  <c r="F352" i="30"/>
  <c r="F244" i="30"/>
  <c r="F105" i="30"/>
  <c r="F152" i="30"/>
  <c r="F138" i="30"/>
  <c r="F384" i="30"/>
  <c r="F151" i="30"/>
  <c r="F172" i="30"/>
  <c r="F342" i="30"/>
  <c r="F310" i="30"/>
  <c r="F156" i="30"/>
  <c r="F418" i="30"/>
  <c r="F56" i="30"/>
  <c r="F57" i="30"/>
  <c r="F120" i="30"/>
  <c r="F232" i="30"/>
  <c r="F373" i="30"/>
  <c r="F381" i="30"/>
  <c r="F170" i="30"/>
  <c r="F275" i="30"/>
  <c r="F197" i="30"/>
  <c r="F285" i="30"/>
  <c r="F314" i="30"/>
  <c r="F417" i="30"/>
  <c r="F130" i="30"/>
  <c r="F142" i="30"/>
  <c r="F320" i="30"/>
  <c r="F413" i="30"/>
  <c r="F369" i="30"/>
  <c r="F366" i="30"/>
  <c r="F276" i="30"/>
  <c r="F55" i="30"/>
  <c r="F286" i="30"/>
  <c r="F383" i="30"/>
  <c r="F374" i="30"/>
  <c r="F25" i="30"/>
  <c r="F396" i="30"/>
  <c r="F84" i="30"/>
  <c r="F73" i="30"/>
  <c r="F304" i="30"/>
  <c r="F93" i="30"/>
  <c r="F58" i="30"/>
  <c r="F406" i="30"/>
  <c r="F148" i="30"/>
  <c r="F182" i="30"/>
  <c r="F349" i="30"/>
  <c r="F104" i="30"/>
  <c r="E103" i="30"/>
  <c r="E26" i="30"/>
  <c r="E324" i="30"/>
  <c r="E15" i="30"/>
  <c r="E385" i="30"/>
  <c r="E338" i="30"/>
  <c r="E355" i="30"/>
  <c r="E291" i="30"/>
  <c r="E267" i="30"/>
  <c r="E145" i="30"/>
  <c r="E270" i="30"/>
  <c r="E132" i="30"/>
  <c r="E278" i="30"/>
  <c r="E184" i="30"/>
  <c r="E71" i="30"/>
  <c r="E391" i="30"/>
  <c r="E268" i="30"/>
  <c r="E67" i="30"/>
  <c r="E124" i="30"/>
  <c r="E210" i="30"/>
  <c r="E420" i="30"/>
  <c r="E186" i="30"/>
  <c r="E112" i="30"/>
  <c r="E315" i="30"/>
  <c r="E356" i="30"/>
  <c r="E164" i="30"/>
  <c r="E40" i="30"/>
  <c r="E269" i="30"/>
  <c r="E51" i="30"/>
  <c r="E53" i="30"/>
  <c r="E389" i="30"/>
  <c r="E66" i="30"/>
  <c r="E306" i="30"/>
  <c r="E246" i="30"/>
  <c r="E300" i="30"/>
  <c r="E206" i="30"/>
  <c r="E301" i="30"/>
  <c r="E196" i="30"/>
  <c r="E81" i="30"/>
  <c r="E271" i="30"/>
  <c r="E227" i="30"/>
  <c r="E117" i="30"/>
  <c r="E361" i="30"/>
  <c r="E363" i="30"/>
  <c r="E282" i="30"/>
  <c r="E45" i="30"/>
  <c r="E80" i="30"/>
  <c r="E62" i="30"/>
  <c r="E340" i="30"/>
  <c r="E126" i="30"/>
  <c r="E368" i="30"/>
  <c r="E128" i="30"/>
  <c r="E72" i="30"/>
  <c r="E195" i="30"/>
  <c r="E294" i="30"/>
  <c r="E387" i="30"/>
  <c r="E326" i="30"/>
  <c r="E212" i="30"/>
  <c r="E101" i="30"/>
  <c r="E64" i="30"/>
  <c r="E260" i="30"/>
  <c r="E298" i="30"/>
  <c r="E344" i="30"/>
  <c r="E329" i="30"/>
  <c r="E332" i="30"/>
  <c r="E219" i="30"/>
  <c r="E235" i="30"/>
  <c r="E187" i="30"/>
  <c r="E203" i="30"/>
  <c r="E125" i="30"/>
  <c r="E243" i="30"/>
  <c r="E266" i="30"/>
  <c r="E253" i="30"/>
  <c r="E262" i="30"/>
  <c r="E252" i="30"/>
  <c r="E59" i="30"/>
  <c r="E328" i="30"/>
  <c r="E42" i="30"/>
  <c r="E129" i="30"/>
  <c r="E205" i="30"/>
  <c r="E14" i="30"/>
  <c r="E419" i="30"/>
  <c r="E345" i="30"/>
  <c r="E20" i="30"/>
  <c r="E422" i="30"/>
  <c r="E191" i="30"/>
  <c r="E364" i="30"/>
  <c r="E346" i="30"/>
  <c r="E163" i="30"/>
  <c r="E353" i="30"/>
  <c r="E192" i="30"/>
  <c r="E28" i="30"/>
  <c r="E34" i="30"/>
  <c r="E54" i="30"/>
  <c r="E354" i="30"/>
  <c r="E393" i="30"/>
  <c r="E343" i="30"/>
  <c r="E122" i="30"/>
  <c r="E265" i="30"/>
  <c r="E161" i="30"/>
  <c r="E382" i="30"/>
  <c r="E339" i="30"/>
  <c r="E113" i="30"/>
  <c r="E118" i="30"/>
  <c r="E119" i="30"/>
  <c r="E390" i="30"/>
  <c r="E19" i="30"/>
  <c r="E18" i="30"/>
  <c r="E289" i="30"/>
  <c r="E423" i="30"/>
  <c r="E207" i="30"/>
  <c r="E249" i="30"/>
  <c r="E166" i="30"/>
  <c r="E292" i="30"/>
  <c r="E293" i="30"/>
  <c r="E299" i="30"/>
  <c r="E225" i="30"/>
  <c r="E415" i="30"/>
  <c r="E261" i="30"/>
  <c r="E403" i="30"/>
  <c r="E48" i="30"/>
  <c r="E202" i="30"/>
  <c r="E162" i="30"/>
  <c r="E52" i="30"/>
  <c r="E114" i="30"/>
  <c r="E60" i="30"/>
  <c r="E359" i="30"/>
  <c r="E239" i="30"/>
  <c r="E357" i="30"/>
  <c r="E279" i="30"/>
  <c r="E296" i="30"/>
  <c r="E44" i="30"/>
  <c r="E176" i="30"/>
  <c r="E208" i="30"/>
  <c r="E250" i="30"/>
  <c r="E258" i="30"/>
  <c r="E238" i="30"/>
  <c r="E242" i="30"/>
  <c r="E183" i="30"/>
  <c r="E380" i="30"/>
  <c r="E321" i="30"/>
  <c r="E24" i="30"/>
  <c r="E421" i="30"/>
  <c r="E123" i="30"/>
  <c r="E407" i="30"/>
  <c r="E143" i="30"/>
  <c r="E254" i="30"/>
  <c r="E376" i="30"/>
  <c r="E87" i="30"/>
  <c r="E115" i="30"/>
  <c r="E150" i="30"/>
  <c r="E367" i="30"/>
  <c r="E295" i="30"/>
  <c r="E96" i="30"/>
  <c r="E280" i="30"/>
  <c r="E281" i="30"/>
  <c r="E77" i="30"/>
  <c r="E388" i="30"/>
  <c r="E185" i="30"/>
  <c r="E16" i="30"/>
  <c r="E79" i="30"/>
  <c r="E65" i="30"/>
  <c r="E263" i="30"/>
  <c r="E378" i="30"/>
  <c r="E89" i="30"/>
  <c r="E290" i="30"/>
  <c r="E288" i="30"/>
  <c r="E47" i="30"/>
  <c r="E75" i="30"/>
  <c r="E69" i="30"/>
  <c r="E82" i="30"/>
  <c r="E83" i="30"/>
  <c r="E70" i="30"/>
  <c r="E379" i="30"/>
  <c r="E375" i="30"/>
  <c r="E199" i="30"/>
  <c r="E23" i="30"/>
  <c r="E317" i="30"/>
  <c r="E222" i="30"/>
  <c r="E245" i="30"/>
  <c r="E76" i="30"/>
  <c r="E49" i="30"/>
  <c r="E50" i="30"/>
  <c r="E97" i="30"/>
  <c r="E188" i="30"/>
  <c r="E111" i="30"/>
  <c r="E116" i="30"/>
  <c r="E255" i="30"/>
  <c r="E190" i="30"/>
  <c r="E98" i="30"/>
  <c r="E99" i="30"/>
  <c r="E241" i="30"/>
  <c r="E256" i="30"/>
  <c r="E17" i="30"/>
  <c r="E155" i="30"/>
  <c r="E318" i="30"/>
  <c r="E157" i="30"/>
  <c r="E236" i="30"/>
  <c r="E30" i="30"/>
  <c r="E127" i="30"/>
  <c r="E333" i="30"/>
  <c r="E198" i="30"/>
  <c r="E257" i="30"/>
  <c r="E193" i="30"/>
  <c r="E171" i="30"/>
  <c r="E240" i="30"/>
  <c r="E237" i="30"/>
  <c r="E347" i="30"/>
  <c r="E226" i="30"/>
  <c r="E178" i="30"/>
  <c r="E330" i="30"/>
  <c r="E41" i="30"/>
  <c r="E412" i="30"/>
  <c r="E173" i="30"/>
  <c r="E233" i="30"/>
  <c r="E402" i="30"/>
  <c r="E121" i="30"/>
  <c r="E29" i="30"/>
  <c r="E316" i="30"/>
  <c r="E392" i="30"/>
  <c r="E311" i="30"/>
  <c r="E74" i="30"/>
  <c r="E133" i="30"/>
  <c r="E134" i="30"/>
  <c r="E224" i="30"/>
  <c r="E362" i="30"/>
  <c r="E414" i="30"/>
  <c r="E411" i="30"/>
  <c r="E180" i="30"/>
  <c r="E181" i="30"/>
  <c r="E248" i="30"/>
  <c r="E94" i="30"/>
  <c r="E400" i="30"/>
  <c r="E43" i="30"/>
  <c r="E214" i="30"/>
  <c r="E377" i="30"/>
  <c r="E86" i="30"/>
  <c r="E200" i="30"/>
  <c r="E264" i="30"/>
  <c r="E322" i="30"/>
  <c r="E174" i="30"/>
  <c r="E21" i="30"/>
  <c r="E22" i="30"/>
  <c r="E146" i="30"/>
  <c r="E215" i="30"/>
  <c r="E216" i="30"/>
  <c r="E92" i="30"/>
  <c r="E131" i="30"/>
  <c r="E153" i="30"/>
  <c r="E348" i="30"/>
  <c r="E358" i="30"/>
  <c r="E46" i="30"/>
  <c r="E154" i="30"/>
  <c r="E149" i="30"/>
  <c r="E144" i="30"/>
  <c r="E147" i="30"/>
  <c r="E401" i="30"/>
  <c r="E309" i="30"/>
  <c r="E274" i="30"/>
  <c r="E305" i="30"/>
  <c r="E231" i="30"/>
  <c r="E167" i="30"/>
  <c r="E372" i="30"/>
  <c r="E360" i="30"/>
  <c r="E110" i="30"/>
  <c r="E408" i="30"/>
  <c r="E85" i="30"/>
  <c r="E334" i="30"/>
  <c r="E336" i="30"/>
  <c r="E140" i="30"/>
  <c r="E141" i="30"/>
  <c r="E341" i="30"/>
  <c r="E365" i="30"/>
  <c r="E335" i="30"/>
  <c r="E35" i="30"/>
  <c r="E177" i="30"/>
  <c r="E312" i="30"/>
  <c r="E325" i="30"/>
  <c r="E221" i="30"/>
  <c r="E88" i="30"/>
  <c r="E327" i="30"/>
  <c r="E337" i="30"/>
  <c r="E139" i="30"/>
  <c r="E395" i="30"/>
  <c r="E399" i="30"/>
  <c r="E259" i="30"/>
  <c r="E217" i="30"/>
  <c r="E302" i="30"/>
  <c r="E179" i="30"/>
  <c r="E27" i="30"/>
  <c r="E36" i="30"/>
  <c r="E209" i="30"/>
  <c r="E251" i="30"/>
  <c r="E229" i="30"/>
  <c r="E61" i="30"/>
  <c r="E284" i="30"/>
  <c r="E169" i="30"/>
  <c r="E371" i="30"/>
  <c r="E394" i="30"/>
  <c r="E230" i="30"/>
  <c r="E39" i="30"/>
  <c r="E13" i="30"/>
  <c r="E416" i="30"/>
  <c r="E272" i="30"/>
  <c r="E78" i="30"/>
  <c r="E201" i="30"/>
  <c r="E100" i="30"/>
  <c r="E91" i="30"/>
  <c r="E136" i="30"/>
  <c r="E350" i="30"/>
  <c r="E351" i="30"/>
  <c r="E223" i="30"/>
  <c r="E108" i="30"/>
  <c r="E398" i="30"/>
  <c r="E313" i="30"/>
  <c r="E247" i="30"/>
  <c r="E409" i="30"/>
  <c r="E410" i="30"/>
  <c r="E90" i="30"/>
  <c r="E397" i="30"/>
  <c r="E273" i="30"/>
  <c r="E63" i="30"/>
  <c r="E165" i="30"/>
  <c r="E106" i="30"/>
  <c r="E194" i="30"/>
  <c r="E386" i="30"/>
  <c r="E189" i="30"/>
  <c r="E95" i="30"/>
  <c r="E277" i="30"/>
  <c r="E213" i="30"/>
  <c r="E68" i="30"/>
  <c r="E204" i="30"/>
  <c r="E220" i="30"/>
  <c r="E107" i="30"/>
  <c r="E160" i="30"/>
  <c r="E137" i="30"/>
  <c r="E331" i="30"/>
  <c r="E308" i="30"/>
  <c r="E404" i="30"/>
  <c r="E37" i="30"/>
  <c r="E287" i="30"/>
  <c r="E32" i="30"/>
  <c r="E33" i="30"/>
  <c r="E405" i="30"/>
  <c r="E38" i="30"/>
  <c r="E297" i="30"/>
  <c r="E234" i="30"/>
  <c r="E218" i="30"/>
  <c r="E168" i="30"/>
  <c r="E135" i="30"/>
  <c r="E319" i="30"/>
  <c r="E109" i="30"/>
  <c r="E102" i="30"/>
  <c r="E370" i="30"/>
  <c r="E323" i="30"/>
  <c r="E158" i="30"/>
  <c r="E159" i="30"/>
  <c r="E228" i="30"/>
  <c r="E307" i="30"/>
  <c r="E303" i="30"/>
  <c r="E283" i="30"/>
  <c r="E31" i="30"/>
  <c r="E175" i="30"/>
  <c r="E211" i="30"/>
  <c r="E352" i="30"/>
  <c r="E244" i="30"/>
  <c r="E105" i="30"/>
  <c r="E152" i="30"/>
  <c r="E138" i="30"/>
  <c r="E384" i="30"/>
  <c r="E151" i="30"/>
  <c r="E172" i="30"/>
  <c r="E342" i="30"/>
  <c r="E310" i="30"/>
  <c r="E156" i="30"/>
  <c r="E418" i="30"/>
  <c r="E56" i="30"/>
  <c r="E57" i="30"/>
  <c r="E120" i="30"/>
  <c r="E232" i="30"/>
  <c r="E373" i="30"/>
  <c r="E381" i="30"/>
  <c r="E170" i="30"/>
  <c r="E275" i="30"/>
  <c r="E197" i="30"/>
  <c r="E285" i="30"/>
  <c r="E314" i="30"/>
  <c r="E417" i="30"/>
  <c r="E130" i="30"/>
  <c r="E142" i="30"/>
  <c r="E320" i="30"/>
  <c r="E413" i="30"/>
  <c r="E369" i="30"/>
  <c r="E366" i="30"/>
  <c r="E276" i="30"/>
  <c r="E55" i="30"/>
  <c r="E286" i="30"/>
  <c r="E383" i="30"/>
  <c r="E374" i="30"/>
  <c r="E25" i="30"/>
  <c r="E396" i="30"/>
  <c r="E84" i="30"/>
  <c r="E73" i="30"/>
  <c r="E304" i="30"/>
  <c r="E93" i="30"/>
  <c r="E58" i="30"/>
  <c r="E406" i="30"/>
  <c r="E148" i="30"/>
  <c r="E182" i="30"/>
  <c r="E349" i="30"/>
  <c r="E104" i="30"/>
  <c r="I226" i="19"/>
  <c r="I227" i="19"/>
  <c r="I223" i="19"/>
  <c r="I231" i="19"/>
  <c r="I230" i="19"/>
  <c r="I220" i="19"/>
  <c r="I221" i="19"/>
  <c r="I301" i="19"/>
  <c r="I302" i="19"/>
  <c r="I303" i="19"/>
  <c r="I304" i="19"/>
  <c r="I305" i="19"/>
  <c r="I316" i="19"/>
  <c r="I317" i="19"/>
  <c r="I318" i="19"/>
  <c r="I325" i="19"/>
  <c r="I326" i="19"/>
  <c r="I327" i="19"/>
  <c r="I424" i="19"/>
  <c r="I22" i="19"/>
  <c r="I26" i="19"/>
  <c r="I23" i="19"/>
  <c r="I24" i="19"/>
  <c r="I429" i="19"/>
  <c r="I25" i="19"/>
  <c r="I214" i="19"/>
  <c r="I234" i="19"/>
  <c r="I49" i="19"/>
  <c r="I419" i="19"/>
  <c r="I48" i="19"/>
  <c r="I50" i="19"/>
  <c r="I140" i="19"/>
  <c r="I238" i="19"/>
  <c r="I340" i="19"/>
  <c r="I337" i="19"/>
  <c r="I410" i="19"/>
  <c r="I423" i="19"/>
  <c r="I411" i="19"/>
  <c r="I338" i="19"/>
  <c r="I339" i="19"/>
  <c r="I422" i="19"/>
  <c r="I412" i="19"/>
  <c r="I425" i="19"/>
  <c r="I414" i="19"/>
  <c r="I416" i="19"/>
  <c r="I332" i="19"/>
  <c r="I67" i="19"/>
  <c r="I68" i="19"/>
  <c r="I417" i="19"/>
  <c r="I141" i="19"/>
  <c r="I54" i="19"/>
  <c r="I64" i="19"/>
  <c r="I65" i="19"/>
  <c r="I232" i="19"/>
  <c r="I430" i="19"/>
  <c r="I29" i="19"/>
  <c r="I51" i="19"/>
  <c r="I53" i="19"/>
  <c r="I343" i="19"/>
  <c r="I52" i="19"/>
  <c r="I30" i="19"/>
  <c r="I31" i="19"/>
  <c r="I408" i="19"/>
  <c r="I420" i="19"/>
  <c r="I409" i="19"/>
  <c r="I90" i="19"/>
  <c r="I91" i="19"/>
  <c r="I92" i="19"/>
  <c r="I152" i="19"/>
  <c r="I32" i="19"/>
  <c r="I33" i="19"/>
  <c r="I137" i="19"/>
  <c r="I19" i="19"/>
  <c r="I70" i="19"/>
  <c r="I405" i="19"/>
  <c r="I86" i="19"/>
  <c r="I87" i="19"/>
  <c r="I88" i="19"/>
  <c r="I89" i="19"/>
  <c r="I59" i="19"/>
  <c r="I127" i="19"/>
  <c r="I72" i="19"/>
  <c r="I21" i="19"/>
  <c r="I71" i="19"/>
  <c r="I85" i="19"/>
  <c r="I407" i="19"/>
  <c r="I331" i="19"/>
  <c r="I37" i="19"/>
  <c r="I38" i="19"/>
  <c r="I39" i="19"/>
  <c r="I143" i="19"/>
  <c r="I84" i="19"/>
  <c r="I56" i="19"/>
  <c r="I57" i="19"/>
  <c r="I215" i="19"/>
  <c r="I150" i="19"/>
  <c r="I151" i="19"/>
  <c r="I58" i="19"/>
  <c r="I78" i="19"/>
  <c r="I79" i="19"/>
  <c r="I81" i="19"/>
  <c r="I82" i="19"/>
  <c r="I222" i="19"/>
  <c r="I80" i="19"/>
  <c r="I83" i="19"/>
  <c r="I341" i="19"/>
  <c r="I146" i="19"/>
  <c r="I60" i="19"/>
  <c r="I62" i="19"/>
  <c r="I61" i="19"/>
  <c r="I371" i="19"/>
  <c r="I63" i="19"/>
  <c r="I17" i="19"/>
  <c r="I153" i="19"/>
  <c r="I145" i="19"/>
  <c r="I35" i="19"/>
  <c r="I149" i="19"/>
  <c r="I351" i="19"/>
  <c r="I399" i="19"/>
  <c r="I110" i="19"/>
  <c r="I372" i="19"/>
  <c r="I373" i="19"/>
  <c r="I40" i="19"/>
  <c r="I42" i="19"/>
  <c r="I342" i="19"/>
  <c r="I154" i="19"/>
  <c r="I368" i="19"/>
  <c r="I148" i="19"/>
  <c r="I162" i="19"/>
  <c r="I308" i="19"/>
  <c r="I116" i="19"/>
  <c r="I103" i="19"/>
  <c r="I43" i="19"/>
  <c r="I369" i="19"/>
  <c r="I128" i="19"/>
  <c r="I370" i="19"/>
  <c r="I125" i="19"/>
  <c r="I350" i="19"/>
  <c r="I366" i="19"/>
  <c r="I157" i="19"/>
  <c r="I93" i="19"/>
  <c r="I156" i="19"/>
  <c r="I334" i="19"/>
  <c r="I295" i="19"/>
  <c r="I190" i="19"/>
  <c r="I397" i="19"/>
  <c r="I398" i="19"/>
  <c r="I126" i="19"/>
  <c r="I312" i="19"/>
  <c r="I367" i="19"/>
  <c r="I155" i="19"/>
  <c r="I112" i="19"/>
  <c r="I179" i="19"/>
  <c r="I296" i="19"/>
  <c r="I297" i="19"/>
  <c r="I401" i="19"/>
  <c r="I403" i="19"/>
  <c r="I270" i="19"/>
  <c r="I352" i="19"/>
  <c r="I328" i="19"/>
  <c r="I76" i="19"/>
  <c r="I75" i="19"/>
  <c r="I379" i="19"/>
  <c r="I329" i="19"/>
  <c r="I129" i="19"/>
  <c r="I180" i="19"/>
  <c r="I380" i="19"/>
  <c r="I131" i="19"/>
  <c r="I235" i="19"/>
  <c r="I237" i="19"/>
  <c r="I229" i="19"/>
  <c r="I400" i="19"/>
  <c r="I402" i="19"/>
  <c r="I404" i="19"/>
  <c r="I170" i="19"/>
  <c r="I113" i="19"/>
  <c r="I298" i="19"/>
  <c r="I299" i="19"/>
  <c r="I300" i="19"/>
  <c r="I202" i="19"/>
  <c r="I206" i="19"/>
  <c r="I330" i="19"/>
  <c r="I335" i="19"/>
  <c r="I169" i="19"/>
  <c r="I191" i="19"/>
  <c r="I347" i="19"/>
  <c r="I94" i="19"/>
  <c r="I375" i="19"/>
  <c r="I200" i="19"/>
  <c r="I346" i="19"/>
  <c r="I181" i="19"/>
  <c r="I171" i="19"/>
  <c r="I107" i="19"/>
  <c r="I386" i="19"/>
  <c r="I236" i="19"/>
  <c r="I136" i="19"/>
  <c r="I387" i="19"/>
  <c r="I114" i="19"/>
  <c r="I349" i="19"/>
  <c r="I14" i="19"/>
  <c r="I184" i="19"/>
  <c r="I311" i="19"/>
  <c r="I376" i="19"/>
  <c r="I95" i="19"/>
  <c r="I201" i="19"/>
  <c r="I15" i="19"/>
  <c r="I281" i="19"/>
  <c r="I173" i="19"/>
  <c r="I172" i="19"/>
  <c r="I115" i="19"/>
  <c r="I272" i="19"/>
  <c r="I273" i="19"/>
  <c r="I348" i="19"/>
  <c r="I185" i="19"/>
  <c r="I193" i="19"/>
  <c r="I197" i="19"/>
  <c r="I239" i="19"/>
  <c r="I363" i="19"/>
  <c r="I283" i="19"/>
  <c r="I284" i="19"/>
  <c r="I285" i="19"/>
  <c r="I158" i="19"/>
  <c r="I364" i="19"/>
  <c r="I130" i="19"/>
  <c r="I292" i="19"/>
  <c r="I16" i="19"/>
  <c r="I186" i="19"/>
  <c r="I135" i="19"/>
  <c r="I365" i="19"/>
  <c r="I354" i="19"/>
  <c r="I175" i="19"/>
  <c r="I267" i="19"/>
  <c r="I268" i="19"/>
  <c r="I194" i="19"/>
  <c r="I294" i="19"/>
  <c r="I122" i="19"/>
  <c r="I358" i="19"/>
  <c r="I187" i="19"/>
  <c r="I164" i="19"/>
  <c r="I377" i="19"/>
  <c r="I355" i="19"/>
  <c r="I117" i="19"/>
  <c r="I176" i="19"/>
  <c r="I123" i="19"/>
  <c r="I195" i="19"/>
  <c r="I163" i="19"/>
  <c r="I390" i="19"/>
  <c r="I165" i="19"/>
  <c r="I118" i="19"/>
  <c r="I356" i="19"/>
  <c r="I269" i="19"/>
  <c r="I196" i="19"/>
  <c r="I124" i="19"/>
  <c r="I213" i="19"/>
  <c r="I313" i="19"/>
  <c r="I314" i="19"/>
  <c r="I315" i="19"/>
  <c r="I189" i="19"/>
  <c r="I384" i="19"/>
  <c r="I199" i="19"/>
  <c r="I132" i="19"/>
  <c r="I357" i="19"/>
  <c r="I353" i="19"/>
  <c r="I168" i="19"/>
  <c r="I266" i="19"/>
  <c r="I388" i="19"/>
  <c r="I360" i="19"/>
  <c r="I198" i="19"/>
  <c r="I119" i="19"/>
  <c r="I104" i="19"/>
  <c r="I233" i="19"/>
  <c r="I105" i="19"/>
  <c r="I106" i="19"/>
  <c r="I134" i="19"/>
  <c r="I389" i="19"/>
  <c r="I344" i="19"/>
  <c r="I278" i="19"/>
  <c r="I120" i="19"/>
  <c r="I279" i="19"/>
  <c r="I271" i="19"/>
  <c r="I385" i="19"/>
  <c r="I243" i="19"/>
  <c r="I252" i="19"/>
  <c r="I203" i="19"/>
  <c r="I121" i="19"/>
  <c r="I274" i="19"/>
  <c r="I275" i="19"/>
  <c r="I276" i="19"/>
  <c r="I205" i="19"/>
  <c r="I244" i="19"/>
  <c r="I245" i="19"/>
  <c r="I204" i="19"/>
  <c r="I166" i="19"/>
  <c r="I182" i="19"/>
  <c r="I167" i="19"/>
  <c r="I183" i="19"/>
  <c r="I133" i="19"/>
  <c r="I322" i="19"/>
  <c r="I96" i="19"/>
  <c r="I97" i="19"/>
  <c r="I248" i="19"/>
  <c r="I249" i="19"/>
  <c r="I240" i="19"/>
  <c r="I323" i="19"/>
  <c r="I324" i="19"/>
  <c r="I44" i="19"/>
  <c r="I45" i="19"/>
  <c r="I47" i="19"/>
  <c r="I251" i="19"/>
  <c r="I99" i="19"/>
  <c r="I242" i="19"/>
  <c r="I46" i="19"/>
  <c r="I241" i="19"/>
  <c r="I247" i="19"/>
  <c r="I287" i="19"/>
  <c r="I288" i="19"/>
  <c r="I291" i="19"/>
  <c r="I290" i="19"/>
  <c r="I216" i="19"/>
  <c r="I217" i="19"/>
  <c r="I382" i="19"/>
  <c r="I395" i="19"/>
  <c r="I289" i="19"/>
  <c r="I381" i="19"/>
  <c r="I218" i="19"/>
  <c r="I219" i="19"/>
  <c r="I253" i="19"/>
  <c r="I396" i="19"/>
  <c r="I262" i="19"/>
  <c r="I256" i="19"/>
  <c r="I261" i="19"/>
  <c r="I260" i="19"/>
  <c r="I257" i="19"/>
  <c r="I259" i="19"/>
  <c r="I258" i="19"/>
  <c r="I383" i="19"/>
  <c r="I208" i="19"/>
  <c r="I210" i="19"/>
  <c r="I212" i="19"/>
  <c r="I263" i="19"/>
  <c r="I209" i="19"/>
  <c r="I211" i="19"/>
  <c r="I391" i="19"/>
  <c r="I98" i="19"/>
  <c r="I127" i="30"/>
  <c r="I333" i="30"/>
  <c r="I198" i="30"/>
  <c r="I257" i="30"/>
  <c r="I193" i="30"/>
  <c r="I214" i="30"/>
  <c r="I377" i="30"/>
  <c r="I86" i="30"/>
  <c r="I200" i="30"/>
  <c r="I264" i="30"/>
  <c r="I165" i="30"/>
  <c r="I106" i="30"/>
  <c r="I69" i="19"/>
  <c r="I73" i="19"/>
  <c r="I34" i="19"/>
  <c r="I139" i="19"/>
  <c r="I144" i="19"/>
  <c r="I207" i="19"/>
  <c r="I277" i="19"/>
  <c r="I286" i="19"/>
  <c r="I160" i="19"/>
  <c r="K157" i="30"/>
  <c r="K30" i="30"/>
  <c r="K127" i="30"/>
  <c r="K106" i="30"/>
  <c r="K63" i="30"/>
  <c r="K86" i="30"/>
  <c r="K318" i="19"/>
  <c r="K326" i="19"/>
  <c r="K327" i="19"/>
  <c r="K424" i="19"/>
  <c r="K418" i="19"/>
  <c r="K423" i="19"/>
  <c r="K411" i="19"/>
  <c r="K338" i="19"/>
  <c r="K422" i="19"/>
  <c r="K417" i="19"/>
  <c r="K29" i="19"/>
  <c r="K405" i="19"/>
  <c r="K86" i="19"/>
  <c r="K87" i="19"/>
  <c r="K21" i="19"/>
  <c r="K57" i="19"/>
  <c r="K63" i="19"/>
  <c r="K153" i="19"/>
  <c r="K145" i="19"/>
  <c r="K342" i="19"/>
  <c r="I188" i="19"/>
  <c r="I224" i="19"/>
  <c r="I228" i="19"/>
  <c r="I306" i="19"/>
  <c r="I27" i="19"/>
  <c r="I28" i="19"/>
  <c r="I413" i="19"/>
  <c r="I427" i="19"/>
  <c r="I428" i="19"/>
  <c r="I421" i="19"/>
  <c r="I147" i="19"/>
  <c r="I406" i="19"/>
  <c r="I159" i="19"/>
  <c r="I161" i="19"/>
  <c r="I36" i="19"/>
  <c r="I101" i="19"/>
  <c r="I336" i="19"/>
  <c r="I111" i="19"/>
  <c r="I236" i="30" l="1"/>
  <c r="I310" i="19"/>
  <c r="I246" i="19"/>
  <c r="I309" i="19"/>
  <c r="I250" i="19"/>
  <c r="I359" i="19"/>
  <c r="I192" i="19"/>
  <c r="I418" i="19"/>
  <c r="I74" i="19"/>
  <c r="I374" i="19"/>
  <c r="I293" i="19"/>
  <c r="I157" i="30"/>
  <c r="I280" i="19"/>
  <c r="I102" i="19"/>
  <c r="I142" i="19"/>
  <c r="I20" i="19"/>
  <c r="I18" i="19"/>
  <c r="I415" i="19"/>
  <c r="I282" i="19"/>
  <c r="I41" i="19"/>
  <c r="I174" i="19"/>
  <c r="I66" i="19"/>
  <c r="I362" i="19"/>
  <c r="I333" i="19"/>
  <c r="I361" i="19"/>
  <c r="I77" i="19"/>
  <c r="I307" i="19"/>
  <c r="I30" i="30"/>
  <c r="I171" i="30"/>
  <c r="I194" i="30"/>
  <c r="I63" i="30"/>
  <c r="I136" i="30"/>
  <c r="K225" i="19"/>
  <c r="H440" i="19" s="1"/>
  <c r="I225" i="19"/>
  <c r="K103" i="30"/>
  <c r="K26" i="30"/>
  <c r="K324" i="30"/>
  <c r="K15" i="30"/>
  <c r="K385" i="30"/>
  <c r="K338" i="30"/>
  <c r="K355" i="30"/>
  <c r="K291" i="30"/>
  <c r="K267" i="30"/>
  <c r="K145" i="30"/>
  <c r="K270" i="30"/>
  <c r="K132" i="30"/>
  <c r="K278" i="30"/>
  <c r="K184" i="30"/>
  <c r="K71" i="30"/>
  <c r="K391" i="30"/>
  <c r="K268" i="30"/>
  <c r="K67" i="30"/>
  <c r="K124" i="30"/>
  <c r="K210" i="30"/>
  <c r="K420" i="30"/>
  <c r="K186" i="30"/>
  <c r="K112" i="30"/>
  <c r="K315" i="30"/>
  <c r="K356" i="30"/>
  <c r="K164" i="30"/>
  <c r="K40" i="30"/>
  <c r="K269" i="30"/>
  <c r="K51" i="30"/>
  <c r="K53" i="30"/>
  <c r="K389" i="30"/>
  <c r="K66" i="30"/>
  <c r="K306" i="30"/>
  <c r="K246" i="30"/>
  <c r="K300" i="30"/>
  <c r="K206" i="30"/>
  <c r="K301" i="30"/>
  <c r="K196" i="30"/>
  <c r="K81" i="30"/>
  <c r="K271" i="30"/>
  <c r="K227" i="30"/>
  <c r="K117" i="30"/>
  <c r="K361" i="30"/>
  <c r="K363" i="30"/>
  <c r="K282" i="30"/>
  <c r="K45" i="30"/>
  <c r="K80" i="30"/>
  <c r="K62" i="30"/>
  <c r="K340" i="30"/>
  <c r="K126" i="30"/>
  <c r="K368" i="30"/>
  <c r="K128" i="30"/>
  <c r="K72" i="30"/>
  <c r="K195" i="30"/>
  <c r="K294" i="30"/>
  <c r="K387" i="30"/>
  <c r="K326" i="30"/>
  <c r="K212" i="30"/>
  <c r="K101" i="30"/>
  <c r="K64" i="30"/>
  <c r="K260" i="30"/>
  <c r="K298" i="30"/>
  <c r="K344" i="30"/>
  <c r="K329" i="30"/>
  <c r="K332" i="30"/>
  <c r="K219" i="30"/>
  <c r="K235" i="30"/>
  <c r="K187" i="30"/>
  <c r="K203" i="30"/>
  <c r="K125" i="30"/>
  <c r="K243" i="30"/>
  <c r="K266" i="30"/>
  <c r="K253" i="30"/>
  <c r="K262" i="30"/>
  <c r="K252" i="30"/>
  <c r="K59" i="30"/>
  <c r="K328" i="30"/>
  <c r="K42" i="30"/>
  <c r="K129" i="30"/>
  <c r="K205" i="30"/>
  <c r="K14" i="30"/>
  <c r="K419" i="30"/>
  <c r="K345" i="30"/>
  <c r="K20" i="30"/>
  <c r="K422" i="30"/>
  <c r="K191" i="30"/>
  <c r="K364" i="30"/>
  <c r="K354" i="30"/>
  <c r="K393" i="30"/>
  <c r="K343" i="30"/>
  <c r="K122" i="30"/>
  <c r="K265" i="30"/>
  <c r="K161" i="30"/>
  <c r="K382" i="30"/>
  <c r="K339" i="30"/>
  <c r="K113" i="30"/>
  <c r="K118" i="30"/>
  <c r="K119" i="30"/>
  <c r="K390" i="30"/>
  <c r="K19" i="30"/>
  <c r="K18" i="30"/>
  <c r="K289" i="30"/>
  <c r="K423" i="30"/>
  <c r="K207" i="30"/>
  <c r="K249" i="30"/>
  <c r="K166" i="30"/>
  <c r="K292" i="30"/>
  <c r="K293" i="30"/>
  <c r="K299" i="30"/>
  <c r="K225" i="30"/>
  <c r="K415" i="30"/>
  <c r="K261" i="30"/>
  <c r="K403" i="30"/>
  <c r="K48" i="30"/>
  <c r="K202" i="30"/>
  <c r="K162" i="30"/>
  <c r="K52" i="30"/>
  <c r="K114" i="30"/>
  <c r="K60" i="30"/>
  <c r="K359" i="30"/>
  <c r="K239" i="30"/>
  <c r="K357" i="30"/>
  <c r="K279" i="30"/>
  <c r="K296" i="30"/>
  <c r="K44" i="30"/>
  <c r="K176" i="30"/>
  <c r="K208" i="30"/>
  <c r="K250" i="30"/>
  <c r="K258" i="30"/>
  <c r="K238" i="30"/>
  <c r="K242" i="30"/>
  <c r="K183" i="30"/>
  <c r="K380" i="30"/>
  <c r="K321" i="30"/>
  <c r="K24" i="30"/>
  <c r="K421" i="30"/>
  <c r="K123" i="30"/>
  <c r="K407" i="30"/>
  <c r="K143" i="30"/>
  <c r="K254" i="30"/>
  <c r="K376" i="30"/>
  <c r="K87" i="30"/>
  <c r="K115" i="30"/>
  <c r="K150" i="30"/>
  <c r="K367" i="30"/>
  <c r="K295" i="30"/>
  <c r="K96" i="30"/>
  <c r="K280" i="30"/>
  <c r="K281" i="30"/>
  <c r="K77" i="30"/>
  <c r="K388" i="30"/>
  <c r="K185" i="30"/>
  <c r="K16" i="30"/>
  <c r="K79" i="30"/>
  <c r="K65" i="30"/>
  <c r="K263" i="30"/>
  <c r="K378" i="30"/>
  <c r="K89" i="30"/>
  <c r="K290" i="30"/>
  <c r="K288" i="30"/>
  <c r="K47" i="30"/>
  <c r="K75" i="30"/>
  <c r="K69" i="30"/>
  <c r="K82" i="30"/>
  <c r="K83" i="30"/>
  <c r="K70" i="30"/>
  <c r="K379" i="30"/>
  <c r="K375" i="30"/>
  <c r="K199" i="30"/>
  <c r="K23" i="30"/>
  <c r="K317" i="30"/>
  <c r="K222" i="30"/>
  <c r="K245" i="30"/>
  <c r="K76" i="30"/>
  <c r="K49" i="30"/>
  <c r="K50" i="30"/>
  <c r="K97" i="30"/>
  <c r="K188" i="30"/>
  <c r="K111" i="30"/>
  <c r="K116" i="30"/>
  <c r="K255" i="30"/>
  <c r="K190" i="30"/>
  <c r="K98" i="30"/>
  <c r="K99" i="30"/>
  <c r="K241" i="30"/>
  <c r="K256" i="30"/>
  <c r="K17" i="30"/>
  <c r="K155" i="30"/>
  <c r="K318" i="30"/>
  <c r="K257" i="30"/>
  <c r="K193" i="30"/>
  <c r="K171" i="30"/>
  <c r="K240" i="30"/>
  <c r="K237" i="30"/>
  <c r="K347" i="30"/>
  <c r="K226" i="30"/>
  <c r="K178" i="30"/>
  <c r="K330" i="30"/>
  <c r="K41" i="30"/>
  <c r="K412" i="30"/>
  <c r="K173" i="30"/>
  <c r="K233" i="30"/>
  <c r="K402" i="30"/>
  <c r="K121" i="30"/>
  <c r="K29" i="30"/>
  <c r="K316" i="30"/>
  <c r="K392" i="30"/>
  <c r="K224" i="30"/>
  <c r="K362" i="30"/>
  <c r="K414" i="30"/>
  <c r="K411" i="30"/>
  <c r="K180" i="30"/>
  <c r="K181" i="30"/>
  <c r="K248" i="30"/>
  <c r="K94" i="30"/>
  <c r="K400" i="30"/>
  <c r="K43" i="30"/>
  <c r="K322" i="30"/>
  <c r="K174" i="30"/>
  <c r="K21" i="30"/>
  <c r="K22" i="30"/>
  <c r="K146" i="30"/>
  <c r="K215" i="30"/>
  <c r="K216" i="30"/>
  <c r="K92" i="30"/>
  <c r="K131" i="30"/>
  <c r="K153" i="30"/>
  <c r="K348" i="30"/>
  <c r="K358" i="30"/>
  <c r="K46" i="30"/>
  <c r="K154" i="30"/>
  <c r="K149" i="30"/>
  <c r="K144" i="30"/>
  <c r="K147" i="30"/>
  <c r="K401" i="30"/>
  <c r="K309" i="30"/>
  <c r="K274" i="30"/>
  <c r="K305" i="30"/>
  <c r="K231" i="30"/>
  <c r="K167" i="30"/>
  <c r="K372" i="30"/>
  <c r="K360" i="30"/>
  <c r="K110" i="30"/>
  <c r="K408" i="30"/>
  <c r="K85" i="30"/>
  <c r="K334" i="30"/>
  <c r="K336" i="30"/>
  <c r="K140" i="30"/>
  <c r="K141" i="30"/>
  <c r="K341" i="30"/>
  <c r="K365" i="30"/>
  <c r="K335" i="30"/>
  <c r="K35" i="30"/>
  <c r="K177" i="30"/>
  <c r="K312" i="30"/>
  <c r="K325" i="30"/>
  <c r="K221" i="30"/>
  <c r="K88" i="30"/>
  <c r="K327" i="30"/>
  <c r="K337" i="30"/>
  <c r="K139" i="30"/>
  <c r="K395" i="30"/>
  <c r="K399" i="30"/>
  <c r="K259" i="30"/>
  <c r="K217" i="30"/>
  <c r="K28" i="30"/>
  <c r="K34" i="30"/>
  <c r="K54" i="30"/>
  <c r="K346" i="30"/>
  <c r="K163" i="30"/>
  <c r="K353" i="30"/>
  <c r="K192" i="30"/>
  <c r="K311" i="30"/>
  <c r="K74" i="30"/>
  <c r="K133" i="30"/>
  <c r="K134" i="30"/>
  <c r="K302" i="30"/>
  <c r="K179" i="30"/>
  <c r="K27" i="30"/>
  <c r="K36" i="30"/>
  <c r="K209" i="30"/>
  <c r="K251" i="30"/>
  <c r="K229" i="30"/>
  <c r="K61" i="30"/>
  <c r="K284" i="30"/>
  <c r="K169" i="30"/>
  <c r="K371" i="30"/>
  <c r="K394" i="30"/>
  <c r="K230" i="30"/>
  <c r="K39" i="30"/>
  <c r="K13" i="30"/>
  <c r="K416" i="30"/>
  <c r="K272" i="30"/>
  <c r="K78" i="30"/>
  <c r="K201" i="30"/>
  <c r="K100" i="30"/>
  <c r="K91" i="30"/>
  <c r="K350" i="30"/>
  <c r="K351" i="30"/>
  <c r="K223" i="30"/>
  <c r="K108" i="30"/>
  <c r="K398" i="30"/>
  <c r="K313" i="30"/>
  <c r="K247" i="30"/>
  <c r="K409" i="30"/>
  <c r="K410" i="30"/>
  <c r="K90" i="30"/>
  <c r="K397" i="30"/>
  <c r="K273" i="30"/>
  <c r="K189" i="30"/>
  <c r="K95" i="30"/>
  <c r="K277" i="30"/>
  <c r="K213" i="30"/>
  <c r="K68" i="30"/>
  <c r="K204" i="30"/>
  <c r="K220" i="30"/>
  <c r="K107" i="30"/>
  <c r="K160" i="30"/>
  <c r="K137" i="30"/>
  <c r="K331" i="30"/>
  <c r="K308" i="30"/>
  <c r="K404" i="30"/>
  <c r="K37" i="30"/>
  <c r="K287" i="30"/>
  <c r="K32" i="30"/>
  <c r="K33" i="30"/>
  <c r="K405" i="30"/>
  <c r="K38" i="30"/>
  <c r="K297" i="30"/>
  <c r="K234" i="30"/>
  <c r="K218" i="30"/>
  <c r="K168" i="30"/>
  <c r="K135" i="30"/>
  <c r="K319" i="30"/>
  <c r="K109" i="30"/>
  <c r="K102" i="30"/>
  <c r="K370" i="30"/>
  <c r="K323" i="30"/>
  <c r="K158" i="30"/>
  <c r="K159" i="30"/>
  <c r="K228" i="30"/>
  <c r="K307" i="30"/>
  <c r="K303" i="30"/>
  <c r="K283" i="30"/>
  <c r="K31" i="30"/>
  <c r="K175" i="30"/>
  <c r="K211" i="30"/>
  <c r="K352" i="30"/>
  <c r="K244" i="30"/>
  <c r="K105" i="30"/>
  <c r="K152" i="30"/>
  <c r="K138" i="30"/>
  <c r="K384" i="30"/>
  <c r="K151" i="30"/>
  <c r="K172" i="30"/>
  <c r="K342" i="30"/>
  <c r="K310" i="30"/>
  <c r="K156" i="30"/>
  <c r="K418" i="30"/>
  <c r="K56" i="30"/>
  <c r="K57" i="30"/>
  <c r="K120" i="30"/>
  <c r="K232" i="30"/>
  <c r="K373" i="30"/>
  <c r="K381" i="30"/>
  <c r="K170" i="30"/>
  <c r="K275" i="30"/>
  <c r="K197" i="30"/>
  <c r="K285" i="30"/>
  <c r="K314" i="30"/>
  <c r="K417" i="30"/>
  <c r="K130" i="30"/>
  <c r="K142" i="30"/>
  <c r="K320" i="30"/>
  <c r="K413" i="30"/>
  <c r="K369" i="30"/>
  <c r="K366" i="30"/>
  <c r="K276" i="30"/>
  <c r="K55" i="30"/>
  <c r="K286" i="30"/>
  <c r="K383" i="30"/>
  <c r="K374" i="30"/>
  <c r="K25" i="30"/>
  <c r="K396" i="30"/>
  <c r="K84" i="30"/>
  <c r="K73" i="30"/>
  <c r="K304" i="30"/>
  <c r="K93" i="30"/>
  <c r="K58" i="30"/>
  <c r="K406" i="30"/>
  <c r="K148" i="30"/>
  <c r="K182" i="30"/>
  <c r="K349" i="30"/>
  <c r="I436" i="19" l="1"/>
  <c r="I268" i="30"/>
  <c r="I262" i="30"/>
  <c r="I354" i="30"/>
  <c r="I188" i="30"/>
  <c r="I21" i="30"/>
  <c r="I146" i="30"/>
  <c r="I325" i="30"/>
  <c r="I394" i="30"/>
  <c r="I416" i="30"/>
  <c r="I410" i="30"/>
  <c r="I397" i="30"/>
  <c r="I137" i="30"/>
  <c r="I331" i="30"/>
  <c r="I297" i="30"/>
  <c r="I31" i="30"/>
  <c r="I175" i="30"/>
  <c r="I56" i="30"/>
  <c r="I413" i="30"/>
  <c r="I369" i="30"/>
  <c r="I144" i="30"/>
  <c r="I81" i="30"/>
  <c r="I147" i="30"/>
  <c r="I271" i="30"/>
  <c r="I227" i="30"/>
  <c r="I401" i="30"/>
  <c r="I266" i="30"/>
  <c r="I280" i="30"/>
  <c r="I79" i="30"/>
  <c r="I288" i="30"/>
  <c r="I277" i="30"/>
  <c r="I374" i="30"/>
  <c r="I25" i="30"/>
  <c r="I51" i="30"/>
  <c r="I53" i="30"/>
  <c r="I389" i="30"/>
  <c r="I66" i="30"/>
  <c r="I306" i="30"/>
  <c r="I246" i="30"/>
  <c r="I300" i="30"/>
  <c r="I206" i="30"/>
  <c r="I301" i="30"/>
  <c r="I196" i="30"/>
  <c r="I103" i="30"/>
  <c r="I26" i="30"/>
  <c r="I324" i="30"/>
  <c r="I15" i="30"/>
  <c r="I40" i="30"/>
  <c r="I229" i="30"/>
  <c r="I322" i="30"/>
  <c r="I174" i="30"/>
  <c r="I22" i="30"/>
  <c r="I28" i="30"/>
  <c r="I34" i="30"/>
  <c r="I54" i="30"/>
  <c r="I346" i="30"/>
  <c r="I163" i="30"/>
  <c r="I353" i="30"/>
  <c r="I192" i="30"/>
  <c r="I311" i="30"/>
  <c r="I74" i="30"/>
  <c r="I133" i="30"/>
  <c r="I134" i="30"/>
  <c r="I42" i="30"/>
  <c r="I129" i="30"/>
  <c r="I205" i="30"/>
  <c r="I14" i="30"/>
  <c r="I419" i="30"/>
  <c r="I47" i="30"/>
  <c r="I75" i="30"/>
  <c r="I69" i="30"/>
  <c r="I82" i="30"/>
  <c r="I83" i="30"/>
  <c r="I221" i="30"/>
  <c r="I88" i="30"/>
  <c r="I327" i="30"/>
  <c r="I337" i="30"/>
  <c r="I302" i="30"/>
  <c r="I269" i="30"/>
  <c r="I124" i="30"/>
  <c r="I210" i="30"/>
  <c r="I420" i="30"/>
  <c r="I240" i="30"/>
  <c r="I237" i="30"/>
  <c r="I334" i="30"/>
  <c r="I336" i="30"/>
  <c r="I140" i="30"/>
  <c r="I141" i="30"/>
  <c r="I341" i="30"/>
  <c r="I37" i="30"/>
  <c r="I287" i="30"/>
  <c r="I32" i="30"/>
  <c r="I186" i="30"/>
  <c r="I112" i="30"/>
  <c r="I315" i="30"/>
  <c r="I356" i="30"/>
  <c r="I164" i="30"/>
  <c r="I372" i="30"/>
  <c r="I360" i="30"/>
  <c r="I110" i="30"/>
  <c r="I408" i="30"/>
  <c r="I85" i="30"/>
  <c r="I117" i="30"/>
  <c r="I361" i="30"/>
  <c r="I363" i="30"/>
  <c r="I282" i="30"/>
  <c r="I45" i="30"/>
  <c r="I80" i="30"/>
  <c r="I62" i="30"/>
  <c r="I340" i="30"/>
  <c r="I126" i="30"/>
  <c r="I393" i="30"/>
  <c r="I343" i="30"/>
  <c r="I122" i="30"/>
  <c r="I265" i="30"/>
  <c r="I161" i="30"/>
  <c r="I382" i="30"/>
  <c r="I339" i="30"/>
  <c r="I113" i="30"/>
  <c r="I118" i="30"/>
  <c r="I119" i="30"/>
  <c r="I390" i="30"/>
  <c r="I19" i="30"/>
  <c r="I18" i="30"/>
  <c r="I289" i="30"/>
  <c r="I423" i="30"/>
  <c r="I207" i="30"/>
  <c r="I249" i="30"/>
  <c r="I166" i="30"/>
  <c r="I292" i="30"/>
  <c r="I293" i="30"/>
  <c r="I299" i="30"/>
  <c r="I225" i="30"/>
  <c r="I415" i="30"/>
  <c r="I261" i="30"/>
  <c r="I403" i="30"/>
  <c r="I48" i="30"/>
  <c r="I202" i="30"/>
  <c r="I162" i="30"/>
  <c r="I52" i="30"/>
  <c r="I250" i="30"/>
  <c r="I258" i="30"/>
  <c r="I238" i="30"/>
  <c r="I242" i="30"/>
  <c r="I183" i="30"/>
  <c r="I407" i="30"/>
  <c r="I143" i="30"/>
  <c r="I254" i="30"/>
  <c r="I376" i="30"/>
  <c r="I87" i="30"/>
  <c r="I347" i="30"/>
  <c r="I226" i="30"/>
  <c r="I178" i="30"/>
  <c r="I330" i="30"/>
  <c r="I41" i="30"/>
  <c r="I215" i="30"/>
  <c r="I216" i="30"/>
  <c r="I92" i="30"/>
  <c r="I131" i="30"/>
  <c r="I153" i="30"/>
  <c r="I348" i="30"/>
  <c r="I358" i="30"/>
  <c r="I46" i="30"/>
  <c r="I154" i="30"/>
  <c r="I149" i="30"/>
  <c r="I309" i="30"/>
  <c r="I274" i="30"/>
  <c r="I305" i="30"/>
  <c r="I231" i="30"/>
  <c r="I167" i="30"/>
  <c r="I139" i="30"/>
  <c r="I395" i="30"/>
  <c r="I399" i="30"/>
  <c r="I259" i="30"/>
  <c r="I217" i="30"/>
  <c r="I33" i="30"/>
  <c r="I405" i="30"/>
  <c r="I38" i="30"/>
  <c r="I234" i="30"/>
  <c r="I58" i="30"/>
  <c r="I406" i="30"/>
  <c r="I148" i="30"/>
  <c r="I182" i="30"/>
  <c r="I349" i="30"/>
  <c r="I385" i="30"/>
  <c r="I355" i="30"/>
  <c r="I338" i="30"/>
  <c r="I260" i="30"/>
  <c r="I253" i="30"/>
  <c r="I252" i="30"/>
  <c r="I59" i="30"/>
  <c r="I328" i="30"/>
  <c r="I284" i="30"/>
  <c r="I169" i="30"/>
  <c r="I78" i="30"/>
  <c r="I281" i="30"/>
  <c r="I77" i="30"/>
  <c r="I388" i="30"/>
  <c r="I185" i="30"/>
  <c r="I16" i="30"/>
  <c r="I65" i="30"/>
  <c r="I263" i="30"/>
  <c r="I378" i="30"/>
  <c r="I89" i="30"/>
  <c r="I290" i="30"/>
  <c r="I222" i="30"/>
  <c r="I245" i="30"/>
  <c r="I76" i="30"/>
  <c r="I49" i="30"/>
  <c r="I50" i="30"/>
  <c r="I97" i="30"/>
  <c r="I111" i="30"/>
  <c r="I402" i="30"/>
  <c r="I121" i="30"/>
  <c r="I29" i="30"/>
  <c r="I316" i="30"/>
  <c r="I392" i="30"/>
  <c r="I342" i="30"/>
  <c r="I310" i="30"/>
  <c r="I156" i="30"/>
  <c r="I418" i="30"/>
  <c r="I57" i="30"/>
  <c r="I228" i="30"/>
  <c r="I307" i="30"/>
  <c r="I303" i="30"/>
  <c r="I283" i="30"/>
  <c r="I291" i="30"/>
  <c r="I267" i="30"/>
  <c r="I145" i="30"/>
  <c r="I270" i="30"/>
  <c r="I132" i="30"/>
  <c r="I368" i="30"/>
  <c r="I128" i="30"/>
  <c r="I72" i="30"/>
  <c r="I195" i="30"/>
  <c r="I294" i="30"/>
  <c r="I387" i="30"/>
  <c r="I326" i="30"/>
  <c r="I212" i="30"/>
  <c r="I101" i="30"/>
  <c r="I64" i="30"/>
  <c r="I298" i="30"/>
  <c r="I344" i="30"/>
  <c r="I329" i="30"/>
  <c r="I332" i="30"/>
  <c r="I219" i="30"/>
  <c r="I235" i="30"/>
  <c r="I187" i="30"/>
  <c r="I203" i="30"/>
  <c r="I125" i="30"/>
  <c r="I243" i="30"/>
  <c r="I114" i="30"/>
  <c r="I60" i="30"/>
  <c r="I359" i="30"/>
  <c r="I239" i="30"/>
  <c r="I357" i="30"/>
  <c r="I279" i="30"/>
  <c r="I296" i="30"/>
  <c r="I44" i="30"/>
  <c r="I176" i="30"/>
  <c r="I208" i="30"/>
  <c r="I115" i="30"/>
  <c r="I150" i="30"/>
  <c r="I367" i="30"/>
  <c r="I295" i="30"/>
  <c r="I96" i="30"/>
  <c r="I116" i="30"/>
  <c r="I255" i="30"/>
  <c r="I190" i="30"/>
  <c r="I98" i="30"/>
  <c r="I99" i="30"/>
  <c r="I70" i="30"/>
  <c r="I241" i="30"/>
  <c r="I256" i="30"/>
  <c r="I17" i="30"/>
  <c r="I155" i="30"/>
  <c r="I318" i="30"/>
  <c r="I224" i="30"/>
  <c r="I362" i="30"/>
  <c r="I414" i="30"/>
  <c r="I411" i="30"/>
  <c r="I180" i="30"/>
  <c r="I181" i="30"/>
  <c r="I248" i="30"/>
  <c r="I94" i="30"/>
  <c r="I400" i="30"/>
  <c r="I43" i="30"/>
  <c r="I365" i="30"/>
  <c r="I335" i="30"/>
  <c r="I35" i="30"/>
  <c r="I177" i="30"/>
  <c r="I312" i="30"/>
  <c r="I120" i="30"/>
  <c r="I232" i="30"/>
  <c r="I373" i="30"/>
  <c r="I381" i="30"/>
  <c r="I170" i="30"/>
  <c r="I275" i="30"/>
  <c r="I197" i="30"/>
  <c r="I285" i="30"/>
  <c r="I314" i="30"/>
  <c r="I417" i="30"/>
  <c r="I130" i="30"/>
  <c r="I142" i="30"/>
  <c r="I320" i="30"/>
  <c r="I366" i="30"/>
  <c r="I276" i="30"/>
  <c r="I55" i="30"/>
  <c r="I286" i="30"/>
  <c r="I383" i="30"/>
  <c r="I278" i="30"/>
  <c r="I184" i="30"/>
  <c r="I71" i="30"/>
  <c r="I391" i="30"/>
  <c r="I67" i="30"/>
  <c r="I345" i="30"/>
  <c r="I20" i="30"/>
  <c r="I422" i="30"/>
  <c r="I191" i="30"/>
  <c r="I364" i="30"/>
  <c r="I380" i="30"/>
  <c r="I321" i="30"/>
  <c r="I24" i="30"/>
  <c r="I421" i="30"/>
  <c r="I123" i="30"/>
  <c r="I379" i="30"/>
  <c r="I375" i="30"/>
  <c r="I199" i="30"/>
  <c r="I23" i="30"/>
  <c r="I317" i="30"/>
  <c r="I173" i="30"/>
  <c r="I412" i="30"/>
  <c r="I233" i="30"/>
  <c r="I189" i="30"/>
  <c r="I213" i="30"/>
  <c r="I68" i="30"/>
  <c r="I204" i="30"/>
  <c r="I220" i="30"/>
  <c r="I107" i="30"/>
  <c r="I386" i="30"/>
  <c r="I95" i="30"/>
  <c r="I160" i="30"/>
  <c r="I308" i="30"/>
  <c r="I404" i="30"/>
  <c r="I218" i="30"/>
  <c r="I168" i="30"/>
  <c r="I135" i="30"/>
  <c r="I319" i="30"/>
  <c r="I109" i="30"/>
  <c r="I102" i="30"/>
  <c r="I370" i="30"/>
  <c r="I323" i="30"/>
  <c r="I158" i="30"/>
  <c r="I159" i="30"/>
  <c r="I396" i="30"/>
  <c r="I84" i="30"/>
  <c r="I73" i="30"/>
  <c r="I304" i="30"/>
  <c r="I93" i="30"/>
  <c r="I211" i="30"/>
  <c r="I352" i="30"/>
  <c r="I244" i="30"/>
  <c r="I105" i="30"/>
  <c r="I152" i="30"/>
  <c r="I138" i="30"/>
  <c r="I384" i="30"/>
  <c r="I151" i="30"/>
  <c r="I172" i="30"/>
  <c r="I90" i="30"/>
  <c r="I251" i="30"/>
  <c r="I179" i="30"/>
  <c r="I272" i="30"/>
  <c r="I108" i="30"/>
  <c r="I398" i="30"/>
  <c r="I39" i="30"/>
  <c r="I350" i="30"/>
  <c r="I409" i="30"/>
  <c r="I313" i="30"/>
  <c r="I273" i="30"/>
  <c r="I209" i="30"/>
  <c r="I27" i="30"/>
  <c r="I230" i="30"/>
  <c r="I13" i="30"/>
  <c r="I247" i="30"/>
  <c r="I61" i="30"/>
  <c r="I371" i="30"/>
  <c r="I201" i="30"/>
  <c r="I223" i="30"/>
  <c r="I36" i="30"/>
  <c r="I100" i="30"/>
  <c r="I91" i="30"/>
  <c r="I351" i="30"/>
  <c r="K104" i="30" l="1"/>
  <c r="G15" i="31" l="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97" i="31"/>
  <c r="G98" i="31"/>
  <c r="G99" i="31"/>
  <c r="G100" i="31"/>
  <c r="G101" i="31"/>
  <c r="G102" i="31"/>
  <c r="G103" i="31"/>
  <c r="G104" i="31"/>
  <c r="G105" i="31"/>
  <c r="G106" i="31"/>
  <c r="G107" i="31"/>
  <c r="G108" i="31"/>
  <c r="G109" i="31"/>
  <c r="G110" i="31"/>
  <c r="G111" i="31"/>
  <c r="G112" i="31"/>
  <c r="G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D57" i="3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D73" i="31"/>
  <c r="D74" i="31"/>
  <c r="D75" i="31"/>
  <c r="D76" i="31"/>
  <c r="D77" i="31"/>
  <c r="D78" i="31"/>
  <c r="D79" i="31"/>
  <c r="D80" i="31"/>
  <c r="D81" i="31"/>
  <c r="D82" i="31"/>
  <c r="D83" i="31"/>
  <c r="D84" i="31"/>
  <c r="D85" i="31"/>
  <c r="D86" i="31"/>
  <c r="D87" i="31"/>
  <c r="D88" i="31"/>
  <c r="D89" i="31"/>
  <c r="D90" i="31"/>
  <c r="D91" i="31"/>
  <c r="D92" i="31"/>
  <c r="D93" i="31"/>
  <c r="D94" i="31"/>
  <c r="D95" i="31"/>
  <c r="D96" i="31"/>
  <c r="D97" i="31"/>
  <c r="D98" i="31"/>
  <c r="D99" i="31"/>
  <c r="D100" i="31"/>
  <c r="D101" i="31"/>
  <c r="D102" i="31"/>
  <c r="D103" i="31"/>
  <c r="D104" i="31"/>
  <c r="D105" i="31"/>
  <c r="D106" i="31"/>
  <c r="D107" i="31"/>
  <c r="D108" i="31"/>
  <c r="D109" i="31"/>
  <c r="D110" i="31"/>
  <c r="D111" i="31"/>
  <c r="D112" i="31"/>
  <c r="D14" i="31"/>
  <c r="I104" i="30"/>
  <c r="I105" i="31" l="1"/>
  <c r="I106" i="31"/>
  <c r="I102" i="31"/>
  <c r="I103" i="31"/>
  <c r="I104" i="31"/>
  <c r="J93" i="31"/>
  <c r="K93" i="31" s="1"/>
  <c r="J94" i="31"/>
  <c r="K94" i="31" s="1"/>
  <c r="J95" i="31"/>
  <c r="K95" i="31" s="1"/>
  <c r="J96" i="31"/>
  <c r="K96" i="31" s="1"/>
  <c r="J97" i="31"/>
  <c r="K97" i="31" s="1"/>
  <c r="J98" i="31"/>
  <c r="K98" i="31" s="1"/>
  <c r="J99" i="31"/>
  <c r="K99" i="31" s="1"/>
  <c r="J100" i="31"/>
  <c r="K100" i="31" s="1"/>
  <c r="J101" i="31"/>
  <c r="K101" i="31" s="1"/>
  <c r="J107" i="31"/>
  <c r="K107" i="31" s="1"/>
  <c r="J108" i="31"/>
  <c r="K108" i="31" s="1"/>
  <c r="J109" i="31"/>
  <c r="K109" i="31" s="1"/>
  <c r="J110" i="31"/>
  <c r="K110" i="31" s="1"/>
  <c r="J111" i="31"/>
  <c r="K111" i="31" s="1"/>
  <c r="J112" i="31"/>
  <c r="K112" i="31" s="1"/>
  <c r="I93" i="31"/>
  <c r="I94" i="31"/>
  <c r="I95" i="31"/>
  <c r="I96" i="31"/>
  <c r="I97" i="31"/>
  <c r="I98" i="31"/>
  <c r="I99" i="31"/>
  <c r="I100" i="31"/>
  <c r="I101" i="31"/>
  <c r="I107" i="31"/>
  <c r="I108" i="31"/>
  <c r="I109" i="31"/>
  <c r="I110" i="31"/>
  <c r="I111" i="31"/>
  <c r="I112" i="31"/>
  <c r="J63" i="31"/>
  <c r="K63" i="31" s="1"/>
  <c r="J64" i="31"/>
  <c r="K64" i="31" s="1"/>
  <c r="J65" i="31"/>
  <c r="K65" i="31" s="1"/>
  <c r="J66" i="31"/>
  <c r="K66" i="31" s="1"/>
  <c r="J67" i="31"/>
  <c r="K67" i="31" s="1"/>
  <c r="J68" i="31"/>
  <c r="K68" i="31" s="1"/>
  <c r="J69" i="31"/>
  <c r="K69" i="31" s="1"/>
  <c r="J70" i="31"/>
  <c r="K70" i="31" s="1"/>
  <c r="J71" i="31"/>
  <c r="K71" i="31" s="1"/>
  <c r="J72" i="31"/>
  <c r="K72" i="31" s="1"/>
  <c r="J73" i="31"/>
  <c r="K73" i="31" s="1"/>
  <c r="J74" i="31"/>
  <c r="K74" i="31" s="1"/>
  <c r="J75" i="31"/>
  <c r="K75" i="31" s="1"/>
  <c r="J76" i="31"/>
  <c r="K76" i="31" s="1"/>
  <c r="J77" i="31"/>
  <c r="K77" i="31" s="1"/>
  <c r="J78" i="31"/>
  <c r="K78" i="31" s="1"/>
  <c r="J79" i="31"/>
  <c r="K79" i="31" s="1"/>
  <c r="J80" i="31"/>
  <c r="K80" i="31" s="1"/>
  <c r="J81" i="31"/>
  <c r="K81" i="31" s="1"/>
  <c r="J82" i="31"/>
  <c r="K82" i="31" s="1"/>
  <c r="J83" i="31"/>
  <c r="K83" i="31" s="1"/>
  <c r="J84" i="31"/>
  <c r="K84" i="31" s="1"/>
  <c r="J85" i="31"/>
  <c r="K85" i="31" s="1"/>
  <c r="J86" i="31"/>
  <c r="K86" i="31" s="1"/>
  <c r="J87" i="31"/>
  <c r="K87" i="31" s="1"/>
  <c r="J88" i="31"/>
  <c r="K88" i="31" s="1"/>
  <c r="J89" i="31"/>
  <c r="K89" i="31" s="1"/>
  <c r="J90" i="31"/>
  <c r="K90" i="31" s="1"/>
  <c r="J91" i="31"/>
  <c r="K91" i="31" s="1"/>
  <c r="J92" i="31"/>
  <c r="K92" i="31" s="1"/>
  <c r="I63" i="31"/>
  <c r="I64" i="31"/>
  <c r="I65" i="31"/>
  <c r="I66" i="31"/>
  <c r="I67" i="31"/>
  <c r="I68" i="31"/>
  <c r="I69" i="31"/>
  <c r="I70" i="31"/>
  <c r="I71" i="31"/>
  <c r="I72" i="31"/>
  <c r="I73" i="31"/>
  <c r="I74" i="31"/>
  <c r="I75" i="31"/>
  <c r="I76" i="31"/>
  <c r="I77" i="31"/>
  <c r="I78" i="31"/>
  <c r="I79" i="31"/>
  <c r="I80" i="31"/>
  <c r="I81" i="31"/>
  <c r="I82" i="31"/>
  <c r="I83" i="31"/>
  <c r="I84" i="31"/>
  <c r="I85" i="31"/>
  <c r="I86" i="31"/>
  <c r="I87" i="31"/>
  <c r="I88" i="31"/>
  <c r="I89" i="31"/>
  <c r="I90" i="31"/>
  <c r="I91" i="31"/>
  <c r="I92" i="31"/>
  <c r="J18" i="31"/>
  <c r="K18" i="31" s="1"/>
  <c r="J19" i="31"/>
  <c r="K19" i="31" s="1"/>
  <c r="J20" i="31"/>
  <c r="K20" i="31" s="1"/>
  <c r="J21" i="31"/>
  <c r="K21" i="31" s="1"/>
  <c r="J22" i="31"/>
  <c r="K22" i="31" s="1"/>
  <c r="J23" i="31"/>
  <c r="K23" i="31" s="1"/>
  <c r="J24" i="31"/>
  <c r="K24" i="31" s="1"/>
  <c r="J25" i="31"/>
  <c r="K25" i="31" s="1"/>
  <c r="J26" i="31"/>
  <c r="K26" i="31" s="1"/>
  <c r="J27" i="31"/>
  <c r="K27" i="31" s="1"/>
  <c r="J28" i="31"/>
  <c r="K28" i="31" s="1"/>
  <c r="I18" i="31"/>
  <c r="I19" i="31"/>
  <c r="I20" i="31"/>
  <c r="I21" i="31"/>
  <c r="I22" i="31"/>
  <c r="I23" i="31"/>
  <c r="I24" i="31"/>
  <c r="I25" i="31"/>
  <c r="I26" i="31"/>
  <c r="I27" i="31"/>
  <c r="I28" i="31"/>
  <c r="J62" i="31" l="1"/>
  <c r="K62" i="31" s="1"/>
  <c r="I62" i="31"/>
  <c r="J61" i="31"/>
  <c r="K61" i="31" s="1"/>
  <c r="I61" i="31"/>
  <c r="J60" i="31"/>
  <c r="K60" i="31" s="1"/>
  <c r="I60" i="31"/>
  <c r="J59" i="31"/>
  <c r="K59" i="31" s="1"/>
  <c r="I59" i="31"/>
  <c r="J58" i="31"/>
  <c r="K58" i="31" s="1"/>
  <c r="I58" i="31"/>
  <c r="J57" i="31"/>
  <c r="K57" i="31" s="1"/>
  <c r="I57" i="31"/>
  <c r="J56" i="31"/>
  <c r="K56" i="31" s="1"/>
  <c r="I56" i="31"/>
  <c r="J55" i="31"/>
  <c r="K55" i="31" s="1"/>
  <c r="I55" i="31"/>
  <c r="J54" i="31"/>
  <c r="K54" i="31" s="1"/>
  <c r="I54" i="31"/>
  <c r="J53" i="31"/>
  <c r="K53" i="31" s="1"/>
  <c r="I53" i="31"/>
  <c r="J52" i="31"/>
  <c r="K52" i="31" s="1"/>
  <c r="I52" i="31"/>
  <c r="J51" i="31"/>
  <c r="K51" i="31" s="1"/>
  <c r="I51" i="31"/>
  <c r="J50" i="31"/>
  <c r="K50" i="31" s="1"/>
  <c r="I50" i="31"/>
  <c r="J49" i="31"/>
  <c r="K49" i="31" s="1"/>
  <c r="I49" i="31"/>
  <c r="J48" i="31"/>
  <c r="K48" i="31" s="1"/>
  <c r="I48" i="31"/>
  <c r="J47" i="31"/>
  <c r="K47" i="31" s="1"/>
  <c r="I47" i="31"/>
  <c r="J46" i="31"/>
  <c r="K46" i="31" s="1"/>
  <c r="I46" i="31"/>
  <c r="J45" i="31"/>
  <c r="K45" i="31" s="1"/>
  <c r="I45" i="31"/>
  <c r="J44" i="31"/>
  <c r="K44" i="31" s="1"/>
  <c r="I44" i="31"/>
  <c r="J43" i="31"/>
  <c r="K43" i="31" s="1"/>
  <c r="I43" i="31"/>
  <c r="J42" i="31"/>
  <c r="K42" i="31" s="1"/>
  <c r="I42" i="31"/>
  <c r="J41" i="31"/>
  <c r="K41" i="31" s="1"/>
  <c r="I41" i="31"/>
  <c r="J40" i="31"/>
  <c r="K40" i="31" s="1"/>
  <c r="I40" i="31"/>
  <c r="J39" i="31"/>
  <c r="K39" i="31" s="1"/>
  <c r="I39" i="31"/>
  <c r="J38" i="31"/>
  <c r="K38" i="31" s="1"/>
  <c r="I38" i="31"/>
  <c r="J37" i="31"/>
  <c r="K37" i="31" s="1"/>
  <c r="I37" i="31"/>
  <c r="J36" i="31"/>
  <c r="K36" i="31" s="1"/>
  <c r="I36" i="31"/>
  <c r="J35" i="31"/>
  <c r="K35" i="31" s="1"/>
  <c r="I35" i="31"/>
  <c r="J34" i="31"/>
  <c r="K34" i="31" s="1"/>
  <c r="I34" i="31"/>
  <c r="J33" i="31"/>
  <c r="K33" i="31" s="1"/>
  <c r="I33" i="31"/>
  <c r="J32" i="31"/>
  <c r="K32" i="31" s="1"/>
  <c r="I32" i="31"/>
  <c r="J31" i="31"/>
  <c r="K31" i="31" s="1"/>
  <c r="I31" i="31"/>
  <c r="J30" i="31"/>
  <c r="K30" i="31" s="1"/>
  <c r="I30" i="31"/>
  <c r="J29" i="31"/>
  <c r="K29" i="31" s="1"/>
  <c r="I29" i="31"/>
  <c r="J17" i="31"/>
  <c r="K17" i="31" s="1"/>
  <c r="I17" i="31"/>
  <c r="J16" i="31"/>
  <c r="K16" i="31" s="1"/>
  <c r="I16" i="31"/>
  <c r="J15" i="31"/>
  <c r="K15" i="31" s="1"/>
  <c r="I15" i="31"/>
  <c r="J14" i="31"/>
  <c r="K14" i="31" s="1"/>
  <c r="I14" i="31"/>
  <c r="F3" i="31"/>
  <c r="I428" i="30" l="1"/>
  <c r="I115" i="31"/>
  <c r="H119" i="31"/>
  <c r="I429" i="30" l="1"/>
  <c r="I430" i="30" s="1"/>
  <c r="I3" i="31"/>
  <c r="H1" i="31"/>
  <c r="I116" i="31"/>
  <c r="I117" i="31" s="1"/>
  <c r="I432" i="30" l="1"/>
  <c r="I1" i="30" s="1"/>
  <c r="F3" i="19"/>
  <c r="I3" i="19" l="1"/>
  <c r="H1" i="19" l="1"/>
  <c r="I437" i="19" l="1"/>
  <c r="I438" i="19" s="1"/>
</calcChain>
</file>

<file path=xl/sharedStrings.xml><?xml version="1.0" encoding="utf-8"?>
<sst xmlns="http://schemas.openxmlformats.org/spreadsheetml/2006/main" count="1186" uniqueCount="957">
  <si>
    <t>Peso Total Pedido en Kg</t>
  </si>
  <si>
    <t>CLIENTE:</t>
  </si>
  <si>
    <t>RUT:</t>
  </si>
  <si>
    <t>GIRO:</t>
  </si>
  <si>
    <t>DIRECCION:</t>
  </si>
  <si>
    <t>COMUNA :</t>
  </si>
  <si>
    <t>CIUDAD:</t>
  </si>
  <si>
    <t>CODIGO ACTUAL</t>
  </si>
  <si>
    <t xml:space="preserve">DESCRIPCION </t>
  </si>
  <si>
    <t>COLOR</t>
  </si>
  <si>
    <t>SISTEMA</t>
  </si>
  <si>
    <t>PRECIO DE VENTA NETO</t>
  </si>
  <si>
    <t>UNIDADES</t>
  </si>
  <si>
    <t xml:space="preserve"> TOTAL</t>
  </si>
  <si>
    <t>Pesos por Tiras</t>
  </si>
  <si>
    <t>Pesos total</t>
  </si>
  <si>
    <t>PI-SLD-MTR-BL</t>
  </si>
  <si>
    <t>PI-SLD-MTR-RD</t>
  </si>
  <si>
    <t>PI-SLD-MTR-GR</t>
  </si>
  <si>
    <t>PI-SLD-MTR-NB</t>
  </si>
  <si>
    <t>PI-SLD-MTR-S75-BL</t>
  </si>
  <si>
    <t>PI-SLD-MTR-S75-RD</t>
  </si>
  <si>
    <t>PI-SLD-MTR-S75-NO</t>
  </si>
  <si>
    <t>PI-SLD-MTR-S75-GR</t>
  </si>
  <si>
    <t>PI-SLD-MTR-S75-NB</t>
  </si>
  <si>
    <t>PI-SLD-MDR-BL</t>
  </si>
  <si>
    <t>PI-SLD-MDR-RD</t>
  </si>
  <si>
    <t>PI-SLD-MDR-NO</t>
  </si>
  <si>
    <t>PI-SLD-MDR-GR</t>
  </si>
  <si>
    <t>PI-SLD-MDR-NB</t>
  </si>
  <si>
    <t>PI-SLD-MDR-S75-BL</t>
  </si>
  <si>
    <t>PI-SLD-MDR-S75-RD</t>
  </si>
  <si>
    <t>PI-SLD-MDR-S75-NO</t>
  </si>
  <si>
    <t>PI-SLD-MDR-S75-GR</t>
  </si>
  <si>
    <t>PI-SLD-MDR-S75-NB</t>
  </si>
  <si>
    <t>PI-SLA-MDR-BL</t>
  </si>
  <si>
    <t>PI-SLA-MDR-RD</t>
  </si>
  <si>
    <t>PI-SLA-MDR-NO</t>
  </si>
  <si>
    <t>PI-SLA-MDR-GR</t>
  </si>
  <si>
    <t>PI-SLA-MDR-NB</t>
  </si>
  <si>
    <t>PI-SLA-MMC-BL</t>
  </si>
  <si>
    <t>PI-SLA-MMC-RD</t>
  </si>
  <si>
    <t>PI-SLA-MMC-NO</t>
  </si>
  <si>
    <t>PI-SLA-MMC-GR</t>
  </si>
  <si>
    <t>PI-SLA-MMC-NB</t>
  </si>
  <si>
    <t>PI-SLA-MDM-BL</t>
  </si>
  <si>
    <t>PI-SLA-MDM-RD</t>
  </si>
  <si>
    <t>PI-SLA-MDM-NO</t>
  </si>
  <si>
    <t>PI-SLD-H80-BL</t>
  </si>
  <si>
    <t>PI-SLD-H80-RD</t>
  </si>
  <si>
    <t>PI-SLD-H80-NO</t>
  </si>
  <si>
    <t>PI-SLD-H80-GR</t>
  </si>
  <si>
    <t>PI-SLD-H80-NB</t>
  </si>
  <si>
    <t>PI-SLA-A54-BL</t>
  </si>
  <si>
    <t>PI-SLD-H98-BL</t>
  </si>
  <si>
    <t>PI-SLD-H98-RD</t>
  </si>
  <si>
    <t>PI-SLD-H98-NO</t>
  </si>
  <si>
    <t>PI-SLD-H98-GR</t>
  </si>
  <si>
    <t>PI-SLD-H98-NB</t>
  </si>
  <si>
    <t>PI-SLA-A66-BL</t>
  </si>
  <si>
    <t>PI-SLA-A66-RD</t>
  </si>
  <si>
    <t>PI-SLA-A66-NO</t>
  </si>
  <si>
    <t>PI-SLA-A66-GR</t>
  </si>
  <si>
    <t>PI-SLA-A66-NB</t>
  </si>
  <si>
    <t>PI-SLD-J17-20-BL</t>
  </si>
  <si>
    <t>PI-SLD-J17-20-RD</t>
  </si>
  <si>
    <t>PI-SLD-J17-20-NO</t>
  </si>
  <si>
    <t>PI-SLD-J17-20-GR</t>
  </si>
  <si>
    <t>PI-SLD-J17-20-NB</t>
  </si>
  <si>
    <t>PI-SLA-JT19-BL</t>
  </si>
  <si>
    <t>PI-SLA-JT19-RD</t>
  </si>
  <si>
    <t>PI-SLA-JT19-NO</t>
  </si>
  <si>
    <t>PI-SLA-JT19-GR</t>
  </si>
  <si>
    <t>PI-SLA-JT19-NB</t>
  </si>
  <si>
    <t>PI-SLD-J20-22-BL</t>
  </si>
  <si>
    <t>PI-SLD-J20-22-RD</t>
  </si>
  <si>
    <t>PI-SLD-J20-22-NO</t>
  </si>
  <si>
    <t>PI-SLD-J20-22-GR</t>
  </si>
  <si>
    <t>PI-SLD-J20-22-NB</t>
  </si>
  <si>
    <t>PI-SLD-J3-5-BL</t>
  </si>
  <si>
    <t>PI-SLD-J3-5-RD</t>
  </si>
  <si>
    <t>PI-SLD-J3-5-NO</t>
  </si>
  <si>
    <t>PI-SLD-J3-5-GR</t>
  </si>
  <si>
    <t>PI-SLD-J3-5-NB</t>
  </si>
  <si>
    <t>PI-SLA-JM5-BL</t>
  </si>
  <si>
    <t>PI-SLA-JM5-RD</t>
  </si>
  <si>
    <t>PI-SLA-JM5-NO</t>
  </si>
  <si>
    <t>PI-SLA-JM5-GR</t>
  </si>
  <si>
    <t>PI-SLA-JM5-NB</t>
  </si>
  <si>
    <t>PI-SLD-T80-BL</t>
  </si>
  <si>
    <t>PI-SLD-T80-RD</t>
  </si>
  <si>
    <t>PI-SLD-T80-NO</t>
  </si>
  <si>
    <t>PI-SLD-T80-GR</t>
  </si>
  <si>
    <t>PI-SLD-T80-NB</t>
  </si>
  <si>
    <t>PI-SLD-T80-S75-BL</t>
  </si>
  <si>
    <t>PI-SLD-T80-S75-RD</t>
  </si>
  <si>
    <t>PI-SLD-T80-S75-NO</t>
  </si>
  <si>
    <t>PI-SLD-T80-S75-GR</t>
  </si>
  <si>
    <t>PI-SLD-T80-S75-NB</t>
  </si>
  <si>
    <t>PI-SLD-T98-BL</t>
  </si>
  <si>
    <t>PI-SLD-T98-RD</t>
  </si>
  <si>
    <t>PI-SLD-T98-NO</t>
  </si>
  <si>
    <t>PI-SLD-T98-GR</t>
  </si>
  <si>
    <t>PI-SLD-T98-NB</t>
  </si>
  <si>
    <t>PI-SLD-T98-S75-BL</t>
  </si>
  <si>
    <t>PI-SLD-T98-S75-RD</t>
  </si>
  <si>
    <t>PI-SLD-T98-S75-NO</t>
  </si>
  <si>
    <t>PI-SLD-T98-S75-GR</t>
  </si>
  <si>
    <t>PI-SLD-T98-S75-NB</t>
  </si>
  <si>
    <t>PI-SLA-TA54-BL</t>
  </si>
  <si>
    <t>PI-SLA-TA66-BL</t>
  </si>
  <si>
    <t>PI-SLA-TA66-RD</t>
  </si>
  <si>
    <t>PI-SLA-TA66-NO</t>
  </si>
  <si>
    <t>PI-SLA-TA66-GR</t>
  </si>
  <si>
    <t>PI-SLA-TA66-NB</t>
  </si>
  <si>
    <t>PI-SLA-TMM-BL</t>
  </si>
  <si>
    <t>PI-SLA-TMM-RD</t>
  </si>
  <si>
    <t>PI-SLA-TMM-NO</t>
  </si>
  <si>
    <t>PI-SLA-TMM-GR</t>
  </si>
  <si>
    <t>PI-SLA-TMM-NB</t>
  </si>
  <si>
    <t>PI-SLD-PTC-BL</t>
  </si>
  <si>
    <t>PI-SLD-PTC-RD</t>
  </si>
  <si>
    <t>PI-SLD-PTC-NO</t>
  </si>
  <si>
    <t>PI-SLD-PTC-GR</t>
  </si>
  <si>
    <t>PI-SLD-PTC-NB</t>
  </si>
  <si>
    <t>PI-SLD-EQC-BL</t>
  </si>
  <si>
    <t>PI-SLD-EQC-RD</t>
  </si>
  <si>
    <t>PI-SLD-EQC-NO</t>
  </si>
  <si>
    <t>PI-SLD-EQC-GR</t>
  </si>
  <si>
    <t>PI-SLD-EQC-NB</t>
  </si>
  <si>
    <t>PI-SLD-EQC-S75-BL</t>
  </si>
  <si>
    <t>PI-SLD-EQC-S75-RD</t>
  </si>
  <si>
    <t>PI-SLD-EQC-S75-NO</t>
  </si>
  <si>
    <t>PI-SLD-EQC-S75-GR</t>
  </si>
  <si>
    <t>PI-SLD-EQC-S75-NB</t>
  </si>
  <si>
    <t>PI-SLD-RDA-NA</t>
  </si>
  <si>
    <t>NATURAL</t>
  </si>
  <si>
    <t>PI-SLD-4FL-BL</t>
  </si>
  <si>
    <t>PI-SLD-4FL-RD</t>
  </si>
  <si>
    <t>PI-SLD-4FL-NO</t>
  </si>
  <si>
    <t>PI-SLD-4FL-GR</t>
  </si>
  <si>
    <t>PI-SLD-4FL-NB</t>
  </si>
  <si>
    <t>PI-SLA-4TA-BL</t>
  </si>
  <si>
    <t>PI-SLA-4TA-NO</t>
  </si>
  <si>
    <t>PI-CMP-ALE-BL</t>
  </si>
  <si>
    <t>PI-S38-ALT-BL</t>
  </si>
  <si>
    <t>PI-CMP-NALT-BL</t>
  </si>
  <si>
    <t>PI-CMP-NALT-NO</t>
  </si>
  <si>
    <t>PI-CMP-NALT-RD</t>
  </si>
  <si>
    <t>PI-CMP-NALT-GR</t>
  </si>
  <si>
    <t>PI-CMP-NALT-NB</t>
  </si>
  <si>
    <t>PI-S60-MF-BL</t>
  </si>
  <si>
    <t>PI-S60-MF-RD</t>
  </si>
  <si>
    <t>PI-S60-MF-NO</t>
  </si>
  <si>
    <t>PI-S60-MF-GR</t>
  </si>
  <si>
    <t>PI-S60-MF-NB</t>
  </si>
  <si>
    <t>PI-S38-MF-BL</t>
  </si>
  <si>
    <t>PI-S38-MF-RD</t>
  </si>
  <si>
    <t>PI-S38-MF-NO</t>
  </si>
  <si>
    <t>PI-S38-MF-GR</t>
  </si>
  <si>
    <t>PI-S38-MF-NB</t>
  </si>
  <si>
    <t>PI-S60-PT-BL</t>
  </si>
  <si>
    <t>PI-S60-PT-RD</t>
  </si>
  <si>
    <t>PI-S60-PT-NO</t>
  </si>
  <si>
    <t>PI-S60-PT-GR</t>
  </si>
  <si>
    <t>PI-S60-PT-NB</t>
  </si>
  <si>
    <t>PI-S38-PT-BL</t>
  </si>
  <si>
    <t>PI-S38-PT-RD</t>
  </si>
  <si>
    <t>PI-S38-PT-NO</t>
  </si>
  <si>
    <t>PI-S38-PT-GR</t>
  </si>
  <si>
    <t>PI-S38-PT-NB</t>
  </si>
  <si>
    <t>PI-S60-HVI-BL</t>
  </si>
  <si>
    <t>PI-S60-HVI-RD</t>
  </si>
  <si>
    <t>PI-S60-HVI-NO</t>
  </si>
  <si>
    <t>PI-S60-HVI-GR</t>
  </si>
  <si>
    <t>PI-S60-HVI-NB</t>
  </si>
  <si>
    <t>PI-S60-HVE-BL</t>
  </si>
  <si>
    <t>PI-S60-HVE-RD</t>
  </si>
  <si>
    <t>PI-S60-HVE-NO</t>
  </si>
  <si>
    <t>PI-S60-HVE-GR</t>
  </si>
  <si>
    <t>PI-S60-HVE-NB</t>
  </si>
  <si>
    <t>PI-S60-HPI-BL</t>
  </si>
  <si>
    <t>PI-S60-HPI-RD</t>
  </si>
  <si>
    <t>PI-S60-HPI-NO</t>
  </si>
  <si>
    <t>PI-S60-HPI-GR</t>
  </si>
  <si>
    <t>PI-S60-HPI-NB</t>
  </si>
  <si>
    <t>PI-S60-HPE-BL</t>
  </si>
  <si>
    <t>PI-S60-HPE-RD</t>
  </si>
  <si>
    <t>PI-S60-HPE-NO</t>
  </si>
  <si>
    <t>PI-S60-HPE-GR</t>
  </si>
  <si>
    <t>PI-S60-HPE-NB</t>
  </si>
  <si>
    <t>PI-S60-J3-5-BL</t>
  </si>
  <si>
    <t>PI-S60-J3-5-RD</t>
  </si>
  <si>
    <t>PI-S60-J3-5-NO</t>
  </si>
  <si>
    <t>PI-S60-J3-5-GR</t>
  </si>
  <si>
    <t>PI-S60-J3-5-NB</t>
  </si>
  <si>
    <t>PI-S60-J17-20-BL</t>
  </si>
  <si>
    <t>PI-S60-J17-20-RD</t>
  </si>
  <si>
    <t>PI-S60-J17-20-NO</t>
  </si>
  <si>
    <t>PI-S60-J17-20-GR</t>
  </si>
  <si>
    <t>PI-S60-J17-20-NB</t>
  </si>
  <si>
    <t>PI-S60-J22-24-BL</t>
  </si>
  <si>
    <t>PI-S60-J22-24-RD</t>
  </si>
  <si>
    <t>PI-S60-J22-24-NO</t>
  </si>
  <si>
    <t>PI-S60-J22-24-GR</t>
  </si>
  <si>
    <t>PI-S60-J22-24-NB</t>
  </si>
  <si>
    <t>PI-CMP-ACM-BL</t>
  </si>
  <si>
    <t>PI-CMP-ACM-RD</t>
  </si>
  <si>
    <t>PI-CMP-ACM-NO</t>
  </si>
  <si>
    <t>PI-CMP-ACM-GR</t>
  </si>
  <si>
    <t>PI-CMP-ACM-NB</t>
  </si>
  <si>
    <t>PI-S60-BTE-BL</t>
  </si>
  <si>
    <t>PI-S60-BTE-RD</t>
  </si>
  <si>
    <t>PI-S60-BTE-NO</t>
  </si>
  <si>
    <t>PI-S60-BTE-GR</t>
  </si>
  <si>
    <t>PI-S60-BTE-NB</t>
  </si>
  <si>
    <t>PI-CMP-75-170-BL</t>
  </si>
  <si>
    <t>PI-CMP-75-170-RD</t>
  </si>
  <si>
    <t>PI-CMP-75-170-NO</t>
  </si>
  <si>
    <t>PI-CMP-75-170-GR</t>
  </si>
  <si>
    <t>PI-CMP-75-170-NB</t>
  </si>
  <si>
    <t>PI-CMP-50-50-BL</t>
  </si>
  <si>
    <t>PI-CMP-50-50-RD</t>
  </si>
  <si>
    <t>PI-CMP-50-50-NO</t>
  </si>
  <si>
    <t>PI-CMP-50-50-GR</t>
  </si>
  <si>
    <t>PI-CMP-50-50-NB</t>
  </si>
  <si>
    <t>PI-S60-PME-BL</t>
  </si>
  <si>
    <t>PI-S60-PME-RD</t>
  </si>
  <si>
    <t>PI-S60-PME-NO</t>
  </si>
  <si>
    <t>PI-S60-PME-GR</t>
  </si>
  <si>
    <t>PI-S60-PME-NB</t>
  </si>
  <si>
    <t>PI-S60-EQF-BL</t>
  </si>
  <si>
    <t>PI-S60-EQF-RD</t>
  </si>
  <si>
    <t>PI-S60-EQF-NO</t>
  </si>
  <si>
    <t>PI-S60-EQF-GR</t>
  </si>
  <si>
    <t>PI-S60-EQF-NB</t>
  </si>
  <si>
    <t>PI-S60-E45-BL</t>
  </si>
  <si>
    <t>PI-S60-E45-RD</t>
  </si>
  <si>
    <t>PI-S60-E45-NO</t>
  </si>
  <si>
    <t>PI-S60-E45-GR</t>
  </si>
  <si>
    <t>PI-S60-ART-BL</t>
  </si>
  <si>
    <t>PI-S60-ART-RD</t>
  </si>
  <si>
    <t>PI-S60-ART-NO</t>
  </si>
  <si>
    <t>PI-S60-ART-GR</t>
  </si>
  <si>
    <t>PI-S60-ART-NB</t>
  </si>
  <si>
    <t>PI-S60-RTA-BL</t>
  </si>
  <si>
    <t>PI-S60-RTA-RD</t>
  </si>
  <si>
    <t>PI-S60-RTA-NO</t>
  </si>
  <si>
    <t>PI-S60-RTA-GR</t>
  </si>
  <si>
    <t>PI-S60-RTA-NB</t>
  </si>
  <si>
    <t>PI-S38-RTA-BL</t>
  </si>
  <si>
    <t>PI-S38-RTA-RD</t>
  </si>
  <si>
    <t>PI-S38-RTA-NO</t>
  </si>
  <si>
    <t>PI-S38-ART-BL</t>
  </si>
  <si>
    <t>PI-S38-ART-RD</t>
  </si>
  <si>
    <t>PI-S38-ART-NO</t>
  </si>
  <si>
    <t>PI-S60-P60-BL</t>
  </si>
  <si>
    <t>PI-S60-P60-RD</t>
  </si>
  <si>
    <t>PI-S60-P60-NO</t>
  </si>
  <si>
    <t>PI-S60-P60-GR</t>
  </si>
  <si>
    <t>PI-S60-P60-NB</t>
  </si>
  <si>
    <t>PI-S60-P30-NB</t>
  </si>
  <si>
    <t>PI-S60-P30-BL</t>
  </si>
  <si>
    <t>PI-S60-P30-RD</t>
  </si>
  <si>
    <t>PI-S60-P30-NO</t>
  </si>
  <si>
    <t>PI-S60-P30-GR</t>
  </si>
  <si>
    <t>PI-REF-ZAL-60</t>
  </si>
  <si>
    <t>PI-REF-BHP-NA</t>
  </si>
  <si>
    <t>PI-SLZ-MCZ-BL</t>
  </si>
  <si>
    <t>PI-SLZ-MCZ-RD</t>
  </si>
  <si>
    <t>PI-SLZ-MCZ-NO</t>
  </si>
  <si>
    <t>PI-SLZ-MCZ-GR</t>
  </si>
  <si>
    <t>PI-SLZ-MCZ-NB</t>
  </si>
  <si>
    <t>PI-SLZ-HCZ-BL</t>
  </si>
  <si>
    <t>PI-SLZ-HCZ-RD</t>
  </si>
  <si>
    <t>PI-SLZ-HCZ-NO</t>
  </si>
  <si>
    <t>PI-SLZ-HCZ-GR</t>
  </si>
  <si>
    <t>PI-SLZ-HCZ-NB</t>
  </si>
  <si>
    <t>PI-SLZ-TRS-BL</t>
  </si>
  <si>
    <t>PI-SLZ-TRS-RD</t>
  </si>
  <si>
    <t>PI-SLZ-TRS-NO</t>
  </si>
  <si>
    <t>PI-SLZ-TRS-GR</t>
  </si>
  <si>
    <t>PI-SLZ-TRS-NB</t>
  </si>
  <si>
    <t>PI-SLZ-TTZ-BL</t>
  </si>
  <si>
    <t>PI-SLZ-TTZ-RD</t>
  </si>
  <si>
    <t>PI-SLZ-TTZ-NO</t>
  </si>
  <si>
    <t>PI-SLZ-TTZ-GR</t>
  </si>
  <si>
    <t>PI-SLZ-TTZ-NB</t>
  </si>
  <si>
    <t>PI-SLZ-TPZ-BL</t>
  </si>
  <si>
    <t>PI-SLZ-TPZ-RD</t>
  </si>
  <si>
    <t>PI-SLZ-TPZ-NO</t>
  </si>
  <si>
    <t>PI-SLZ-TPZ-GR</t>
  </si>
  <si>
    <t>PI-SLZ-TPZ-NB</t>
  </si>
  <si>
    <t>PI-SLZ-RIZ-BL</t>
  </si>
  <si>
    <t>PI-SLZ-RIZ-RD</t>
  </si>
  <si>
    <t>PI-SLZ-RIZ-NO</t>
  </si>
  <si>
    <t>PI-SLZ-RIZ-GR</t>
  </si>
  <si>
    <t>PI-SLZ-RIZ-NB</t>
  </si>
  <si>
    <t>PI-SLZ-RSZ-BL</t>
  </si>
  <si>
    <t>PI-SLZ-RSZ-RD</t>
  </si>
  <si>
    <t>PI-SLZ-RSZ-NO</t>
  </si>
  <si>
    <t>PI-SLZ-RSZ-GR</t>
  </si>
  <si>
    <t>PI-SLZ-RSZ-NB</t>
  </si>
  <si>
    <t>PI-SLZ-SIZ-BL</t>
  </si>
  <si>
    <t>PI-SLZ-SIZ-RD</t>
  </si>
  <si>
    <t>PI-SLZ-SIZ-NO</t>
  </si>
  <si>
    <t>PI-SLZ-SIZ-GR</t>
  </si>
  <si>
    <t>PI-SLZ-SIZ-NB</t>
  </si>
  <si>
    <t>PI-SLZ-J24-BL</t>
  </si>
  <si>
    <t>PI-SLZ-J24-RD</t>
  </si>
  <si>
    <t>PI-SLZ-J24-NO</t>
  </si>
  <si>
    <t>PI-SLZ-J24-GR</t>
  </si>
  <si>
    <t>PI-SLZ-J24-NB</t>
  </si>
  <si>
    <t>PI-SLZ-TCZ-BL</t>
  </si>
  <si>
    <t>PI-SLZ-TCZ-RD</t>
  </si>
  <si>
    <t>PI-SLZ-TCZ-NB</t>
  </si>
  <si>
    <t>PI-SLZ-TCZ-NO</t>
  </si>
  <si>
    <t>PI-SLZ-TCZ-GR</t>
  </si>
  <si>
    <t>PI-SLZ-RLA-RD</t>
  </si>
  <si>
    <t>PI-SLZ-RLA-MR</t>
  </si>
  <si>
    <t>PI-SLZ-RAL-NA</t>
  </si>
  <si>
    <t>PI-SLZ-AMZ-NA</t>
  </si>
  <si>
    <t>PI-SLZ-AMZ-MR</t>
  </si>
  <si>
    <t>PI-SLZ-AMZ-BK</t>
  </si>
  <si>
    <t>PI-SLZ-MIR-NA</t>
  </si>
  <si>
    <t>PI-SLZ-MIR-MR</t>
  </si>
  <si>
    <t>PI-SLZ-MIR-BK</t>
  </si>
  <si>
    <t>PI-SLZ-4TA-BL</t>
  </si>
  <si>
    <t>PI-SLZ-4TA-CF</t>
  </si>
  <si>
    <t>PI-SLZ-4TA-MR</t>
  </si>
  <si>
    <t>PI-S60-INT-BL</t>
  </si>
  <si>
    <t>PI-S60-INT-RD</t>
  </si>
  <si>
    <t>PI-S60-INT-NO</t>
  </si>
  <si>
    <t>PI-S60-INT-GR</t>
  </si>
  <si>
    <t>PI-S60-INT-NB</t>
  </si>
  <si>
    <t>PI-S60-TUB-BL</t>
  </si>
  <si>
    <t>PI-S60-TUB-RD</t>
  </si>
  <si>
    <t>PI-S60-TUB-NO</t>
  </si>
  <si>
    <t>PI-S60-TUB-GR</t>
  </si>
  <si>
    <t>PI-S60-TUB-NB</t>
  </si>
  <si>
    <t>BIMP-SL-N50-5MT</t>
  </si>
  <si>
    <t>BARANDAS</t>
  </si>
  <si>
    <t>BIMP-FL-N50R-5MT</t>
  </si>
  <si>
    <t>BIMP-TF-N50R</t>
  </si>
  <si>
    <t>BIMP-PB-EXT-N50R</t>
  </si>
  <si>
    <t>BIMP-SL-S40-6MT</t>
  </si>
  <si>
    <t>BIMP-FIJ-INT-S40</t>
  </si>
  <si>
    <t>PI-AME-MCA-BL</t>
  </si>
  <si>
    <t>PI-AME-HCA-BL</t>
  </si>
  <si>
    <t>PI-AME-JDA-BL</t>
  </si>
  <si>
    <t>PI-AME-JSA-BL</t>
  </si>
  <si>
    <t>PI-AME-RAM-BL</t>
  </si>
  <si>
    <t>PI-AME-TFA-BL</t>
  </si>
  <si>
    <t>PI-AME-TMA-BL</t>
  </si>
  <si>
    <t>PI-MQT-MCM-BL</t>
  </si>
  <si>
    <t>PI-MQT-MCM-NO</t>
  </si>
  <si>
    <t>PI-MQT-MCM-RD</t>
  </si>
  <si>
    <t>PI-MQT-MCM-GR</t>
  </si>
  <si>
    <t>PI-MQT-MCM-NB</t>
  </si>
  <si>
    <t>PI-MQT-HCM-BL</t>
  </si>
  <si>
    <t>PI-MQT-HCM-NO</t>
  </si>
  <si>
    <t>PI-MQT-HCM-RD</t>
  </si>
  <si>
    <t>PI-MQT-HCM-GR</t>
  </si>
  <si>
    <t>PI-MQT-HCM-NB</t>
  </si>
  <si>
    <t>PI-MQT-PTM-BL</t>
  </si>
  <si>
    <t>PI-MQT-PTM-NO</t>
  </si>
  <si>
    <t>PI-MQT-PTM-RD</t>
  </si>
  <si>
    <t>PI-MQT-PTM-GR</t>
  </si>
  <si>
    <t>PI-MQT-PTM-NB</t>
  </si>
  <si>
    <t>PL-CMP-TC-MLT-12</t>
  </si>
  <si>
    <t>PL-CMP-TC-MLT-2</t>
  </si>
  <si>
    <t>PL-REF-TC-PLE-12</t>
  </si>
  <si>
    <t>PL-S60-TC-MLT-2</t>
  </si>
  <si>
    <t>PL-S60-TC-BMF-12</t>
  </si>
  <si>
    <t>PL-S60-TC-HPF-15</t>
  </si>
  <si>
    <t>PL-S60-TC-H98-2</t>
  </si>
  <si>
    <t>PL-SLD-TC-MCA-12</t>
  </si>
  <si>
    <t>PL-SLD-TC-MCA-S75-12</t>
  </si>
  <si>
    <t>PL-S60-TC-EQF-15</t>
  </si>
  <si>
    <t>PL-SLD-TC-EQC-15</t>
  </si>
  <si>
    <t>PL-CMP-TC-E45-15</t>
  </si>
  <si>
    <t>PL-S60-TC-PST-12</t>
  </si>
  <si>
    <t>PL-REF-TC-TUB-2</t>
  </si>
  <si>
    <t>PL-CMP-TC-INT-2</t>
  </si>
  <si>
    <t>PI-SLA-HS-MCA-12</t>
  </si>
  <si>
    <t>PL-SLA-TC-MCA-12</t>
  </si>
  <si>
    <t>PI-SLA-HS-H66-12</t>
  </si>
  <si>
    <t>PL-SLA-TC-H66-12</t>
  </si>
  <si>
    <t>PL-SLA-TC-H66-15</t>
  </si>
  <si>
    <t>PL-SLA-TC-H54-12</t>
  </si>
  <si>
    <t>PL-SLA-TC-MLT-12</t>
  </si>
  <si>
    <t>PL-CMP-TC-CTF-2</t>
  </si>
  <si>
    <t>PL-AME-RF-TFA</t>
  </si>
  <si>
    <t>PL-AME-RF-TMA</t>
  </si>
  <si>
    <t>PL-MQS-TC-MMQ-12</t>
  </si>
  <si>
    <t>PL-MQS-TC-HMQ-12</t>
  </si>
  <si>
    <t>PL-MQS-TC-PMQ-12</t>
  </si>
  <si>
    <t>PL-SLZ-TC-MCZ-12</t>
  </si>
  <si>
    <t>PL-SLZ-TC-HCZ-2</t>
  </si>
  <si>
    <t>Neto</t>
  </si>
  <si>
    <t>IVA</t>
  </si>
  <si>
    <t>Valor Total</t>
  </si>
  <si>
    <t>DESCRIPCION ACTUAL</t>
  </si>
  <si>
    <t>TIPO</t>
  </si>
  <si>
    <t>MONTO TOTAL</t>
  </si>
  <si>
    <t>Pesos por UND</t>
  </si>
  <si>
    <t>HL-ACC-5X5-APOC-MA</t>
  </si>
  <si>
    <t>HL-ACC-7X7-APOC-MA</t>
  </si>
  <si>
    <t>HL-ACC-9X9-APOC-MA</t>
  </si>
  <si>
    <t>HI-ACZ-BPZ-NE</t>
  </si>
  <si>
    <t>HI-ACZ-BSZ-NE</t>
  </si>
  <si>
    <t>HI-ACZ-BTZ-NE</t>
  </si>
  <si>
    <t>HL-ACC-CLZ-2-MV</t>
  </si>
  <si>
    <t>HL-ACC-CLZ-3-MV</t>
  </si>
  <si>
    <t>HL-ACC-CLZ-4-MV</t>
  </si>
  <si>
    <t>HL-ACC-CLZ-4-MA</t>
  </si>
  <si>
    <t>HL-ACC-CLZ-2-MA</t>
  </si>
  <si>
    <t>HL-ACC-CLZ-3-MA</t>
  </si>
  <si>
    <t>HL-ACC-CLZ-5-MA</t>
  </si>
  <si>
    <t>HI-ACC-CTH-BL</t>
  </si>
  <si>
    <t>HI-ACC-CTH-MR</t>
  </si>
  <si>
    <t>HI-ACC-CTH-NE</t>
  </si>
  <si>
    <t>HI-ACA-CPH-MDM-BL</t>
  </si>
  <si>
    <t>HI-ACA-CPH-MDM-MR</t>
  </si>
  <si>
    <t>HI-ACA-CPH-MDM-NE</t>
  </si>
  <si>
    <t>HI-ACC-CPT-S60</t>
  </si>
  <si>
    <t>HI-ACA-CPT-S38</t>
  </si>
  <si>
    <t>HI-ACA-CPV-HCA-BL</t>
  </si>
  <si>
    <t>HI-ACA-CPV-HCA-MR</t>
  </si>
  <si>
    <t>HI-ACA-CPV-HCA-NE</t>
  </si>
  <si>
    <t>HI-ACC-CZA-BL</t>
  </si>
  <si>
    <t>HI-ACC-CZA-GR</t>
  </si>
  <si>
    <t>HI-ACC-CZA-MR</t>
  </si>
  <si>
    <t>HI-ACC-CZA-NE</t>
  </si>
  <si>
    <t>HL-ACC-PDA-S60-MA</t>
  </si>
  <si>
    <t>HL-ACA-PCA-AND-MA</t>
  </si>
  <si>
    <t>HL-ACC-PAC-SLD-MA</t>
  </si>
  <si>
    <t>HI-ACZ-RTZ-BL</t>
  </si>
  <si>
    <t>HI-ACZ-RTZ-MR</t>
  </si>
  <si>
    <t>HI-ACZ-RTZ-NE</t>
  </si>
  <si>
    <t>HI-SUP-CRR-13-CS</t>
  </si>
  <si>
    <t>HI-SUP-CRR-185-CS</t>
  </si>
  <si>
    <t>HI-SUP-CRR-30-CS</t>
  </si>
  <si>
    <t>HI-SUP-CRR-6-CS</t>
  </si>
  <si>
    <t>HI-ACC-TB-BL</t>
  </si>
  <si>
    <t>HI-ACC-TB-MR</t>
  </si>
  <si>
    <t>HI-ACC-TB-MO</t>
  </si>
  <si>
    <t>HI-ACC-TB-NE</t>
  </si>
  <si>
    <t>HI-ACC-TDG-BL</t>
  </si>
  <si>
    <t>HI-ACC-TDG-MR</t>
  </si>
  <si>
    <t>HI-ACC-TDG-NE</t>
  </si>
  <si>
    <t>HI-ACC-TTAMO-BL</t>
  </si>
  <si>
    <t>HI-ACC-TTAMO-MR</t>
  </si>
  <si>
    <t>HI-ACC-TTAMO-NE</t>
  </si>
  <si>
    <t>HI-ACZ-TTZ-BL</t>
  </si>
  <si>
    <t>HI-ACZ-TTZ-GS</t>
  </si>
  <si>
    <t>HI-ACZ-TTZ-MR</t>
  </si>
  <si>
    <t>HL-ACC-TAMOR-13-MA</t>
  </si>
  <si>
    <t>HI-ACC-TPC90-BL</t>
  </si>
  <si>
    <t>HI-ACC-TPC90-NE</t>
  </si>
  <si>
    <t>HI-ACC-TPC90-MR</t>
  </si>
  <si>
    <t>HI-ACC-TE-MDR-BL</t>
  </si>
  <si>
    <t>HI-ACC-TE-MDR-GR</t>
  </si>
  <si>
    <t>HI-ACC-TE-MDR-MR</t>
  </si>
  <si>
    <t>HI-ACC-TE-MDR-NE</t>
  </si>
  <si>
    <t>HI-ACC-TE-MDR-S75-BL</t>
  </si>
  <si>
    <t>HI-ACC-TE-MDR-S75-MR</t>
  </si>
  <si>
    <t>HI-ACC-TE-MDR-S75-NE</t>
  </si>
  <si>
    <t>HI-ACA-TE-MDR-BL</t>
  </si>
  <si>
    <t>HI-ACA-TE-MDR-MR</t>
  </si>
  <si>
    <t>HI-ACA-TE-MDR-NE</t>
  </si>
  <si>
    <t>HI-ACA-TE-MMR-BL</t>
  </si>
  <si>
    <t>HI-ACA-TE-MMR-MR</t>
  </si>
  <si>
    <t>HI-ACA-TE-MMR-NE</t>
  </si>
  <si>
    <t>HI-ACC-TEZ-BL</t>
  </si>
  <si>
    <t>HI-ACC-TEZ-GR</t>
  </si>
  <si>
    <t>HI-ACC-TEZ-MR</t>
  </si>
  <si>
    <t>BIMP-ACC-CLZ-12MM</t>
  </si>
  <si>
    <t>BIMP-ACC-CLZ-16MM</t>
  </si>
  <si>
    <t>BIMP-BINT-N50</t>
  </si>
  <si>
    <t>BIMP-BEX-N50-12MM</t>
  </si>
  <si>
    <t>BIMP-BEX-N50-16MM</t>
  </si>
  <si>
    <t>BIMP-BINT-N50R</t>
  </si>
  <si>
    <t>BIMP-BEX-N50R-12MM</t>
  </si>
  <si>
    <t>BIMP-BEX-N50R-16MM</t>
  </si>
  <si>
    <t>BIMP-ACC-ALI-180-VNU</t>
  </si>
  <si>
    <t>BIMP-ACC-ALI-90-VNU</t>
  </si>
  <si>
    <t>HL-ACC-ESP-M10-150-MA</t>
  </si>
  <si>
    <t>HL-ACC-TRH-M10-MA</t>
  </si>
  <si>
    <t>HL-ACC-GOL-M10-MA</t>
  </si>
  <si>
    <t>HI-AME-CDC-SLK</t>
  </si>
  <si>
    <t>HI-AME-CRD-SLK</t>
  </si>
  <si>
    <t>HI-AME-CRR- SLK</t>
  </si>
  <si>
    <t>HI-AME-DR-TFJ</t>
  </si>
  <si>
    <t>HI-AME-FLP-SLK</t>
  </si>
  <si>
    <t>HI-BIS-100-SEG-BL</t>
  </si>
  <si>
    <t>HI-BIS-100-SEG-MR</t>
  </si>
  <si>
    <t>HI-BIS-100-SEG-NE</t>
  </si>
  <si>
    <t>HI-BIS-3D-BL</t>
  </si>
  <si>
    <t>HI-BIS-3D-MR</t>
  </si>
  <si>
    <t>HI-BIS-3D-NE</t>
  </si>
  <si>
    <t>HI-OB-BIS-SBCE</t>
  </si>
  <si>
    <t>HL-BR-PR-10-FB</t>
  </si>
  <si>
    <t>HL-BR-PRAB-12-FB</t>
  </si>
  <si>
    <t>HL-BR-PRAB-16-FB</t>
  </si>
  <si>
    <t>HL-BR-PR-20-FB</t>
  </si>
  <si>
    <t>HL-BR-PR-24-FB</t>
  </si>
  <si>
    <t>HL-BR-PRAB-8-FB</t>
  </si>
  <si>
    <t>HI-BR-PR-10-NC</t>
  </si>
  <si>
    <t>HI-BR-PR-12-NC</t>
  </si>
  <si>
    <t>HI-BR-PR-16-NC</t>
  </si>
  <si>
    <t>HI-BR-PR-20-NC</t>
  </si>
  <si>
    <t>HI-BR-PR-24-NC</t>
  </si>
  <si>
    <t>HI-BR-PR-8-NC</t>
  </si>
  <si>
    <t>HL-BR-RF-22-FB</t>
  </si>
  <si>
    <t>HL-BR-RF-26-FB</t>
  </si>
  <si>
    <t>HI-CR-AJT-40-NAT</t>
  </si>
  <si>
    <t>HI-CR-AJT-70-KG</t>
  </si>
  <si>
    <t>HI-CR-SLA-40</t>
  </si>
  <si>
    <t>HI-CR-SLA-FJ-45-CS</t>
  </si>
  <si>
    <t>HI-CR-SLA-FJ-90-CS</t>
  </si>
  <si>
    <t>HI-CR-SLA-RG-60-CS</t>
  </si>
  <si>
    <t>HI-CR-SLD-RG-120-CS</t>
  </si>
  <si>
    <t>HI-CR-SLD-AJT-240-CS</t>
  </si>
  <si>
    <t>HI-CR-SLD-RG-60-CS</t>
  </si>
  <si>
    <t>HI-CR-SLA-RG-80-CS</t>
  </si>
  <si>
    <t>HL-SUP-HCF-MA</t>
  </si>
  <si>
    <t>HI-SUP-CRR-165-CS</t>
  </si>
  <si>
    <t>HI-CD-13</t>
  </si>
  <si>
    <t>HI-CD-13-FT</t>
  </si>
  <si>
    <t>HI-OB-13-BLN-SEG</t>
  </si>
  <si>
    <t>HI-CD-9</t>
  </si>
  <si>
    <t>HI-CD-BT</t>
  </si>
  <si>
    <t>HL-CD-BT-TT</t>
  </si>
  <si>
    <t>HI-CD-CPT</t>
  </si>
  <si>
    <t>HI-CD-CTR-BT</t>
  </si>
  <si>
    <t>HI-CD-COR</t>
  </si>
  <si>
    <t>HI-CD-COR-FT</t>
  </si>
  <si>
    <t>HI-CD-COR-SEG</t>
  </si>
  <si>
    <t>HI-OB-FLS-MNB-13</t>
  </si>
  <si>
    <t>HI-OB-FLS-MNB-BT</t>
  </si>
  <si>
    <t>HI-CD-PP-13</t>
  </si>
  <si>
    <t>HI-CD-PP-ECO</t>
  </si>
  <si>
    <t>HI-OB-CPS1195</t>
  </si>
  <si>
    <t>HI-CD-KIT-OCL</t>
  </si>
  <si>
    <t>HI-SEG-ADC-NE</t>
  </si>
  <si>
    <t>HI-SEG-ANT</t>
  </si>
  <si>
    <t>HI-CLR-80-YK</t>
  </si>
  <si>
    <t>HI-CE-E22-210</t>
  </si>
  <si>
    <t>HI-CE-E22-800</t>
  </si>
  <si>
    <t>HI-CE-E25-1000</t>
  </si>
  <si>
    <t>HI-CE-E25-1200</t>
  </si>
  <si>
    <t>HI-CE-E25-1400</t>
  </si>
  <si>
    <t>HI-CE-E25-1600</t>
  </si>
  <si>
    <t>HI-CE-E25-1800</t>
  </si>
  <si>
    <t>HI-CE-E25-2000</t>
  </si>
  <si>
    <t>HI-CE-E25-210</t>
  </si>
  <si>
    <t>HI-CE-E25-400</t>
  </si>
  <si>
    <t>HI-CE-E25-600</t>
  </si>
  <si>
    <t>HI-CE-E25-800</t>
  </si>
  <si>
    <t>HI-CIN-E15-1000</t>
  </si>
  <si>
    <t>HI-CIN-E15-1200</t>
  </si>
  <si>
    <t>HI-CIN-E15-1400</t>
  </si>
  <si>
    <t>HI-CIN-E15-1600</t>
  </si>
  <si>
    <t>HI-CIN-E15-400</t>
  </si>
  <si>
    <t>HI-CIN-E15-600</t>
  </si>
  <si>
    <t>HI-CIN-E15-800</t>
  </si>
  <si>
    <t>HI-CC-CLL-E15-1800</t>
  </si>
  <si>
    <t>HI-CC-CLL-E15-2000</t>
  </si>
  <si>
    <t>HI-CC-E15-1000</t>
  </si>
  <si>
    <t>HI-CC-E15-1200</t>
  </si>
  <si>
    <t>HI-CC-E15-1400</t>
  </si>
  <si>
    <t>HI-CC-E15-1600</t>
  </si>
  <si>
    <t>HI-CC-E15-1800</t>
  </si>
  <si>
    <t>HI-CC-E15-2000</t>
  </si>
  <si>
    <t>HI-CC-E15-210</t>
  </si>
  <si>
    <t>HI-CC-E15-400</t>
  </si>
  <si>
    <t>HI-CC-E15-600</t>
  </si>
  <si>
    <t>HI-CC-E15-800</t>
  </si>
  <si>
    <t>HI-CC-E75-1000</t>
  </si>
  <si>
    <t>HI-CC-E75-1200</t>
  </si>
  <si>
    <t>HI-CC-E75-1400</t>
  </si>
  <si>
    <t>HI-CC-E75-1600</t>
  </si>
  <si>
    <t>HI-CC-E75-1800</t>
  </si>
  <si>
    <t>HI-CE-E75-2000</t>
  </si>
  <si>
    <t>HI-CC-E75-400</t>
  </si>
  <si>
    <t>HI-CC-E75-600</t>
  </si>
  <si>
    <t>HI-CC-E75-800</t>
  </si>
  <si>
    <t>HI-CP-E3592-1800</t>
  </si>
  <si>
    <t>HI-CP-E3592-2000</t>
  </si>
  <si>
    <t>HI-CPE-E3592-2000</t>
  </si>
  <si>
    <t>HI-EXT-CP-420</t>
  </si>
  <si>
    <t>HI-EXT-CP-630</t>
  </si>
  <si>
    <t>HL-TEL-CPTEF-25-MS</t>
  </si>
  <si>
    <t>HI-ACZ-KPZ-1800</t>
  </si>
  <si>
    <t>HI-ACZ-KPZ-RF-1800</t>
  </si>
  <si>
    <t>HI-ACZ-KPZ-2100</t>
  </si>
  <si>
    <t>HI-ACZ-KPZ-RF-2100</t>
  </si>
  <si>
    <t>HI-ACZ-KPZ-RF-2400</t>
  </si>
  <si>
    <t>HL-FLP-5X5-NE-FS</t>
  </si>
  <si>
    <t>HL-FLP-5X5-NE-SL</t>
  </si>
  <si>
    <t>HI-FLP-7X6-GS</t>
  </si>
  <si>
    <t>HI-FLP-7X6-NE</t>
  </si>
  <si>
    <t>HI-FLP-7X8-GS</t>
  </si>
  <si>
    <t>HI-FLP-7X8-NE</t>
  </si>
  <si>
    <t>HL-APS-300-DV-MA</t>
  </si>
  <si>
    <t>HL-CF-SLA-MLT-FA</t>
  </si>
  <si>
    <t>HI-CF-SLD-HVC-FRT</t>
  </si>
  <si>
    <t>HI-CF-SLA-HPC-FRT</t>
  </si>
  <si>
    <t>HL-CF-S38-HVA-FA</t>
  </si>
  <si>
    <t>HL-CF-S38-PP</t>
  </si>
  <si>
    <t>HI-CF-S60-HVF-FRT</t>
  </si>
  <si>
    <t>HI-CF-SLZ-HCZ-FRT</t>
  </si>
  <si>
    <t>HL-CF-JUQ-FA-FA</t>
  </si>
  <si>
    <t>HL-CF-JUQ-PP</t>
  </si>
  <si>
    <t>HI-CF-SLA-MCA-FRT</t>
  </si>
  <si>
    <t>HI-CF-SLZ-MCZ-FRT</t>
  </si>
  <si>
    <t>HI-SLA-DR-HVC</t>
  </si>
  <si>
    <t>HI-SLD-DL-HVC</t>
  </si>
  <si>
    <t>HI-S60-DL-HV</t>
  </si>
  <si>
    <t>HI-SLA-DL-MC</t>
  </si>
  <si>
    <t>HI-SLA-DR-HPC</t>
  </si>
  <si>
    <t>HI-SLA-DR-MDM</t>
  </si>
  <si>
    <t>HI-S60-DR-PT</t>
  </si>
  <si>
    <t>HL-MCT-ACR-35-MA</t>
  </si>
  <si>
    <t>HL-PLT-ACR-MA</t>
  </si>
  <si>
    <t>HI-PLA-BIS-100M</t>
  </si>
  <si>
    <t>HI-PLA-BIS-3D</t>
  </si>
  <si>
    <t>HI-PLA-BIS-MLT</t>
  </si>
  <si>
    <t>HI-PLA-CRR-MLT</t>
  </si>
  <si>
    <t>HL-CF-SLA-PCA-DE-FA</t>
  </si>
  <si>
    <t>HL-CF-SLA-PCA-GA-FA</t>
  </si>
  <si>
    <t>HL-CF-SLA-PCA-IZ-FA</t>
  </si>
  <si>
    <t>HI-PLA-BIS-OBM</t>
  </si>
  <si>
    <t>HL-TEL-TEF-25-MS</t>
  </si>
  <si>
    <t>HI-MLA-ECO-DE-BL</t>
  </si>
  <si>
    <t>HI-MLA-ECO-IZ-BL</t>
  </si>
  <si>
    <t>HI-MLZ-ELV-OC-NE</t>
  </si>
  <si>
    <t>HI-MLZ-ELV-OC-BL</t>
  </si>
  <si>
    <t>HI-MLZ-ELV-OC-CF</t>
  </si>
  <si>
    <t>HI-MLZ-ELV-OC-GR</t>
  </si>
  <si>
    <t>HI-MLZ-ELV-OC-MR</t>
  </si>
  <si>
    <t>HI-MLA-EST-BL</t>
  </si>
  <si>
    <t>HI-MLA-EST-MR</t>
  </si>
  <si>
    <t>HI-MLA-EST-NE</t>
  </si>
  <si>
    <t>HI-MLA-FNX-BL</t>
  </si>
  <si>
    <t>HI-MLA-FNX-MR</t>
  </si>
  <si>
    <t>HI-MLA-FNX-NE</t>
  </si>
  <si>
    <t>HI-MLA-MNO-BL</t>
  </si>
  <si>
    <t>HI-MLA-MNO-MR</t>
  </si>
  <si>
    <t>HI-MLA-MNO-NE</t>
  </si>
  <si>
    <t>HI-MLA-OCL-BL</t>
  </si>
  <si>
    <t>HI-MLA-OCL-MR</t>
  </si>
  <si>
    <t>HI-MLA-PAR-DE-BL</t>
  </si>
  <si>
    <t>HI-MLA-PAR-IZ-BL</t>
  </si>
  <si>
    <t>HI-MLA-PAR-DE-MR</t>
  </si>
  <si>
    <t>HI-MLA-PTA-BL</t>
  </si>
  <si>
    <t>HI-MLA-PTA-MR</t>
  </si>
  <si>
    <t>HI-MLA-PTA-NE</t>
  </si>
  <si>
    <t>HI-MLZ-ELV-CF</t>
  </si>
  <si>
    <t>HI-MLZ-ELV-MO</t>
  </si>
  <si>
    <t>HI-TIR-EMB-BL-CS</t>
  </si>
  <si>
    <t>HI-TIR-EMB-MR-CS</t>
  </si>
  <si>
    <t>HI-TIR-EMB-NE-CS</t>
  </si>
  <si>
    <t>HI-CM-MQT-5</t>
  </si>
  <si>
    <t>HL-CM-MQT-MV</t>
  </si>
  <si>
    <t>HL-EM-MQT-MV</t>
  </si>
  <si>
    <t>HI-MM-MQT-1000</t>
  </si>
  <si>
    <t>HI-MM-MQT-1600</t>
  </si>
  <si>
    <t>HI-MM-MQT-800</t>
  </si>
  <si>
    <t>HI-ACC-TTM-BL</t>
  </si>
  <si>
    <t>HI-ACC-TTM-MR</t>
  </si>
  <si>
    <t>HI-ACC-TTM-NE</t>
  </si>
  <si>
    <t>HI-OB-CB</t>
  </si>
  <si>
    <t>HI-OB-CB-BS</t>
  </si>
  <si>
    <t>HI-OB-CB-ET</t>
  </si>
  <si>
    <t>HI-OB-AGR</t>
  </si>
  <si>
    <t>HI-OB-BIS-CMP</t>
  </si>
  <si>
    <t>HI-OB-PIC-13</t>
  </si>
  <si>
    <t>HI-OB-CPS-395</t>
  </si>
  <si>
    <t>HI-OB-CPS-595</t>
  </si>
  <si>
    <t>HI-OB-CPS-795</t>
  </si>
  <si>
    <t>HI-OB-CPS-995</t>
  </si>
  <si>
    <t>HI-COB-E15-1185</t>
  </si>
  <si>
    <t>HI-COB-E15-1385</t>
  </si>
  <si>
    <t>HI-COB-E15-1585</t>
  </si>
  <si>
    <t>HI-COB-E15-480</t>
  </si>
  <si>
    <t>HI-COB-E15-585</t>
  </si>
  <si>
    <t>HI-COB-E15-685</t>
  </si>
  <si>
    <t>HI-COB-E15-885</t>
  </si>
  <si>
    <t>HI-COB-E15-985</t>
  </si>
  <si>
    <t>HI-OB-MOH</t>
  </si>
  <si>
    <t>HI-OB-CPS</t>
  </si>
  <si>
    <t>HI-LMD-AP</t>
  </si>
  <si>
    <t>HI-OB-BSL</t>
  </si>
  <si>
    <t>HI-OB-PER-AGR</t>
  </si>
  <si>
    <t>HI-OB-PVT</t>
  </si>
  <si>
    <t>HI-OB-EMB-BL</t>
  </si>
  <si>
    <t>HI-OB-EMB-MR</t>
  </si>
  <si>
    <t>HI-OB-EMB-NE</t>
  </si>
  <si>
    <t>HI-OB-1150</t>
  </si>
  <si>
    <t>HI-OB-1350</t>
  </si>
  <si>
    <t>HI-OB-1850</t>
  </si>
  <si>
    <t>HI-OB-400</t>
  </si>
  <si>
    <t>HI-OB-700</t>
  </si>
  <si>
    <t>HI-PLE-BSG-BL</t>
  </si>
  <si>
    <t>HI-PLE-BSG-NE</t>
  </si>
  <si>
    <t>HI-PLE-CRR</t>
  </si>
  <si>
    <t>HI-PLE-GSP-BL</t>
  </si>
  <si>
    <t>HI-PLE-GSP-NE</t>
  </si>
  <si>
    <t>HI-PLE-KIT-BSG-BL</t>
  </si>
  <si>
    <t>HI-PLE-KIT-BSG-NE</t>
  </si>
  <si>
    <t>HI-PLE-PLC-1385</t>
  </si>
  <si>
    <t>HI-PLE-PLC-1585</t>
  </si>
  <si>
    <t>HI-PLE-PLC-985</t>
  </si>
  <si>
    <t>HI-PLE-RLS-4MT-BL</t>
  </si>
  <si>
    <t>HI-PLE-RLS-4MT-NE</t>
  </si>
  <si>
    <t>HI-PLE-RLS-6MT-BL</t>
  </si>
  <si>
    <t>HI-PLE-RLS-6MT-NE</t>
  </si>
  <si>
    <t>HI-PLE-SP-CRR-BL</t>
  </si>
  <si>
    <t>HI-PLE-SP-CRR-NE</t>
  </si>
  <si>
    <t>HI-PLE-SUP-19-BL</t>
  </si>
  <si>
    <t>HI-PLE-SUP-19-NE</t>
  </si>
  <si>
    <t>HI-SLC-300-AN</t>
  </si>
  <si>
    <t>HI-SLC-300-BL</t>
  </si>
  <si>
    <t>HI-SLC-300-MR</t>
  </si>
  <si>
    <t>HI-SLC-300-NE</t>
  </si>
  <si>
    <t>HI-SLC-300-TO</t>
  </si>
  <si>
    <t>HI-TOR-AMO-75-100</t>
  </si>
  <si>
    <t>HI-TOR-AMO-75-120</t>
  </si>
  <si>
    <t>HI-TOR-AMO-75-80</t>
  </si>
  <si>
    <t>HI-TOR-AUT-39-13</t>
  </si>
  <si>
    <t>HI-TOR-AUT-39-16</t>
  </si>
  <si>
    <t>HI-TOR-AUT-39-19</t>
  </si>
  <si>
    <t>HI-TOR-AUT-39-25</t>
  </si>
  <si>
    <t>HL-TOR-AUT-4-75-MA</t>
  </si>
  <si>
    <t>HL-TOR-AUT-42-100-MA</t>
  </si>
  <si>
    <t>HI-TOR-AUT-42-50</t>
  </si>
  <si>
    <t>HI-TOR-AUT-42-80</t>
  </si>
  <si>
    <t>HL-TOR-CDB-4-98-MA</t>
  </si>
  <si>
    <t>HL-TOR-MIL-5-55-MA</t>
  </si>
  <si>
    <t>HL-TOR-PAU-42-20-MA</t>
  </si>
  <si>
    <t>HI-TOR-PUA-42-25</t>
  </si>
  <si>
    <t>HI-TOR-PUA-42-38</t>
  </si>
  <si>
    <t>HL-TOR-PAU-42-75-MA</t>
  </si>
  <si>
    <t>HI-TOR-PUA-5-80</t>
  </si>
  <si>
    <t xml:space="preserve">TOTAL </t>
  </si>
  <si>
    <t>BARI-CY-8-6MT</t>
  </si>
  <si>
    <t>BARI-K1-10-4MT</t>
  </si>
  <si>
    <t>BARI-K1-12-4MT</t>
  </si>
  <si>
    <t>BARI-K1-16-4MT</t>
  </si>
  <si>
    <t>BARI-K1-20-4MT</t>
  </si>
  <si>
    <t>BARI-K3-LED-6MT</t>
  </si>
  <si>
    <t>BARI-K6-10-6MT</t>
  </si>
  <si>
    <t>BARI-K6-12-6MT</t>
  </si>
  <si>
    <t>BARI-K6-16-6MT</t>
  </si>
  <si>
    <t>BARI-K6-20-6MT</t>
  </si>
  <si>
    <t>BARI-K12-10-6MT</t>
  </si>
  <si>
    <t>BARI-K12-12-6MT</t>
  </si>
  <si>
    <t>BARI-K12-16-6MT</t>
  </si>
  <si>
    <t>BARI-K12-20-6MT</t>
  </si>
  <si>
    <t>BARI-K15-10-6MT</t>
  </si>
  <si>
    <t>BARI-K15-12-6MT</t>
  </si>
  <si>
    <t>BARI-K15-16-6MT</t>
  </si>
  <si>
    <t>BARI-K15-20-6MT</t>
  </si>
  <si>
    <t>PASM-K7-10-6MT</t>
  </si>
  <si>
    <t>PASM-K7-12-6MT</t>
  </si>
  <si>
    <t>PASM-K7-16-6MT</t>
  </si>
  <si>
    <t>PASM-K7-20-6MT</t>
  </si>
  <si>
    <t>PASM-K8-10-6MT</t>
  </si>
  <si>
    <t>PASM-K8-12-6MT</t>
  </si>
  <si>
    <t>PASM-K8-16-6MT</t>
  </si>
  <si>
    <t>PASM-K8-20-6MT</t>
  </si>
  <si>
    <t>PASM-K9-10-6MT</t>
  </si>
  <si>
    <t>PASM-K9-12-6MT</t>
  </si>
  <si>
    <t>PASM-K9-16-6MT</t>
  </si>
  <si>
    <t>PASM-K9-20-6MT</t>
  </si>
  <si>
    <t>BIMP-ACC-TK1</t>
  </si>
  <si>
    <t>ACCESORIOS BARANDAS</t>
  </si>
  <si>
    <t>BIMP-ACC-TK11</t>
  </si>
  <si>
    <t>BIMP-ACC-TK12</t>
  </si>
  <si>
    <t>BIMP-ACC-TK15</t>
  </si>
  <si>
    <t>BIMP-ACC-TK3</t>
  </si>
  <si>
    <t>BIMP-ACC-TK7</t>
  </si>
  <si>
    <t>BIMP-ACC-TK8</t>
  </si>
  <si>
    <t>BIMP-ACC-TK9</t>
  </si>
  <si>
    <t>BIMP-ALI-180</t>
  </si>
  <si>
    <t>BIMP-ALI-90</t>
  </si>
  <si>
    <t>BIMP-ALI-PL180</t>
  </si>
  <si>
    <t>BIMP-ALI-PL90</t>
  </si>
  <si>
    <t>BIMP-ESQ-K1</t>
  </si>
  <si>
    <t>BIMP-ESQ-K7</t>
  </si>
  <si>
    <t>BIMP-ESQ-K8</t>
  </si>
  <si>
    <t>BIMP-ESQ-K9</t>
  </si>
  <si>
    <t>BIMP-TPCU-10</t>
  </si>
  <si>
    <t>BIMP-TPCU-12</t>
  </si>
  <si>
    <t>BIMP-TPCU-20</t>
  </si>
  <si>
    <t>BIMP-K15-ZOC</t>
  </si>
  <si>
    <t>ARTICULOS INDIVIDUALES</t>
  </si>
  <si>
    <t>BIMP-K15-TAP</t>
  </si>
  <si>
    <t>BIMP-K1-ZOC</t>
  </si>
  <si>
    <t>BIMP-K1-TAP</t>
  </si>
  <si>
    <t>BIMP-K6-ZOC</t>
  </si>
  <si>
    <t>BIMP-K6-TAP</t>
  </si>
  <si>
    <t>BIMP-K6-BUL</t>
  </si>
  <si>
    <t>BIMP-K3-ZOC</t>
  </si>
  <si>
    <t>BIMP-K3-PL</t>
  </si>
  <si>
    <t>PASM-K7-PM</t>
  </si>
  <si>
    <t>PASM-K8-PM</t>
  </si>
  <si>
    <t>PASM-K9-PM</t>
  </si>
  <si>
    <t>PASM-BUR-10</t>
  </si>
  <si>
    <t>NEGRO</t>
  </si>
  <si>
    <t>PASM-BUR-12</t>
  </si>
  <si>
    <t>PASM-BUR-16</t>
  </si>
  <si>
    <t>PASM-BUR-20</t>
  </si>
  <si>
    <t>BIMP-K12-ZOC</t>
  </si>
  <si>
    <t>BIMP-K12-POR</t>
  </si>
  <si>
    <t>BIMP-K12-TAP</t>
  </si>
  <si>
    <t>BIMP-K12-PF</t>
  </si>
  <si>
    <t>BIMP-CITY-PEST</t>
  </si>
  <si>
    <t>BIMP-CITY-PACY</t>
  </si>
  <si>
    <t>BIMP-CITY-TPAS</t>
  </si>
  <si>
    <t>BIMP-CITY-BSIN</t>
  </si>
  <si>
    <t>BIMP-CITY-TSVI</t>
  </si>
  <si>
    <t>BIMP-CITY-KSSL</t>
  </si>
  <si>
    <t>BIMP-CITY-TBC3</t>
  </si>
  <si>
    <t>BIMP-CITY-TPC4</t>
  </si>
  <si>
    <t>BIMP-CITY-TPC6</t>
  </si>
  <si>
    <t>BIMP-CITY-BRCY</t>
  </si>
  <si>
    <t>KFJ-K2-VRA</t>
  </si>
  <si>
    <t>KFJ-K2-TPV</t>
  </si>
  <si>
    <t>KFJ-K2-ADG</t>
  </si>
  <si>
    <t>KFJ-K2-BRL</t>
  </si>
  <si>
    <t>KFJ-K2-BRS</t>
  </si>
  <si>
    <t>KFJ-K2-BCV-10</t>
  </si>
  <si>
    <t>KFJ-K2-BCV-12</t>
  </si>
  <si>
    <t>KFJ-K2-BCV-16</t>
  </si>
  <si>
    <t>KFJ-K2-BCV-20</t>
  </si>
  <si>
    <t>KFJ-K2-BRS-B2</t>
  </si>
  <si>
    <t>KFJ-K2-BCV-10-B</t>
  </si>
  <si>
    <t>KFJ-K2-BCV-12-B</t>
  </si>
  <si>
    <t>KFJ-K2-BCV-16-B</t>
  </si>
  <si>
    <t>KFJ-K2-BCV-20-B</t>
  </si>
  <si>
    <t>KFJ-K2-PAL</t>
  </si>
  <si>
    <t>KFJ-K2-CZP-10</t>
  </si>
  <si>
    <t>KFJ-K2-CZP-12</t>
  </si>
  <si>
    <t>KFJ-K2-CZP-16</t>
  </si>
  <si>
    <t>KFJ-K2-CZP-20</t>
  </si>
  <si>
    <t>KFJ-K2-HERR</t>
  </si>
  <si>
    <t xml:space="preserve"> </t>
  </si>
  <si>
    <t>HL-CR-SLD-RG-400-HQ</t>
  </si>
  <si>
    <t>HL-SUP-CRR-6-HQ</t>
  </si>
  <si>
    <t>HL-SUP-CRR-8-HQ</t>
  </si>
  <si>
    <t>BIMP-TAP-N50</t>
  </si>
  <si>
    <t>BIMP-TAP-N50R</t>
  </si>
  <si>
    <t>BIMP-TAP-S40</t>
  </si>
  <si>
    <t>HI-COR-TR-CORR-SOM</t>
  </si>
  <si>
    <t>BIMP-ESP-CALZ-SOM</t>
  </si>
  <si>
    <t>PL-SLD-RDA-MR</t>
  </si>
  <si>
    <t>PL-SLD-RDA-NE</t>
  </si>
  <si>
    <t>HI-MLZ-ELV-BL</t>
  </si>
  <si>
    <t>HI-MLZ-ELV-GR</t>
  </si>
  <si>
    <t>HI-MLZ-ELV-MR</t>
  </si>
  <si>
    <t>HL-AME-CF-HJS-FA</t>
  </si>
  <si>
    <t>HL-AME-CF-MCA-FA</t>
  </si>
  <si>
    <t>HL-AME-CRR- FB</t>
  </si>
  <si>
    <t>HL-CF-MSQ-HC-FA</t>
  </si>
  <si>
    <t>HL-CF-MSQ-MCO-FA</t>
  </si>
  <si>
    <t>PI-MQP-HMA-BL</t>
  </si>
  <si>
    <t>PI-MQP-HMA-GR</t>
  </si>
  <si>
    <t>PI-MQP-HMA-RD</t>
  </si>
  <si>
    <t>PI-MQP-HMP-BL</t>
  </si>
  <si>
    <t>PI-MQP-HMP-GR</t>
  </si>
  <si>
    <t>PI-MQP-HMP-NO</t>
  </si>
  <si>
    <t>PI-MQP-HMP-RD</t>
  </si>
  <si>
    <t>PI-MQP-MMP-BL</t>
  </si>
  <si>
    <t>PI-MQP-MMP-GR</t>
  </si>
  <si>
    <t>PI-MQP-MMP-NO</t>
  </si>
  <si>
    <t>PI-MQP-MMP-RD</t>
  </si>
  <si>
    <t>HI-FLP-7X6-GR-SOM</t>
  </si>
  <si>
    <t>HI-ACC-MQP-SET-NE</t>
  </si>
  <si>
    <t>HI-ACR-MQP-NA</t>
  </si>
  <si>
    <t>HI-CIA-MQP</t>
  </si>
  <si>
    <t>HI-CIM-MQP-NE</t>
  </si>
  <si>
    <t>HI-CMQ-MQP-GR</t>
  </si>
  <si>
    <t>HI-MM-MQP-2200</t>
  </si>
  <si>
    <t>HI-ACC-LPR-GR-SLK</t>
  </si>
  <si>
    <t>HI-ACC-LPR-NE-SLK</t>
  </si>
  <si>
    <t>HI-ACC-LPR-NO-SLK</t>
  </si>
  <si>
    <t>HI-ACC-LPR-RD-SLK</t>
  </si>
  <si>
    <t>HI-MLA-PTA-CORR-INT-BL-SLK</t>
  </si>
  <si>
    <t>HI-MLA-PTA-CORR-INT-MR-SLK</t>
  </si>
  <si>
    <t>HI-MLA-PTA-CORR-INT-NE-SLK</t>
  </si>
  <si>
    <t>HI-TOR-AMO-75-100-SLK</t>
  </si>
  <si>
    <t>HI-TOR-AMO-75-80-SLK</t>
  </si>
  <si>
    <t>HI-TOR-AUT-39-13-SLK</t>
  </si>
  <si>
    <t>HI-TOR-AUT-39-16-SLK</t>
  </si>
  <si>
    <t>HI-TOR-AUT-39-19-SLK</t>
  </si>
  <si>
    <t>HI-TOR-AUT-39-25-SLK</t>
  </si>
  <si>
    <t>HI-TOR-PUA-42-38-SLK</t>
  </si>
  <si>
    <t>HI-ACC-BLW-GR</t>
  </si>
  <si>
    <t>HI-ACC-BLW-NE</t>
  </si>
  <si>
    <t>HI-PLE-KIT-BSG-MR</t>
  </si>
  <si>
    <t>BIMP-BEX-N50-10MM</t>
  </si>
  <si>
    <t>BIMP-ACC-CLZ-10MM</t>
  </si>
  <si>
    <t>HI-CF-SLA-MDR</t>
  </si>
  <si>
    <t>HI-SLA-DR-MDR</t>
  </si>
  <si>
    <t>MAN-CAR-S60</t>
  </si>
  <si>
    <t>MAN-CAR-SLD</t>
  </si>
  <si>
    <t>HI-PLE-SUP-08-NE</t>
  </si>
  <si>
    <t>HL-MLA-PAR-DE-BL-HS</t>
  </si>
  <si>
    <t>HL-ACC-RMP-BL-HS</t>
  </si>
  <si>
    <t>PI-SLD-NW-MDR-S75-BL</t>
  </si>
  <si>
    <t>PI-SLD-NW-MDR-S75-GR</t>
  </si>
  <si>
    <t>PI-SLD-NW-MDR-S75-NB</t>
  </si>
  <si>
    <t>PI-SLD-NW-MDR-S75-NO</t>
  </si>
  <si>
    <t>PI-SLD-NW-MDR-S75-RD</t>
  </si>
  <si>
    <t>PI-SLD-NW-MTR-S75-BL</t>
  </si>
  <si>
    <t>PI-SLD-NW-MTR-S75-GR</t>
  </si>
  <si>
    <t>PI-SLD-NW-MTR-S75-NB</t>
  </si>
  <si>
    <t>PI-SLD-NW-MTR-S75-NO</t>
  </si>
  <si>
    <t>PI-SLD-NW-MTR-S75-RD</t>
  </si>
  <si>
    <t>PI-SLD-NW-MDR-RF-NA</t>
  </si>
  <si>
    <t>PL-SLD-RDA-NA</t>
  </si>
  <si>
    <t>PL-SLD-TC-MLT-12</t>
  </si>
  <si>
    <t>PI-MQP-HMA-BK</t>
  </si>
  <si>
    <t>PI-MQP-HMA-NO</t>
  </si>
  <si>
    <t>PI-MQP-HMP-BK</t>
  </si>
  <si>
    <t>PI-MQP-MMP-BK</t>
  </si>
  <si>
    <t>HI-MLA-MNO-BL-SLK</t>
  </si>
  <si>
    <t>HI-MLA-MNO-MR-SLK</t>
  </si>
  <si>
    <t>HI-MLA-MNO-NE-SLK</t>
  </si>
  <si>
    <t>HI-MLA-BL-SLK</t>
  </si>
  <si>
    <t>HI-MLA-MR-SLK</t>
  </si>
  <si>
    <t>HI-MLA-NE-SLK</t>
  </si>
  <si>
    <t>HI-MLA-PTA-BL-SLK</t>
  </si>
  <si>
    <t>HI-MLA-PTA-MR-SLK</t>
  </si>
  <si>
    <t>HI-MLA-PTA-NE-SLK</t>
  </si>
  <si>
    <t>HI-MLA-BL-OV-SLK</t>
  </si>
  <si>
    <t>HI-MLA-MR-OV-SLK</t>
  </si>
  <si>
    <t>HI-MLA-NE-OV-SLK</t>
  </si>
  <si>
    <t>HL-SUP-CRR-10-HQ</t>
  </si>
  <si>
    <t>HL-CDC-GU</t>
  </si>
  <si>
    <t>HL-LM-GU-PVC-BL-GU</t>
  </si>
  <si>
    <t>HL-LM-GU-PVC-FL-GU</t>
  </si>
  <si>
    <t>HL-PV-PTA-DER</t>
  </si>
  <si>
    <t>HL-PV-PTA-IZQ</t>
  </si>
  <si>
    <t>HI-AME-F500-SLK</t>
  </si>
  <si>
    <t>HI-MLA-PTA-CORR-EXT-BL-SLK</t>
  </si>
  <si>
    <t>HI-MLA-PTA-CORR-EXT-MR-SLK</t>
  </si>
  <si>
    <t>HI-MLA-PTA-CORR-EXT-NE-SLK</t>
  </si>
  <si>
    <t>HI-MM-MQP-3000</t>
  </si>
  <si>
    <t>HI-TOR-PUA-42-25-SLK</t>
  </si>
  <si>
    <t>HI-ACC-RHJ</t>
  </si>
  <si>
    <t>HI-CIN-E15-1800</t>
  </si>
  <si>
    <t>HI-CIN-E15-2000</t>
  </si>
  <si>
    <t>HI-OB-2100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</si>
</sst>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2" formatCode="_ &quot;$&quot;* #,##0_ ;_ &quot;$&quot;* \-#,##0_ ;_ &quot;$&quot;* &quot;-&quot;_ ;_ @_ "/>
    <numFmt numFmtId="41" formatCode="_ * #,##0_ ;_ * \-#,##0_ ;_ * &quot;-&quot;_ ;_ @_ "/>
    <numFmt numFmtId="164" formatCode="_-* #,##0.00\ &quot;€&quot;_-;\-* #,##0.00\ &quot;€&quot;_-;_-* &quot;-&quot;??\ &quot;€&quot;_-;_-@_-"/>
    <numFmt numFmtId="165" formatCode="_-* #,##0.00_-;\-* #,##0.00_-;_-* &quot;-&quot;??_-;_-@_-"/>
    <numFmt numFmtId="166" formatCode="_-* #,##0.00\ _€_-;\-* #,##0.00\ _€_-;_-* &quot;-&quot;??\ _€_-;_-@_-"/>
    <numFmt numFmtId="167" formatCode="_-&quot;$&quot;\ * #,##0_-;\-&quot;$&quot;\ * #,##0_-;_-&quot;$&quot;\ * &quot;-&quot;_-;_-@_-"/>
    <numFmt numFmtId="168" formatCode="_-&quot;$&quot;\ * #,##0.00_-;\-&quot;$&quot;\ * #,##0.00_-;_-&quot;$&quot;\ * &quot;-&quot;??_-;_-@_-"/>
    <numFmt numFmtId="169" formatCode="_-&quot;$&quot;\ * #,##0_-;\-&quot;$&quot;\ * #,##0_-;_-&quot;$&quot;\ * &quot;-&quot;??_-;_-@_-"/>
    <numFmt numFmtId="170" formatCode="0.000"/>
    <numFmt numFmtId="171" formatCode="_-* #,##0.00\ &quot;TL&quot;_-;\-* #,##0.00\ &quot;TL&quot;_-;_-* &quot;-&quot;??\ &quot;TL&quot;_-;_-@_-"/>
    <numFmt numFmtId="172" formatCode="_-* #,##0.00\ _T_L_-;\-* #,##0.00\ _T_L_-;_-* &quot;-&quot;??\ _T_L_-;_-@_-"/>
    <numFmt numFmtId="173" formatCode="#,##0.00\ &quot; Kg&quot;"/>
    <numFmt numFmtId="174" formatCode="#,##0.00\ \ \ \ &quot;USD&quot;"/>
    <numFmt numFmtId="175" formatCode="#,##0.00\ \ &quot;Kg&quot;"/>
    <numFmt numFmtId="176" formatCode="0.0000"/>
    <numFmt numFmtId="177" formatCode="_ [$$-340A]* #,##0_ ;_ [$$-340A]* \-#,##0_ ;_ [$$-340A]* &quot;-&quot;??_ ;_ @_ 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Tur"/>
      <charset val="162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9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name val="Arial Tur"/>
      <family val="2"/>
      <charset val="162"/>
    </font>
    <font>
      <sz val="9"/>
      <color theme="1" tint="4.9989318521683403E-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1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0"/>
      <name val="FrutigerLight"/>
      <charset val="162"/>
    </font>
    <font>
      <sz val="18"/>
      <color theme="1"/>
      <name val="Calibri"/>
      <family val="2"/>
      <scheme val="minor"/>
    </font>
    <font>
      <sz val="10"/>
      <name val="Arial"/>
      <family val="2"/>
    </font>
    <font>
      <sz val="24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indexed="1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9">
    <xf numFmtId="0" fontId="0" fillId="0" borderId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" fillId="0" borderId="0"/>
    <xf numFmtId="0" fontId="7" fillId="0" borderId="0"/>
    <xf numFmtId="0" fontId="2" fillId="0" borderId="0"/>
    <xf numFmtId="0" fontId="10" fillId="0" borderId="0"/>
    <xf numFmtId="0" fontId="15" fillId="0" borderId="0">
      <alignment vertical="center"/>
    </xf>
    <xf numFmtId="9" fontId="1" fillId="0" borderId="0" applyFont="0" applyFill="0" applyBorder="0" applyAlignment="0" applyProtection="0"/>
    <xf numFmtId="0" fontId="16" fillId="0" borderId="10" applyNumberFormat="0" applyFill="0" applyAlignment="0" applyProtection="0"/>
    <xf numFmtId="0" fontId="18" fillId="5" borderId="0" applyNumberFormat="0" applyBorder="0" applyAlignment="0" applyProtection="0"/>
    <xf numFmtId="165" fontId="1" fillId="0" borderId="0" applyFont="0" applyFill="0" applyBorder="0" applyAlignment="0" applyProtection="0"/>
    <xf numFmtId="0" fontId="14" fillId="0" borderId="0">
      <alignment vertical="center"/>
    </xf>
    <xf numFmtId="0" fontId="19" fillId="0" borderId="0"/>
    <xf numFmtId="0" fontId="1" fillId="0" borderId="0"/>
    <xf numFmtId="0" fontId="20" fillId="0" borderId="0"/>
    <xf numFmtId="0" fontId="19" fillId="0" borderId="0"/>
    <xf numFmtId="172" fontId="2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1" fillId="0" borderId="0"/>
    <xf numFmtId="0" fontId="2" fillId="0" borderId="0"/>
    <xf numFmtId="171" fontId="19" fillId="0" borderId="0" applyFont="0" applyFill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0" borderId="0"/>
    <xf numFmtId="41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23" fillId="0" borderId="0"/>
    <xf numFmtId="0" fontId="23" fillId="0" borderId="0"/>
    <xf numFmtId="0" fontId="14" fillId="0" borderId="0"/>
    <xf numFmtId="0" fontId="25" fillId="0" borderId="0"/>
    <xf numFmtId="0" fontId="25" fillId="0" borderId="0"/>
    <xf numFmtId="167" fontId="1" fillId="0" borderId="0" applyFont="0" applyFill="0" applyBorder="0" applyAlignment="0" applyProtection="0"/>
    <xf numFmtId="0" fontId="26" fillId="0" borderId="0"/>
    <xf numFmtId="0" fontId="15" fillId="0" borderId="0">
      <alignment vertical="center"/>
    </xf>
    <xf numFmtId="166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4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4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4" fillId="0" borderId="0"/>
    <xf numFmtId="41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165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5" fillId="0" borderId="0">
      <alignment vertical="center"/>
    </xf>
    <xf numFmtId="165" fontId="1" fillId="0" borderId="0" applyFont="0" applyFill="0" applyBorder="0" applyAlignment="0" applyProtection="0"/>
    <xf numFmtId="0" fontId="14" fillId="0" borderId="0">
      <alignment vertical="center"/>
    </xf>
    <xf numFmtId="0" fontId="20" fillId="0" borderId="0"/>
    <xf numFmtId="0" fontId="19" fillId="0" borderId="0"/>
    <xf numFmtId="0" fontId="19" fillId="0" borderId="0"/>
    <xf numFmtId="0" fontId="20" fillId="0" borderId="0"/>
    <xf numFmtId="168" fontId="1" fillId="0" borderId="0" applyFont="0" applyFill="0" applyBorder="0" applyAlignment="0" applyProtection="0"/>
    <xf numFmtId="0" fontId="14" fillId="0" borderId="0"/>
    <xf numFmtId="0" fontId="25" fillId="0" borderId="0"/>
    <xf numFmtId="0" fontId="20" fillId="0" borderId="0"/>
    <xf numFmtId="0" fontId="19" fillId="0" borderId="0"/>
    <xf numFmtId="0" fontId="19" fillId="0" borderId="0"/>
    <xf numFmtId="0" fontId="14" fillId="0" borderId="0"/>
    <xf numFmtId="0" fontId="28" fillId="0" borderId="0"/>
    <xf numFmtId="0" fontId="29" fillId="0" borderId="0"/>
    <xf numFmtId="42" fontId="1" fillId="0" borderId="0" applyFont="0" applyFill="0" applyBorder="0" applyAlignment="0" applyProtection="0"/>
  </cellStyleXfs>
  <cellXfs count="119">
    <xf numFmtId="0" fontId="0" fillId="0" borderId="0" xfId="0"/>
    <xf numFmtId="0" fontId="5" fillId="3" borderId="0" xfId="0" applyFont="1" applyFill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4" borderId="0" xfId="0" applyFont="1" applyFill="1" applyProtection="1">
      <protection hidden="1"/>
    </xf>
    <xf numFmtId="0" fontId="5" fillId="4" borderId="0" xfId="0" applyFont="1" applyFill="1" applyAlignment="1" applyProtection="1">
      <alignment horizontal="left"/>
      <protection hidden="1"/>
    </xf>
    <xf numFmtId="0" fontId="5" fillId="4" borderId="0" xfId="0" applyFont="1" applyFill="1" applyAlignment="1" applyProtection="1">
      <alignment horizontal="center"/>
      <protection hidden="1"/>
    </xf>
    <xf numFmtId="0" fontId="5" fillId="0" borderId="0" xfId="0" applyFont="1" applyAlignment="1" applyProtection="1">
      <alignment horizontal="left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9" fillId="3" borderId="0" xfId="0" applyFont="1" applyFill="1" applyProtection="1">
      <protection hidden="1"/>
    </xf>
    <xf numFmtId="170" fontId="3" fillId="2" borderId="1" xfId="3" applyNumberFormat="1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169" fontId="11" fillId="0" borderId="1" xfId="2" applyNumberFormat="1" applyFont="1" applyFill="1" applyBorder="1" applyProtection="1">
      <protection hidden="1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/>
      <protection locked="0"/>
    </xf>
    <xf numFmtId="173" fontId="24" fillId="3" borderId="1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wrapText="1"/>
      <protection locked="0"/>
    </xf>
    <xf numFmtId="0" fontId="5" fillId="0" borderId="0" xfId="0" applyFont="1" applyProtection="1">
      <protection locked="0"/>
    </xf>
    <xf numFmtId="9" fontId="13" fillId="0" borderId="1" xfId="8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hidden="1"/>
    </xf>
    <xf numFmtId="169" fontId="5" fillId="0" borderId="1" xfId="0" applyNumberFormat="1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4" borderId="0" xfId="0" applyFont="1" applyFill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center" vertical="center"/>
      <protection hidden="1"/>
    </xf>
    <xf numFmtId="169" fontId="11" fillId="0" borderId="0" xfId="2" applyNumberFormat="1" applyFont="1" applyFill="1" applyBorder="1" applyProtection="1">
      <protection hidden="1"/>
    </xf>
    <xf numFmtId="169" fontId="5" fillId="0" borderId="0" xfId="0" applyNumberFormat="1" applyFont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9" fontId="13" fillId="0" borderId="0" xfId="8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/>
      <protection hidden="1"/>
    </xf>
    <xf numFmtId="1" fontId="6" fillId="0" borderId="0" xfId="3" applyNumberFormat="1" applyFont="1" applyAlignment="1" applyProtection="1">
      <alignment horizontal="left" vertical="center"/>
      <protection hidden="1"/>
    </xf>
    <xf numFmtId="174" fontId="11" fillId="0" borderId="0" xfId="2" applyNumberFormat="1" applyFont="1" applyFill="1" applyBorder="1" applyProtection="1">
      <protection hidden="1"/>
    </xf>
    <xf numFmtId="3" fontId="5" fillId="0" borderId="0" xfId="0" applyNumberFormat="1" applyFont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15" xfId="0" applyFont="1" applyBorder="1" applyAlignment="1" applyProtection="1">
      <alignment horizontal="left" vertical="center"/>
      <protection hidden="1"/>
    </xf>
    <xf numFmtId="1" fontId="6" fillId="0" borderId="0" xfId="0" applyNumberFormat="1" applyFont="1" applyAlignment="1" applyProtection="1">
      <alignment horizontal="center"/>
      <protection hidden="1"/>
    </xf>
    <xf numFmtId="1" fontId="3" fillId="2" borderId="1" xfId="3" applyNumberFormat="1" applyFont="1" applyFill="1" applyBorder="1" applyAlignment="1" applyProtection="1">
      <alignment horizontal="center" vertical="center" wrapText="1"/>
      <protection hidden="1"/>
    </xf>
    <xf numFmtId="176" fontId="0" fillId="0" borderId="1" xfId="0" applyNumberFormat="1" applyBorder="1" applyAlignment="1">
      <alignment horizontal="center"/>
    </xf>
    <xf numFmtId="3" fontId="31" fillId="0" borderId="0" xfId="0" applyNumberFormat="1" applyFont="1" applyAlignment="1" applyProtection="1">
      <alignment horizontal="center"/>
      <protection locked="0"/>
    </xf>
    <xf numFmtId="176" fontId="0" fillId="0" borderId="0" xfId="0" applyNumberFormat="1" applyAlignment="1">
      <alignment horizontal="center"/>
    </xf>
    <xf numFmtId="176" fontId="0" fillId="6" borderId="1" xfId="0" applyNumberFormat="1" applyFill="1" applyBorder="1" applyAlignment="1">
      <alignment horizontal="center"/>
    </xf>
    <xf numFmtId="0" fontId="13" fillId="0" borderId="2" xfId="0" applyFont="1" applyBorder="1" applyAlignment="1" applyProtection="1">
      <alignment horizontal="center" vertical="center"/>
      <protection hidden="1"/>
    </xf>
    <xf numFmtId="0" fontId="9" fillId="3" borderId="0" xfId="0" applyFont="1" applyFill="1" applyAlignment="1" applyProtection="1">
      <alignment horizontal="center"/>
      <protection hidden="1"/>
    </xf>
    <xf numFmtId="0" fontId="30" fillId="3" borderId="0" xfId="0" applyFont="1" applyFill="1" applyAlignment="1" applyProtection="1">
      <alignment horizontal="center" vertical="center"/>
      <protection hidden="1"/>
    </xf>
    <xf numFmtId="0" fontId="32" fillId="7" borderId="1" xfId="3" applyFont="1" applyFill="1" applyBorder="1" applyAlignment="1" applyProtection="1">
      <alignment horizontal="center" vertical="center" wrapText="1"/>
      <protection hidden="1"/>
    </xf>
    <xf numFmtId="175" fontId="9" fillId="3" borderId="1" xfId="0" applyNumberFormat="1" applyFont="1" applyFill="1" applyBorder="1" applyAlignment="1" applyProtection="1">
      <alignment horizontal="center"/>
      <protection hidden="1"/>
    </xf>
    <xf numFmtId="0" fontId="32" fillId="8" borderId="1" xfId="3" applyFont="1" applyFill="1" applyBorder="1" applyAlignment="1" applyProtection="1">
      <alignment horizontal="center" vertical="center" wrapText="1"/>
      <protection hidden="1"/>
    </xf>
    <xf numFmtId="1" fontId="3" fillId="8" borderId="1" xfId="3" applyNumberFormat="1" applyFont="1" applyFill="1" applyBorder="1" applyAlignment="1" applyProtection="1">
      <alignment horizontal="center" vertical="center" wrapText="1"/>
      <protection hidden="1"/>
    </xf>
    <xf numFmtId="0" fontId="32" fillId="8" borderId="20" xfId="3" applyFont="1" applyFill="1" applyBorder="1" applyAlignment="1" applyProtection="1">
      <alignment horizontal="center" vertical="center" wrapText="1"/>
      <protection hidden="1"/>
    </xf>
    <xf numFmtId="0" fontId="32" fillId="7" borderId="20" xfId="3" applyFont="1" applyFill="1" applyBorder="1" applyAlignment="1" applyProtection="1">
      <alignment horizontal="center" vertical="center" wrapText="1"/>
      <protection hidden="1"/>
    </xf>
    <xf numFmtId="1" fontId="4" fillId="0" borderId="1" xfId="0" applyNumberFormat="1" applyFont="1" applyBorder="1" applyAlignment="1" applyProtection="1">
      <alignment horizontal="center" vertical="center"/>
      <protection hidden="1"/>
    </xf>
    <xf numFmtId="1" fontId="6" fillId="0" borderId="1" xfId="3" applyNumberFormat="1" applyFont="1" applyBorder="1" applyAlignment="1" applyProtection="1">
      <alignment horizontal="left" vertical="center"/>
      <protection hidden="1"/>
    </xf>
    <xf numFmtId="3" fontId="31" fillId="0" borderId="1" xfId="0" applyNumberFormat="1" applyFont="1" applyBorder="1" applyAlignment="1" applyProtection="1">
      <alignment horizontal="center"/>
      <protection locked="0"/>
    </xf>
    <xf numFmtId="169" fontId="5" fillId="0" borderId="1" xfId="0" applyNumberFormat="1" applyFont="1" applyBorder="1" applyAlignment="1" applyProtection="1">
      <alignment horizontal="center"/>
      <protection hidden="1"/>
    </xf>
    <xf numFmtId="1" fontId="12" fillId="0" borderId="1" xfId="3" applyNumberFormat="1" applyFont="1" applyBorder="1" applyAlignment="1" applyProtection="1">
      <alignment horizontal="left" vertical="center"/>
      <protection hidden="1"/>
    </xf>
    <xf numFmtId="169" fontId="8" fillId="0" borderId="1" xfId="0" applyNumberFormat="1" applyFont="1" applyBorder="1" applyAlignment="1" applyProtection="1">
      <alignment horizontal="center"/>
      <protection hidden="1"/>
    </xf>
    <xf numFmtId="42" fontId="13" fillId="0" borderId="1" xfId="148" applyFont="1" applyFill="1" applyBorder="1" applyAlignment="1" applyProtection="1">
      <alignment horizontal="center" vertical="center"/>
      <protection hidden="1"/>
    </xf>
    <xf numFmtId="177" fontId="13" fillId="0" borderId="1" xfId="8" applyNumberFormat="1" applyFont="1" applyFill="1" applyBorder="1" applyAlignment="1" applyProtection="1">
      <alignment horizontal="center" vertical="center"/>
    </xf>
    <xf numFmtId="0" fontId="6" fillId="0" borderId="0" xfId="3" applyFont="1" applyAlignment="1" applyProtection="1">
      <alignment horizontal="left" vertical="center"/>
      <protection hidden="1"/>
    </xf>
    <xf numFmtId="0" fontId="6" fillId="0" borderId="0" xfId="3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42" fontId="13" fillId="0" borderId="1" xfId="0" applyNumberFormat="1" applyFont="1" applyBorder="1" applyAlignment="1" applyProtection="1">
      <alignment horizontal="center" vertical="center"/>
      <protection hidden="1"/>
    </xf>
    <xf numFmtId="176" fontId="6" fillId="0" borderId="1" xfId="0" applyNumberFormat="1" applyFont="1" applyBorder="1" applyAlignment="1">
      <alignment horizontal="center"/>
    </xf>
    <xf numFmtId="169" fontId="34" fillId="0" borderId="1" xfId="2" applyNumberFormat="1" applyFont="1" applyFill="1" applyBorder="1" applyProtection="1">
      <protection hidden="1"/>
    </xf>
    <xf numFmtId="42" fontId="5" fillId="0" borderId="1" xfId="0" applyNumberFormat="1" applyFont="1" applyBorder="1" applyAlignment="1" applyProtection="1">
      <alignment vertical="center"/>
      <protection hidden="1"/>
    </xf>
    <xf numFmtId="169" fontId="34" fillId="0" borderId="0" xfId="2" applyNumberFormat="1" applyFont="1" applyFill="1" applyBorder="1" applyProtection="1">
      <protection hidden="1"/>
    </xf>
    <xf numFmtId="0" fontId="6" fillId="0" borderId="0" xfId="0" applyFont="1" applyProtection="1">
      <protection locked="0" hidden="1"/>
    </xf>
    <xf numFmtId="169" fontId="6" fillId="0" borderId="0" xfId="0" applyNumberFormat="1" applyFont="1" applyAlignment="1" applyProtection="1">
      <alignment horizontal="center"/>
      <protection hidden="1"/>
    </xf>
    <xf numFmtId="176" fontId="6" fillId="0" borderId="0" xfId="0" applyNumberFormat="1" applyFont="1" applyAlignment="1">
      <alignment horizontal="center"/>
    </xf>
    <xf numFmtId="1" fontId="4" fillId="0" borderId="1" xfId="0" applyNumberFormat="1" applyFont="1" applyFill="1" applyBorder="1" applyAlignment="1" applyProtection="1">
      <alignment horizontal="center" vertical="center"/>
      <protection hidden="1"/>
    </xf>
    <xf numFmtId="1" fontId="6" fillId="0" borderId="1" xfId="3" applyNumberFormat="1" applyFont="1" applyFill="1" applyBorder="1" applyAlignment="1" applyProtection="1">
      <alignment horizontal="left" vertical="center"/>
      <protection hidden="1"/>
    </xf>
    <xf numFmtId="3" fontId="12" fillId="0" borderId="1" xfId="0" applyNumberFormat="1" applyFont="1" applyFill="1" applyBorder="1" applyAlignment="1" applyProtection="1">
      <alignment horizontal="center"/>
      <protection locked="0"/>
    </xf>
    <xf numFmtId="169" fontId="6" fillId="0" borderId="1" xfId="0" applyNumberFormat="1" applyFont="1" applyFill="1" applyBorder="1" applyAlignment="1" applyProtection="1">
      <alignment horizontal="center"/>
      <protection hidden="1"/>
    </xf>
    <xf numFmtId="176" fontId="6" fillId="0" borderId="1" xfId="0" applyNumberFormat="1" applyFont="1" applyFill="1" applyBorder="1" applyAlignment="1">
      <alignment horizontal="center"/>
    </xf>
    <xf numFmtId="0" fontId="6" fillId="0" borderId="1" xfId="0" applyFont="1" applyFill="1" applyBorder="1" applyAlignment="1" applyProtection="1">
      <alignment horizontal="left"/>
      <protection hidden="1"/>
    </xf>
    <xf numFmtId="0" fontId="6" fillId="0" borderId="1" xfId="0" applyFont="1" applyFill="1" applyBorder="1" applyProtection="1">
      <protection locked="0" hidden="1"/>
    </xf>
    <xf numFmtId="0" fontId="33" fillId="0" borderId="1" xfId="3" applyFont="1" applyFill="1" applyBorder="1" applyAlignment="1">
      <alignment horizontal="left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/>
    </xf>
    <xf numFmtId="1" fontId="4" fillId="6" borderId="1" xfId="0" applyNumberFormat="1" applyFont="1" applyFill="1" applyBorder="1" applyAlignment="1" applyProtection="1">
      <alignment horizontal="center" vertical="center"/>
      <protection hidden="1"/>
    </xf>
    <xf numFmtId="1" fontId="6" fillId="6" borderId="1" xfId="3" applyNumberFormat="1" applyFont="1" applyFill="1" applyBorder="1" applyAlignment="1" applyProtection="1">
      <alignment horizontal="left" vertical="center"/>
      <protection hidden="1"/>
    </xf>
    <xf numFmtId="169" fontId="34" fillId="6" borderId="1" xfId="2" applyNumberFormat="1" applyFont="1" applyFill="1" applyBorder="1" applyProtection="1">
      <protection hidden="1"/>
    </xf>
    <xf numFmtId="3" fontId="12" fillId="6" borderId="1" xfId="0" applyNumberFormat="1" applyFont="1" applyFill="1" applyBorder="1" applyAlignment="1" applyProtection="1">
      <alignment horizontal="center"/>
      <protection locked="0"/>
    </xf>
    <xf numFmtId="169" fontId="6" fillId="6" borderId="1" xfId="0" applyNumberFormat="1" applyFont="1" applyFill="1" applyBorder="1" applyAlignment="1" applyProtection="1">
      <alignment horizontal="center"/>
      <protection hidden="1"/>
    </xf>
    <xf numFmtId="176" fontId="6" fillId="6" borderId="1" xfId="0" applyNumberFormat="1" applyFont="1" applyFill="1" applyBorder="1" applyAlignment="1">
      <alignment horizontal="center"/>
    </xf>
    <xf numFmtId="1" fontId="4" fillId="0" borderId="9" xfId="0" applyNumberFormat="1" applyFont="1" applyFill="1" applyBorder="1" applyAlignment="1" applyProtection="1">
      <alignment horizontal="center" vertical="center"/>
      <protection hidden="1"/>
    </xf>
    <xf numFmtId="3" fontId="31" fillId="0" borderId="1" xfId="0" applyNumberFormat="1" applyFont="1" applyFill="1" applyBorder="1" applyAlignment="1" applyProtection="1">
      <alignment horizontal="center"/>
      <protection locked="0"/>
    </xf>
    <xf numFmtId="169" fontId="5" fillId="0" borderId="1" xfId="0" applyNumberFormat="1" applyFont="1" applyFill="1" applyBorder="1" applyAlignment="1" applyProtection="1">
      <alignment horizontal="center"/>
      <protection hidden="1"/>
    </xf>
    <xf numFmtId="176" fontId="0" fillId="0" borderId="1" xfId="0" applyNumberFormat="1" applyFill="1" applyBorder="1" applyAlignment="1">
      <alignment horizontal="center"/>
    </xf>
    <xf numFmtId="1" fontId="5" fillId="0" borderId="1" xfId="3" applyNumberFormat="1" applyFont="1" applyFill="1" applyBorder="1" applyAlignment="1" applyProtection="1">
      <alignment horizontal="left" vertical="center"/>
      <protection hidden="1"/>
    </xf>
    <xf numFmtId="0" fontId="5" fillId="0" borderId="1" xfId="0" applyFont="1" applyFill="1" applyBorder="1"/>
    <xf numFmtId="1" fontId="6" fillId="0" borderId="0" xfId="3" applyNumberFormat="1" applyFont="1" applyFill="1" applyAlignment="1" applyProtection="1">
      <alignment horizontal="left" vertical="center"/>
      <protection hidden="1"/>
    </xf>
    <xf numFmtId="1" fontId="4" fillId="6" borderId="9" xfId="0" applyNumberFormat="1" applyFont="1" applyFill="1" applyBorder="1" applyAlignment="1" applyProtection="1">
      <alignment horizontal="center" vertical="center"/>
      <protection hidden="1"/>
    </xf>
    <xf numFmtId="169" fontId="11" fillId="6" borderId="1" xfId="2" applyNumberFormat="1" applyFont="1" applyFill="1" applyBorder="1" applyProtection="1">
      <protection hidden="1"/>
    </xf>
    <xf numFmtId="3" fontId="31" fillId="6" borderId="1" xfId="0" applyNumberFormat="1" applyFont="1" applyFill="1" applyBorder="1" applyAlignment="1" applyProtection="1">
      <alignment horizontal="center"/>
      <protection locked="0"/>
    </xf>
    <xf numFmtId="169" fontId="5" fillId="6" borderId="1" xfId="0" applyNumberFormat="1" applyFont="1" applyFill="1" applyBorder="1" applyAlignment="1" applyProtection="1">
      <alignment horizontal="center"/>
      <protection hidden="1"/>
    </xf>
    <xf numFmtId="0" fontId="13" fillId="0" borderId="5" xfId="0" applyFont="1" applyBorder="1" applyAlignment="1" applyProtection="1">
      <alignment horizontal="center" vertical="center" wrapText="1"/>
      <protection hidden="1"/>
    </xf>
    <xf numFmtId="0" fontId="13" fillId="0" borderId="6" xfId="0" applyFont="1" applyBorder="1" applyAlignment="1" applyProtection="1">
      <alignment horizontal="center" vertical="center" wrapText="1"/>
      <protection hidden="1"/>
    </xf>
    <xf numFmtId="0" fontId="13" fillId="0" borderId="7" xfId="0" applyFont="1" applyBorder="1" applyAlignment="1" applyProtection="1">
      <alignment horizontal="center" vertical="center" wrapText="1"/>
      <protection hidden="1"/>
    </xf>
    <xf numFmtId="0" fontId="13" fillId="0" borderId="8" xfId="0" applyFont="1" applyBorder="1" applyAlignment="1" applyProtection="1">
      <alignment horizontal="center" vertical="center" wrapText="1"/>
      <protection hidden="1"/>
    </xf>
    <xf numFmtId="175" fontId="13" fillId="0" borderId="21" xfId="1" applyNumberFormat="1" applyFont="1" applyFill="1" applyBorder="1" applyAlignment="1" applyProtection="1">
      <alignment horizontal="center" vertical="center"/>
      <protection hidden="1"/>
    </xf>
    <xf numFmtId="175" fontId="13" fillId="0" borderId="22" xfId="1" applyNumberFormat="1" applyFont="1" applyFill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9" fillId="3" borderId="0" xfId="0" applyFont="1" applyFill="1" applyAlignment="1" applyProtection="1">
      <alignment horizontal="center"/>
      <protection hidden="1"/>
    </xf>
    <xf numFmtId="0" fontId="30" fillId="3" borderId="0" xfId="0" applyFont="1" applyFill="1" applyAlignment="1" applyProtection="1">
      <alignment horizontal="center" vertical="center"/>
      <protection hidden="1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22" fillId="3" borderId="2" xfId="0" applyFont="1" applyFill="1" applyBorder="1" applyAlignment="1" applyProtection="1">
      <alignment horizontal="center" vertical="center"/>
      <protection hidden="1"/>
    </xf>
    <xf numFmtId="0" fontId="22" fillId="3" borderId="4" xfId="0" applyFont="1" applyFill="1" applyBorder="1" applyAlignment="1" applyProtection="1">
      <alignment horizontal="center" vertical="center"/>
      <protection hidden="1"/>
    </xf>
    <xf numFmtId="175" fontId="13" fillId="0" borderId="17" xfId="1" applyNumberFormat="1" applyFont="1" applyFill="1" applyBorder="1" applyAlignment="1" applyProtection="1">
      <alignment horizontal="center" vertical="center"/>
      <protection hidden="1"/>
    </xf>
    <xf numFmtId="175" fontId="13" fillId="0" borderId="18" xfId="1" applyNumberFormat="1" applyFont="1" applyFill="1" applyBorder="1" applyAlignment="1" applyProtection="1">
      <alignment horizontal="center" vertical="center"/>
      <protection hidden="1"/>
    </xf>
    <xf numFmtId="175" fontId="9" fillId="3" borderId="0" xfId="0" applyNumberFormat="1" applyFont="1" applyFill="1" applyAlignment="1" applyProtection="1">
      <alignment horizontal="center"/>
      <protection hidden="1"/>
    </xf>
    <xf numFmtId="175" fontId="9" fillId="3" borderId="19" xfId="0" applyNumberFormat="1" applyFont="1" applyFill="1" applyBorder="1" applyAlignment="1" applyProtection="1">
      <alignment horizontal="center"/>
      <protection hidden="1"/>
    </xf>
  </cellXfs>
  <cellStyles count="149">
    <cellStyle name="Buena" xfId="10" xr:uid="{00000000-0005-0000-0000-000000000000}"/>
    <cellStyle name="Excel Built-in Normal" xfId="4" xr:uid="{00000000-0005-0000-0000-000001000000}"/>
    <cellStyle name="Komma 2" xfId="17" xr:uid="{00000000-0005-0000-0000-000002000000}"/>
    <cellStyle name="Millares" xfId="1" builtinId="3"/>
    <cellStyle name="Millares [0] 2" xfId="31" xr:uid="{00000000-0005-0000-0000-000004000000}"/>
    <cellStyle name="Millares [0] 2 2" xfId="113" xr:uid="{00000000-0005-0000-0000-000005000000}"/>
    <cellStyle name="Millares [0] 2 3" xfId="103" xr:uid="{00000000-0005-0000-0000-000006000000}"/>
    <cellStyle name="Millares 10" xfId="34" xr:uid="{00000000-0005-0000-0000-000007000000}"/>
    <cellStyle name="Millares 10 2" xfId="51" xr:uid="{00000000-0005-0000-0000-000008000000}"/>
    <cellStyle name="Millares 10 2 2" xfId="84" xr:uid="{00000000-0005-0000-0000-000009000000}"/>
    <cellStyle name="Millares 10 3" xfId="67" xr:uid="{00000000-0005-0000-0000-00000A000000}"/>
    <cellStyle name="Millares 11" xfId="39" xr:uid="{00000000-0005-0000-0000-00000B000000}"/>
    <cellStyle name="Millares 11 2" xfId="56" xr:uid="{00000000-0005-0000-0000-00000C000000}"/>
    <cellStyle name="Millares 11 2 2" xfId="89" xr:uid="{00000000-0005-0000-0000-00000D000000}"/>
    <cellStyle name="Millares 11 3" xfId="72" xr:uid="{00000000-0005-0000-0000-00000E000000}"/>
    <cellStyle name="Millares 12" xfId="29" xr:uid="{00000000-0005-0000-0000-00000F000000}"/>
    <cellStyle name="Millares 12 2" xfId="48" xr:uid="{00000000-0005-0000-0000-000010000000}"/>
    <cellStyle name="Millares 12 2 2" xfId="81" xr:uid="{00000000-0005-0000-0000-000011000000}"/>
    <cellStyle name="Millares 12 3" xfId="64" xr:uid="{00000000-0005-0000-0000-000012000000}"/>
    <cellStyle name="Millares 13" xfId="40" xr:uid="{00000000-0005-0000-0000-000013000000}"/>
    <cellStyle name="Millares 13 2" xfId="57" xr:uid="{00000000-0005-0000-0000-000014000000}"/>
    <cellStyle name="Millares 13 2 2" xfId="90" xr:uid="{00000000-0005-0000-0000-000015000000}"/>
    <cellStyle name="Millares 13 3" xfId="73" xr:uid="{00000000-0005-0000-0000-000016000000}"/>
    <cellStyle name="Millares 14" xfId="41" xr:uid="{00000000-0005-0000-0000-000017000000}"/>
    <cellStyle name="Millares 14 2" xfId="58" xr:uid="{00000000-0005-0000-0000-000018000000}"/>
    <cellStyle name="Millares 14 2 2" xfId="91" xr:uid="{00000000-0005-0000-0000-000019000000}"/>
    <cellStyle name="Millares 14 3" xfId="74" xr:uid="{00000000-0005-0000-0000-00001A000000}"/>
    <cellStyle name="Millares 15" xfId="42" xr:uid="{00000000-0005-0000-0000-00001B000000}"/>
    <cellStyle name="Millares 15 2" xfId="75" xr:uid="{00000000-0005-0000-0000-00001C000000}"/>
    <cellStyle name="Millares 16" xfId="44" xr:uid="{00000000-0005-0000-0000-00001D000000}"/>
    <cellStyle name="Millares 16 2" xfId="77" xr:uid="{00000000-0005-0000-0000-00001E000000}"/>
    <cellStyle name="Millares 17" xfId="46" xr:uid="{00000000-0005-0000-0000-00001F000000}"/>
    <cellStyle name="Millares 17 2" xfId="79" xr:uid="{00000000-0005-0000-0000-000020000000}"/>
    <cellStyle name="Millares 18" xfId="59" xr:uid="{00000000-0005-0000-0000-000021000000}"/>
    <cellStyle name="Millares 18 2" xfId="92" xr:uid="{00000000-0005-0000-0000-000022000000}"/>
    <cellStyle name="Millares 19" xfId="60" xr:uid="{00000000-0005-0000-0000-000023000000}"/>
    <cellStyle name="Millares 2" xfId="11" xr:uid="{00000000-0005-0000-0000-000024000000}"/>
    <cellStyle name="Millares 2 2" xfId="45" xr:uid="{00000000-0005-0000-0000-000025000000}"/>
    <cellStyle name="Millares 2 2 2" xfId="78" xr:uid="{00000000-0005-0000-0000-000026000000}"/>
    <cellStyle name="Millares 2 3" xfId="62" xr:uid="{00000000-0005-0000-0000-000027000000}"/>
    <cellStyle name="Millares 2 3 2" xfId="122" xr:uid="{00000000-0005-0000-0000-000028000000}"/>
    <cellStyle name="Millares 2 4" xfId="133" xr:uid="{00000000-0005-0000-0000-000029000000}"/>
    <cellStyle name="Millares 2 5" xfId="119" xr:uid="{00000000-0005-0000-0000-00002A000000}"/>
    <cellStyle name="Millares 2 6" xfId="104" xr:uid="{00000000-0005-0000-0000-00002B000000}"/>
    <cellStyle name="Millares 20" xfId="131" xr:uid="{00000000-0005-0000-0000-00002C000000}"/>
    <cellStyle name="Millares 21" xfId="117" xr:uid="{00000000-0005-0000-0000-00002D000000}"/>
    <cellStyle name="Millares 3" xfId="28" xr:uid="{00000000-0005-0000-0000-00002E000000}"/>
    <cellStyle name="Millares 3 2" xfId="47" xr:uid="{00000000-0005-0000-0000-00002F000000}"/>
    <cellStyle name="Millares 3 2 2" xfId="80" xr:uid="{00000000-0005-0000-0000-000030000000}"/>
    <cellStyle name="Millares 3 3" xfId="63" xr:uid="{00000000-0005-0000-0000-000031000000}"/>
    <cellStyle name="Millares 3 4" xfId="126" xr:uid="{00000000-0005-0000-0000-000032000000}"/>
    <cellStyle name="Millares 3 5" xfId="102" xr:uid="{00000000-0005-0000-0000-000033000000}"/>
    <cellStyle name="Millares 4" xfId="32" xr:uid="{00000000-0005-0000-0000-000034000000}"/>
    <cellStyle name="Millares 4 2" xfId="49" xr:uid="{00000000-0005-0000-0000-000035000000}"/>
    <cellStyle name="Millares 4 2 2" xfId="82" xr:uid="{00000000-0005-0000-0000-000036000000}"/>
    <cellStyle name="Millares 4 3" xfId="65" xr:uid="{00000000-0005-0000-0000-000037000000}"/>
    <cellStyle name="Millares 4 4" xfId="106" xr:uid="{00000000-0005-0000-0000-000038000000}"/>
    <cellStyle name="Millares 5" xfId="33" xr:uid="{00000000-0005-0000-0000-000039000000}"/>
    <cellStyle name="Millares 5 2" xfId="50" xr:uid="{00000000-0005-0000-0000-00003A000000}"/>
    <cellStyle name="Millares 5 2 2" xfId="83" xr:uid="{00000000-0005-0000-0000-00003B000000}"/>
    <cellStyle name="Millares 5 3" xfId="66" xr:uid="{00000000-0005-0000-0000-00003C000000}"/>
    <cellStyle name="Millares 6" xfId="38" xr:uid="{00000000-0005-0000-0000-00003D000000}"/>
    <cellStyle name="Millares 6 2" xfId="55" xr:uid="{00000000-0005-0000-0000-00003E000000}"/>
    <cellStyle name="Millares 6 2 2" xfId="88" xr:uid="{00000000-0005-0000-0000-00003F000000}"/>
    <cellStyle name="Millares 6 3" xfId="71" xr:uid="{00000000-0005-0000-0000-000040000000}"/>
    <cellStyle name="Millares 6 4" xfId="108" xr:uid="{00000000-0005-0000-0000-000041000000}"/>
    <cellStyle name="Millares 7" xfId="36" xr:uid="{00000000-0005-0000-0000-000042000000}"/>
    <cellStyle name="Millares 7 2" xfId="53" xr:uid="{00000000-0005-0000-0000-000043000000}"/>
    <cellStyle name="Millares 7 2 2" xfId="86" xr:uid="{00000000-0005-0000-0000-000044000000}"/>
    <cellStyle name="Millares 7 3" xfId="69" xr:uid="{00000000-0005-0000-0000-000045000000}"/>
    <cellStyle name="Millares 7 4" xfId="110" xr:uid="{00000000-0005-0000-0000-000046000000}"/>
    <cellStyle name="Millares 8" xfId="35" xr:uid="{00000000-0005-0000-0000-000047000000}"/>
    <cellStyle name="Millares 8 2" xfId="52" xr:uid="{00000000-0005-0000-0000-000048000000}"/>
    <cellStyle name="Millares 8 2 2" xfId="85" xr:uid="{00000000-0005-0000-0000-000049000000}"/>
    <cellStyle name="Millares 8 3" xfId="68" xr:uid="{00000000-0005-0000-0000-00004A000000}"/>
    <cellStyle name="Millares 8 4" xfId="114" xr:uid="{00000000-0005-0000-0000-00004B000000}"/>
    <cellStyle name="Millares 9" xfId="37" xr:uid="{00000000-0005-0000-0000-00004C000000}"/>
    <cellStyle name="Millares 9 2" xfId="54" xr:uid="{00000000-0005-0000-0000-00004D000000}"/>
    <cellStyle name="Millares 9 2 2" xfId="87" xr:uid="{00000000-0005-0000-0000-00004E000000}"/>
    <cellStyle name="Millares 9 3" xfId="70" xr:uid="{00000000-0005-0000-0000-00004F000000}"/>
    <cellStyle name="Millares 9 4" xfId="115" xr:uid="{00000000-0005-0000-0000-000050000000}"/>
    <cellStyle name="Moneda" xfId="2" builtinId="4"/>
    <cellStyle name="Moneda [0]" xfId="148" builtinId="7"/>
    <cellStyle name="Moneda [0] 2" xfId="111" xr:uid="{00000000-0005-0000-0000-000052000000}"/>
    <cellStyle name="Moneda [0] 3" xfId="99" xr:uid="{00000000-0005-0000-0000-000053000000}"/>
    <cellStyle name="Moneda 2" xfId="43" xr:uid="{00000000-0005-0000-0000-000054000000}"/>
    <cellStyle name="Moneda 2 2" xfId="76" xr:uid="{00000000-0005-0000-0000-000055000000}"/>
    <cellStyle name="Moneda 2 2 2" xfId="128" xr:uid="{00000000-0005-0000-0000-000056000000}"/>
    <cellStyle name="Moneda 2 3" xfId="123" xr:uid="{00000000-0005-0000-0000-000057000000}"/>
    <cellStyle name="Moneda 2 4" xfId="139" xr:uid="{00000000-0005-0000-0000-000058000000}"/>
    <cellStyle name="Moneda 2 5" xfId="107" xr:uid="{00000000-0005-0000-0000-000059000000}"/>
    <cellStyle name="Moneda 3" xfId="61" xr:uid="{00000000-0005-0000-0000-00005A000000}"/>
    <cellStyle name="Moneda 3 2" xfId="125" xr:uid="{00000000-0005-0000-0000-00005B000000}"/>
    <cellStyle name="Moneda 4" xfId="130" xr:uid="{00000000-0005-0000-0000-00005C000000}"/>
    <cellStyle name="Moneda 5" xfId="116" xr:uid="{00000000-0005-0000-0000-00005D000000}"/>
    <cellStyle name="Normal" xfId="0" builtinId="0"/>
    <cellStyle name="Normal 10" xfId="94" xr:uid="{00000000-0005-0000-0000-00005F000000}"/>
    <cellStyle name="Normal 10 2" xfId="140" xr:uid="{00000000-0005-0000-0000-000060000000}"/>
    <cellStyle name="Normal 11" xfId="97" xr:uid="{00000000-0005-0000-0000-000061000000}"/>
    <cellStyle name="Normal 12" xfId="146" xr:uid="{00000000-0005-0000-0000-000062000000}"/>
    <cellStyle name="Normal 13" xfId="147" xr:uid="{5EE0DFB0-F03C-4609-86A7-A6B170D0B8F3}"/>
    <cellStyle name="Normal 16" xfId="145" xr:uid="{00000000-0005-0000-0000-000063000000}"/>
    <cellStyle name="Normal 17" xfId="18" xr:uid="{00000000-0005-0000-0000-000064000000}"/>
    <cellStyle name="Normal 2" xfId="3" xr:uid="{00000000-0005-0000-0000-000065000000}"/>
    <cellStyle name="Normal 2 13" xfId="14" xr:uid="{00000000-0005-0000-0000-000066000000}"/>
    <cellStyle name="Normal 2 2" xfId="5" xr:uid="{00000000-0005-0000-0000-000067000000}"/>
    <cellStyle name="Normal 2 2 2" xfId="142" xr:uid="{00000000-0005-0000-0000-000068000000}"/>
    <cellStyle name="Normal 2 3" xfId="6" xr:uid="{00000000-0005-0000-0000-000069000000}"/>
    <cellStyle name="Normal 2 4" xfId="15" xr:uid="{00000000-0005-0000-0000-00006A000000}"/>
    <cellStyle name="Normal 2 4 2" xfId="135" xr:uid="{00000000-0005-0000-0000-00006B000000}"/>
    <cellStyle name="Normal 2 4 3" xfId="109" xr:uid="{00000000-0005-0000-0000-00006C000000}"/>
    <cellStyle name="Normal 2 5" xfId="95" xr:uid="{00000000-0005-0000-0000-00006D000000}"/>
    <cellStyle name="Normal 2 5 2" xfId="144" xr:uid="{00000000-0005-0000-0000-00006E000000}"/>
    <cellStyle name="Normal 2 6" xfId="98" xr:uid="{00000000-0005-0000-0000-00006F000000}"/>
    <cellStyle name="Normal 3" xfId="7" xr:uid="{00000000-0005-0000-0000-000070000000}"/>
    <cellStyle name="Normal 3 2" xfId="12" xr:uid="{00000000-0005-0000-0000-000071000000}"/>
    <cellStyle name="Normal 3 2 2" xfId="20" xr:uid="{00000000-0005-0000-0000-000072000000}"/>
    <cellStyle name="Normal 3 2 3" xfId="134" xr:uid="{00000000-0005-0000-0000-000073000000}"/>
    <cellStyle name="Normal 3 2 4" xfId="105" xr:uid="{00000000-0005-0000-0000-000074000000}"/>
    <cellStyle name="Normal 3 3" xfId="16" xr:uid="{00000000-0005-0000-0000-000075000000}"/>
    <cellStyle name="Normal 3 3 2" xfId="136" xr:uid="{00000000-0005-0000-0000-000076000000}"/>
    <cellStyle name="Normal 3 3 3" xfId="101" xr:uid="{00000000-0005-0000-0000-000077000000}"/>
    <cellStyle name="Normal 3 4" xfId="19" xr:uid="{00000000-0005-0000-0000-000078000000}"/>
    <cellStyle name="Normal 3 5" xfId="96" xr:uid="{00000000-0005-0000-0000-000079000000}"/>
    <cellStyle name="Normal 3 5 2" xfId="132" xr:uid="{00000000-0005-0000-0000-00007A000000}"/>
    <cellStyle name="Normal 4" xfId="21" xr:uid="{00000000-0005-0000-0000-00007B000000}"/>
    <cellStyle name="Normal 4 2" xfId="112" xr:uid="{00000000-0005-0000-0000-00007C000000}"/>
    <cellStyle name="Normal 4 2 2" xfId="137" xr:uid="{00000000-0005-0000-0000-00007D000000}"/>
    <cellStyle name="Normal 4 3" xfId="118" xr:uid="{00000000-0005-0000-0000-00007E000000}"/>
    <cellStyle name="Normal 4 4" xfId="100" xr:uid="{00000000-0005-0000-0000-00007F000000}"/>
    <cellStyle name="Normal 5" xfId="22" xr:uid="{00000000-0005-0000-0000-000080000000}"/>
    <cellStyle name="Normal 5 2" xfId="30" xr:uid="{00000000-0005-0000-0000-000081000000}"/>
    <cellStyle name="Normal 5 3" xfId="138" xr:uid="{00000000-0005-0000-0000-000082000000}"/>
    <cellStyle name="Normal 5 4" xfId="121" xr:uid="{00000000-0005-0000-0000-000083000000}"/>
    <cellStyle name="Normal 6" xfId="23" xr:uid="{00000000-0005-0000-0000-000084000000}"/>
    <cellStyle name="Normal 7" xfId="13" xr:uid="{00000000-0005-0000-0000-000085000000}"/>
    <cellStyle name="Normal 8" xfId="93" xr:uid="{00000000-0005-0000-0000-000086000000}"/>
    <cellStyle name="Normal 8 2" xfId="141" xr:uid="{00000000-0005-0000-0000-000087000000}"/>
    <cellStyle name="Normal 9" xfId="24" xr:uid="{00000000-0005-0000-0000-000088000000}"/>
    <cellStyle name="Normal 9 2" xfId="143" xr:uid="{00000000-0005-0000-0000-000089000000}"/>
    <cellStyle name="ParaBirimi 2" xfId="25" xr:uid="{00000000-0005-0000-0000-00008D000000}"/>
    <cellStyle name="Porcentaje" xfId="8" builtinId="5"/>
    <cellStyle name="Porcentaje 2" xfId="120" xr:uid="{00000000-0005-0000-0000-00008F000000}"/>
    <cellStyle name="Porcentaje 2 2" xfId="129" xr:uid="{00000000-0005-0000-0000-000090000000}"/>
    <cellStyle name="Porcentaje 2 3" xfId="124" xr:uid="{00000000-0005-0000-0000-000091000000}"/>
    <cellStyle name="Porcentaje 3" xfId="127" xr:uid="{00000000-0005-0000-0000-000092000000}"/>
    <cellStyle name="Standard 2" xfId="26" xr:uid="{00000000-0005-0000-0000-000093000000}"/>
    <cellStyle name="Título 1" xfId="9" xr:uid="{00000000-0005-0000-0000-000094000000}"/>
    <cellStyle name="Yüzde 2" xfId="27" xr:uid="{00000000-0005-0000-0000-000095000000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FF99"/>
      <color rgb="FFFFFF00"/>
      <color rgb="FFFFFFFF"/>
      <color rgb="FFFFFFCC"/>
      <color rgb="FF663300"/>
      <color rgb="FFF6862A"/>
      <color rgb="FFFF9900"/>
      <color rgb="FFFF33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249010</xdr:colOff>
      <xdr:row>0</xdr:row>
      <xdr:rowOff>163285</xdr:rowOff>
    </xdr:from>
    <xdr:to>
      <xdr:col>3</xdr:col>
      <xdr:colOff>1457324</xdr:colOff>
      <xdr:row>3</xdr:row>
      <xdr:rowOff>96024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AA91E61-E4B1-4C7B-8BD2-F0AA871F8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10" y="163285"/>
          <a:ext cx="3547382" cy="953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190501</xdr:colOff>
      <xdr:row>2</xdr:row>
      <xdr:rowOff>154781</xdr:rowOff>
    </xdr:from>
    <xdr:to>
      <xdr:col>3</xdr:col>
      <xdr:colOff>944560</xdr:colOff>
      <xdr:row>4</xdr:row>
      <xdr:rowOff>44175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8C297B7-7A92-49E1-856B-BBB334364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1" y="1071562"/>
          <a:ext cx="3212870" cy="8657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9527</xdr:colOff>
      <xdr:row>0</xdr:row>
      <xdr:rowOff>259556</xdr:rowOff>
    </xdr:from>
    <xdr:to>
      <xdr:col>3</xdr:col>
      <xdr:colOff>1352551</xdr:colOff>
      <xdr:row>3</xdr:row>
      <xdr:rowOff>189928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83FE04-82F1-4E76-AA13-3AEB13E87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2" y="259556"/>
          <a:ext cx="3057524" cy="146389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haustekcl.sharepoint.com/sites/RepositoriodeDocumentosHaustek/Documentos%20compartidos/101.-%20LOGISTICA%20WINHOUSE/ON%20LINE/PRECIOS%20HAUSTEK%20ABRIL%202026.xlsx" TargetMode="External"/><Relationship Id="rId1" Type="http://schemas.openxmlformats.org/officeDocument/2006/relationships/externalLinkPath" Target="https://haustekcl.sharepoint.com/sites/RepositoriodeDocumentosHaustek/Documentos%20compartidos/101.-%20LOGISTICA%20WINHOUSE/ON%20LINE/PRECIOS%20HAUSTEK%20ABRIL%202026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NATHAN%20MARTINEZ\Desktop\GESTION%20COMPRAS\GESTION%20WH.xlsx.xlsm" TargetMode="External"/><Relationship Id="rId1" Type="http://schemas.openxmlformats.org/officeDocument/2006/relationships/externalLinkPath" Target="https://haustekcl.sharepoint.com/Users/JONATHAN%20MARTINEZ/Desktop/GESTION%20COMPRAS/GESTION%20WH.xls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.D"/>
      <sheetName val="PRECIO VENTA 27-04"/>
      <sheetName val="PRECIO VENTA 04-06"/>
    </sheetNames>
    <sheetDataSet>
      <sheetData sheetId="0">
        <row r="1">
          <cell r="A1" t="str">
            <v>Número de artículo</v>
          </cell>
          <cell r="B1" t="str">
            <v>Descripción del artículo</v>
          </cell>
          <cell r="C1" t="str">
            <v>En stock</v>
          </cell>
          <cell r="D1" t="str">
            <v>ULTIMA COMPRA</v>
          </cell>
          <cell r="E1" t="str">
            <v>PESO ART</v>
          </cell>
          <cell r="F1" t="str">
            <v>COLOR</v>
          </cell>
          <cell r="G1" t="str">
            <v>SISTEMA</v>
          </cell>
        </row>
        <row r="2">
          <cell r="A2">
            <v>110021222200</v>
          </cell>
          <cell r="B2" t="str">
            <v>CREMONA ABATIR EXTERIOR E22 210MM</v>
          </cell>
          <cell r="C2">
            <v>0</v>
          </cell>
          <cell r="D2">
            <v>46167</v>
          </cell>
          <cell r="E2">
            <v>0</v>
          </cell>
          <cell r="F2" t="str">
            <v>NATURAL</v>
          </cell>
          <cell r="G2" t="str">
            <v>CREMONA</v>
          </cell>
        </row>
        <row r="3">
          <cell r="A3">
            <v>110021225200</v>
          </cell>
          <cell r="B3" t="str">
            <v>CREMONA ABATIR EXTERIOR 210MM E25 1B</v>
          </cell>
          <cell r="C3">
            <v>0</v>
          </cell>
          <cell r="D3">
            <v>46167</v>
          </cell>
          <cell r="E3">
            <v>0</v>
          </cell>
          <cell r="F3" t="str">
            <v>NATURAL</v>
          </cell>
          <cell r="G3" t="str">
            <v>CREMONA</v>
          </cell>
        </row>
        <row r="4">
          <cell r="A4">
            <v>110021307201</v>
          </cell>
          <cell r="B4" t="str">
            <v>CREMONA CORREDERA E7.5 210MM</v>
          </cell>
          <cell r="C4">
            <v>0</v>
          </cell>
          <cell r="D4">
            <v>45915</v>
          </cell>
          <cell r="E4">
            <v>0</v>
          </cell>
          <cell r="F4" t="str">
            <v>NATURAL</v>
          </cell>
          <cell r="G4" t="str">
            <v>CREMONA</v>
          </cell>
        </row>
        <row r="5">
          <cell r="A5">
            <v>110021925200</v>
          </cell>
          <cell r="B5" t="str">
            <v>CREMONA PRACT. D25.5 (GAVM 210-1 D25.5)</v>
          </cell>
          <cell r="C5">
            <v>0</v>
          </cell>
          <cell r="D5">
            <v>45958</v>
          </cell>
          <cell r="E5">
            <v>0</v>
          </cell>
          <cell r="F5" t="str">
            <v>NATURAL</v>
          </cell>
          <cell r="G5" t="str">
            <v>CREMONA</v>
          </cell>
        </row>
        <row r="6">
          <cell r="A6">
            <v>110028225200</v>
          </cell>
          <cell r="B6" t="str">
            <v>CREMONA ABATIR EXTERIOR 280MM E25 1B</v>
          </cell>
          <cell r="C6">
            <v>0</v>
          </cell>
          <cell r="D6">
            <v>46167</v>
          </cell>
          <cell r="E6">
            <v>0</v>
          </cell>
          <cell r="F6" t="str">
            <v>NATURAL</v>
          </cell>
          <cell r="G6" t="str">
            <v>CREMONA</v>
          </cell>
        </row>
        <row r="7">
          <cell r="A7">
            <v>110040222200</v>
          </cell>
          <cell r="B7" t="str">
            <v>400/22 MM ZAMAC GEARBOX STD.  PIN ESPAGNOLETTE</v>
          </cell>
          <cell r="C7">
            <v>0</v>
          </cell>
          <cell r="D7">
            <v>45973</v>
          </cell>
          <cell r="E7">
            <v>0</v>
          </cell>
          <cell r="F7" t="str">
            <v>NATURAL</v>
          </cell>
          <cell r="G7" t="str">
            <v>CREMONA</v>
          </cell>
        </row>
        <row r="8">
          <cell r="A8">
            <v>110040225200</v>
          </cell>
          <cell r="B8" t="str">
            <v>CREMONA ABATIR EXTERIOR 400MM E25 2B</v>
          </cell>
          <cell r="C8">
            <v>0</v>
          </cell>
          <cell r="D8">
            <v>46167</v>
          </cell>
          <cell r="E8">
            <v>0</v>
          </cell>
          <cell r="F8" t="str">
            <v>NATURAL</v>
          </cell>
          <cell r="G8" t="str">
            <v>CREMONA</v>
          </cell>
        </row>
        <row r="9">
          <cell r="A9">
            <v>110040922200</v>
          </cell>
          <cell r="B9" t="str">
            <v>CREMONA PRACT. D22 (GAVM 400-2 D22)</v>
          </cell>
          <cell r="C9">
            <v>0</v>
          </cell>
          <cell r="D9">
            <v>46191</v>
          </cell>
          <cell r="E9">
            <v>0</v>
          </cell>
          <cell r="F9" t="str">
            <v>NATURAL</v>
          </cell>
          <cell r="G9" t="str">
            <v>CREMONA</v>
          </cell>
        </row>
        <row r="10">
          <cell r="A10">
            <v>110040925200</v>
          </cell>
          <cell r="B10" t="str">
            <v>CREMONA PRACT. D25.5 (GAVM 400-2 D25,5)</v>
          </cell>
          <cell r="C10">
            <v>0</v>
          </cell>
          <cell r="D10">
            <v>46191</v>
          </cell>
          <cell r="E10">
            <v>0</v>
          </cell>
          <cell r="F10" t="str">
            <v>NATURAL</v>
          </cell>
          <cell r="G10" t="str">
            <v>CREMONA</v>
          </cell>
        </row>
        <row r="11">
          <cell r="A11">
            <v>110060215200</v>
          </cell>
          <cell r="B11" t="str">
            <v>600/15 MM ZAMAC GEARBOX STD.  PIN ESPAGNOLETTE</v>
          </cell>
          <cell r="C11">
            <v>0</v>
          </cell>
          <cell r="E11">
            <v>0</v>
          </cell>
          <cell r="F11" t="str">
            <v>NATURAL</v>
          </cell>
          <cell r="G11" t="str">
            <v>CREMONA</v>
          </cell>
        </row>
        <row r="12">
          <cell r="A12">
            <v>110060222200</v>
          </cell>
          <cell r="B12" t="str">
            <v>CREMONA ABATIR EXTERIOR E22 600MM</v>
          </cell>
          <cell r="C12">
            <v>0</v>
          </cell>
          <cell r="D12">
            <v>45973</v>
          </cell>
          <cell r="E12">
            <v>0</v>
          </cell>
          <cell r="F12" t="str">
            <v>NATURAL</v>
          </cell>
          <cell r="G12" t="str">
            <v>CREMONA</v>
          </cell>
        </row>
        <row r="13">
          <cell r="A13">
            <v>110060225200</v>
          </cell>
          <cell r="B13" t="str">
            <v>600/25 MM ZAMAC GEARBOX STD.  PIN ESPAGNOLETTE</v>
          </cell>
          <cell r="C13">
            <v>0</v>
          </cell>
          <cell r="D13">
            <v>45973</v>
          </cell>
          <cell r="E13">
            <v>0</v>
          </cell>
          <cell r="F13" t="str">
            <v>NATURAL</v>
          </cell>
          <cell r="G13" t="str">
            <v>CREMONA</v>
          </cell>
        </row>
        <row r="14">
          <cell r="A14">
            <v>110060307200</v>
          </cell>
          <cell r="B14" t="str">
            <v>600/7,5MM ZAMAC GEARBOX SLIDING ESPAGNOLETTE</v>
          </cell>
          <cell r="C14">
            <v>0</v>
          </cell>
          <cell r="D14">
            <v>46191</v>
          </cell>
          <cell r="E14">
            <v>0</v>
          </cell>
          <cell r="F14" t="str">
            <v>NATURAL</v>
          </cell>
          <cell r="G14" t="str">
            <v>CREMONA</v>
          </cell>
        </row>
        <row r="15">
          <cell r="A15">
            <v>110060922200</v>
          </cell>
          <cell r="B15" t="str">
            <v>600/22 MM ZAMAC GEARBOX SECURITY PIN ESPAGNOLETTE</v>
          </cell>
          <cell r="C15">
            <v>0</v>
          </cell>
          <cell r="D15">
            <v>46191</v>
          </cell>
          <cell r="E15">
            <v>0</v>
          </cell>
          <cell r="F15" t="str">
            <v>NATURAL</v>
          </cell>
          <cell r="G15" t="str">
            <v>CREMONA</v>
          </cell>
        </row>
        <row r="16">
          <cell r="A16">
            <v>110060925200</v>
          </cell>
          <cell r="B16" t="str">
            <v>CREMONA PRACT. D-25,5 C.VAR.(GAVM 600-2)</v>
          </cell>
          <cell r="C16">
            <v>0</v>
          </cell>
          <cell r="D16">
            <v>46191</v>
          </cell>
          <cell r="E16">
            <v>0</v>
          </cell>
          <cell r="F16" t="str">
            <v>NATURAL</v>
          </cell>
          <cell r="G16" t="str">
            <v>CREMONA</v>
          </cell>
        </row>
        <row r="17">
          <cell r="A17">
            <v>110080222200</v>
          </cell>
          <cell r="B17" t="str">
            <v>800/22 MM ZAMAC GEARBOX STD.</v>
          </cell>
          <cell r="C17">
            <v>0</v>
          </cell>
          <cell r="D17">
            <v>45973</v>
          </cell>
          <cell r="E17">
            <v>0</v>
          </cell>
          <cell r="F17" t="str">
            <v>NATURAL</v>
          </cell>
          <cell r="G17" t="str">
            <v>CREMONA</v>
          </cell>
        </row>
        <row r="18">
          <cell r="A18">
            <v>110080225200</v>
          </cell>
          <cell r="B18" t="str">
            <v>800/25. TURN ONLY ESPAGNOLETTE (ZAMAK GEARBOX)</v>
          </cell>
          <cell r="C18">
            <v>0</v>
          </cell>
          <cell r="D18">
            <v>45915</v>
          </cell>
          <cell r="E18">
            <v>0</v>
          </cell>
          <cell r="F18" t="str">
            <v>NATURAL</v>
          </cell>
          <cell r="G18" t="str">
            <v>CREMONA</v>
          </cell>
        </row>
        <row r="19">
          <cell r="A19">
            <v>110080307200</v>
          </cell>
          <cell r="B19" t="str">
            <v>CREMONA CORREDERA  800/ 7,5 - 2</v>
          </cell>
          <cell r="C19">
            <v>0</v>
          </cell>
          <cell r="D19">
            <v>46191</v>
          </cell>
          <cell r="E19">
            <v>0</v>
          </cell>
          <cell r="F19" t="str">
            <v>NATURAL</v>
          </cell>
          <cell r="G19" t="str">
            <v>CREMONA</v>
          </cell>
        </row>
        <row r="20">
          <cell r="A20">
            <v>110080315200</v>
          </cell>
          <cell r="B20" t="str">
            <v>CREMONA CORREDERA 800/ 15,5 - 2</v>
          </cell>
          <cell r="C20">
            <v>0</v>
          </cell>
          <cell r="D20">
            <v>45958</v>
          </cell>
          <cell r="E20">
            <v>0</v>
          </cell>
          <cell r="F20" t="str">
            <v>NATURAL</v>
          </cell>
          <cell r="G20" t="str">
            <v>CREMONA</v>
          </cell>
        </row>
        <row r="21">
          <cell r="A21">
            <v>110080922200</v>
          </cell>
          <cell r="B21" t="str">
            <v>800/22 MM ZAMAC GEARBOX SECURITY PIN ESPAGNOLETTE</v>
          </cell>
          <cell r="C21">
            <v>0</v>
          </cell>
          <cell r="D21">
            <v>46191</v>
          </cell>
          <cell r="E21">
            <v>0</v>
          </cell>
          <cell r="F21" t="str">
            <v>NATURAL</v>
          </cell>
          <cell r="G21" t="str">
            <v>CREMONA</v>
          </cell>
        </row>
        <row r="22">
          <cell r="A22">
            <v>110080925200</v>
          </cell>
          <cell r="B22" t="str">
            <v>CREMONA PRACT. D-25,5 C.VAR.(GAVM 800-2)</v>
          </cell>
          <cell r="C22">
            <v>0</v>
          </cell>
          <cell r="D22">
            <v>46191</v>
          </cell>
          <cell r="E22">
            <v>0</v>
          </cell>
          <cell r="F22" t="str">
            <v>NATURAL</v>
          </cell>
          <cell r="G22" t="str">
            <v>CREMONA</v>
          </cell>
        </row>
        <row r="23">
          <cell r="A23">
            <v>110088222200</v>
          </cell>
          <cell r="B23" t="str">
            <v>CREMONA ABATIR EXTERIOR E22 800MM</v>
          </cell>
          <cell r="C23">
            <v>0</v>
          </cell>
          <cell r="D23">
            <v>45915</v>
          </cell>
          <cell r="E23">
            <v>0</v>
          </cell>
          <cell r="F23" t="str">
            <v>NATURAL</v>
          </cell>
          <cell r="G23" t="str">
            <v>CREMONA</v>
          </cell>
        </row>
        <row r="24">
          <cell r="A24">
            <v>110100222200</v>
          </cell>
          <cell r="B24" t="str">
            <v>CREMONA ABATIR EXTERIOR E22 1000MM</v>
          </cell>
          <cell r="C24">
            <v>0</v>
          </cell>
          <cell r="D24">
            <v>45973</v>
          </cell>
          <cell r="E24">
            <v>0</v>
          </cell>
          <cell r="F24" t="str">
            <v>NATURAL</v>
          </cell>
          <cell r="G24" t="str">
            <v>CREMONA</v>
          </cell>
        </row>
        <row r="25">
          <cell r="A25">
            <v>110100225200</v>
          </cell>
          <cell r="B25" t="str">
            <v>CREMONA ABATIR EXTERIOR 1000MM E25 3B</v>
          </cell>
          <cell r="C25">
            <v>0</v>
          </cell>
          <cell r="D25">
            <v>46167</v>
          </cell>
          <cell r="E25">
            <v>0</v>
          </cell>
          <cell r="F25" t="str">
            <v>NATURAL</v>
          </cell>
          <cell r="G25" t="str">
            <v>CREMONA</v>
          </cell>
        </row>
        <row r="26">
          <cell r="A26">
            <v>110100307200</v>
          </cell>
          <cell r="B26" t="str">
            <v>CREMONA CORREDERA  1000/ 7,5 - 3</v>
          </cell>
          <cell r="C26">
            <v>0</v>
          </cell>
          <cell r="D26">
            <v>46191</v>
          </cell>
          <cell r="E26">
            <v>0</v>
          </cell>
          <cell r="F26" t="str">
            <v>NATURAL</v>
          </cell>
          <cell r="G26" t="str">
            <v>CREMONA</v>
          </cell>
        </row>
        <row r="27">
          <cell r="A27">
            <v>110100315200</v>
          </cell>
          <cell r="B27" t="str">
            <v>CREMONA CORREDERA 1000/ 15,5 - 3</v>
          </cell>
          <cell r="C27">
            <v>0</v>
          </cell>
          <cell r="D27">
            <v>46191</v>
          </cell>
          <cell r="E27">
            <v>0</v>
          </cell>
          <cell r="F27" t="str">
            <v>NATURAL</v>
          </cell>
          <cell r="G27" t="str">
            <v>CREMONA</v>
          </cell>
        </row>
        <row r="28">
          <cell r="A28">
            <v>110120225200</v>
          </cell>
          <cell r="B28" t="str">
            <v>CREMONA ABATIR EXTERIOR 1200MM E25 3B</v>
          </cell>
          <cell r="C28">
            <v>0</v>
          </cell>
          <cell r="D28">
            <v>46167</v>
          </cell>
          <cell r="E28">
            <v>0</v>
          </cell>
          <cell r="F28" t="str">
            <v>NATURAL</v>
          </cell>
          <cell r="G28" t="str">
            <v>CREMONA</v>
          </cell>
        </row>
        <row r="29">
          <cell r="A29">
            <v>110120307200</v>
          </cell>
          <cell r="B29" t="str">
            <v>CREMONA CORREDERA E7.5 1200MM</v>
          </cell>
          <cell r="C29">
            <v>0</v>
          </cell>
          <cell r="D29">
            <v>45915</v>
          </cell>
          <cell r="E29">
            <v>0</v>
          </cell>
          <cell r="F29" t="str">
            <v>NATURAL</v>
          </cell>
          <cell r="G29" t="str">
            <v>CREMONA</v>
          </cell>
        </row>
        <row r="30">
          <cell r="A30">
            <v>110120315200</v>
          </cell>
          <cell r="B30" t="str">
            <v>CREMONA CORREDERA E15 1200MM</v>
          </cell>
          <cell r="C30">
            <v>0</v>
          </cell>
          <cell r="D30">
            <v>45915</v>
          </cell>
          <cell r="E30">
            <v>0</v>
          </cell>
          <cell r="F30" t="str">
            <v>NATURAL</v>
          </cell>
          <cell r="G30" t="str">
            <v>CREMONA</v>
          </cell>
        </row>
        <row r="31">
          <cell r="A31">
            <v>110140225200</v>
          </cell>
          <cell r="B31" t="str">
            <v>1400/25. TURN ONLY ESPAGNOLETTE (ZAMAK GEARBOX)</v>
          </cell>
          <cell r="C31">
            <v>0</v>
          </cell>
          <cell r="D31">
            <v>45915</v>
          </cell>
          <cell r="E31">
            <v>0</v>
          </cell>
          <cell r="F31" t="str">
            <v>NATURAL</v>
          </cell>
          <cell r="G31" t="str">
            <v>CREMONA</v>
          </cell>
        </row>
        <row r="32">
          <cell r="A32">
            <v>110160225200</v>
          </cell>
          <cell r="B32" t="str">
            <v>1600/25. TURN ONLY ESPAGNOLETTE (ZAMAK GEARBOX)</v>
          </cell>
          <cell r="C32">
            <v>0</v>
          </cell>
          <cell r="D32">
            <v>45958</v>
          </cell>
          <cell r="E32">
            <v>0</v>
          </cell>
          <cell r="F32" t="str">
            <v>NATURAL</v>
          </cell>
          <cell r="G32" t="str">
            <v>CREMONA</v>
          </cell>
        </row>
        <row r="33">
          <cell r="A33">
            <v>110160307200</v>
          </cell>
          <cell r="B33" t="str">
            <v>CREMONA CORREDERA  1600/ 7,5 - 3</v>
          </cell>
          <cell r="C33">
            <v>0</v>
          </cell>
          <cell r="D33">
            <v>45958</v>
          </cell>
          <cell r="E33">
            <v>0</v>
          </cell>
          <cell r="F33" t="str">
            <v>NATURAL</v>
          </cell>
          <cell r="G33" t="str">
            <v>CREMONA</v>
          </cell>
        </row>
        <row r="34">
          <cell r="A34">
            <v>110180225200</v>
          </cell>
          <cell r="B34" t="str">
            <v>CREMONA ABATIR EXTERIOR 1800MM E25 3B</v>
          </cell>
          <cell r="C34">
            <v>0</v>
          </cell>
          <cell r="D34">
            <v>46167</v>
          </cell>
          <cell r="E34">
            <v>0</v>
          </cell>
          <cell r="F34" t="str">
            <v>NATURAL</v>
          </cell>
          <cell r="G34" t="str">
            <v>CREMONA</v>
          </cell>
        </row>
        <row r="35">
          <cell r="A35">
            <v>110180307200</v>
          </cell>
          <cell r="B35" t="str">
            <v>CREMONA CORREDERA  1800/ 7,5 - 4</v>
          </cell>
          <cell r="C35">
            <v>0</v>
          </cell>
          <cell r="D35">
            <v>46191</v>
          </cell>
          <cell r="E35">
            <v>0</v>
          </cell>
          <cell r="F35" t="str">
            <v>NATURAL</v>
          </cell>
          <cell r="G35" t="str">
            <v>CREMONA</v>
          </cell>
        </row>
        <row r="36">
          <cell r="A36">
            <v>110180315200</v>
          </cell>
          <cell r="B36" t="str">
            <v>CREMONA CORREDERA 1800/ 15,5 - 4</v>
          </cell>
          <cell r="C36">
            <v>0</v>
          </cell>
          <cell r="D36">
            <v>46191</v>
          </cell>
          <cell r="E36">
            <v>0</v>
          </cell>
          <cell r="F36" t="str">
            <v>NATURAL</v>
          </cell>
          <cell r="G36" t="str">
            <v>CREMONA</v>
          </cell>
        </row>
        <row r="37">
          <cell r="A37">
            <v>110200315200</v>
          </cell>
          <cell r="B37" t="str">
            <v>CREMONA CORREDERA 2000/ 15,5 - 4</v>
          </cell>
          <cell r="C37">
            <v>0</v>
          </cell>
          <cell r="D37">
            <v>46191</v>
          </cell>
          <cell r="E37">
            <v>0</v>
          </cell>
          <cell r="F37" t="str">
            <v>NATURAL</v>
          </cell>
          <cell r="G37" t="str">
            <v>CREMONA</v>
          </cell>
        </row>
        <row r="38">
          <cell r="A38" t="str">
            <v>112-00407-021</v>
          </cell>
          <cell r="B38" t="str">
            <v>210/7,5. NARROW SLIDING ESPAGNOLETTES</v>
          </cell>
          <cell r="C38">
            <v>0</v>
          </cell>
          <cell r="D38"/>
          <cell r="E38">
            <v>0</v>
          </cell>
          <cell r="F38" t="str">
            <v>NATURAL</v>
          </cell>
          <cell r="G38" t="str">
            <v>CREMONA</v>
          </cell>
        </row>
        <row r="39">
          <cell r="A39" t="str">
            <v>112-00407-027</v>
          </cell>
          <cell r="B39" t="str">
            <v>CREMONA CORREDERA  270/7,5-1 PIN ZAMAK</v>
          </cell>
          <cell r="C39">
            <v>0</v>
          </cell>
          <cell r="D39">
            <v>46191</v>
          </cell>
          <cell r="E39">
            <v>0</v>
          </cell>
          <cell r="F39" t="str">
            <v>NATURAL</v>
          </cell>
          <cell r="G39" t="str">
            <v>CREMONA</v>
          </cell>
        </row>
        <row r="40">
          <cell r="A40" t="str">
            <v>112-00407-060</v>
          </cell>
          <cell r="B40" t="str">
            <v>600/7,5 NARROW SLIDING ESPAGNOLETTES (2 ZAMAK PIN)</v>
          </cell>
          <cell r="C40">
            <v>0</v>
          </cell>
          <cell r="D40">
            <v>46191</v>
          </cell>
          <cell r="E40">
            <v>0</v>
          </cell>
          <cell r="F40" t="str">
            <v>NATURAL</v>
          </cell>
          <cell r="G40" t="str">
            <v>CREMONA</v>
          </cell>
        </row>
        <row r="41">
          <cell r="A41" t="str">
            <v>112-00415-021</v>
          </cell>
          <cell r="B41" t="str">
            <v>CREMONA CORREDERA UNIPUNTO E15 210MM NEW TRIPOLI</v>
          </cell>
          <cell r="C41">
            <v>0</v>
          </cell>
          <cell r="D41">
            <v>46167</v>
          </cell>
          <cell r="E41">
            <v>0</v>
          </cell>
          <cell r="F41" t="str">
            <v>NATURAL</v>
          </cell>
          <cell r="G41" t="str">
            <v>CREMONA</v>
          </cell>
        </row>
        <row r="42">
          <cell r="A42" t="str">
            <v>112-00415-060</v>
          </cell>
          <cell r="B42" t="str">
            <v>CREMONA CORREDERA  600/15-2 PIN ZAMAK</v>
          </cell>
          <cell r="C42">
            <v>0</v>
          </cell>
          <cell r="D42">
            <v>45684</v>
          </cell>
          <cell r="E42">
            <v>0</v>
          </cell>
          <cell r="F42" t="str">
            <v>NATURAL</v>
          </cell>
          <cell r="G42" t="str">
            <v>CREMONA</v>
          </cell>
        </row>
        <row r="43">
          <cell r="A43" t="str">
            <v>112-10507-040</v>
          </cell>
          <cell r="B43" t="str">
            <v>CREMONA CORREDERA E7.5 400MM 2B</v>
          </cell>
          <cell r="C43">
            <v>0</v>
          </cell>
          <cell r="D43">
            <v>46167</v>
          </cell>
          <cell r="E43">
            <v>0</v>
          </cell>
          <cell r="F43" t="str">
            <v>NATURAL</v>
          </cell>
          <cell r="G43" t="str">
            <v>CREMONA</v>
          </cell>
        </row>
        <row r="44">
          <cell r="A44" t="str">
            <v>112-10507-060</v>
          </cell>
          <cell r="B44" t="str">
            <v>600/7,5 MM NARROW SLIDING ESPAGNOLETTE ( LOTUS PIN)</v>
          </cell>
          <cell r="C44">
            <v>0</v>
          </cell>
          <cell r="D44">
            <v>45973</v>
          </cell>
          <cell r="E44">
            <v>0</v>
          </cell>
          <cell r="F44" t="str">
            <v>NATURAL</v>
          </cell>
          <cell r="G44" t="str">
            <v>CREMONA</v>
          </cell>
        </row>
        <row r="45">
          <cell r="A45" t="str">
            <v>112-10507-080</v>
          </cell>
          <cell r="B45" t="str">
            <v>800/7,5 MM NARROW SLIDING ESPAGNOLETTE ( LOTUS PIN)</v>
          </cell>
          <cell r="C45">
            <v>0</v>
          </cell>
          <cell r="D45">
            <v>45973</v>
          </cell>
          <cell r="E45">
            <v>0</v>
          </cell>
          <cell r="F45" t="str">
            <v>NATURAL</v>
          </cell>
          <cell r="G45" t="str">
            <v>CREMONA</v>
          </cell>
        </row>
        <row r="46">
          <cell r="A46" t="str">
            <v>112-10507-100</v>
          </cell>
          <cell r="B46" t="str">
            <v>1000/7,5. NARROW SLIDING ESPAGNOLETTES(LOTUS PIN)</v>
          </cell>
          <cell r="C46">
            <v>0</v>
          </cell>
          <cell r="D46">
            <v>45958</v>
          </cell>
          <cell r="E46">
            <v>0</v>
          </cell>
          <cell r="F46" t="str">
            <v>NATURAL</v>
          </cell>
          <cell r="G46" t="str">
            <v>CREMONA</v>
          </cell>
        </row>
        <row r="47">
          <cell r="A47" t="str">
            <v>112-10507-120</v>
          </cell>
          <cell r="B47" t="str">
            <v>1200/7,5 MM NARROW SLIDING ESPAGNOLETTE</v>
          </cell>
          <cell r="C47">
            <v>0</v>
          </cell>
          <cell r="D47">
            <v>45958</v>
          </cell>
          <cell r="E47">
            <v>0</v>
          </cell>
          <cell r="F47" t="str">
            <v>NATURAL</v>
          </cell>
          <cell r="G47" t="str">
            <v>CREMONA</v>
          </cell>
        </row>
        <row r="48">
          <cell r="A48" t="str">
            <v>112-10507-140</v>
          </cell>
          <cell r="B48" t="str">
            <v>1400/7,5 MM NARROW SLIDING ESPAGNOLETTE ( LOTUS PIN)</v>
          </cell>
          <cell r="C48">
            <v>0</v>
          </cell>
          <cell r="D48">
            <v>45958</v>
          </cell>
          <cell r="E48">
            <v>0</v>
          </cell>
          <cell r="F48" t="str">
            <v>NATURAL</v>
          </cell>
          <cell r="G48" t="str">
            <v>CREMONA</v>
          </cell>
        </row>
        <row r="49">
          <cell r="A49" t="str">
            <v>112-10507-160</v>
          </cell>
          <cell r="B49" t="str">
            <v>1600/7,5 MM NARROW SLIDING ESPAGNOLETTE</v>
          </cell>
          <cell r="C49">
            <v>0</v>
          </cell>
          <cell r="D49">
            <v>45958</v>
          </cell>
          <cell r="E49">
            <v>0</v>
          </cell>
          <cell r="F49" t="str">
            <v>NATURAL</v>
          </cell>
          <cell r="G49" t="str">
            <v>CREMONA</v>
          </cell>
        </row>
        <row r="50">
          <cell r="A50" t="str">
            <v>112-10507-180</v>
          </cell>
          <cell r="B50" t="str">
            <v>1800/7,5 MM NARROW SLIDING ESPAGNOLETTE ( LOTUS PIN)</v>
          </cell>
          <cell r="C50">
            <v>0</v>
          </cell>
          <cell r="D50">
            <v>45958</v>
          </cell>
          <cell r="E50">
            <v>0</v>
          </cell>
          <cell r="F50" t="str">
            <v>NATURAL</v>
          </cell>
          <cell r="G50" t="str">
            <v>CREMONA</v>
          </cell>
        </row>
        <row r="51">
          <cell r="A51" t="str">
            <v>112-10515-040</v>
          </cell>
          <cell r="B51" t="str">
            <v>CREMONA CORREDERA E15 400MM 2B</v>
          </cell>
          <cell r="C51">
            <v>0</v>
          </cell>
          <cell r="D51">
            <v>46167</v>
          </cell>
          <cell r="E51">
            <v>0</v>
          </cell>
          <cell r="F51" t="str">
            <v>NATURAL</v>
          </cell>
          <cell r="G51" t="str">
            <v>CREMONA</v>
          </cell>
        </row>
        <row r="52">
          <cell r="A52" t="str">
            <v>112-10515-060</v>
          </cell>
          <cell r="B52" t="str">
            <v>CREMONA CORREDERA E15 600MM</v>
          </cell>
          <cell r="C52">
            <v>0</v>
          </cell>
          <cell r="D52">
            <v>46167</v>
          </cell>
          <cell r="E52">
            <v>0</v>
          </cell>
          <cell r="F52" t="str">
            <v>NATURAL</v>
          </cell>
          <cell r="G52" t="str">
            <v>CREMONA</v>
          </cell>
        </row>
        <row r="53">
          <cell r="A53" t="str">
            <v>112-10515-080</v>
          </cell>
          <cell r="B53" t="str">
            <v>CREMONA CORREDERA E15 800MM 3B</v>
          </cell>
          <cell r="C53">
            <v>0</v>
          </cell>
          <cell r="D53">
            <v>46167</v>
          </cell>
          <cell r="E53">
            <v>0</v>
          </cell>
          <cell r="F53" t="str">
            <v>NATURAL</v>
          </cell>
          <cell r="G53" t="str">
            <v>CREMONA</v>
          </cell>
        </row>
        <row r="54">
          <cell r="A54" t="str">
            <v>112-10515-100</v>
          </cell>
          <cell r="B54" t="str">
            <v>CREMONA CORREDERA E15 1000MM 2B</v>
          </cell>
          <cell r="C54">
            <v>0</v>
          </cell>
          <cell r="D54">
            <v>46167</v>
          </cell>
          <cell r="E54">
            <v>0</v>
          </cell>
          <cell r="F54" t="str">
            <v>NATURAL</v>
          </cell>
          <cell r="G54" t="str">
            <v>CREMONA</v>
          </cell>
        </row>
        <row r="55">
          <cell r="A55" t="str">
            <v>112-10515-120</v>
          </cell>
          <cell r="B55" t="str">
            <v>CREMONA CORREDERA E15 1200MM</v>
          </cell>
          <cell r="C55">
            <v>0</v>
          </cell>
          <cell r="D55">
            <v>46167</v>
          </cell>
          <cell r="E55">
            <v>0</v>
          </cell>
          <cell r="F55" t="str">
            <v>NATURAL</v>
          </cell>
          <cell r="G55" t="str">
            <v>CREMONA</v>
          </cell>
        </row>
        <row r="56">
          <cell r="A56" t="str">
            <v>112-10515-140</v>
          </cell>
          <cell r="B56" t="str">
            <v>CREMONA CORREDERA E15 1400MM 3B</v>
          </cell>
          <cell r="C56">
            <v>0</v>
          </cell>
          <cell r="D56">
            <v>46167</v>
          </cell>
          <cell r="E56">
            <v>0</v>
          </cell>
          <cell r="F56" t="str">
            <v>NATURAL</v>
          </cell>
          <cell r="G56" t="str">
            <v>CREMONA</v>
          </cell>
        </row>
        <row r="57">
          <cell r="A57" t="str">
            <v>112-10515-160</v>
          </cell>
          <cell r="B57" t="str">
            <v>1600/15 MM NARROW SLIDING ESPAGNOLETTE ( LOTUS PIN)</v>
          </cell>
          <cell r="C57">
            <v>0</v>
          </cell>
          <cell r="D57">
            <v>45973</v>
          </cell>
          <cell r="E57">
            <v>0</v>
          </cell>
          <cell r="F57" t="str">
            <v>NATURAL</v>
          </cell>
          <cell r="G57" t="str">
            <v>CREMONA</v>
          </cell>
        </row>
        <row r="58">
          <cell r="A58" t="str">
            <v>112-10515-180</v>
          </cell>
          <cell r="B58" t="str">
            <v>CREMONA CORREDERA E15 1800MM 4B</v>
          </cell>
          <cell r="C58">
            <v>0</v>
          </cell>
          <cell r="D58">
            <v>46167</v>
          </cell>
          <cell r="E58">
            <v>0</v>
          </cell>
          <cell r="F58" t="str">
            <v>NATURAL</v>
          </cell>
          <cell r="G58" t="str">
            <v>CREMONA</v>
          </cell>
        </row>
        <row r="59">
          <cell r="A59">
            <v>120801005</v>
          </cell>
          <cell r="B59" t="str">
            <v>Activos fijos por distribuir</v>
          </cell>
          <cell r="C59">
            <v>0</v>
          </cell>
          <cell r="D59">
            <v>46140</v>
          </cell>
          <cell r="E59">
            <v>0</v>
          </cell>
        </row>
        <row r="60">
          <cell r="A60" t="str">
            <v>130075001000BL</v>
          </cell>
          <cell r="B60" t="str">
            <v>BISAGRA 75MM PLANO RECTO BLANCO</v>
          </cell>
          <cell r="C60">
            <v>0</v>
          </cell>
          <cell r="D60">
            <v>45684</v>
          </cell>
          <cell r="E60">
            <v>0</v>
          </cell>
          <cell r="F60" t="str">
            <v>BLANCO</v>
          </cell>
          <cell r="G60" t="str">
            <v>BISAGRAS</v>
          </cell>
        </row>
        <row r="61">
          <cell r="A61" t="str">
            <v>130100001000BL</v>
          </cell>
          <cell r="B61" t="str">
            <v>BISAGRA 100mm P.RECTO BLANCO</v>
          </cell>
          <cell r="C61">
            <v>0</v>
          </cell>
          <cell r="D61">
            <v>45958</v>
          </cell>
          <cell r="E61">
            <v>0</v>
          </cell>
          <cell r="F61" t="str">
            <v>BLANCO</v>
          </cell>
          <cell r="G61" t="str">
            <v>BISAGRAS</v>
          </cell>
        </row>
        <row r="62">
          <cell r="A62" t="str">
            <v>130100001000NG</v>
          </cell>
          <cell r="B62" t="str">
            <v>BISAGRA 100mm P.RECTO NEGRO</v>
          </cell>
          <cell r="C62">
            <v>0</v>
          </cell>
          <cell r="D62">
            <v>46191</v>
          </cell>
          <cell r="E62">
            <v>0</v>
          </cell>
          <cell r="F62" t="str">
            <v>NEGRO</v>
          </cell>
          <cell r="G62" t="str">
            <v>BISAGRAS</v>
          </cell>
        </row>
        <row r="63">
          <cell r="A63" t="str">
            <v>130100003000BL</v>
          </cell>
          <cell r="B63" t="str">
            <v>HINGE 100MM OUTWARD OPENING FORNAX R-9016 Byz Ö/K</v>
          </cell>
          <cell r="C63">
            <v>0</v>
          </cell>
          <cell r="D63">
            <v>45958</v>
          </cell>
          <cell r="E63">
            <v>0</v>
          </cell>
          <cell r="F63" t="str">
            <v>BLANCO</v>
          </cell>
          <cell r="G63" t="str">
            <v>BISAGRAS</v>
          </cell>
        </row>
        <row r="64">
          <cell r="A64" t="str">
            <v>130100003000CF</v>
          </cell>
          <cell r="B64" t="str">
            <v>HINGE 100MM OUTWARD OPENING FORNAX R-8017 K.Khv Ö/K</v>
          </cell>
          <cell r="C64">
            <v>0</v>
          </cell>
          <cell r="D64">
            <v>46191</v>
          </cell>
          <cell r="E64">
            <v>0</v>
          </cell>
          <cell r="F64" t="str">
            <v>CAFE</v>
          </cell>
          <cell r="G64" t="str">
            <v>BISAGRAS</v>
          </cell>
        </row>
        <row r="65">
          <cell r="A65" t="str">
            <v>130100003000MR</v>
          </cell>
          <cell r="B65" t="str">
            <v>HINGE 100MM OUTWARD OPENING FORNAX R-8019 K.Khv Ö/K</v>
          </cell>
          <cell r="C65">
            <v>0</v>
          </cell>
          <cell r="D65">
            <v>45958</v>
          </cell>
          <cell r="E65">
            <v>0</v>
          </cell>
          <cell r="F65" t="str">
            <v>MARRON</v>
          </cell>
          <cell r="G65" t="str">
            <v>BISAGRAS</v>
          </cell>
        </row>
        <row r="66">
          <cell r="A66" t="str">
            <v>130100003000NG</v>
          </cell>
          <cell r="B66" t="str">
            <v>HINGE 100MM OUTWARD OPENING FORNAX R-9005 Syh Mat</v>
          </cell>
          <cell r="C66">
            <v>0</v>
          </cell>
          <cell r="D66">
            <v>46191</v>
          </cell>
          <cell r="E66">
            <v>0</v>
          </cell>
          <cell r="F66" t="str">
            <v>NEGRO</v>
          </cell>
          <cell r="G66" t="str">
            <v>BISAGRAS</v>
          </cell>
        </row>
        <row r="67">
          <cell r="A67" t="str">
            <v>130125001000BL</v>
          </cell>
          <cell r="B67" t="str">
            <v>BISAGRA 3D ALUMINIO 125KG BLANCA</v>
          </cell>
          <cell r="C67">
            <v>0</v>
          </cell>
          <cell r="D67">
            <v>46191</v>
          </cell>
          <cell r="E67">
            <v>0</v>
          </cell>
          <cell r="F67" t="str">
            <v>BLANCO</v>
          </cell>
          <cell r="G67" t="str">
            <v>BISAGRAS</v>
          </cell>
        </row>
        <row r="68">
          <cell r="A68" t="str">
            <v>130125001000MR</v>
          </cell>
          <cell r="B68" t="str">
            <v>BISAGRA 3D ALUMINIO 125KG MARRON</v>
          </cell>
          <cell r="C68">
            <v>0</v>
          </cell>
          <cell r="D68">
            <v>45400</v>
          </cell>
          <cell r="E68">
            <v>0</v>
          </cell>
          <cell r="F68" t="str">
            <v>MARRON</v>
          </cell>
          <cell r="G68" t="str">
            <v>BISAGRAS</v>
          </cell>
        </row>
        <row r="69">
          <cell r="A69" t="str">
            <v>130125001000NG</v>
          </cell>
          <cell r="B69" t="str">
            <v>BISAGRA 3D ALUMINIO 125KG NEGRO</v>
          </cell>
          <cell r="C69">
            <v>0</v>
          </cell>
          <cell r="D69">
            <v>46191</v>
          </cell>
          <cell r="E69">
            <v>0</v>
          </cell>
          <cell r="F69" t="str">
            <v>NEGRO</v>
          </cell>
          <cell r="G69" t="str">
            <v>BISAGRAS</v>
          </cell>
        </row>
        <row r="70">
          <cell r="A70" t="str">
            <v>130125001001NG</v>
          </cell>
          <cell r="B70" t="str">
            <v>BISAGRA 3D ALUMINIO 125KG NEGRO</v>
          </cell>
          <cell r="C70">
            <v>0</v>
          </cell>
          <cell r="D70">
            <v>45687</v>
          </cell>
          <cell r="E70">
            <v>0</v>
          </cell>
          <cell r="F70" t="str">
            <v>NEGRO</v>
          </cell>
          <cell r="G70" t="str">
            <v>BISAGRAS</v>
          </cell>
        </row>
        <row r="71">
          <cell r="A71" t="str">
            <v>130125018000BL</v>
          </cell>
          <cell r="B71" t="str">
            <v>ADJUSTABLE 3D DOOR HINGE(125KN) R-9016 Byz Ö/K</v>
          </cell>
          <cell r="C71">
            <v>0</v>
          </cell>
          <cell r="D71">
            <v>45958</v>
          </cell>
          <cell r="E71">
            <v>0</v>
          </cell>
          <cell r="F71" t="str">
            <v>BLANCO</v>
          </cell>
          <cell r="G71" t="str">
            <v>BISAGRAS</v>
          </cell>
        </row>
        <row r="72">
          <cell r="A72" t="str">
            <v>130125018000MR</v>
          </cell>
          <cell r="B72" t="str">
            <v>ADJUSTABLE 3D DOOR HINGE(125KN) R-8019 K.Khv S/K</v>
          </cell>
          <cell r="C72">
            <v>0</v>
          </cell>
          <cell r="D72">
            <v>45958</v>
          </cell>
          <cell r="E72">
            <v>0</v>
          </cell>
          <cell r="F72" t="str">
            <v>MARRON</v>
          </cell>
          <cell r="G72" t="str">
            <v>BISAGRAS</v>
          </cell>
        </row>
        <row r="73">
          <cell r="A73" t="str">
            <v>130125018000NG</v>
          </cell>
          <cell r="B73" t="str">
            <v>ADJUSTABLE 3D DOOR HINGE(125KN) R-9005 Syh Mat S/K</v>
          </cell>
          <cell r="C73">
            <v>0</v>
          </cell>
          <cell r="D73">
            <v>45958</v>
          </cell>
          <cell r="E73">
            <v>0</v>
          </cell>
          <cell r="F73" t="str">
            <v>NEGRO</v>
          </cell>
          <cell r="G73" t="str">
            <v>BISAGRAS</v>
          </cell>
        </row>
        <row r="74">
          <cell r="A74">
            <v>131125018000</v>
          </cell>
          <cell r="B74" t="str">
            <v>PAVO ADJUSTABLE HINGE JIG 85/125K</v>
          </cell>
          <cell r="C74">
            <v>0</v>
          </cell>
          <cell r="D74">
            <v>45973</v>
          </cell>
          <cell r="E74">
            <v>0</v>
          </cell>
          <cell r="F74" t="str">
            <v>NATURAL</v>
          </cell>
          <cell r="G74" t="str">
            <v>BISAGRAS</v>
          </cell>
        </row>
        <row r="75">
          <cell r="A75">
            <v>170180192128</v>
          </cell>
          <cell r="B75" t="str">
            <v>1800/92/28 (B+/D-) STD. PIN MULTIPOINT</v>
          </cell>
          <cell r="C75">
            <v>0</v>
          </cell>
          <cell r="D75">
            <v>45958</v>
          </cell>
          <cell r="E75">
            <v>0</v>
          </cell>
          <cell r="F75" t="str">
            <v>NATURAL</v>
          </cell>
          <cell r="G75" t="str">
            <v>CREMONA</v>
          </cell>
        </row>
        <row r="76">
          <cell r="A76">
            <v>170180192135</v>
          </cell>
          <cell r="B76" t="str">
            <v>CREMONA PUERTA E35/92  L1800MM  4B</v>
          </cell>
          <cell r="C76">
            <v>0</v>
          </cell>
          <cell r="D76">
            <v>46167</v>
          </cell>
          <cell r="E76">
            <v>0</v>
          </cell>
          <cell r="F76" t="str">
            <v>NATURAL</v>
          </cell>
          <cell r="G76" t="str">
            <v>CERRADEROS</v>
          </cell>
        </row>
        <row r="77">
          <cell r="A77">
            <v>170200192228</v>
          </cell>
          <cell r="B77" t="str">
            <v>2000/92/28 (B+/D-) SECURITY PIN MULTIPOINT DOOR LOCK</v>
          </cell>
          <cell r="C77">
            <v>0</v>
          </cell>
          <cell r="D77">
            <v>46191</v>
          </cell>
          <cell r="E77">
            <v>0</v>
          </cell>
          <cell r="F77" t="str">
            <v>NATURAL</v>
          </cell>
          <cell r="G77" t="str">
            <v>CREMONA</v>
          </cell>
        </row>
        <row r="78">
          <cell r="A78">
            <v>175193192135</v>
          </cell>
          <cell r="B78" t="str">
            <v>CREMONA PUERTA E35/92 C.V. L1930MM 4B (1800-2200) CON PESTILLO</v>
          </cell>
          <cell r="C78">
            <v>0</v>
          </cell>
          <cell r="D78">
            <v>46167</v>
          </cell>
          <cell r="E78">
            <v>0</v>
          </cell>
          <cell r="F78" t="str">
            <v>NATURAL</v>
          </cell>
          <cell r="G78" t="str">
            <v>CREMONA</v>
          </cell>
        </row>
        <row r="79">
          <cell r="A79">
            <v>175193392135</v>
          </cell>
          <cell r="B79" t="str">
            <v>1930/92/35 (B+D)CUTTABLE MULTIPOINT DOOR LOCKS STD. PIN(1800-2200)</v>
          </cell>
          <cell r="C79">
            <v>0</v>
          </cell>
          <cell r="D79">
            <v>45533</v>
          </cell>
          <cell r="E79">
            <v>0</v>
          </cell>
          <cell r="F79" t="str">
            <v>NATURAL</v>
          </cell>
          <cell r="G79" t="str">
            <v>CERRADEROS</v>
          </cell>
        </row>
        <row r="80">
          <cell r="A80">
            <v>181010001000</v>
          </cell>
          <cell r="B80" t="str">
            <v>T&amp;T CORNER TRANSMISSION STD.PIN</v>
          </cell>
          <cell r="C80">
            <v>0</v>
          </cell>
          <cell r="D80">
            <v>45533</v>
          </cell>
          <cell r="E80">
            <v>0</v>
          </cell>
          <cell r="F80" t="str">
            <v>NATURAL</v>
          </cell>
          <cell r="G80" t="str">
            <v>ACCESORIOS</v>
          </cell>
        </row>
        <row r="81">
          <cell r="A81">
            <v>186240001000</v>
          </cell>
          <cell r="B81" t="str">
            <v>CERRADERO PESTILLO HOJA PASIVA PARA COMANDO CENTRAL EJE 9</v>
          </cell>
          <cell r="C81">
            <v>0</v>
          </cell>
          <cell r="D81">
            <v>46167</v>
          </cell>
          <cell r="E81">
            <v>0</v>
          </cell>
          <cell r="F81" t="str">
            <v>NATURAL</v>
          </cell>
          <cell r="G81" t="str">
            <v>CERRADEROS</v>
          </cell>
        </row>
        <row r="82">
          <cell r="A82">
            <v>186250001000</v>
          </cell>
          <cell r="B82" t="str">
            <v>CERRADERO PESTILLO HOJA PASIVA PARA COMANDO CENTRAL EJE 13</v>
          </cell>
          <cell r="C82">
            <v>0</v>
          </cell>
          <cell r="D82">
            <v>46167</v>
          </cell>
          <cell r="E82">
            <v>0</v>
          </cell>
          <cell r="F82" t="str">
            <v>NATURAL</v>
          </cell>
          <cell r="G82" t="str">
            <v>CERRADEROS</v>
          </cell>
        </row>
        <row r="83">
          <cell r="A83">
            <v>188121931000</v>
          </cell>
          <cell r="B83" t="str">
            <v>VARILLA HOJA PASIVA COMANDO CENTRAL CON CERRADERO CENTRAL PUERTA C/PESTILO</v>
          </cell>
          <cell r="C83">
            <v>0</v>
          </cell>
          <cell r="D83">
            <v>46167</v>
          </cell>
          <cell r="E83">
            <v>0</v>
          </cell>
          <cell r="F83" t="str">
            <v>NATURAL</v>
          </cell>
          <cell r="G83" t="str">
            <v>ACCESORIOS</v>
          </cell>
        </row>
        <row r="84">
          <cell r="A84">
            <v>189150401000</v>
          </cell>
          <cell r="B84" t="str">
            <v>PROLONGADOR CREMONA DE PUERTA 420MM</v>
          </cell>
          <cell r="C84">
            <v>0</v>
          </cell>
          <cell r="D84">
            <v>46167</v>
          </cell>
          <cell r="E84">
            <v>0</v>
          </cell>
          <cell r="F84" t="str">
            <v>NATURAL</v>
          </cell>
          <cell r="G84" t="str">
            <v>ACCESORIOS</v>
          </cell>
        </row>
        <row r="85">
          <cell r="A85">
            <v>189164001000</v>
          </cell>
          <cell r="B85" t="str">
            <v>CERRADERO PASADOR EJE 9 UNIVERSAL REGULABLE</v>
          </cell>
          <cell r="C85">
            <v>0</v>
          </cell>
          <cell r="D85"/>
          <cell r="E85">
            <v>0</v>
          </cell>
          <cell r="F85" t="str">
            <v>NATURAL</v>
          </cell>
          <cell r="G85" t="str">
            <v>CERRADEROS</v>
          </cell>
        </row>
        <row r="86">
          <cell r="A86">
            <v>189164002000</v>
          </cell>
          <cell r="B86" t="str">
            <v>CERRADERO PASADOR EJE 13 UNIVERSAL REGULABLE</v>
          </cell>
          <cell r="C86">
            <v>0</v>
          </cell>
          <cell r="D86">
            <v>46191</v>
          </cell>
          <cell r="E86">
            <v>0</v>
          </cell>
          <cell r="F86" t="str">
            <v>NATURAL</v>
          </cell>
          <cell r="G86" t="str">
            <v>CERRADEROS</v>
          </cell>
        </row>
        <row r="87">
          <cell r="A87">
            <v>189440011000</v>
          </cell>
          <cell r="B87" t="str">
            <v>PESTILLO HOJA PASIVA PARA COMANDO CENTRAL EJE 9</v>
          </cell>
          <cell r="C87">
            <v>0</v>
          </cell>
          <cell r="D87">
            <v>46167</v>
          </cell>
          <cell r="E87">
            <v>0</v>
          </cell>
          <cell r="F87" t="str">
            <v>NATURAL</v>
          </cell>
          <cell r="G87" t="str">
            <v>ACCESORIOS</v>
          </cell>
        </row>
        <row r="88">
          <cell r="A88">
            <v>189450011000</v>
          </cell>
          <cell r="B88" t="str">
            <v>PESTILLO HOJA PASIVA PARA COMANDO CENTRAL EJE 13</v>
          </cell>
          <cell r="C88">
            <v>0</v>
          </cell>
          <cell r="D88">
            <v>46167</v>
          </cell>
          <cell r="E88">
            <v>0</v>
          </cell>
          <cell r="F88" t="str">
            <v>NATURAL</v>
          </cell>
          <cell r="G88" t="str">
            <v>ACCESORIOS</v>
          </cell>
        </row>
        <row r="89">
          <cell r="A89">
            <v>210401009</v>
          </cell>
          <cell r="B89" t="str">
            <v>Provisión Importación</v>
          </cell>
          <cell r="C89">
            <v>0</v>
          </cell>
          <cell r="D89">
            <v>46162</v>
          </cell>
          <cell r="E89">
            <v>0</v>
          </cell>
        </row>
        <row r="90">
          <cell r="A90">
            <v>220144001000</v>
          </cell>
          <cell r="B90" t="str">
            <v>CERRADERO CORREDERA</v>
          </cell>
          <cell r="C90">
            <v>0</v>
          </cell>
          <cell r="D90">
            <v>46191</v>
          </cell>
          <cell r="E90">
            <v>0</v>
          </cell>
          <cell r="F90" t="str">
            <v>NATURAL</v>
          </cell>
          <cell r="G90" t="str">
            <v>CERRADEROS</v>
          </cell>
        </row>
        <row r="91">
          <cell r="A91">
            <v>220301001</v>
          </cell>
          <cell r="B91" t="str">
            <v>Pagos en proceso</v>
          </cell>
          <cell r="C91">
            <v>0</v>
          </cell>
          <cell r="D91">
            <v>46125</v>
          </cell>
          <cell r="E91">
            <v>0</v>
          </cell>
        </row>
        <row r="92">
          <cell r="A92">
            <v>220990016000</v>
          </cell>
          <cell r="B92" t="str">
            <v>ANTILIFTING PART FOR SLIDING STRIKER STEEL</v>
          </cell>
          <cell r="C92">
            <v>0</v>
          </cell>
          <cell r="D92">
            <v>45973</v>
          </cell>
          <cell r="E92">
            <v>0</v>
          </cell>
          <cell r="F92" t="str">
            <v>NATURAL</v>
          </cell>
          <cell r="G92" t="str">
            <v>CERRADEROS</v>
          </cell>
        </row>
        <row r="93">
          <cell r="A93">
            <v>220997001000</v>
          </cell>
          <cell r="B93" t="str">
            <v>CERRADERO CALUGA</v>
          </cell>
          <cell r="C93">
            <v>0</v>
          </cell>
          <cell r="D93">
            <v>46167</v>
          </cell>
          <cell r="E93">
            <v>0</v>
          </cell>
          <cell r="F93" t="str">
            <v>NATURAL</v>
          </cell>
          <cell r="G93" t="str">
            <v>CERRADEROS</v>
          </cell>
        </row>
        <row r="94">
          <cell r="A94">
            <v>220998001000</v>
          </cell>
          <cell r="B94" t="str">
            <v>CERRADERO EJE 13</v>
          </cell>
          <cell r="C94">
            <v>0</v>
          </cell>
          <cell r="D94">
            <v>46167</v>
          </cell>
          <cell r="E94">
            <v>0</v>
          </cell>
          <cell r="F94" t="str">
            <v>NATURAL</v>
          </cell>
          <cell r="G94" t="str">
            <v>CERRADEROS</v>
          </cell>
        </row>
        <row r="95">
          <cell r="A95" t="str">
            <v>221-07102-000NG</v>
          </cell>
          <cell r="B95" t="str">
            <v>ECO LONG ADJUSTABLE DOOR LOCK STRIKER  (R/L) PH+ R-9005 Syh Ö/K</v>
          </cell>
          <cell r="C95">
            <v>0</v>
          </cell>
          <cell r="D95">
            <v>45533</v>
          </cell>
          <cell r="E95">
            <v>0</v>
          </cell>
          <cell r="F95" t="str">
            <v>NEGRO</v>
          </cell>
          <cell r="G95" t="str">
            <v>CERRADEROS</v>
          </cell>
        </row>
        <row r="96">
          <cell r="A96">
            <v>221006001000</v>
          </cell>
          <cell r="B96" t="str">
            <v>ADJUSTABLE LATCH PLATE(ZAM.)</v>
          </cell>
          <cell r="C96">
            <v>0</v>
          </cell>
          <cell r="D96">
            <v>45958</v>
          </cell>
          <cell r="E96">
            <v>0</v>
          </cell>
          <cell r="F96" t="str">
            <v>NATURAL</v>
          </cell>
          <cell r="G96" t="str">
            <v>CERRADEROS</v>
          </cell>
        </row>
        <row r="97">
          <cell r="A97" t="str">
            <v>221006004000PL</v>
          </cell>
          <cell r="B97" t="str">
            <v>ADJUSTABLE LATCH PLATE FORNAX - SHORT  2MM R-L R-9006 Gmş Ö/K</v>
          </cell>
          <cell r="C97">
            <v>0</v>
          </cell>
          <cell r="D97">
            <v>45958</v>
          </cell>
          <cell r="E97">
            <v>0</v>
          </cell>
          <cell r="F97" t="str">
            <v>PLATA</v>
          </cell>
          <cell r="G97" t="str">
            <v>ACCESORIOS</v>
          </cell>
        </row>
        <row r="98">
          <cell r="A98">
            <v>221007001001</v>
          </cell>
          <cell r="B98" t="str">
            <v>CERRADERO CENTRAL PUERTA (PARA PESTILLO)</v>
          </cell>
          <cell r="C98">
            <v>0</v>
          </cell>
          <cell r="D98">
            <v>46167</v>
          </cell>
          <cell r="E98">
            <v>0</v>
          </cell>
          <cell r="F98" t="str">
            <v>NATURAL</v>
          </cell>
          <cell r="G98" t="str">
            <v>CERRADEROS</v>
          </cell>
        </row>
        <row r="99">
          <cell r="A99">
            <v>250111003000</v>
          </cell>
          <cell r="B99" t="str">
            <v>TILT OPENING SEC.</v>
          </cell>
          <cell r="C99">
            <v>0</v>
          </cell>
          <cell r="D99">
            <v>45533</v>
          </cell>
          <cell r="E99">
            <v>0</v>
          </cell>
          <cell r="F99" t="str">
            <v>NATURAL</v>
          </cell>
          <cell r="G99" t="str">
            <v>ACCESORIOS</v>
          </cell>
        </row>
        <row r="100">
          <cell r="A100">
            <v>250113001000</v>
          </cell>
          <cell r="B100" t="str">
            <v>PESTILLO HOJA PASIVA 136x18mm</v>
          </cell>
          <cell r="C100">
            <v>0</v>
          </cell>
          <cell r="D100">
            <v>46191</v>
          </cell>
          <cell r="E100">
            <v>0</v>
          </cell>
          <cell r="F100" t="str">
            <v>NATURAL</v>
          </cell>
          <cell r="G100" t="str">
            <v>TORNILLO</v>
          </cell>
        </row>
        <row r="101">
          <cell r="A101">
            <v>250117001000</v>
          </cell>
          <cell r="B101" t="str">
            <v>CERRADERO CORREDERA ANTIELEVACIÓN</v>
          </cell>
          <cell r="C101">
            <v>0</v>
          </cell>
          <cell r="D101">
            <v>46191</v>
          </cell>
          <cell r="E101">
            <v>0</v>
          </cell>
          <cell r="F101" t="str">
            <v>NATURAL</v>
          </cell>
          <cell r="G101" t="str">
            <v>CERRADEROS</v>
          </cell>
        </row>
        <row r="102">
          <cell r="A102" t="str">
            <v>444001003001MR</v>
          </cell>
          <cell r="B102" t="str">
            <v>MANILLA MILANO 92/25 MARRON</v>
          </cell>
          <cell r="C102">
            <v>0</v>
          </cell>
          <cell r="D102">
            <v>45400</v>
          </cell>
          <cell r="E102">
            <v>0</v>
          </cell>
          <cell r="F102" t="str">
            <v>MARRON</v>
          </cell>
          <cell r="G102" t="str">
            <v>MANILLA</v>
          </cell>
        </row>
        <row r="103">
          <cell r="A103" t="str">
            <v>444001003001NG</v>
          </cell>
          <cell r="B103" t="str">
            <v>MANILLA MILANO 92/25 NEGRO</v>
          </cell>
          <cell r="C103">
            <v>0</v>
          </cell>
          <cell r="D103">
            <v>45400</v>
          </cell>
          <cell r="E103">
            <v>0</v>
          </cell>
          <cell r="F103" t="str">
            <v>NEGRO</v>
          </cell>
          <cell r="G103" t="str">
            <v>MANILLA</v>
          </cell>
        </row>
        <row r="104">
          <cell r="A104">
            <v>450113002000</v>
          </cell>
          <cell r="B104" t="str">
            <v>DOUBLE SASH STEEL BOLD AND STRIKER</v>
          </cell>
          <cell r="C104">
            <v>0</v>
          </cell>
          <cell r="D104"/>
          <cell r="E104">
            <v>0</v>
          </cell>
          <cell r="F104" t="str">
            <v>NATURAL</v>
          </cell>
          <cell r="G104" t="str">
            <v>ACCESORIOS</v>
          </cell>
        </row>
        <row r="105">
          <cell r="A105" t="str">
            <v>494-S.018</v>
          </cell>
          <cell r="B105" t="str">
            <v>DOUBLE SASH STEEL BOLT</v>
          </cell>
          <cell r="C105">
            <v>0</v>
          </cell>
          <cell r="D105">
            <v>45684</v>
          </cell>
          <cell r="E105">
            <v>0</v>
          </cell>
          <cell r="F105" t="str">
            <v>NATURAL</v>
          </cell>
          <cell r="G105" t="str">
            <v>CERRADEROS</v>
          </cell>
        </row>
        <row r="106">
          <cell r="A106">
            <v>610201011</v>
          </cell>
          <cell r="B106" t="str">
            <v>Beneficio Personal</v>
          </cell>
          <cell r="C106">
            <v>0</v>
          </cell>
          <cell r="D106">
            <v>46183</v>
          </cell>
          <cell r="E106">
            <v>0</v>
          </cell>
        </row>
        <row r="107">
          <cell r="A107">
            <v>610201016</v>
          </cell>
          <cell r="B107" t="str">
            <v>Gastos de Capacitacion</v>
          </cell>
          <cell r="C107">
            <v>0</v>
          </cell>
          <cell r="D107">
            <v>44789</v>
          </cell>
          <cell r="E107">
            <v>0</v>
          </cell>
        </row>
        <row r="108">
          <cell r="A108">
            <v>610202001</v>
          </cell>
          <cell r="B108" t="str">
            <v>Luz</v>
          </cell>
          <cell r="C108">
            <v>0</v>
          </cell>
          <cell r="D108"/>
          <cell r="E108">
            <v>0</v>
          </cell>
        </row>
        <row r="109">
          <cell r="A109">
            <v>610202002</v>
          </cell>
          <cell r="B109" t="str">
            <v>Agua</v>
          </cell>
          <cell r="C109">
            <v>0</v>
          </cell>
          <cell r="D109">
            <v>46079</v>
          </cell>
          <cell r="E109">
            <v>0</v>
          </cell>
        </row>
        <row r="110">
          <cell r="A110">
            <v>610202003</v>
          </cell>
          <cell r="B110" t="str">
            <v>Arriendo</v>
          </cell>
          <cell r="C110">
            <v>0</v>
          </cell>
          <cell r="D110">
            <v>46166</v>
          </cell>
          <cell r="E110">
            <v>0</v>
          </cell>
        </row>
        <row r="111">
          <cell r="A111">
            <v>610202004</v>
          </cell>
          <cell r="B111" t="str">
            <v>Gastos Comunes</v>
          </cell>
          <cell r="C111">
            <v>0</v>
          </cell>
          <cell r="D111"/>
          <cell r="E111">
            <v>0</v>
          </cell>
        </row>
        <row r="112">
          <cell r="A112">
            <v>610202005</v>
          </cell>
          <cell r="B112" t="str">
            <v>Gas</v>
          </cell>
          <cell r="C112">
            <v>0</v>
          </cell>
          <cell r="D112">
            <v>45707</v>
          </cell>
          <cell r="E112">
            <v>0</v>
          </cell>
        </row>
        <row r="113">
          <cell r="A113">
            <v>610203001</v>
          </cell>
          <cell r="B113" t="str">
            <v>Honorarios</v>
          </cell>
          <cell r="C113">
            <v>0</v>
          </cell>
          <cell r="D113"/>
          <cell r="E113">
            <v>0</v>
          </cell>
        </row>
        <row r="114">
          <cell r="A114">
            <v>610203002</v>
          </cell>
          <cell r="B114" t="str">
            <v>Auditorías</v>
          </cell>
          <cell r="C114">
            <v>0</v>
          </cell>
          <cell r="E114">
            <v>0</v>
          </cell>
        </row>
        <row r="115">
          <cell r="A115">
            <v>610203003</v>
          </cell>
          <cell r="B115" t="str">
            <v>Asesorias Profesionales</v>
          </cell>
          <cell r="C115">
            <v>0</v>
          </cell>
          <cell r="D115">
            <v>46157</v>
          </cell>
          <cell r="E115">
            <v>0</v>
          </cell>
        </row>
        <row r="116">
          <cell r="A116">
            <v>610203004</v>
          </cell>
          <cell r="B116" t="str">
            <v>Servicios ERP</v>
          </cell>
          <cell r="C116">
            <v>0</v>
          </cell>
          <cell r="D116">
            <v>45924</v>
          </cell>
          <cell r="E116">
            <v>0</v>
          </cell>
        </row>
        <row r="117">
          <cell r="A117">
            <v>610204001</v>
          </cell>
          <cell r="B117" t="str">
            <v>Almuerzo</v>
          </cell>
          <cell r="C117">
            <v>0</v>
          </cell>
          <cell r="D117">
            <v>46050</v>
          </cell>
          <cell r="E117">
            <v>0</v>
          </cell>
        </row>
        <row r="118">
          <cell r="A118">
            <v>610204002</v>
          </cell>
          <cell r="B118" t="str">
            <v>Alojamiento</v>
          </cell>
          <cell r="C118">
            <v>0</v>
          </cell>
          <cell r="D118">
            <v>46171</v>
          </cell>
          <cell r="E118">
            <v>0</v>
          </cell>
        </row>
        <row r="119">
          <cell r="A119">
            <v>610204003</v>
          </cell>
          <cell r="B119" t="str">
            <v>Articulos de Escritorio</v>
          </cell>
          <cell r="C119">
            <v>0</v>
          </cell>
          <cell r="D119">
            <v>46184</v>
          </cell>
          <cell r="E119">
            <v>0</v>
          </cell>
        </row>
        <row r="120">
          <cell r="A120">
            <v>610204004</v>
          </cell>
          <cell r="B120" t="str">
            <v>Aseo</v>
          </cell>
          <cell r="C120">
            <v>0</v>
          </cell>
          <cell r="D120">
            <v>46189</v>
          </cell>
          <cell r="E120">
            <v>0</v>
          </cell>
        </row>
        <row r="121">
          <cell r="A121">
            <v>610204005</v>
          </cell>
          <cell r="B121" t="str">
            <v>Combustible</v>
          </cell>
          <cell r="C121">
            <v>0</v>
          </cell>
          <cell r="D121">
            <v>44587</v>
          </cell>
          <cell r="E121">
            <v>0</v>
          </cell>
        </row>
        <row r="122">
          <cell r="A122">
            <v>610204006</v>
          </cell>
          <cell r="B122" t="str">
            <v>Comisiones Transbank</v>
          </cell>
          <cell r="C122">
            <v>0</v>
          </cell>
          <cell r="D122"/>
          <cell r="E122">
            <v>0</v>
          </cell>
        </row>
        <row r="123">
          <cell r="A123">
            <v>610204007</v>
          </cell>
          <cell r="B123" t="str">
            <v>Contribuciones</v>
          </cell>
          <cell r="C123">
            <v>0</v>
          </cell>
          <cell r="D123"/>
          <cell r="E123">
            <v>0</v>
          </cell>
        </row>
        <row r="124">
          <cell r="A124">
            <v>610204008</v>
          </cell>
          <cell r="B124" t="str">
            <v>Correspondencia</v>
          </cell>
          <cell r="C124">
            <v>0</v>
          </cell>
          <cell r="D124"/>
          <cell r="E124">
            <v>0</v>
          </cell>
        </row>
        <row r="125">
          <cell r="A125">
            <v>610204009</v>
          </cell>
          <cell r="B125" t="str">
            <v>Dicom</v>
          </cell>
          <cell r="C125">
            <v>0</v>
          </cell>
          <cell r="D125"/>
          <cell r="E125">
            <v>0</v>
          </cell>
        </row>
        <row r="126">
          <cell r="A126">
            <v>610204010</v>
          </cell>
          <cell r="B126" t="str">
            <v>Estacionamiento</v>
          </cell>
          <cell r="C126">
            <v>0</v>
          </cell>
          <cell r="D126"/>
          <cell r="E126">
            <v>0</v>
          </cell>
        </row>
        <row r="127">
          <cell r="A127">
            <v>610204011</v>
          </cell>
          <cell r="B127" t="str">
            <v>FLETES</v>
          </cell>
          <cell r="C127">
            <v>0</v>
          </cell>
          <cell r="D127">
            <v>46182</v>
          </cell>
          <cell r="E127">
            <v>0</v>
          </cell>
        </row>
        <row r="128">
          <cell r="A128">
            <v>610204012</v>
          </cell>
          <cell r="B128" t="str">
            <v>Gastos de Importacion</v>
          </cell>
          <cell r="C128">
            <v>0</v>
          </cell>
          <cell r="D128">
            <v>46107</v>
          </cell>
          <cell r="E128">
            <v>0</v>
          </cell>
        </row>
        <row r="129">
          <cell r="A129">
            <v>610204013</v>
          </cell>
          <cell r="B129" t="str">
            <v>Gastos de Remodelacion</v>
          </cell>
          <cell r="C129">
            <v>0</v>
          </cell>
          <cell r="D129">
            <v>46174</v>
          </cell>
          <cell r="E129">
            <v>0</v>
          </cell>
        </row>
        <row r="130">
          <cell r="A130">
            <v>610204014</v>
          </cell>
          <cell r="B130" t="str">
            <v>Gastos Marketing</v>
          </cell>
          <cell r="C130">
            <v>0</v>
          </cell>
          <cell r="D130">
            <v>46181</v>
          </cell>
          <cell r="E130">
            <v>0</v>
          </cell>
        </row>
        <row r="131">
          <cell r="A131">
            <v>610204015</v>
          </cell>
          <cell r="B131" t="str">
            <v>Implementos de Seguridad</v>
          </cell>
          <cell r="C131">
            <v>0</v>
          </cell>
          <cell r="D131">
            <v>46190</v>
          </cell>
          <cell r="E131">
            <v>0</v>
          </cell>
        </row>
        <row r="132">
          <cell r="A132">
            <v>610204016</v>
          </cell>
          <cell r="B132" t="str">
            <v>Informatica y Soporte</v>
          </cell>
          <cell r="C132">
            <v>0</v>
          </cell>
          <cell r="D132">
            <v>46177</v>
          </cell>
          <cell r="E132">
            <v>0</v>
          </cell>
        </row>
        <row r="133">
          <cell r="A133">
            <v>610204017</v>
          </cell>
          <cell r="B133" t="str">
            <v>Insumos</v>
          </cell>
          <cell r="C133">
            <v>0</v>
          </cell>
          <cell r="D133">
            <v>46184</v>
          </cell>
          <cell r="E133">
            <v>0</v>
          </cell>
        </row>
        <row r="134">
          <cell r="A134">
            <v>610204018</v>
          </cell>
          <cell r="B134" t="str">
            <v>Internet</v>
          </cell>
          <cell r="C134">
            <v>0</v>
          </cell>
          <cell r="D134">
            <v>45161</v>
          </cell>
          <cell r="E134">
            <v>0</v>
          </cell>
        </row>
        <row r="135">
          <cell r="A135">
            <v>610204019</v>
          </cell>
          <cell r="B135" t="str">
            <v>Legales</v>
          </cell>
          <cell r="C135">
            <v>0</v>
          </cell>
          <cell r="E135">
            <v>0</v>
          </cell>
        </row>
        <row r="136">
          <cell r="A136">
            <v>610204020</v>
          </cell>
          <cell r="B136" t="str">
            <v>Mantencion Vehiculos</v>
          </cell>
          <cell r="C136">
            <v>0</v>
          </cell>
          <cell r="D136">
            <v>46184</v>
          </cell>
          <cell r="E136">
            <v>0</v>
          </cell>
        </row>
        <row r="137">
          <cell r="A137">
            <v>610204021</v>
          </cell>
          <cell r="B137" t="str">
            <v>Mantencion y Reparacion Maquinaria</v>
          </cell>
          <cell r="C137">
            <v>0</v>
          </cell>
          <cell r="D137">
            <v>46181</v>
          </cell>
          <cell r="E137">
            <v>0</v>
          </cell>
        </row>
        <row r="138">
          <cell r="A138">
            <v>610204022</v>
          </cell>
          <cell r="B138" t="str">
            <v>Pasajes Aereos</v>
          </cell>
          <cell r="C138">
            <v>0</v>
          </cell>
          <cell r="D138">
            <v>45370</v>
          </cell>
          <cell r="E138">
            <v>0</v>
          </cell>
        </row>
        <row r="139">
          <cell r="A139">
            <v>610204023</v>
          </cell>
          <cell r="B139" t="str">
            <v>Patente Municipal</v>
          </cell>
          <cell r="C139">
            <v>0</v>
          </cell>
          <cell r="E139">
            <v>0</v>
          </cell>
        </row>
        <row r="140">
          <cell r="A140">
            <v>610204024</v>
          </cell>
          <cell r="B140" t="str">
            <v>Peajes</v>
          </cell>
          <cell r="C140">
            <v>0</v>
          </cell>
          <cell r="D140">
            <v>44587</v>
          </cell>
          <cell r="E140">
            <v>0</v>
          </cell>
        </row>
        <row r="141">
          <cell r="A141">
            <v>610204025</v>
          </cell>
          <cell r="B141" t="str">
            <v>Permiso de Circulacion</v>
          </cell>
          <cell r="C141">
            <v>0</v>
          </cell>
          <cell r="E141">
            <v>0</v>
          </cell>
        </row>
        <row r="142">
          <cell r="A142">
            <v>610204026</v>
          </cell>
          <cell r="B142" t="str">
            <v>Seguridad</v>
          </cell>
          <cell r="C142">
            <v>0</v>
          </cell>
          <cell r="D142">
            <v>46149</v>
          </cell>
          <cell r="E142">
            <v>0</v>
          </cell>
        </row>
        <row r="143">
          <cell r="A143">
            <v>610204027</v>
          </cell>
          <cell r="B143" t="str">
            <v>Seguros</v>
          </cell>
          <cell r="C143">
            <v>0</v>
          </cell>
          <cell r="E143">
            <v>0</v>
          </cell>
        </row>
        <row r="144">
          <cell r="A144">
            <v>610204028</v>
          </cell>
          <cell r="B144" t="str">
            <v>Tag</v>
          </cell>
          <cell r="C144">
            <v>0</v>
          </cell>
          <cell r="E144">
            <v>0</v>
          </cell>
        </row>
        <row r="145">
          <cell r="A145">
            <v>610204029</v>
          </cell>
          <cell r="B145" t="str">
            <v>Telefonia Celular</v>
          </cell>
          <cell r="C145">
            <v>0</v>
          </cell>
          <cell r="D145">
            <v>44562</v>
          </cell>
          <cell r="E145">
            <v>0</v>
          </cell>
        </row>
        <row r="146">
          <cell r="A146">
            <v>610204030</v>
          </cell>
          <cell r="B146" t="str">
            <v>Telefonia Fija</v>
          </cell>
          <cell r="C146">
            <v>0</v>
          </cell>
          <cell r="D146"/>
          <cell r="E146">
            <v>0</v>
          </cell>
        </row>
        <row r="147">
          <cell r="A147">
            <v>610204031</v>
          </cell>
          <cell r="B147" t="str">
            <v>Donaciones</v>
          </cell>
          <cell r="C147">
            <v>0</v>
          </cell>
          <cell r="D147"/>
          <cell r="E147">
            <v>0</v>
          </cell>
        </row>
        <row r="148">
          <cell r="A148">
            <v>610204032</v>
          </cell>
          <cell r="B148" t="str">
            <v>Otros gastos</v>
          </cell>
          <cell r="C148">
            <v>0</v>
          </cell>
          <cell r="D148">
            <v>45957</v>
          </cell>
          <cell r="E148">
            <v>0</v>
          </cell>
        </row>
        <row r="149">
          <cell r="A149">
            <v>610204033</v>
          </cell>
          <cell r="B149" t="str">
            <v>Multas</v>
          </cell>
          <cell r="C149">
            <v>0</v>
          </cell>
          <cell r="D149"/>
          <cell r="E149">
            <v>0</v>
          </cell>
        </row>
        <row r="150">
          <cell r="A150">
            <v>710101001</v>
          </cell>
          <cell r="B150" t="str">
            <v>Ventas Activos Fijos</v>
          </cell>
          <cell r="C150">
            <v>0</v>
          </cell>
          <cell r="D150"/>
          <cell r="E150">
            <v>0</v>
          </cell>
        </row>
        <row r="151">
          <cell r="A151">
            <v>710101002</v>
          </cell>
          <cell r="B151" t="str">
            <v>Descuentos Ganados</v>
          </cell>
          <cell r="C151">
            <v>0</v>
          </cell>
          <cell r="D151"/>
          <cell r="E151">
            <v>0</v>
          </cell>
        </row>
        <row r="152">
          <cell r="A152">
            <v>710101003</v>
          </cell>
          <cell r="B152" t="str">
            <v>Fletes a Clientes</v>
          </cell>
          <cell r="C152">
            <v>0</v>
          </cell>
          <cell r="D152"/>
          <cell r="E152">
            <v>0</v>
          </cell>
        </row>
        <row r="153">
          <cell r="A153" t="str">
            <v>720-1601-1030</v>
          </cell>
          <cell r="B153" t="str">
            <v>CYLINDER 254/83K 40/43</v>
          </cell>
          <cell r="C153">
            <v>0</v>
          </cell>
          <cell r="D153">
            <v>45973</v>
          </cell>
          <cell r="E153">
            <v>0</v>
          </cell>
          <cell r="F153" t="str">
            <v>NATURAL</v>
          </cell>
          <cell r="G153" t="str">
            <v>CILINDRO</v>
          </cell>
        </row>
        <row r="154">
          <cell r="A154" t="str">
            <v>720-28001-2030</v>
          </cell>
          <cell r="B154" t="str">
            <v>CILINDRO 80MM (40/40)  254/83K</v>
          </cell>
          <cell r="C154">
            <v>0</v>
          </cell>
          <cell r="D154">
            <v>46167</v>
          </cell>
          <cell r="E154">
            <v>0</v>
          </cell>
          <cell r="F154" t="str">
            <v>NATURAL</v>
          </cell>
          <cell r="G154" t="str">
            <v>CILINDRO</v>
          </cell>
        </row>
        <row r="155">
          <cell r="A155" t="str">
            <v>720-28301-2030</v>
          </cell>
          <cell r="B155" t="str">
            <v>CYLINDER 254/83K 40/43</v>
          </cell>
          <cell r="C155">
            <v>0</v>
          </cell>
          <cell r="D155">
            <v>45915</v>
          </cell>
          <cell r="E155">
            <v>0</v>
          </cell>
          <cell r="F155" t="str">
            <v>NATURAL</v>
          </cell>
          <cell r="G155" t="str">
            <v>CILINDRO</v>
          </cell>
        </row>
        <row r="156">
          <cell r="A156">
            <v>761010000019</v>
          </cell>
          <cell r="B156" t="str">
            <v>PUERTA PIVOTANTE N-50 - BLACK MATTE</v>
          </cell>
          <cell r="C156">
            <v>0</v>
          </cell>
          <cell r="D156">
            <v>45442</v>
          </cell>
          <cell r="E156">
            <v>0</v>
          </cell>
          <cell r="F156" t="str">
            <v>BLACK</v>
          </cell>
          <cell r="G156" t="str">
            <v>BARANDAS</v>
          </cell>
        </row>
        <row r="157">
          <cell r="A157" t="str">
            <v>BARI-AGM-ALU</v>
          </cell>
          <cell r="B157" t="str">
            <v>ARANDELAS DE GOMA - AL</v>
          </cell>
          <cell r="C157">
            <v>0</v>
          </cell>
          <cell r="D157">
            <v>44561</v>
          </cell>
          <cell r="E157">
            <v>4.0000000000000001E-3</v>
          </cell>
          <cell r="F157" t="str">
            <v>NATURAL</v>
          </cell>
          <cell r="G157" t="str">
            <v>BARANDAS</v>
          </cell>
        </row>
        <row r="158">
          <cell r="A158" t="str">
            <v>BARI-BCV-ALU</v>
          </cell>
          <cell r="B158" t="str">
            <v>BURLETE CONTRAVIDRIO 2915</v>
          </cell>
          <cell r="C158">
            <v>0</v>
          </cell>
          <cell r="D158">
            <v>45123</v>
          </cell>
          <cell r="E158">
            <v>4.0000000000000001E-3</v>
          </cell>
          <cell r="F158" t="str">
            <v>NATURAL</v>
          </cell>
          <cell r="G158" t="str">
            <v>BARANDAS</v>
          </cell>
        </row>
        <row r="159">
          <cell r="A159" t="str">
            <v>BARI-BCV21-ALU</v>
          </cell>
          <cell r="B159" t="str">
            <v>BURLETE CONTRAVIDRIO 2921</v>
          </cell>
          <cell r="C159">
            <v>0</v>
          </cell>
          <cell r="D159">
            <v>45123</v>
          </cell>
          <cell r="E159">
            <v>4.0000000000000001E-3</v>
          </cell>
          <cell r="F159" t="str">
            <v>NATURAL</v>
          </cell>
          <cell r="G159" t="str">
            <v>BARANDAS</v>
          </cell>
        </row>
        <row r="160">
          <cell r="A160" t="str">
            <v>BARI-BRC11-ALU</v>
          </cell>
          <cell r="B160" t="str">
            <v>BURETE RESPALDO SUPERIOR</v>
          </cell>
          <cell r="C160">
            <v>0</v>
          </cell>
          <cell r="D160">
            <v>45123</v>
          </cell>
          <cell r="E160">
            <v>4.0000000000000001E-3</v>
          </cell>
          <cell r="F160" t="str">
            <v>NATURAL</v>
          </cell>
          <cell r="G160" t="str">
            <v>BARANDAS</v>
          </cell>
        </row>
        <row r="161">
          <cell r="A161" t="str">
            <v>BARI-BRL-ALU</v>
          </cell>
          <cell r="B161" t="str">
            <v>BURLETE RESPALDO INFERIOR</v>
          </cell>
          <cell r="C161">
            <v>0</v>
          </cell>
          <cell r="D161">
            <v>44561</v>
          </cell>
          <cell r="E161">
            <v>4.0000000000000001E-3</v>
          </cell>
          <cell r="F161" t="str">
            <v>NATURAL</v>
          </cell>
          <cell r="G161" t="str">
            <v>BARANDAS</v>
          </cell>
        </row>
        <row r="162">
          <cell r="A162" t="str">
            <v>BARI-CLZ-ALU</v>
          </cell>
          <cell r="B162" t="str">
            <v>CALZOS PLÁSTICOS</v>
          </cell>
          <cell r="C162">
            <v>0</v>
          </cell>
          <cell r="D162">
            <v>44561</v>
          </cell>
          <cell r="E162">
            <v>4.0000000000000001E-3</v>
          </cell>
          <cell r="F162" t="str">
            <v>NATURAL</v>
          </cell>
          <cell r="G162" t="str">
            <v>BARANDAS</v>
          </cell>
        </row>
        <row r="163">
          <cell r="A163" t="str">
            <v>BARI-CY-8-6MT</v>
          </cell>
          <cell r="B163" t="str">
            <v>KIT CITY - 8 mm</v>
          </cell>
          <cell r="C163">
            <v>0</v>
          </cell>
          <cell r="E163">
            <v>0</v>
          </cell>
          <cell r="F163" t="str">
            <v>NATURAL</v>
          </cell>
          <cell r="G163" t="str">
            <v>KIT - BARANDAS</v>
          </cell>
        </row>
        <row r="164">
          <cell r="A164" t="str">
            <v>BARI-K1-10-4MT</v>
          </cell>
          <cell r="B164" t="str">
            <v>KIT K1 - 10 mm</v>
          </cell>
          <cell r="C164">
            <v>0</v>
          </cell>
          <cell r="D164">
            <v>45440</v>
          </cell>
          <cell r="E164">
            <v>0</v>
          </cell>
          <cell r="F164" t="str">
            <v>NATURAL</v>
          </cell>
          <cell r="G164" t="str">
            <v>KIT - BARANDAS</v>
          </cell>
        </row>
        <row r="165">
          <cell r="A165" t="str">
            <v>BARI-K1-12-4MT</v>
          </cell>
          <cell r="B165" t="str">
            <v>KIT K1 - 12 mm</v>
          </cell>
          <cell r="C165">
            <v>0</v>
          </cell>
          <cell r="D165">
            <v>45513</v>
          </cell>
          <cell r="E165">
            <v>0</v>
          </cell>
          <cell r="F165" t="str">
            <v>NATURAL</v>
          </cell>
          <cell r="G165" t="str">
            <v>KIT - BARANDAS</v>
          </cell>
        </row>
        <row r="166">
          <cell r="A166" t="str">
            <v>BARI-K1-16-4MT</v>
          </cell>
          <cell r="B166" t="str">
            <v>KIT K1 - 16 mm</v>
          </cell>
          <cell r="C166">
            <v>0</v>
          </cell>
          <cell r="E166">
            <v>0</v>
          </cell>
          <cell r="F166" t="str">
            <v>NATURAL</v>
          </cell>
          <cell r="G166" t="str">
            <v>KIT - BARANDAS</v>
          </cell>
        </row>
        <row r="167">
          <cell r="A167" t="str">
            <v>BARI-K1-20-4MT</v>
          </cell>
          <cell r="B167" t="str">
            <v>KIT K1 - 20 mm</v>
          </cell>
          <cell r="C167">
            <v>0</v>
          </cell>
          <cell r="E167">
            <v>0</v>
          </cell>
          <cell r="F167" t="str">
            <v>NATURAL</v>
          </cell>
          <cell r="G167" t="str">
            <v>KIT - BARANDAS</v>
          </cell>
        </row>
        <row r="168">
          <cell r="A168" t="str">
            <v>BARI-K11-16-6MT</v>
          </cell>
          <cell r="B168" t="str">
            <v>KIT K11 - 16 MM</v>
          </cell>
          <cell r="C168">
            <v>0</v>
          </cell>
          <cell r="E168">
            <v>0</v>
          </cell>
          <cell r="F168" t="str">
            <v>NATURAL</v>
          </cell>
          <cell r="G168" t="str">
            <v>KIT - BARANDAS</v>
          </cell>
        </row>
        <row r="169">
          <cell r="A169" t="str">
            <v>BARI-K12-10-6MT</v>
          </cell>
          <cell r="B169" t="str">
            <v>KIT K12 - 10 mm</v>
          </cell>
          <cell r="C169">
            <v>0</v>
          </cell>
          <cell r="D169"/>
          <cell r="E169">
            <v>0</v>
          </cell>
          <cell r="F169" t="str">
            <v>NATURAL</v>
          </cell>
          <cell r="G169" t="str">
            <v>KIT - BARANDAS</v>
          </cell>
        </row>
        <row r="170">
          <cell r="A170" t="str">
            <v>BARI-K12-12-6MT</v>
          </cell>
          <cell r="B170" t="str">
            <v>KIT K12 - 12 mm</v>
          </cell>
          <cell r="C170">
            <v>0</v>
          </cell>
          <cell r="D170">
            <v>45496</v>
          </cell>
          <cell r="E170">
            <v>0</v>
          </cell>
          <cell r="F170" t="str">
            <v>NATURAL</v>
          </cell>
          <cell r="G170" t="str">
            <v>KIT - BARANDAS</v>
          </cell>
        </row>
        <row r="171">
          <cell r="A171" t="str">
            <v>BARI-K12-16-6MT</v>
          </cell>
          <cell r="B171" t="str">
            <v>KIT K12 - 16 mm</v>
          </cell>
          <cell r="C171">
            <v>0</v>
          </cell>
          <cell r="D171"/>
          <cell r="E171">
            <v>0</v>
          </cell>
          <cell r="F171" t="str">
            <v>NATURAL</v>
          </cell>
          <cell r="G171" t="str">
            <v>KIT - BARANDAS</v>
          </cell>
        </row>
        <row r="172">
          <cell r="A172" t="str">
            <v>BARI-K12-20-6MT</v>
          </cell>
          <cell r="B172" t="str">
            <v>KIT K12 - 20 mm</v>
          </cell>
          <cell r="C172">
            <v>0</v>
          </cell>
          <cell r="E172">
            <v>0</v>
          </cell>
          <cell r="F172" t="str">
            <v>NATURAL</v>
          </cell>
          <cell r="G172" t="str">
            <v>KIT - BARANDAS</v>
          </cell>
        </row>
        <row r="173">
          <cell r="A173" t="str">
            <v>BARI-K15-10-6MT</v>
          </cell>
          <cell r="B173" t="str">
            <v>KIT K15 - 10 mm</v>
          </cell>
          <cell r="C173">
            <v>0</v>
          </cell>
          <cell r="D173">
            <v>45245</v>
          </cell>
          <cell r="E173">
            <v>0</v>
          </cell>
          <cell r="F173" t="str">
            <v>NATURAL</v>
          </cell>
          <cell r="G173" t="str">
            <v>KIT - BARANDAS</v>
          </cell>
        </row>
        <row r="174">
          <cell r="A174" t="str">
            <v>BARI-K15-12-6MT</v>
          </cell>
          <cell r="B174" t="str">
            <v>KIT K15 - 12 mm</v>
          </cell>
          <cell r="C174">
            <v>0</v>
          </cell>
          <cell r="D174"/>
          <cell r="E174">
            <v>0</v>
          </cell>
          <cell r="F174" t="str">
            <v>NATURAL</v>
          </cell>
          <cell r="G174" t="str">
            <v>KIT - BARANDAS</v>
          </cell>
        </row>
        <row r="175">
          <cell r="A175" t="str">
            <v>BARI-K15-16-6MT</v>
          </cell>
          <cell r="B175" t="str">
            <v>KIT K15 - 16 mm</v>
          </cell>
          <cell r="C175">
            <v>0</v>
          </cell>
          <cell r="D175"/>
          <cell r="E175">
            <v>0</v>
          </cell>
          <cell r="F175" t="str">
            <v>NATURAL</v>
          </cell>
          <cell r="G175" t="str">
            <v>KIT - BARANDAS</v>
          </cell>
        </row>
        <row r="176">
          <cell r="A176" t="str">
            <v>BARI-K15-20-6MT</v>
          </cell>
          <cell r="B176" t="str">
            <v>KIT K15 - 20 mm</v>
          </cell>
          <cell r="C176">
            <v>0</v>
          </cell>
          <cell r="D176"/>
          <cell r="E176">
            <v>0</v>
          </cell>
          <cell r="F176" t="str">
            <v>NATURAL</v>
          </cell>
          <cell r="G176" t="str">
            <v>KIT - BARANDAS</v>
          </cell>
        </row>
        <row r="177">
          <cell r="A177" t="str">
            <v>BARI-K3-LED-6MT</v>
          </cell>
          <cell r="B177" t="str">
            <v>KIT LED K3</v>
          </cell>
          <cell r="C177">
            <v>0</v>
          </cell>
          <cell r="D177">
            <v>44958</v>
          </cell>
          <cell r="E177">
            <v>0</v>
          </cell>
          <cell r="F177" t="str">
            <v>NATURAL</v>
          </cell>
          <cell r="G177" t="str">
            <v>KIT - BARANDAS</v>
          </cell>
        </row>
        <row r="178">
          <cell r="A178" t="str">
            <v>BARI-K6-10-6MT</v>
          </cell>
          <cell r="B178" t="str">
            <v>KIT K6 - 10 mm</v>
          </cell>
          <cell r="C178">
            <v>0</v>
          </cell>
          <cell r="D178"/>
          <cell r="E178">
            <v>0</v>
          </cell>
          <cell r="F178" t="str">
            <v>NATURAL</v>
          </cell>
          <cell r="G178" t="str">
            <v>KIT - BARANDAS</v>
          </cell>
        </row>
        <row r="179">
          <cell r="A179" t="str">
            <v>BARI-K6-12-6MT</v>
          </cell>
          <cell r="B179" t="str">
            <v>KIT K6 - 12 mm</v>
          </cell>
          <cell r="C179">
            <v>0</v>
          </cell>
          <cell r="D179">
            <v>45245</v>
          </cell>
          <cell r="E179">
            <v>0</v>
          </cell>
          <cell r="F179" t="str">
            <v>NATURAL</v>
          </cell>
          <cell r="G179" t="str">
            <v>KIT - BARANDAS</v>
          </cell>
        </row>
        <row r="180">
          <cell r="A180" t="str">
            <v>BARI-K6-16-6MT</v>
          </cell>
          <cell r="B180" t="str">
            <v>KIT K6 - 16 mm</v>
          </cell>
          <cell r="C180">
            <v>0</v>
          </cell>
          <cell r="D180"/>
          <cell r="E180">
            <v>0</v>
          </cell>
          <cell r="F180" t="str">
            <v>NATURAL</v>
          </cell>
          <cell r="G180" t="str">
            <v>KIT - BARANDAS</v>
          </cell>
        </row>
        <row r="181">
          <cell r="A181" t="str">
            <v>BARI-K6-20-6MT</v>
          </cell>
          <cell r="B181" t="str">
            <v>KIT K6 - 20 mm</v>
          </cell>
          <cell r="C181">
            <v>0</v>
          </cell>
          <cell r="D181"/>
          <cell r="E181">
            <v>0</v>
          </cell>
          <cell r="F181" t="str">
            <v>NATURAL</v>
          </cell>
          <cell r="G181" t="str">
            <v>KIT - BARANDAS</v>
          </cell>
        </row>
        <row r="182">
          <cell r="A182" t="str">
            <v>BARI-TAP-ALU-6000</v>
          </cell>
          <cell r="B182" t="str">
            <v>ALUMINIO 6000 x 76 x 30 - TAPA</v>
          </cell>
          <cell r="C182">
            <v>0</v>
          </cell>
          <cell r="D182">
            <v>44561</v>
          </cell>
          <cell r="E182">
            <v>4</v>
          </cell>
          <cell r="F182" t="str">
            <v>NATURAL</v>
          </cell>
          <cell r="G182" t="str">
            <v>BARANDAS</v>
          </cell>
        </row>
        <row r="183">
          <cell r="A183" t="str">
            <v>BARI-TVR-ALU</v>
          </cell>
          <cell r="B183" t="str">
            <v>TUERCA PARA VARILLA</v>
          </cell>
          <cell r="C183">
            <v>0</v>
          </cell>
          <cell r="D183">
            <v>44561</v>
          </cell>
          <cell r="E183">
            <v>4.0000000000000001E-3</v>
          </cell>
          <cell r="F183" t="str">
            <v>NATURAL</v>
          </cell>
          <cell r="G183" t="str">
            <v>BARANDAS</v>
          </cell>
        </row>
        <row r="184">
          <cell r="A184" t="str">
            <v>BARI-VRR-ALU</v>
          </cell>
          <cell r="B184" t="str">
            <v>VARILLA ROSCADAS 3/8</v>
          </cell>
          <cell r="C184">
            <v>0</v>
          </cell>
          <cell r="D184">
            <v>45123</v>
          </cell>
          <cell r="E184">
            <v>4.0000000000000001E-3</v>
          </cell>
          <cell r="F184" t="str">
            <v>NATURAL</v>
          </cell>
          <cell r="G184" t="str">
            <v>BARANDAS</v>
          </cell>
        </row>
        <row r="185">
          <cell r="A185" t="str">
            <v>BARI-ZOC-ALU-3000</v>
          </cell>
          <cell r="B185" t="str">
            <v>ALUMINIO 3000 x 80 x 82 - ZOCALO</v>
          </cell>
          <cell r="C185">
            <v>0</v>
          </cell>
          <cell r="D185">
            <v>44561</v>
          </cell>
          <cell r="E185">
            <v>25</v>
          </cell>
          <cell r="F185" t="str">
            <v>NATURAL</v>
          </cell>
          <cell r="G185" t="str">
            <v>BARANDAS</v>
          </cell>
        </row>
        <row r="186">
          <cell r="A186" t="str">
            <v>BIMP-ACC-ALI-180-VNU</v>
          </cell>
          <cell r="B186" t="str">
            <v>ALINEADOR DE CRISTAL 180° - VNU</v>
          </cell>
          <cell r="C186">
            <v>457</v>
          </cell>
          <cell r="D186">
            <v>46177</v>
          </cell>
          <cell r="E186">
            <v>4.2099999999999999E-2</v>
          </cell>
          <cell r="F186" t="str">
            <v>NATURAL</v>
          </cell>
          <cell r="G186" t="str">
            <v>HERRAJES - BARANDAS</v>
          </cell>
        </row>
        <row r="187">
          <cell r="A187" t="str">
            <v>BIMP-ACC-ALI-90-VNU</v>
          </cell>
          <cell r="B187" t="str">
            <v>ALINEADOR DE CRISTAL 90° - VNU</v>
          </cell>
          <cell r="C187">
            <v>429</v>
          </cell>
          <cell r="D187">
            <v>46177</v>
          </cell>
          <cell r="E187">
            <v>0.1575</v>
          </cell>
          <cell r="F187" t="str">
            <v>NATURAL</v>
          </cell>
          <cell r="G187" t="str">
            <v>HERRAJES - BARANDAS</v>
          </cell>
        </row>
        <row r="188">
          <cell r="A188" t="str">
            <v>BIMP-ACC-CLZ-10MM</v>
          </cell>
          <cell r="B188" t="str">
            <v>CALZO ACRISTALAMIENTO N50 - N50R - 10mm</v>
          </cell>
          <cell r="C188">
            <v>3086</v>
          </cell>
          <cell r="D188">
            <v>46177</v>
          </cell>
          <cell r="E188">
            <v>0.11749999999999999</v>
          </cell>
          <cell r="F188" t="str">
            <v>AMARILLO</v>
          </cell>
          <cell r="G188" t="str">
            <v>HERRAJES - BARANDAS</v>
          </cell>
        </row>
        <row r="189">
          <cell r="A189" t="str">
            <v>BIMP-ACC-CLZ-12MM</v>
          </cell>
          <cell r="B189" t="str">
            <v>CALZO ACRISTALAMIENTO N50 - N50R - 12mm</v>
          </cell>
          <cell r="C189">
            <v>13106</v>
          </cell>
          <cell r="D189">
            <v>46177</v>
          </cell>
          <cell r="E189">
            <v>0.10589999999999999</v>
          </cell>
          <cell r="F189" t="str">
            <v>AMARILLO</v>
          </cell>
          <cell r="G189" t="str">
            <v>HERRAJES - BARANDAS</v>
          </cell>
        </row>
        <row r="190">
          <cell r="A190" t="str">
            <v>BIMP-ACC-CLZ-16MM</v>
          </cell>
          <cell r="B190" t="str">
            <v>CALZO ACRISTALAMIENTO N50 - N50R - 16mm</v>
          </cell>
          <cell r="C190">
            <v>1473</v>
          </cell>
          <cell r="D190">
            <v>46032</v>
          </cell>
          <cell r="E190">
            <v>8.1600000000000006E-2</v>
          </cell>
          <cell r="F190" t="str">
            <v>AMARILLO</v>
          </cell>
          <cell r="G190" t="str">
            <v>HERRAJES - BARANDAS</v>
          </cell>
        </row>
        <row r="191">
          <cell r="A191" t="str">
            <v>BIMP-ACC-TK1</v>
          </cell>
          <cell r="B191" t="str">
            <v>TAPA A LA VISTA K1</v>
          </cell>
          <cell r="C191">
            <v>0</v>
          </cell>
          <cell r="D191">
            <v>45350</v>
          </cell>
          <cell r="E191">
            <v>0</v>
          </cell>
          <cell r="F191" t="str">
            <v>NATURAL</v>
          </cell>
          <cell r="G191" t="str">
            <v>HERRAJES - BARANDAS</v>
          </cell>
        </row>
        <row r="192">
          <cell r="A192" t="str">
            <v>BIMP-ACC-TK11</v>
          </cell>
          <cell r="B192" t="str">
            <v>TAPA A LA VISTA K11</v>
          </cell>
          <cell r="C192">
            <v>0</v>
          </cell>
          <cell r="D192">
            <v>44956</v>
          </cell>
          <cell r="E192">
            <v>0</v>
          </cell>
          <cell r="F192" t="str">
            <v>NATURAL</v>
          </cell>
          <cell r="G192" t="str">
            <v>HERRAJES - BARANDAS</v>
          </cell>
        </row>
        <row r="193">
          <cell r="A193" t="str">
            <v>BIMP-ACC-TK12</v>
          </cell>
          <cell r="B193" t="str">
            <v>TAPA A LA VISTA K12</v>
          </cell>
          <cell r="C193">
            <v>0</v>
          </cell>
          <cell r="D193">
            <v>45498</v>
          </cell>
          <cell r="E193">
            <v>0</v>
          </cell>
          <cell r="F193" t="str">
            <v>NATURAL</v>
          </cell>
          <cell r="G193" t="str">
            <v>HERRAJES - BARANDAS</v>
          </cell>
        </row>
        <row r="194">
          <cell r="A194" t="str">
            <v>BIMP-ACC-TK15</v>
          </cell>
          <cell r="B194" t="str">
            <v>TAPA A LA VISTA K15</v>
          </cell>
          <cell r="C194">
            <v>0</v>
          </cell>
          <cell r="D194">
            <v>44956</v>
          </cell>
          <cell r="E194">
            <v>0</v>
          </cell>
          <cell r="F194" t="str">
            <v>NATURAL</v>
          </cell>
          <cell r="G194" t="str">
            <v>HERRAJES - BARANDAS</v>
          </cell>
        </row>
        <row r="195">
          <cell r="A195" t="str">
            <v>BIMP-ACC-TK3</v>
          </cell>
          <cell r="B195" t="str">
            <v>TAPA A LA VISTA K3</v>
          </cell>
          <cell r="C195">
            <v>0</v>
          </cell>
          <cell r="D195">
            <v>44956</v>
          </cell>
          <cell r="E195">
            <v>0</v>
          </cell>
          <cell r="F195" t="str">
            <v>NATURAL</v>
          </cell>
          <cell r="G195" t="str">
            <v>HERRAJES - BARANDAS</v>
          </cell>
        </row>
        <row r="196">
          <cell r="A196" t="str">
            <v>BIMP-ACC-TK7</v>
          </cell>
          <cell r="B196" t="str">
            <v>TAPA A LA VISTA K7</v>
          </cell>
          <cell r="C196">
            <v>0</v>
          </cell>
          <cell r="D196">
            <v>45298</v>
          </cell>
          <cell r="E196">
            <v>0</v>
          </cell>
          <cell r="F196" t="str">
            <v>NATURAL</v>
          </cell>
          <cell r="G196" t="str">
            <v>HERRAJES - BARANDAS</v>
          </cell>
        </row>
        <row r="197">
          <cell r="A197" t="str">
            <v>BIMP-ACC-TK8</v>
          </cell>
          <cell r="B197" t="str">
            <v>TAPA A LA VISTA K8</v>
          </cell>
          <cell r="C197">
            <v>0</v>
          </cell>
          <cell r="D197">
            <v>44956</v>
          </cell>
          <cell r="E197">
            <v>0</v>
          </cell>
          <cell r="F197" t="str">
            <v>NATURAL</v>
          </cell>
          <cell r="G197" t="str">
            <v>HERRAJES - BARANDAS</v>
          </cell>
        </row>
        <row r="198">
          <cell r="A198" t="str">
            <v>BIMP-ACC-TK9</v>
          </cell>
          <cell r="B198" t="str">
            <v>TAPA A LA VISTA K9</v>
          </cell>
          <cell r="C198">
            <v>0</v>
          </cell>
          <cell r="D198">
            <v>44956</v>
          </cell>
          <cell r="E198">
            <v>0</v>
          </cell>
          <cell r="F198" t="str">
            <v>NATURAL</v>
          </cell>
          <cell r="G198" t="str">
            <v>HERRAJES - BARANDAS</v>
          </cell>
        </row>
        <row r="199">
          <cell r="A199" t="str">
            <v>BIMP-ALI-180</v>
          </cell>
          <cell r="B199" t="str">
            <v>ALINEADOR  180°</v>
          </cell>
          <cell r="C199">
            <v>0</v>
          </cell>
          <cell r="D199">
            <v>45245</v>
          </cell>
          <cell r="E199">
            <v>0</v>
          </cell>
          <cell r="F199" t="str">
            <v>NATURAL</v>
          </cell>
          <cell r="G199" t="str">
            <v>HERRAJES - BARANDAS</v>
          </cell>
        </row>
        <row r="200">
          <cell r="A200" t="str">
            <v>BIMP-ALI-90</v>
          </cell>
          <cell r="B200" t="str">
            <v>ALINEADOR  90°</v>
          </cell>
          <cell r="C200">
            <v>12</v>
          </cell>
          <cell r="D200">
            <v>45541</v>
          </cell>
          <cell r="E200">
            <v>0</v>
          </cell>
          <cell r="F200" t="str">
            <v>NATURAL</v>
          </cell>
          <cell r="G200" t="str">
            <v>HERRAJES - BARANDAS</v>
          </cell>
        </row>
        <row r="201">
          <cell r="A201" t="str">
            <v>BIMP-ALI-PL180</v>
          </cell>
          <cell r="B201" t="str">
            <v>ALINEADOR PLEGADO 180°</v>
          </cell>
          <cell r="C201">
            <v>0</v>
          </cell>
          <cell r="D201">
            <v>45190</v>
          </cell>
          <cell r="E201">
            <v>0</v>
          </cell>
          <cell r="F201" t="str">
            <v>NATURAL</v>
          </cell>
          <cell r="G201" t="str">
            <v>HERRAJES - BARANDAS</v>
          </cell>
        </row>
        <row r="202">
          <cell r="A202" t="str">
            <v>BIMP-ALI-PL90</v>
          </cell>
          <cell r="B202" t="str">
            <v>ALINEADOR PLEGADO 90°</v>
          </cell>
          <cell r="C202">
            <v>0</v>
          </cell>
          <cell r="E202">
            <v>0</v>
          </cell>
          <cell r="F202" t="str">
            <v>NATURAL</v>
          </cell>
          <cell r="G202" t="str">
            <v>HERRAJES - BARANDAS</v>
          </cell>
        </row>
        <row r="203">
          <cell r="A203" t="str">
            <v>BIMP-BEX-N50-10MM</v>
          </cell>
          <cell r="B203" t="str">
            <v>BURLETE EXTERIOR N-50 - 10 mm</v>
          </cell>
          <cell r="C203">
            <v>1896</v>
          </cell>
          <cell r="D203">
            <v>46177</v>
          </cell>
          <cell r="E203">
            <v>0.115</v>
          </cell>
          <cell r="F203" t="str">
            <v>NEGRO</v>
          </cell>
          <cell r="G203" t="str">
            <v>HERRAJES - BARANDAS</v>
          </cell>
        </row>
        <row r="204">
          <cell r="A204" t="str">
            <v>BIMP-BEX-N50-12MM</v>
          </cell>
          <cell r="B204" t="str">
            <v>BURLETE EXTERIOR N-50 - 12mm</v>
          </cell>
          <cell r="C204">
            <v>3713</v>
          </cell>
          <cell r="D204">
            <v>46177</v>
          </cell>
          <cell r="E204">
            <v>0.1148</v>
          </cell>
          <cell r="F204" t="str">
            <v>NEGRO</v>
          </cell>
          <cell r="G204" t="str">
            <v>HERRAJES - BARANDAS</v>
          </cell>
        </row>
        <row r="205">
          <cell r="A205" t="str">
            <v>BIMP-BEX-N50-16MM</v>
          </cell>
          <cell r="B205" t="str">
            <v>BURLETE EXTERIOR N-50 - 16 mm</v>
          </cell>
          <cell r="C205">
            <v>1216</v>
          </cell>
          <cell r="D205">
            <v>46032</v>
          </cell>
          <cell r="E205">
            <v>4.9500000000000002E-2</v>
          </cell>
          <cell r="F205" t="str">
            <v>NEGRO</v>
          </cell>
          <cell r="G205" t="str">
            <v>HERRAJES - BARANDAS</v>
          </cell>
        </row>
        <row r="206">
          <cell r="A206" t="str">
            <v>BIMP-BEX-N50R-12MM</v>
          </cell>
          <cell r="B206" t="str">
            <v>BURLETE EXTERIOR N-50R - 12 mm</v>
          </cell>
          <cell r="C206">
            <v>927</v>
          </cell>
          <cell r="D206">
            <v>46100</v>
          </cell>
          <cell r="E206">
            <v>2.3E-2</v>
          </cell>
          <cell r="F206" t="str">
            <v>NEGRO</v>
          </cell>
          <cell r="G206" t="str">
            <v>HERRAJES - BARANDAS</v>
          </cell>
        </row>
        <row r="207">
          <cell r="A207" t="str">
            <v>BIMP-BEX-N50R-16MM</v>
          </cell>
          <cell r="B207" t="str">
            <v>BURLETE EXTERIOR N-50R - 16 mm</v>
          </cell>
          <cell r="C207">
            <v>492</v>
          </cell>
          <cell r="D207">
            <v>45442</v>
          </cell>
          <cell r="E207">
            <v>2.4199999999999999E-2</v>
          </cell>
          <cell r="F207" t="str">
            <v>NEGRO</v>
          </cell>
          <cell r="G207" t="str">
            <v>HERRAJES - BARANDAS</v>
          </cell>
        </row>
        <row r="208">
          <cell r="A208" t="str">
            <v>BIMP-BINT-N50</v>
          </cell>
          <cell r="B208" t="str">
            <v>BURLETE INTERIOR N-50</v>
          </cell>
          <cell r="C208">
            <v>4099</v>
          </cell>
          <cell r="D208">
            <v>46177</v>
          </cell>
          <cell r="E208">
            <v>0.1348</v>
          </cell>
          <cell r="F208" t="str">
            <v>NEGRO</v>
          </cell>
          <cell r="G208" t="str">
            <v>HERRAJES - BARANDAS</v>
          </cell>
        </row>
        <row r="209">
          <cell r="A209" t="str">
            <v>BIMP-BINT-N50R</v>
          </cell>
          <cell r="B209" t="str">
            <v>BURLETE INTERIOR / EXTERIOR N-50R - 10 MM</v>
          </cell>
          <cell r="C209">
            <v>454</v>
          </cell>
          <cell r="D209">
            <v>46100</v>
          </cell>
          <cell r="E209">
            <v>2.5600000000000001E-2</v>
          </cell>
          <cell r="F209" t="str">
            <v>NEGRO</v>
          </cell>
          <cell r="G209" t="str">
            <v>HERRAJES - BARANDAS</v>
          </cell>
        </row>
        <row r="210">
          <cell r="A210" t="str">
            <v>BIMP-CITY-BRCY</v>
          </cell>
          <cell r="B210" t="str">
            <v>BURLETE RESPALDO CITY</v>
          </cell>
          <cell r="C210">
            <v>0</v>
          </cell>
          <cell r="E210">
            <v>0</v>
          </cell>
          <cell r="F210" t="str">
            <v>NATURAL</v>
          </cell>
          <cell r="G210" t="str">
            <v>HERRAJES - BARANDAS</v>
          </cell>
        </row>
        <row r="211">
          <cell r="A211" t="str">
            <v>BIMP-CITY-BSIN</v>
          </cell>
          <cell r="B211" t="str">
            <v>BASTIDOR INFERIOR</v>
          </cell>
          <cell r="C211">
            <v>0</v>
          </cell>
          <cell r="E211">
            <v>0</v>
          </cell>
          <cell r="F211" t="str">
            <v>NATURAL</v>
          </cell>
          <cell r="G211" t="str">
            <v>PERFILES - BARANDAS</v>
          </cell>
        </row>
        <row r="212">
          <cell r="A212" t="str">
            <v>BIMP-CITY-KSSL</v>
          </cell>
          <cell r="B212" t="str">
            <v>KIT SUJECION SOBRE LOSA C03</v>
          </cell>
          <cell r="C212">
            <v>0</v>
          </cell>
          <cell r="D212"/>
          <cell r="E212">
            <v>0</v>
          </cell>
          <cell r="F212" t="str">
            <v>NATURAL</v>
          </cell>
          <cell r="G212" t="str">
            <v>HERRAJES - BARANDAS</v>
          </cell>
        </row>
        <row r="213">
          <cell r="A213" t="str">
            <v>BIMP-CITY-PACY</v>
          </cell>
          <cell r="B213" t="str">
            <v>PASAMANOS CITY</v>
          </cell>
          <cell r="C213">
            <v>0</v>
          </cell>
          <cell r="D213"/>
          <cell r="E213">
            <v>0</v>
          </cell>
          <cell r="F213" t="str">
            <v>NATURAL</v>
          </cell>
          <cell r="G213" t="str">
            <v>PERFILES - BARANDAS</v>
          </cell>
        </row>
        <row r="214">
          <cell r="A214" t="str">
            <v>BIMP-CITY-PEST</v>
          </cell>
          <cell r="B214" t="str">
            <v>PARANTE ESTÁNDAR</v>
          </cell>
          <cell r="C214">
            <v>0</v>
          </cell>
          <cell r="E214">
            <v>0</v>
          </cell>
          <cell r="F214" t="str">
            <v>NATURAL</v>
          </cell>
          <cell r="G214" t="str">
            <v>PERFILES - BARANDAS</v>
          </cell>
        </row>
        <row r="215">
          <cell r="A215" t="str">
            <v>BIMP-CITY-TBC3</v>
          </cell>
          <cell r="B215" t="str">
            <v>TAPA BASE C03</v>
          </cell>
          <cell r="C215">
            <v>0</v>
          </cell>
          <cell r="E215">
            <v>0</v>
          </cell>
          <cell r="F215" t="str">
            <v>NATURAL</v>
          </cell>
          <cell r="G215" t="str">
            <v>HERRAJES - BARANDAS</v>
          </cell>
        </row>
        <row r="216">
          <cell r="A216" t="str">
            <v>BIMP-CITY-TPAS</v>
          </cell>
          <cell r="B216" t="str">
            <v>TAPA PASAMANOS</v>
          </cell>
          <cell r="C216">
            <v>0</v>
          </cell>
          <cell r="D216"/>
          <cell r="E216">
            <v>0</v>
          </cell>
          <cell r="F216" t="str">
            <v>NATURAL</v>
          </cell>
          <cell r="G216" t="str">
            <v>PERFILES - BARANDAS</v>
          </cell>
        </row>
        <row r="217">
          <cell r="A217" t="str">
            <v>BIMP-CITY-TPC4</v>
          </cell>
          <cell r="B217" t="str">
            <v>TAPA PASAMANOS C04</v>
          </cell>
          <cell r="C217">
            <v>0</v>
          </cell>
          <cell r="D217"/>
          <cell r="E217">
            <v>0</v>
          </cell>
          <cell r="F217" t="str">
            <v>NATURAL</v>
          </cell>
          <cell r="G217" t="str">
            <v>HERRAJES - BARANDAS</v>
          </cell>
        </row>
        <row r="218">
          <cell r="A218" t="str">
            <v>BIMP-CITY-TPC6</v>
          </cell>
          <cell r="B218" t="str">
            <v>TAPA PORTAVIDRIO C06</v>
          </cell>
          <cell r="C218">
            <v>0</v>
          </cell>
          <cell r="D218"/>
          <cell r="E218">
            <v>0</v>
          </cell>
          <cell r="F218" t="str">
            <v>NATURAL</v>
          </cell>
          <cell r="G218" t="str">
            <v>HERRAJES - BARANDAS</v>
          </cell>
        </row>
        <row r="219">
          <cell r="A219" t="str">
            <v>BIMP-CITY-TSVI</v>
          </cell>
          <cell r="B219" t="str">
            <v>TAPA SOPORTE VIDRIO</v>
          </cell>
          <cell r="C219">
            <v>0</v>
          </cell>
          <cell r="E219">
            <v>0</v>
          </cell>
          <cell r="F219" t="str">
            <v>NATURAL</v>
          </cell>
          <cell r="G219" t="str">
            <v>PERFILES - BARANDAS</v>
          </cell>
        </row>
        <row r="220">
          <cell r="A220" t="str">
            <v>BIMP-ESP-CALZ-SOM</v>
          </cell>
          <cell r="B220" t="str">
            <v>ESPATULA TRABA CALZOS -SOM</v>
          </cell>
          <cell r="C220">
            <v>32</v>
          </cell>
          <cell r="D220">
            <v>46177</v>
          </cell>
          <cell r="E220">
            <v>0.55000000000000004</v>
          </cell>
          <cell r="F220" t="str">
            <v>NEGRO</v>
          </cell>
          <cell r="G220" t="str">
            <v>HERRAJES - BARANDAS</v>
          </cell>
        </row>
        <row r="221">
          <cell r="A221" t="str">
            <v>BIMP-ESQ-K1</v>
          </cell>
          <cell r="B221" t="str">
            <v>ESCUADRA K1</v>
          </cell>
          <cell r="C221">
            <v>0</v>
          </cell>
          <cell r="D221">
            <v>44956</v>
          </cell>
          <cell r="E221">
            <v>0</v>
          </cell>
          <cell r="F221" t="str">
            <v>NATURAL</v>
          </cell>
          <cell r="G221" t="str">
            <v>HERRAJES - BARANDAS</v>
          </cell>
        </row>
        <row r="222">
          <cell r="A222" t="str">
            <v>BIMP-ESQ-K7</v>
          </cell>
          <cell r="B222" t="str">
            <v>ESCUADRA K7</v>
          </cell>
          <cell r="C222">
            <v>0</v>
          </cell>
          <cell r="D222"/>
          <cell r="E222">
            <v>0</v>
          </cell>
          <cell r="F222" t="str">
            <v>NATURAL</v>
          </cell>
          <cell r="G222" t="str">
            <v>HERRAJES - BARANDAS</v>
          </cell>
        </row>
        <row r="223">
          <cell r="A223" t="str">
            <v>BIMP-ESQ-K8</v>
          </cell>
          <cell r="B223" t="str">
            <v>ESCUADRA K8</v>
          </cell>
          <cell r="C223">
            <v>0</v>
          </cell>
          <cell r="D223"/>
          <cell r="E223">
            <v>0</v>
          </cell>
          <cell r="F223" t="str">
            <v>NATURAL</v>
          </cell>
          <cell r="G223" t="str">
            <v>HERRAJES - BARANDAS</v>
          </cell>
        </row>
        <row r="224">
          <cell r="A224" t="str">
            <v>BIMP-ESQ-K9</v>
          </cell>
          <cell r="B224" t="str">
            <v>ESCUADRA K9</v>
          </cell>
          <cell r="C224">
            <v>0</v>
          </cell>
          <cell r="D224">
            <v>44956</v>
          </cell>
          <cell r="E224">
            <v>0</v>
          </cell>
          <cell r="F224" t="str">
            <v>NATURAL</v>
          </cell>
          <cell r="G224" t="str">
            <v>HERRAJES - BARANDAS</v>
          </cell>
        </row>
        <row r="225">
          <cell r="A225" t="str">
            <v>BIMP-FIJ-INT-S40</v>
          </cell>
          <cell r="B225" t="str">
            <v>PERFIL FIJACION INTERIOR CRISTAL 8-10-12mm - S40</v>
          </cell>
          <cell r="C225">
            <v>276</v>
          </cell>
          <cell r="D225">
            <v>46177</v>
          </cell>
          <cell r="E225">
            <v>2.0499999999999998</v>
          </cell>
          <cell r="F225" t="str">
            <v>NATURAL</v>
          </cell>
          <cell r="G225" t="str">
            <v>BARANDAS</v>
          </cell>
        </row>
        <row r="226">
          <cell r="A226" t="str">
            <v>BIMP-FL-N50R-5MT</v>
          </cell>
          <cell r="B226" t="str">
            <v>BANQUINA FRENTE LOSA N-50R - 5MT</v>
          </cell>
          <cell r="C226">
            <v>54</v>
          </cell>
          <cell r="D226">
            <v>46100</v>
          </cell>
          <cell r="E226">
            <v>23.55</v>
          </cell>
          <cell r="F226" t="str">
            <v>NATURAL</v>
          </cell>
          <cell r="G226" t="str">
            <v>BARANDAS</v>
          </cell>
        </row>
        <row r="227">
          <cell r="A227" t="str">
            <v>BIMP-K1-TAP</v>
          </cell>
          <cell r="B227" t="str">
            <v>BURLETE TAPA K1 - 4mt</v>
          </cell>
          <cell r="C227">
            <v>0</v>
          </cell>
          <cell r="D227"/>
          <cell r="E227">
            <v>0</v>
          </cell>
          <cell r="F227" t="str">
            <v>NATURAL</v>
          </cell>
          <cell r="G227" t="str">
            <v>PERFILES - BARANDAS</v>
          </cell>
        </row>
        <row r="228">
          <cell r="A228" t="str">
            <v>BIMP-K1-ZOC</v>
          </cell>
          <cell r="B228" t="str">
            <v>ZOCALO K1 - 4mt</v>
          </cell>
          <cell r="C228">
            <v>0</v>
          </cell>
          <cell r="D228">
            <v>45245</v>
          </cell>
          <cell r="E228">
            <v>0</v>
          </cell>
          <cell r="F228" t="str">
            <v>NATURAL</v>
          </cell>
          <cell r="G228" t="str">
            <v>PERFILES - BARANDAS</v>
          </cell>
        </row>
        <row r="229">
          <cell r="A229" t="str">
            <v>BIMP-K12-PF</v>
          </cell>
          <cell r="B229" t="str">
            <v>PERFIL 11*50</v>
          </cell>
          <cell r="C229">
            <v>0</v>
          </cell>
          <cell r="D229">
            <v>45539</v>
          </cell>
          <cell r="E229">
            <v>0</v>
          </cell>
          <cell r="F229" t="str">
            <v>NATURAL</v>
          </cell>
          <cell r="G229" t="str">
            <v>PERFILES - BARANDAS</v>
          </cell>
        </row>
        <row r="230">
          <cell r="A230" t="str">
            <v>BIMP-K12-POR</v>
          </cell>
          <cell r="B230" t="str">
            <v>PORTA BURLETE</v>
          </cell>
          <cell r="C230">
            <v>0</v>
          </cell>
          <cell r="D230">
            <v>45479</v>
          </cell>
          <cell r="E230">
            <v>0</v>
          </cell>
          <cell r="F230" t="str">
            <v>NATURAL</v>
          </cell>
          <cell r="G230" t="str">
            <v>PERFILES - BARANDAS</v>
          </cell>
        </row>
        <row r="231">
          <cell r="A231" t="str">
            <v>BIMP-K12-TAP</v>
          </cell>
          <cell r="B231" t="str">
            <v>TAPA EMBELLECEDORA</v>
          </cell>
          <cell r="C231">
            <v>0</v>
          </cell>
          <cell r="D231">
            <v>45190</v>
          </cell>
          <cell r="E231">
            <v>0</v>
          </cell>
          <cell r="F231" t="str">
            <v>NATURAL</v>
          </cell>
          <cell r="G231" t="str">
            <v>PERFILES - BARANDAS</v>
          </cell>
        </row>
        <row r="232">
          <cell r="A232" t="str">
            <v>BIMP-K12-ZOC</v>
          </cell>
          <cell r="B232" t="str">
            <v>ZOCALO RECTO</v>
          </cell>
          <cell r="C232">
            <v>0</v>
          </cell>
          <cell r="D232">
            <v>45190</v>
          </cell>
          <cell r="E232">
            <v>0</v>
          </cell>
          <cell r="F232" t="str">
            <v>NATURAL</v>
          </cell>
          <cell r="G232" t="str">
            <v>PERFILES - BARANDAS</v>
          </cell>
        </row>
        <row r="233">
          <cell r="A233" t="str">
            <v>BIMP-K15-TAP</v>
          </cell>
          <cell r="B233" t="str">
            <v>TAPA ZOCALO K15 - 6mt</v>
          </cell>
          <cell r="C233">
            <v>0</v>
          </cell>
          <cell r="D233">
            <v>45245</v>
          </cell>
          <cell r="E233">
            <v>0</v>
          </cell>
          <cell r="F233" t="str">
            <v>NATURAL</v>
          </cell>
          <cell r="G233" t="str">
            <v>PERFILES - BARANDAS</v>
          </cell>
        </row>
        <row r="234">
          <cell r="A234" t="str">
            <v>BIMP-K15-ZOC</v>
          </cell>
          <cell r="B234" t="str">
            <v>ZOCALO  REFORZADO K15 - 3mt</v>
          </cell>
          <cell r="C234">
            <v>0</v>
          </cell>
          <cell r="D234">
            <v>45245</v>
          </cell>
          <cell r="E234">
            <v>0</v>
          </cell>
          <cell r="F234" t="str">
            <v>NATURAL</v>
          </cell>
          <cell r="G234" t="str">
            <v>PERFILES - BARANDAS</v>
          </cell>
        </row>
        <row r="235">
          <cell r="A235" t="str">
            <v>BIMP-K3-PL</v>
          </cell>
          <cell r="B235" t="str">
            <v>PLAFON PARA LED - 3 mt</v>
          </cell>
          <cell r="C235">
            <v>0</v>
          </cell>
          <cell r="D235">
            <v>45298</v>
          </cell>
          <cell r="E235">
            <v>0</v>
          </cell>
          <cell r="F235" t="str">
            <v>NATURAL</v>
          </cell>
          <cell r="G235" t="str">
            <v>PERFILES - BARANDAS</v>
          </cell>
        </row>
        <row r="236">
          <cell r="A236" t="str">
            <v>BIMP-K3-ZOC</v>
          </cell>
          <cell r="B236" t="str">
            <v>PERFIL PORTA LED - 6 mt</v>
          </cell>
          <cell r="C236">
            <v>0</v>
          </cell>
          <cell r="D236">
            <v>45298</v>
          </cell>
          <cell r="E236">
            <v>0</v>
          </cell>
          <cell r="F236" t="str">
            <v>NATURAL</v>
          </cell>
          <cell r="G236" t="str">
            <v>PERFILES - BARANDAS</v>
          </cell>
        </row>
        <row r="237">
          <cell r="A237" t="str">
            <v>BIMP-K6-BUL</v>
          </cell>
          <cell r="B237" t="str">
            <v>BURLETE TAPON EPDM</v>
          </cell>
          <cell r="C237">
            <v>0</v>
          </cell>
          <cell r="D237"/>
          <cell r="E237">
            <v>0</v>
          </cell>
          <cell r="F237" t="str">
            <v>NATURAL</v>
          </cell>
          <cell r="G237" t="str">
            <v>HERRAJES - BARANDAS</v>
          </cell>
        </row>
        <row r="238">
          <cell r="A238" t="str">
            <v>BIMP-K6-TAP</v>
          </cell>
          <cell r="B238" t="str">
            <v>TAPA ZOCALO K6 - 6mt</v>
          </cell>
          <cell r="C238">
            <v>0</v>
          </cell>
          <cell r="D238">
            <v>45298</v>
          </cell>
          <cell r="E238">
            <v>0</v>
          </cell>
          <cell r="F238" t="str">
            <v>NATURAL</v>
          </cell>
          <cell r="G238" t="str">
            <v>PERFILES - BARANDAS</v>
          </cell>
        </row>
        <row r="239">
          <cell r="A239" t="str">
            <v>BIMP-K6-ZOC</v>
          </cell>
          <cell r="B239" t="str">
            <v>ZOCALO CAJA DE AGUA K6 - 6mt</v>
          </cell>
          <cell r="C239">
            <v>0</v>
          </cell>
          <cell r="D239">
            <v>44956</v>
          </cell>
          <cell r="E239">
            <v>0</v>
          </cell>
          <cell r="F239" t="str">
            <v>NATURAL</v>
          </cell>
          <cell r="G239" t="str">
            <v>PERFILES - BARANDAS</v>
          </cell>
        </row>
        <row r="240">
          <cell r="A240" t="str">
            <v>BIMP-PB-EXT-N50R</v>
          </cell>
          <cell r="B240" t="str">
            <v>PERFIL PORTA BURLETE EXTERIOR N-50R</v>
          </cell>
          <cell r="C240">
            <v>37</v>
          </cell>
          <cell r="D240">
            <v>46100</v>
          </cell>
          <cell r="E240">
            <v>0.65</v>
          </cell>
          <cell r="F240" t="str">
            <v>NATURAL</v>
          </cell>
          <cell r="G240" t="str">
            <v>BARANDAS</v>
          </cell>
        </row>
        <row r="241">
          <cell r="A241" t="str">
            <v>BIMP-SL-N50-5MT</v>
          </cell>
          <cell r="B241" t="str">
            <v>BANQUINA SOBRE LOSA N-50 - 5MT</v>
          </cell>
          <cell r="C241">
            <v>619</v>
          </cell>
          <cell r="D241">
            <v>46177</v>
          </cell>
          <cell r="E241">
            <v>22.75</v>
          </cell>
          <cell r="F241" t="str">
            <v>NATURAL</v>
          </cell>
          <cell r="G241" t="str">
            <v>BARANDAS</v>
          </cell>
        </row>
        <row r="242">
          <cell r="A242" t="str">
            <v>BIMP-SL-S40-6MT</v>
          </cell>
          <cell r="B242" t="str">
            <v>BANQUINA SOBRE LOSA S-40 - 6MT</v>
          </cell>
          <cell r="C242">
            <v>279</v>
          </cell>
          <cell r="D242">
            <v>46177</v>
          </cell>
          <cell r="E242">
            <v>16.399999999999999</v>
          </cell>
          <cell r="F242" t="str">
            <v>NATURAL</v>
          </cell>
          <cell r="G242" t="str">
            <v>BARANDAS</v>
          </cell>
        </row>
        <row r="243">
          <cell r="A243" t="str">
            <v>BIMP-TAP-N50</v>
          </cell>
          <cell r="B243" t="str">
            <v>TAPA EMBELLECEDORA N-50</v>
          </cell>
          <cell r="C243">
            <v>159</v>
          </cell>
          <cell r="D243">
            <v>46100</v>
          </cell>
          <cell r="E243">
            <v>3.15E-2</v>
          </cell>
          <cell r="F243" t="str">
            <v>NATURAL</v>
          </cell>
          <cell r="G243" t="str">
            <v>HERRAJES - BARANDAS</v>
          </cell>
        </row>
        <row r="244">
          <cell r="A244" t="str">
            <v>BIMP-TAP-N50R</v>
          </cell>
          <cell r="B244" t="str">
            <v>TAPA EMBELLECEDORA N-50R</v>
          </cell>
          <cell r="C244">
            <v>195</v>
          </cell>
          <cell r="D244">
            <v>46100</v>
          </cell>
          <cell r="E244">
            <v>4.5100000000000001E-2</v>
          </cell>
          <cell r="F244" t="str">
            <v>NATURAL</v>
          </cell>
          <cell r="G244" t="str">
            <v>HERRAJES - BARANDAS</v>
          </cell>
        </row>
        <row r="245">
          <cell r="A245" t="str">
            <v>BIMP-TAP-S40</v>
          </cell>
          <cell r="B245" t="str">
            <v>TAPA EMBELLECEDORA S-40</v>
          </cell>
          <cell r="C245">
            <v>235</v>
          </cell>
          <cell r="D245">
            <v>46100</v>
          </cell>
          <cell r="E245">
            <v>1.6299999999999999E-2</v>
          </cell>
          <cell r="F245" t="str">
            <v>NATURAL</v>
          </cell>
          <cell r="G245" t="str">
            <v>HERRAJES - BARANDAS</v>
          </cell>
        </row>
        <row r="246">
          <cell r="A246" t="str">
            <v>BIMP-TF-N50R</v>
          </cell>
          <cell r="B246" t="str">
            <v>PERFIL TAPA FRONTAL N-50R</v>
          </cell>
          <cell r="C246">
            <v>37</v>
          </cell>
          <cell r="D246">
            <v>46100</v>
          </cell>
          <cell r="E246">
            <v>4.4000000000000004</v>
          </cell>
          <cell r="F246" t="str">
            <v>NATURAL</v>
          </cell>
          <cell r="G246" t="str">
            <v>BARANDAS</v>
          </cell>
        </row>
        <row r="247">
          <cell r="A247" t="str">
            <v>BIMP-TPCU-10</v>
          </cell>
          <cell r="B247" t="str">
            <v>TAPACANTO U 10 MM</v>
          </cell>
          <cell r="C247">
            <v>0</v>
          </cell>
          <cell r="D247">
            <v>45298</v>
          </cell>
          <cell r="E247">
            <v>0</v>
          </cell>
          <cell r="F247" t="str">
            <v>NATURAL</v>
          </cell>
          <cell r="G247" t="str">
            <v>BARANDAS</v>
          </cell>
        </row>
        <row r="248">
          <cell r="A248" t="str">
            <v>BIMP-TPCU-12</v>
          </cell>
          <cell r="B248" t="str">
            <v>TAPACANTO U 12 MM</v>
          </cell>
          <cell r="C248">
            <v>0</v>
          </cell>
          <cell r="D248">
            <v>45298</v>
          </cell>
          <cell r="E248">
            <v>0</v>
          </cell>
          <cell r="F248" t="str">
            <v>NATURAL</v>
          </cell>
          <cell r="G248" t="str">
            <v>BARANDAS</v>
          </cell>
        </row>
        <row r="249">
          <cell r="A249" t="str">
            <v>BIMP-TPCU-20</v>
          </cell>
          <cell r="B249" t="str">
            <v>TAPACANTO U 20 MM</v>
          </cell>
          <cell r="C249">
            <v>0</v>
          </cell>
          <cell r="D249">
            <v>45298</v>
          </cell>
          <cell r="E249">
            <v>0</v>
          </cell>
          <cell r="F249" t="str">
            <v>NATURAL</v>
          </cell>
          <cell r="G249" t="str">
            <v>BARANDAS</v>
          </cell>
        </row>
        <row r="250">
          <cell r="A250" t="str">
            <v>BLT 01</v>
          </cell>
          <cell r="B250" t="str">
            <v>BULTO</v>
          </cell>
          <cell r="C250">
            <v>0</v>
          </cell>
          <cell r="E250">
            <v>0</v>
          </cell>
        </row>
        <row r="251">
          <cell r="A251" t="str">
            <v>BTC26</v>
          </cell>
          <cell r="B251" t="str">
            <v>BATERÍA LECTOR TC26</v>
          </cell>
          <cell r="C251">
            <v>0</v>
          </cell>
          <cell r="E251">
            <v>0</v>
          </cell>
        </row>
        <row r="252">
          <cell r="A252" t="str">
            <v>CB-TC26</v>
          </cell>
          <cell r="B252" t="str">
            <v>CARGADOR DE BATERIAS DEL EQUIPO DE CAPTURA MOVIL TC26</v>
          </cell>
          <cell r="C252">
            <v>0</v>
          </cell>
          <cell r="E252">
            <v>0</v>
          </cell>
        </row>
        <row r="253">
          <cell r="A253" t="str">
            <v>CE-TC26</v>
          </cell>
          <cell r="B253" t="str">
            <v>CARGADOR DE EQUIPO DE CAPTURA MOVIL TC26</v>
          </cell>
          <cell r="C253">
            <v>0</v>
          </cell>
          <cell r="E253">
            <v>0</v>
          </cell>
        </row>
        <row r="254">
          <cell r="A254" t="str">
            <v>CODO-AND-BL</v>
          </cell>
          <cell r="B254" t="str">
            <v>CODO ANDES - BLANCO</v>
          </cell>
          <cell r="C254">
            <v>12</v>
          </cell>
          <cell r="D254">
            <v>46021</v>
          </cell>
          <cell r="E254">
            <v>0</v>
          </cell>
          <cell r="F254" t="str">
            <v>BLANCO</v>
          </cell>
          <cell r="G254" t="str">
            <v>S38 - ANDES</v>
          </cell>
        </row>
        <row r="255">
          <cell r="A255" t="str">
            <v>CODO-AND-GR</v>
          </cell>
          <cell r="B255" t="str">
            <v>CODO ANDES - GRAFITO</v>
          </cell>
          <cell r="C255">
            <v>11</v>
          </cell>
          <cell r="D255">
            <v>46021</v>
          </cell>
          <cell r="E255">
            <v>0</v>
          </cell>
          <cell r="F255" t="str">
            <v>GRAFITO</v>
          </cell>
          <cell r="G255" t="str">
            <v>S38 - ANDES</v>
          </cell>
        </row>
        <row r="256">
          <cell r="A256" t="str">
            <v>CODO-AND-NB</v>
          </cell>
          <cell r="B256" t="str">
            <v>CODO ANDES - NEW BLACK</v>
          </cell>
          <cell r="C256">
            <v>13</v>
          </cell>
          <cell r="D256">
            <v>46021</v>
          </cell>
          <cell r="E256">
            <v>0</v>
          </cell>
          <cell r="F256" t="str">
            <v>NEW BLACK</v>
          </cell>
          <cell r="G256" t="str">
            <v>S38 - ANDES</v>
          </cell>
        </row>
        <row r="257">
          <cell r="A257" t="str">
            <v>CODO-AND-NO</v>
          </cell>
          <cell r="B257" t="str">
            <v>CODO ANDES - NOGAL</v>
          </cell>
          <cell r="C257">
            <v>10</v>
          </cell>
          <cell r="D257">
            <v>45964</v>
          </cell>
          <cell r="E257">
            <v>0</v>
          </cell>
          <cell r="F257" t="str">
            <v>NOGAL</v>
          </cell>
          <cell r="G257" t="str">
            <v>S38 - ANDES</v>
          </cell>
        </row>
        <row r="258">
          <cell r="A258" t="str">
            <v>CODO-AND-RD</v>
          </cell>
          <cell r="B258" t="str">
            <v>CODO ANDES - ROBLE</v>
          </cell>
          <cell r="C258">
            <v>15</v>
          </cell>
          <cell r="D258">
            <v>46021</v>
          </cell>
          <cell r="E258">
            <v>0</v>
          </cell>
          <cell r="F258" t="str">
            <v>ROBLE</v>
          </cell>
          <cell r="G258" t="str">
            <v>S38 - ANDES</v>
          </cell>
        </row>
        <row r="259">
          <cell r="A259" t="str">
            <v>CODO-MQT-BL</v>
          </cell>
          <cell r="B259" t="str">
            <v>CODO MOSQUITERO - BLANCO</v>
          </cell>
          <cell r="C259">
            <v>0</v>
          </cell>
          <cell r="D259"/>
          <cell r="E259">
            <v>0</v>
          </cell>
          <cell r="F259" t="str">
            <v>BLANCO</v>
          </cell>
          <cell r="G259" t="str">
            <v>MOSQUITERO</v>
          </cell>
        </row>
        <row r="260">
          <cell r="A260" t="str">
            <v>CODO-MQT-GR</v>
          </cell>
          <cell r="B260" t="str">
            <v>CODO MOSQUITERO - GRAFITO</v>
          </cell>
          <cell r="C260">
            <v>0</v>
          </cell>
          <cell r="D260"/>
          <cell r="E260">
            <v>0</v>
          </cell>
          <cell r="F260" t="str">
            <v>GRAFITO</v>
          </cell>
          <cell r="G260" t="str">
            <v>MOSQUITERO</v>
          </cell>
        </row>
        <row r="261">
          <cell r="A261" t="str">
            <v>CODO-MQT-NB</v>
          </cell>
          <cell r="B261" t="str">
            <v>CODO MOSQUITERO - NEW BLACK</v>
          </cell>
          <cell r="C261">
            <v>0</v>
          </cell>
          <cell r="D261"/>
          <cell r="E261">
            <v>0</v>
          </cell>
          <cell r="F261" t="str">
            <v>NEW BLACK</v>
          </cell>
          <cell r="G261" t="str">
            <v>MOSQUITERO</v>
          </cell>
        </row>
        <row r="262">
          <cell r="A262" t="str">
            <v>CODO-MQT-NO</v>
          </cell>
          <cell r="B262" t="str">
            <v>CODO MOSQUITERO - NOGAL</v>
          </cell>
          <cell r="C262">
            <v>0</v>
          </cell>
          <cell r="D262"/>
          <cell r="E262">
            <v>0</v>
          </cell>
          <cell r="F262" t="str">
            <v>NOGAL</v>
          </cell>
          <cell r="G262" t="str">
            <v>MOSQUITERO</v>
          </cell>
        </row>
        <row r="263">
          <cell r="A263" t="str">
            <v>CODO-MQT-RD</v>
          </cell>
          <cell r="B263" t="str">
            <v>CODO MOSQUITERO  ROBLE</v>
          </cell>
          <cell r="C263">
            <v>0</v>
          </cell>
          <cell r="D263"/>
          <cell r="E263">
            <v>0</v>
          </cell>
          <cell r="F263" t="str">
            <v>ROBLE</v>
          </cell>
          <cell r="G263" t="str">
            <v>MOSQUITERO</v>
          </cell>
        </row>
        <row r="264">
          <cell r="A264" t="str">
            <v>CODO-S60-BL</v>
          </cell>
          <cell r="B264" t="str">
            <v>CODO S60 - BLANCO</v>
          </cell>
          <cell r="C264">
            <v>5</v>
          </cell>
          <cell r="D264">
            <v>45875</v>
          </cell>
          <cell r="E264">
            <v>0</v>
          </cell>
          <cell r="F264" t="str">
            <v>BLANCO</v>
          </cell>
          <cell r="G264" t="str">
            <v>S60</v>
          </cell>
        </row>
        <row r="265">
          <cell r="A265" t="str">
            <v>CODO-S60-GR</v>
          </cell>
          <cell r="B265" t="str">
            <v>CODO S60 - GRAFITO</v>
          </cell>
          <cell r="C265">
            <v>16</v>
          </cell>
          <cell r="D265">
            <v>45875</v>
          </cell>
          <cell r="E265">
            <v>0</v>
          </cell>
          <cell r="F265" t="str">
            <v>GRAFITO</v>
          </cell>
          <cell r="G265" t="str">
            <v>S60</v>
          </cell>
        </row>
        <row r="266">
          <cell r="A266" t="str">
            <v>CODO-S60-NB</v>
          </cell>
          <cell r="B266" t="str">
            <v>CODO S60 - NEW BLACK</v>
          </cell>
          <cell r="C266">
            <v>8</v>
          </cell>
          <cell r="D266">
            <v>45875</v>
          </cell>
          <cell r="E266">
            <v>0</v>
          </cell>
          <cell r="F266" t="str">
            <v>NEW BLACK</v>
          </cell>
          <cell r="G266" t="str">
            <v>S60</v>
          </cell>
        </row>
        <row r="267">
          <cell r="A267" t="str">
            <v>CODO-S60-NO</v>
          </cell>
          <cell r="B267" t="str">
            <v>CODO S60 - NOGAL</v>
          </cell>
          <cell r="C267">
            <v>17</v>
          </cell>
          <cell r="D267">
            <v>45875</v>
          </cell>
          <cell r="E267">
            <v>0</v>
          </cell>
          <cell r="F267" t="str">
            <v>NOGAL</v>
          </cell>
          <cell r="G267" t="str">
            <v>S60</v>
          </cell>
        </row>
        <row r="268">
          <cell r="A268" t="str">
            <v>CODO-S60-RD</v>
          </cell>
          <cell r="B268" t="str">
            <v>CODO S60 - ROBLE</v>
          </cell>
          <cell r="C268">
            <v>16</v>
          </cell>
          <cell r="D268">
            <v>45875</v>
          </cell>
          <cell r="E268">
            <v>0</v>
          </cell>
          <cell r="F268" t="str">
            <v>ROBLE</v>
          </cell>
          <cell r="G268" t="str">
            <v>S60</v>
          </cell>
        </row>
        <row r="269">
          <cell r="A269" t="str">
            <v>CODO-SLD-BL</v>
          </cell>
          <cell r="B269" t="str">
            <v>CODO SLIDING - BLANCO</v>
          </cell>
          <cell r="C269">
            <v>15</v>
          </cell>
          <cell r="D269">
            <v>46085</v>
          </cell>
          <cell r="E269">
            <v>0</v>
          </cell>
          <cell r="F269" t="str">
            <v>BLANCO</v>
          </cell>
          <cell r="G269" t="str">
            <v>SLIDING</v>
          </cell>
        </row>
        <row r="270">
          <cell r="A270" t="str">
            <v>CODO-SLD-GR</v>
          </cell>
          <cell r="B270" t="str">
            <v>CODO SLIDING - GRAFITO</v>
          </cell>
          <cell r="C270">
            <v>36</v>
          </cell>
          <cell r="D270">
            <v>46085</v>
          </cell>
          <cell r="E270">
            <v>0</v>
          </cell>
          <cell r="F270" t="str">
            <v>GRAFITO</v>
          </cell>
          <cell r="G270" t="str">
            <v>SLIDING</v>
          </cell>
        </row>
        <row r="271">
          <cell r="A271" t="str">
            <v>CODO-SLD-NB</v>
          </cell>
          <cell r="B271" t="str">
            <v>CODO SLIDING - NEW BLACK</v>
          </cell>
          <cell r="C271">
            <v>17</v>
          </cell>
          <cell r="D271">
            <v>46085</v>
          </cell>
          <cell r="E271">
            <v>0</v>
          </cell>
          <cell r="F271" t="str">
            <v>NEW BLACK</v>
          </cell>
          <cell r="G271" t="str">
            <v>SLIDING</v>
          </cell>
        </row>
        <row r="272">
          <cell r="A272" t="str">
            <v>CODO-SLD-NO</v>
          </cell>
          <cell r="B272" t="str">
            <v>CODO SLIDING - NOGAL</v>
          </cell>
          <cell r="C272">
            <v>21</v>
          </cell>
          <cell r="D272">
            <v>46085</v>
          </cell>
          <cell r="E272">
            <v>0</v>
          </cell>
          <cell r="F272" t="str">
            <v>NOGAL</v>
          </cell>
          <cell r="G272" t="str">
            <v>SLIDING</v>
          </cell>
        </row>
        <row r="273">
          <cell r="A273" t="str">
            <v>CODO-SLD-RD</v>
          </cell>
          <cell r="B273" t="str">
            <v>CODO SLIDING  ROBLE</v>
          </cell>
          <cell r="C273">
            <v>32</v>
          </cell>
          <cell r="D273">
            <v>46085</v>
          </cell>
          <cell r="E273">
            <v>0</v>
          </cell>
          <cell r="F273" t="str">
            <v>ROBLE</v>
          </cell>
          <cell r="G273" t="str">
            <v>SLIDING</v>
          </cell>
        </row>
        <row r="274">
          <cell r="A274" t="str">
            <v>CODO-ZNA-BL</v>
          </cell>
          <cell r="B274" t="str">
            <v>CODO ZENIA - BLANCO</v>
          </cell>
          <cell r="C274">
            <v>0</v>
          </cell>
          <cell r="D274"/>
          <cell r="E274">
            <v>0</v>
          </cell>
          <cell r="F274" t="str">
            <v>BLANCO</v>
          </cell>
          <cell r="G274" t="str">
            <v>SLIDING - ZENIA</v>
          </cell>
        </row>
        <row r="275">
          <cell r="A275" t="str">
            <v>CODO-ZNA-GR</v>
          </cell>
          <cell r="B275" t="str">
            <v>CODO ZENIA - GRAFITO</v>
          </cell>
          <cell r="C275">
            <v>0</v>
          </cell>
          <cell r="D275">
            <v>45661</v>
          </cell>
          <cell r="E275">
            <v>0</v>
          </cell>
          <cell r="F275" t="str">
            <v>GRAFITO</v>
          </cell>
          <cell r="G275" t="str">
            <v>SLIDING - ZENIA</v>
          </cell>
        </row>
        <row r="276">
          <cell r="A276" t="str">
            <v>CODO-ZNA-NB</v>
          </cell>
          <cell r="B276" t="str">
            <v>CODO ZENIA - NEW BLACK</v>
          </cell>
          <cell r="C276">
            <v>0</v>
          </cell>
          <cell r="D276">
            <v>45622</v>
          </cell>
          <cell r="E276">
            <v>0</v>
          </cell>
          <cell r="F276" t="str">
            <v>NEW BLACK</v>
          </cell>
          <cell r="G276" t="str">
            <v>SLIDING - ZENIA</v>
          </cell>
        </row>
        <row r="277">
          <cell r="A277" t="str">
            <v>CODO-ZNA-NO</v>
          </cell>
          <cell r="B277" t="str">
            <v>CODO ZENIA - NOGAL</v>
          </cell>
          <cell r="C277">
            <v>0</v>
          </cell>
          <cell r="D277">
            <v>45622</v>
          </cell>
          <cell r="E277">
            <v>0</v>
          </cell>
          <cell r="F277" t="str">
            <v>NOGAL</v>
          </cell>
          <cell r="G277" t="str">
            <v>SLIDING - ZENIA</v>
          </cell>
        </row>
        <row r="278">
          <cell r="A278" t="str">
            <v>CODO-ZNA-RD</v>
          </cell>
          <cell r="B278" t="str">
            <v>CODO ZENIA - ROBLE</v>
          </cell>
          <cell r="C278">
            <v>0</v>
          </cell>
          <cell r="D278">
            <v>45623</v>
          </cell>
          <cell r="E278">
            <v>0</v>
          </cell>
          <cell r="F278" t="str">
            <v>ROBLE</v>
          </cell>
          <cell r="G278" t="str">
            <v>SLIDING - ZENIA</v>
          </cell>
        </row>
        <row r="279">
          <cell r="A279" t="str">
            <v>DIS-CORTE-100</v>
          </cell>
          <cell r="B279" t="str">
            <v>DISCO DE CORTE PARA JUNQUILLO - 100</v>
          </cell>
          <cell r="C279">
            <v>0</v>
          </cell>
          <cell r="D279">
            <v>45442</v>
          </cell>
          <cell r="E279">
            <v>0</v>
          </cell>
          <cell r="F279" t="str">
            <v>NATURAL</v>
          </cell>
          <cell r="G279" t="str">
            <v>BARANDAS</v>
          </cell>
        </row>
        <row r="280">
          <cell r="A280" t="str">
            <v>DIS-CORTE-200</v>
          </cell>
          <cell r="B280" t="str">
            <v>DISCO DE CORTE PARA JUNQUILLO - 200</v>
          </cell>
          <cell r="C280">
            <v>0</v>
          </cell>
          <cell r="D280">
            <v>45442</v>
          </cell>
          <cell r="E280">
            <v>0</v>
          </cell>
          <cell r="F280" t="str">
            <v>NATURAL</v>
          </cell>
          <cell r="G280" t="str">
            <v>BARANDAS</v>
          </cell>
        </row>
        <row r="281">
          <cell r="A281" t="str">
            <v>DIS-Z120</v>
          </cell>
          <cell r="B281" t="str">
            <v>DISCO SIERRA Z120</v>
          </cell>
          <cell r="C281">
            <v>0</v>
          </cell>
          <cell r="D281">
            <v>45442</v>
          </cell>
          <cell r="E281">
            <v>0</v>
          </cell>
          <cell r="F281" t="str">
            <v>NATURAL</v>
          </cell>
          <cell r="G281" t="str">
            <v>BARANDAS</v>
          </cell>
        </row>
        <row r="282">
          <cell r="A282" t="str">
            <v>ESC-MESA</v>
          </cell>
          <cell r="B282" t="str">
            <v>ESCOBILLA PARA MESA DE TRABAJO</v>
          </cell>
          <cell r="C282">
            <v>0</v>
          </cell>
          <cell r="D282">
            <v>45442</v>
          </cell>
          <cell r="E282">
            <v>0</v>
          </cell>
          <cell r="F282" t="str">
            <v>NEGRO</v>
          </cell>
          <cell r="G282" t="str">
            <v>BARANDAS</v>
          </cell>
        </row>
        <row r="283">
          <cell r="A283" t="str">
            <v>ESC-MESA1</v>
          </cell>
          <cell r="B283" t="str">
            <v>ESCOBILLA PARA MESA DE TRABAJO</v>
          </cell>
          <cell r="C283">
            <v>0</v>
          </cell>
          <cell r="D283">
            <v>45954</v>
          </cell>
          <cell r="E283">
            <v>0</v>
          </cell>
          <cell r="F283" t="str">
            <v>NATURAL</v>
          </cell>
          <cell r="G283" t="str">
            <v>HERRAMIENTAS</v>
          </cell>
        </row>
        <row r="284">
          <cell r="A284" t="str">
            <v>FPCE-TC26</v>
          </cell>
          <cell r="B284" t="str">
            <v>FUENTE PODER CARGADOR EQUIPOS TC26</v>
          </cell>
          <cell r="C284">
            <v>0</v>
          </cell>
          <cell r="D284"/>
          <cell r="E284">
            <v>0</v>
          </cell>
        </row>
        <row r="285">
          <cell r="A285" t="str">
            <v>FR-DIF-SIZES</v>
          </cell>
          <cell r="B285" t="str">
            <v>FREZADORAS</v>
          </cell>
          <cell r="C285">
            <v>0</v>
          </cell>
          <cell r="D285">
            <v>45442</v>
          </cell>
          <cell r="E285">
            <v>0</v>
          </cell>
          <cell r="F285" t="str">
            <v>NATURAL</v>
          </cell>
          <cell r="G285" t="str">
            <v>BARANDAS</v>
          </cell>
        </row>
        <row r="286">
          <cell r="A286" t="str">
            <v>HI-ACA-CPH-MDM-BL</v>
          </cell>
          <cell r="B286" t="str">
            <v>CONECTOR POSTE HORIZONTAL M.M. ANDES - BLANCO</v>
          </cell>
          <cell r="C286">
            <v>11654</v>
          </cell>
          <cell r="D286">
            <v>46032</v>
          </cell>
          <cell r="E286">
            <v>0.01</v>
          </cell>
          <cell r="F286" t="str">
            <v>BLANCO</v>
          </cell>
          <cell r="G286" t="str">
            <v>ACCESORIOS</v>
          </cell>
        </row>
        <row r="287">
          <cell r="A287" t="str">
            <v>HI-ACA-CPH-MDM-MR</v>
          </cell>
          <cell r="B287" t="str">
            <v>CONECTOR POSTE HORIZONTAL M.M. ANDES - MARRON</v>
          </cell>
          <cell r="C287">
            <v>19094</v>
          </cell>
          <cell r="D287">
            <v>46060</v>
          </cell>
          <cell r="E287">
            <v>0.01</v>
          </cell>
          <cell r="F287" t="str">
            <v>MARRON</v>
          </cell>
          <cell r="G287" t="str">
            <v>ACCESORIOS</v>
          </cell>
        </row>
        <row r="288">
          <cell r="A288" t="str">
            <v>HI-ACA-CPH-MDM-NE</v>
          </cell>
          <cell r="B288" t="str">
            <v>CONECTOR POSTE HORIZONTAL M.M. ANDES - NEGRO</v>
          </cell>
          <cell r="C288">
            <v>2877</v>
          </cell>
          <cell r="D288">
            <v>46060</v>
          </cell>
          <cell r="E288">
            <v>0.01</v>
          </cell>
          <cell r="F288" t="str">
            <v>NEGRO</v>
          </cell>
          <cell r="G288" t="str">
            <v>ACCESORIOS</v>
          </cell>
        </row>
        <row r="289">
          <cell r="A289" t="str">
            <v>HI-ACA-CPT-S38</v>
          </cell>
          <cell r="B289" t="str">
            <v>CONECTOR POSTE T ANDES S38</v>
          </cell>
          <cell r="C289">
            <v>1463</v>
          </cell>
          <cell r="D289">
            <v>46101</v>
          </cell>
          <cell r="E289">
            <v>0.03</v>
          </cell>
          <cell r="F289" t="str">
            <v>NATURAL</v>
          </cell>
          <cell r="G289" t="str">
            <v>ACCESORIOS</v>
          </cell>
        </row>
        <row r="290">
          <cell r="A290" t="str">
            <v>HI-ACA-CPV-HCA-BL</v>
          </cell>
          <cell r="B290" t="str">
            <v>CONECTOR POSTE VERTICAL ANDES 66 - BLANCO</v>
          </cell>
          <cell r="C290">
            <v>46000</v>
          </cell>
          <cell r="D290">
            <v>46139</v>
          </cell>
          <cell r="E290">
            <v>0.01</v>
          </cell>
          <cell r="F290" t="str">
            <v>BLANCO</v>
          </cell>
          <cell r="G290" t="str">
            <v>ACCESORIOS</v>
          </cell>
        </row>
        <row r="291">
          <cell r="A291" t="str">
            <v>HI-ACA-CPV-HCA-MR</v>
          </cell>
          <cell r="B291" t="str">
            <v>CONECTOR POSTE VERTICAL ANDES 66 - MARRON</v>
          </cell>
          <cell r="C291">
            <v>2697</v>
          </cell>
          <cell r="D291">
            <v>46060</v>
          </cell>
          <cell r="E291">
            <v>0.01</v>
          </cell>
          <cell r="F291" t="str">
            <v>MARRON</v>
          </cell>
          <cell r="G291" t="str">
            <v>ACCESORIOS</v>
          </cell>
        </row>
        <row r="292">
          <cell r="A292" t="str">
            <v>HI-ACA-CPV-HCA-NE</v>
          </cell>
          <cell r="B292" t="str">
            <v>CONECTOR POSTE VERTICAL ANDES 66 - NEGRO</v>
          </cell>
          <cell r="C292">
            <v>1874</v>
          </cell>
          <cell r="D292">
            <v>46032</v>
          </cell>
          <cell r="E292">
            <v>0.01</v>
          </cell>
          <cell r="F292" t="str">
            <v>NEGRO</v>
          </cell>
          <cell r="G292" t="str">
            <v>ACCESORIOS</v>
          </cell>
        </row>
        <row r="293">
          <cell r="A293" t="str">
            <v>HI-ACA-TE-MDR-BL</v>
          </cell>
          <cell r="B293" t="str">
            <v>TOPE ESTANCO MARCO DOBLE RIEL ANDES - BLANCO</v>
          </cell>
          <cell r="C293">
            <v>21500</v>
          </cell>
          <cell r="D293">
            <v>46170</v>
          </cell>
          <cell r="E293">
            <v>0.01</v>
          </cell>
          <cell r="F293" t="str">
            <v>BLANCO</v>
          </cell>
          <cell r="G293" t="str">
            <v>ACCESORIOS</v>
          </cell>
        </row>
        <row r="294">
          <cell r="A294" t="str">
            <v>HI-ACA-TE-MDR-MR</v>
          </cell>
          <cell r="B294" t="str">
            <v>TOPE ESTANCO MARCO DOBLE RIEL ANDES - MARRON</v>
          </cell>
          <cell r="C294">
            <v>7338</v>
          </cell>
          <cell r="D294">
            <v>46157</v>
          </cell>
          <cell r="E294">
            <v>0.01</v>
          </cell>
          <cell r="F294" t="str">
            <v>MARRON</v>
          </cell>
          <cell r="G294" t="str">
            <v>ACCESORIOS</v>
          </cell>
        </row>
        <row r="295">
          <cell r="A295" t="str">
            <v>HI-ACA-TE-MDR-NE</v>
          </cell>
          <cell r="B295" t="str">
            <v>TOPE ESTANCO MARCO DOBLE RIEL ANDES - NEGRO</v>
          </cell>
          <cell r="C295">
            <v>7332</v>
          </cell>
          <cell r="D295">
            <v>46191</v>
          </cell>
          <cell r="E295">
            <v>0.01</v>
          </cell>
          <cell r="F295" t="str">
            <v>NEGRO</v>
          </cell>
          <cell r="G295" t="str">
            <v>ACCESORIOS</v>
          </cell>
        </row>
        <row r="296">
          <cell r="A296" t="str">
            <v>HI-ACA-TE-MMR-BL</v>
          </cell>
          <cell r="B296" t="str">
            <v>TOPE ESTANCO MARCO MONORRIEL ANDES - BLANCO</v>
          </cell>
          <cell r="C296">
            <v>15584</v>
          </cell>
          <cell r="D296">
            <v>46170</v>
          </cell>
          <cell r="E296">
            <v>0.01</v>
          </cell>
          <cell r="F296" t="str">
            <v>BLANCO</v>
          </cell>
          <cell r="G296" t="str">
            <v>ACCESORIOS</v>
          </cell>
        </row>
        <row r="297">
          <cell r="A297" t="str">
            <v>HI-ACA-TE-MMR-MR</v>
          </cell>
          <cell r="B297" t="str">
            <v>TOPE ESTANCO MARCO MONORRIEL ANDES - MARRON</v>
          </cell>
          <cell r="C297">
            <v>8263</v>
          </cell>
          <cell r="D297">
            <v>46060</v>
          </cell>
          <cell r="E297">
            <v>0.01</v>
          </cell>
          <cell r="F297" t="str">
            <v>MARRON</v>
          </cell>
          <cell r="G297" t="str">
            <v>ACCESORIOS</v>
          </cell>
        </row>
        <row r="298">
          <cell r="A298" t="str">
            <v>HI-ACA-TE-MMR-NE</v>
          </cell>
          <cell r="B298" t="str">
            <v>TOPE ESTANCO MARCO MONORRIEL ANDES - NEGRO</v>
          </cell>
          <cell r="C298">
            <v>2992</v>
          </cell>
          <cell r="D298">
            <v>46157</v>
          </cell>
          <cell r="E298">
            <v>0.01</v>
          </cell>
          <cell r="F298" t="str">
            <v>NEGRO</v>
          </cell>
          <cell r="G298" t="str">
            <v>ACCESORIOS</v>
          </cell>
        </row>
        <row r="299">
          <cell r="A299" t="str">
            <v>HI-ACC-BLW-GR</v>
          </cell>
          <cell r="B299" t="str">
            <v>BURLETE REPOSICION LINEAS WINHOUSE - GRIS</v>
          </cell>
          <cell r="C299">
            <v>297</v>
          </cell>
          <cell r="D299">
            <v>45661</v>
          </cell>
          <cell r="E299">
            <v>0</v>
          </cell>
          <cell r="F299" t="str">
            <v>GRIS</v>
          </cell>
          <cell r="G299" t="str">
            <v>ACCESORIOS</v>
          </cell>
        </row>
        <row r="300">
          <cell r="A300" t="str">
            <v>HI-ACC-BLW-NE</v>
          </cell>
          <cell r="B300" t="str">
            <v>BURLETE REPOSICION LINEAS WINHOUSE - NEGRO</v>
          </cell>
          <cell r="C300">
            <v>273</v>
          </cell>
          <cell r="D300">
            <v>45440</v>
          </cell>
          <cell r="E300">
            <v>0</v>
          </cell>
          <cell r="F300" t="str">
            <v>NEGRO</v>
          </cell>
          <cell r="G300" t="str">
            <v>ACCESORIOS</v>
          </cell>
        </row>
        <row r="301">
          <cell r="A301" t="str">
            <v>HI-ACC-CDV-SLD</v>
          </cell>
          <cell r="B301" t="str">
            <v>CONECTOR DIVISOR VERTICAL S75 MONORRIEL</v>
          </cell>
          <cell r="C301">
            <v>600</v>
          </cell>
          <cell r="D301">
            <v>45280</v>
          </cell>
          <cell r="E301">
            <v>5.7000000000000002E-2</v>
          </cell>
          <cell r="F301" t="str">
            <v>BLANCO</v>
          </cell>
          <cell r="G301" t="str">
            <v>ACCESORIOS</v>
          </cell>
        </row>
        <row r="302">
          <cell r="A302" t="str">
            <v>HI-ACC-CFOL-38</v>
          </cell>
          <cell r="B302" t="str">
            <v>CUBRE FOLIO LINEAS WINHOUSE 38mm</v>
          </cell>
          <cell r="C302">
            <v>0</v>
          </cell>
          <cell r="D302">
            <v>45399</v>
          </cell>
          <cell r="E302">
            <v>0</v>
          </cell>
          <cell r="G302" t="str">
            <v>ACCESORIOS</v>
          </cell>
        </row>
        <row r="303">
          <cell r="A303" t="str">
            <v>HI-ACC-CFOL-58</v>
          </cell>
          <cell r="B303" t="str">
            <v>CUBRE FOLIO LINEAS WINHOUSE 58mm</v>
          </cell>
          <cell r="C303">
            <v>0</v>
          </cell>
          <cell r="D303">
            <v>45848</v>
          </cell>
          <cell r="E303">
            <v>0</v>
          </cell>
          <cell r="G303" t="str">
            <v>ACCESORIOS</v>
          </cell>
        </row>
        <row r="304">
          <cell r="A304" t="str">
            <v>HI-ACC-CPT-S60</v>
          </cell>
          <cell r="B304" t="str">
            <v>CONECTOR POSTE O UNION MECANICA S60</v>
          </cell>
          <cell r="C304">
            <v>18146</v>
          </cell>
          <cell r="D304">
            <v>46104</v>
          </cell>
          <cell r="E304">
            <v>0.05</v>
          </cell>
          <cell r="F304" t="str">
            <v>NATURAL</v>
          </cell>
          <cell r="G304" t="str">
            <v>ACCESORIOS</v>
          </cell>
        </row>
        <row r="305">
          <cell r="A305" t="str">
            <v>HI-ACC-CTH-BL</v>
          </cell>
          <cell r="B305" t="str">
            <v>CENTRADOR DE HOJA - BLANCO</v>
          </cell>
          <cell r="C305">
            <v>3577</v>
          </cell>
          <cell r="D305">
            <v>46167</v>
          </cell>
          <cell r="E305">
            <v>3.3E-3</v>
          </cell>
          <cell r="F305" t="str">
            <v>BLANCO</v>
          </cell>
          <cell r="G305" t="str">
            <v>ACCESORIOS</v>
          </cell>
        </row>
        <row r="306">
          <cell r="A306" t="str">
            <v>HI-ACC-CTH-MR</v>
          </cell>
          <cell r="B306" t="str">
            <v>CENTRADOR DE HOJA - MARRON</v>
          </cell>
          <cell r="C306">
            <v>11208</v>
          </cell>
          <cell r="D306">
            <v>46060</v>
          </cell>
          <cell r="E306">
            <v>3.3E-3</v>
          </cell>
          <cell r="F306" t="str">
            <v>MARRON</v>
          </cell>
          <cell r="G306" t="str">
            <v>ACCESORIOS</v>
          </cell>
        </row>
        <row r="307">
          <cell r="A307" t="str">
            <v>HI-ACC-CTH-NE</v>
          </cell>
          <cell r="B307" t="str">
            <v>CENTRADOR DE HOJA - NEGRO</v>
          </cell>
          <cell r="C307">
            <v>8931</v>
          </cell>
          <cell r="D307">
            <v>46060</v>
          </cell>
          <cell r="E307">
            <v>3.3E-3</v>
          </cell>
          <cell r="F307" t="str">
            <v>NEGRO</v>
          </cell>
          <cell r="G307" t="str">
            <v>ACCESORIOS</v>
          </cell>
        </row>
        <row r="308">
          <cell r="A308" t="str">
            <v>HI-ACC-CZA-BL</v>
          </cell>
          <cell r="B308" t="str">
            <v>CONECTOR ZAPATA ALUMINIO - BLANCO</v>
          </cell>
          <cell r="C308">
            <v>20052</v>
          </cell>
          <cell r="D308">
            <v>46032</v>
          </cell>
          <cell r="E308">
            <v>0.04</v>
          </cell>
          <cell r="F308" t="str">
            <v>BLANCO</v>
          </cell>
          <cell r="G308" t="str">
            <v>ACCESORIOS</v>
          </cell>
        </row>
        <row r="309">
          <cell r="A309" t="str">
            <v>HI-ACC-CZA-GR</v>
          </cell>
          <cell r="B309" t="str">
            <v>CONECTOR ZAPATA ALUMINIO - GRIS</v>
          </cell>
          <cell r="C309">
            <v>2293</v>
          </cell>
          <cell r="D309">
            <v>46060</v>
          </cell>
          <cell r="E309">
            <v>0.04</v>
          </cell>
          <cell r="F309" t="str">
            <v>GRAFITO</v>
          </cell>
          <cell r="G309" t="str">
            <v>ACCESORIOS</v>
          </cell>
        </row>
        <row r="310">
          <cell r="A310" t="str">
            <v>HI-ACC-CZA-MR</v>
          </cell>
          <cell r="B310" t="str">
            <v>CONECTOR ZAPATA ALUMINIO - MARRON</v>
          </cell>
          <cell r="C310">
            <v>4786</v>
          </cell>
          <cell r="D310">
            <v>46032</v>
          </cell>
          <cell r="E310">
            <v>0.04</v>
          </cell>
          <cell r="F310" t="str">
            <v>MARRON</v>
          </cell>
          <cell r="G310" t="str">
            <v>ACCESORIOS</v>
          </cell>
        </row>
        <row r="311">
          <cell r="A311" t="str">
            <v>HI-ACC-CZA-NE</v>
          </cell>
          <cell r="B311" t="str">
            <v>CONECTOR ZAPATA ALUMINIO - NEGRO</v>
          </cell>
          <cell r="C311">
            <v>1276</v>
          </cell>
          <cell r="D311">
            <v>45661</v>
          </cell>
          <cell r="E311">
            <v>0.04</v>
          </cell>
          <cell r="F311" t="str">
            <v>NEGRO</v>
          </cell>
          <cell r="G311" t="str">
            <v>ACCESORIOS</v>
          </cell>
        </row>
        <row r="312">
          <cell r="A312" t="str">
            <v>HI-ACC-FNX-CME-NAT</v>
          </cell>
          <cell r="B312" t="str">
            <v>CERRADERO MANILLA ECONOMICA ANDES</v>
          </cell>
          <cell r="C312">
            <v>5800</v>
          </cell>
          <cell r="D312">
            <v>46167</v>
          </cell>
          <cell r="E312">
            <v>0</v>
          </cell>
          <cell r="F312" t="str">
            <v>NATURAL</v>
          </cell>
          <cell r="G312" t="str">
            <v>ACCESORIOS</v>
          </cell>
        </row>
        <row r="313">
          <cell r="A313" t="str">
            <v>HI-ACC-FNX-RMP-BL</v>
          </cell>
          <cell r="B313" t="str">
            <v>RESBALON MANILLA PARCHE BLANCO</v>
          </cell>
          <cell r="C313">
            <v>7970</v>
          </cell>
          <cell r="D313">
            <v>46167</v>
          </cell>
          <cell r="E313">
            <v>0</v>
          </cell>
          <cell r="F313" t="str">
            <v>BLANCO</v>
          </cell>
          <cell r="G313" t="str">
            <v>ACCESORIOS</v>
          </cell>
        </row>
        <row r="314">
          <cell r="A314" t="str">
            <v>HI-ACC-LPR-GR</v>
          </cell>
          <cell r="B314" t="str">
            <v>LAPIZ DE RETOQUE - ANTRACITA</v>
          </cell>
          <cell r="C314">
            <v>11</v>
          </cell>
          <cell r="D314">
            <v>46060</v>
          </cell>
          <cell r="E314">
            <v>0.03</v>
          </cell>
          <cell r="F314" t="str">
            <v>GRAFITO</v>
          </cell>
          <cell r="G314" t="str">
            <v>ACCESORIOS</v>
          </cell>
        </row>
        <row r="315">
          <cell r="A315" t="str">
            <v>HI-ACC-LPR-GR-SLK</v>
          </cell>
          <cell r="B315" t="str">
            <v>LAPIZ DE RETOQUE ANTRACITA - SILTEK</v>
          </cell>
          <cell r="C315">
            <v>174</v>
          </cell>
          <cell r="D315">
            <v>45954</v>
          </cell>
          <cell r="E315">
            <v>2.7300000000000001E-2</v>
          </cell>
          <cell r="F315" t="str">
            <v>GRIS</v>
          </cell>
          <cell r="G315" t="str">
            <v>ACCESORIOS</v>
          </cell>
        </row>
        <row r="316">
          <cell r="A316" t="str">
            <v>HI-ACC-LPR-GR-SOM</v>
          </cell>
          <cell r="B316" t="str">
            <v>LAPIZ DE RETOQUE ANTRACITA - SOM</v>
          </cell>
          <cell r="C316">
            <v>0</v>
          </cell>
          <cell r="D316">
            <v>45706</v>
          </cell>
          <cell r="E316">
            <v>2.7300000000000001E-2</v>
          </cell>
          <cell r="F316" t="str">
            <v>GRIS</v>
          </cell>
          <cell r="G316" t="str">
            <v>ACCESORIOS</v>
          </cell>
        </row>
        <row r="317">
          <cell r="A317" t="str">
            <v>HI-ACC-LPR-NE</v>
          </cell>
          <cell r="B317" t="str">
            <v>LAPIZ DE RETOQUE - NEGRO</v>
          </cell>
          <cell r="C317">
            <v>0</v>
          </cell>
          <cell r="D317">
            <v>45572</v>
          </cell>
          <cell r="E317">
            <v>0.03</v>
          </cell>
          <cell r="F317" t="str">
            <v>NEGRO</v>
          </cell>
          <cell r="G317" t="str">
            <v>ACCESORIOS</v>
          </cell>
        </row>
        <row r="318">
          <cell r="A318" t="str">
            <v>HI-ACC-LPR-NE-SLK</v>
          </cell>
          <cell r="B318" t="str">
            <v>LAPIZ DE RETOQUE NEGRO - SILTEK</v>
          </cell>
          <cell r="C318">
            <v>96</v>
          </cell>
          <cell r="D318">
            <v>46032</v>
          </cell>
          <cell r="E318">
            <v>2.7300000000000001E-2</v>
          </cell>
          <cell r="F318" t="str">
            <v>NEGRO</v>
          </cell>
          <cell r="G318" t="str">
            <v>ACCESORIOS</v>
          </cell>
        </row>
        <row r="319">
          <cell r="A319" t="str">
            <v>HI-ACC-LPR-NE-SOM</v>
          </cell>
          <cell r="B319" t="str">
            <v>LAPIZ DE RETOQUE NEGRO - SOM</v>
          </cell>
          <cell r="C319">
            <v>0</v>
          </cell>
          <cell r="D319">
            <v>45706</v>
          </cell>
          <cell r="E319">
            <v>2.7300000000000001E-2</v>
          </cell>
          <cell r="F319" t="str">
            <v>NEGRO</v>
          </cell>
          <cell r="G319" t="str">
            <v>ACCESORIOS</v>
          </cell>
        </row>
        <row r="320">
          <cell r="A320" t="str">
            <v>HI-ACC-LPR-NO</v>
          </cell>
          <cell r="B320" t="str">
            <v>LAPIZ DE RETOQUE - NOGAL</v>
          </cell>
          <cell r="C320">
            <v>301</v>
          </cell>
          <cell r="D320">
            <v>46060</v>
          </cell>
          <cell r="E320">
            <v>0.03</v>
          </cell>
          <cell r="F320" t="str">
            <v>NOGAL</v>
          </cell>
          <cell r="G320" t="str">
            <v>ACCESORIOS</v>
          </cell>
        </row>
        <row r="321">
          <cell r="A321" t="str">
            <v>HI-ACC-LPR-NO-SLK</v>
          </cell>
          <cell r="B321" t="str">
            <v>LAPIZ DE RETOQUE NOGAL - SILTEK</v>
          </cell>
          <cell r="C321">
            <v>390</v>
          </cell>
          <cell r="D321">
            <v>46177</v>
          </cell>
          <cell r="E321">
            <v>2.7300000000000001E-2</v>
          </cell>
          <cell r="F321" t="str">
            <v>NOGAL</v>
          </cell>
          <cell r="G321" t="str">
            <v>ACCESORIOS</v>
          </cell>
        </row>
        <row r="322">
          <cell r="A322" t="str">
            <v>HI-ACC-LPR-NO-SOM</v>
          </cell>
          <cell r="B322" t="str">
            <v>LAPIZ DE RETOQUE NOGAL - SOM</v>
          </cell>
          <cell r="C322">
            <v>0</v>
          </cell>
          <cell r="D322">
            <v>45706</v>
          </cell>
          <cell r="E322">
            <v>2.7300000000000001E-2</v>
          </cell>
          <cell r="F322" t="str">
            <v>NOGAL</v>
          </cell>
          <cell r="G322" t="str">
            <v>ACCESORIOS</v>
          </cell>
        </row>
        <row r="323">
          <cell r="A323" t="str">
            <v>HI-ACC-LPR-RD</v>
          </cell>
          <cell r="B323" t="str">
            <v>LAPIZ DE RETOQUE - ROBLE</v>
          </cell>
          <cell r="C323">
            <v>2</v>
          </cell>
          <cell r="D323">
            <v>45628</v>
          </cell>
          <cell r="E323">
            <v>0.03</v>
          </cell>
          <cell r="F323" t="str">
            <v>ROBLE</v>
          </cell>
          <cell r="G323" t="str">
            <v>ACCESORIOS</v>
          </cell>
        </row>
        <row r="324">
          <cell r="A324" t="str">
            <v>HI-ACC-LPR-RD-SLK</v>
          </cell>
          <cell r="B324" t="str">
            <v>LAPIZ DE RETOQUE ROBLE - SILTEK</v>
          </cell>
          <cell r="C324">
            <v>225</v>
          </cell>
          <cell r="D324">
            <v>45954</v>
          </cell>
          <cell r="E324">
            <v>2.7300000000000001E-2</v>
          </cell>
          <cell r="F324" t="str">
            <v>ROBLE</v>
          </cell>
          <cell r="G324" t="str">
            <v>ACCESORIOS</v>
          </cell>
        </row>
        <row r="325">
          <cell r="A325" t="str">
            <v>HI-ACC-LPR-RD-SOM</v>
          </cell>
          <cell r="B325" t="str">
            <v>LAPIZ DE RETOQUE ROBLE - SOM</v>
          </cell>
          <cell r="C325">
            <v>0</v>
          </cell>
          <cell r="D325">
            <v>45706</v>
          </cell>
          <cell r="E325">
            <v>2.7300000000000001E-2</v>
          </cell>
          <cell r="F325" t="str">
            <v>ROBLE</v>
          </cell>
          <cell r="G325" t="str">
            <v>ACCESORIOS</v>
          </cell>
        </row>
        <row r="326">
          <cell r="A326" t="str">
            <v>HI-ACC-MQP-SET-NE</v>
          </cell>
          <cell r="B326" t="str">
            <v>SET ACCESORIOS MOSQUITERO PLEGABLE - NEGRO</v>
          </cell>
          <cell r="C326">
            <v>2213</v>
          </cell>
          <cell r="D326">
            <v>46100</v>
          </cell>
          <cell r="E326">
            <v>0.1226</v>
          </cell>
          <cell r="F326" t="str">
            <v>NEGRO</v>
          </cell>
          <cell r="G326" t="str">
            <v>MOSQUITERO PLEGABLE</v>
          </cell>
        </row>
        <row r="327">
          <cell r="A327" t="str">
            <v>HI-ACC-RHJ</v>
          </cell>
          <cell r="B327" t="str">
            <v>RETENEDOR DE HOJA</v>
          </cell>
          <cell r="C327">
            <v>2282</v>
          </cell>
          <cell r="D327">
            <v>46032</v>
          </cell>
          <cell r="E327">
            <v>0.05</v>
          </cell>
          <cell r="F327" t="str">
            <v>NATURAL</v>
          </cell>
          <cell r="G327" t="str">
            <v>ACCESORIOS</v>
          </cell>
        </row>
        <row r="328">
          <cell r="A328" t="str">
            <v>HI-ACC-SLD-AZSD-BL</v>
          </cell>
          <cell r="B328" t="str">
            <v>ADAPTADOR ZAPATA SLIDING DERECHO BLANCO</v>
          </cell>
          <cell r="C328">
            <v>3613</v>
          </cell>
          <cell r="D328">
            <v>46032</v>
          </cell>
          <cell r="E328">
            <v>4.3499999999999997E-2</v>
          </cell>
          <cell r="F328" t="str">
            <v>NATURAL</v>
          </cell>
          <cell r="G328" t="str">
            <v>ACCESORIOS</v>
          </cell>
        </row>
        <row r="329">
          <cell r="A329" t="str">
            <v>HI-ACC-SLD-AZSD-MR</v>
          </cell>
          <cell r="B329" t="str">
            <v>ADAPTADOR ZAPATA SLIDING DERECHO MARRON</v>
          </cell>
          <cell r="C329">
            <v>3445</v>
          </cell>
          <cell r="D329">
            <v>45661</v>
          </cell>
          <cell r="E329">
            <v>4.3499999999999997E-2</v>
          </cell>
          <cell r="F329" t="str">
            <v>NATURAL</v>
          </cell>
          <cell r="G329" t="str">
            <v>ACCESORIOS</v>
          </cell>
        </row>
        <row r="330">
          <cell r="A330" t="str">
            <v>HI-ACC-SLD-AZSD-NE</v>
          </cell>
          <cell r="B330" t="str">
            <v>ADAPTADOR ZAPATA SLIDING DERECHO NEGRO</v>
          </cell>
          <cell r="C330">
            <v>2379</v>
          </cell>
          <cell r="D330">
            <v>45661</v>
          </cell>
          <cell r="E330">
            <v>4.3499999999999997E-2</v>
          </cell>
          <cell r="F330" t="str">
            <v>NATURAL</v>
          </cell>
          <cell r="G330" t="str">
            <v>ACCESORIOS</v>
          </cell>
        </row>
        <row r="331">
          <cell r="A331" t="str">
            <v>HI-ACC-SLD-AZSI-BL</v>
          </cell>
          <cell r="B331" t="str">
            <v>ADAPTADOR ZAPATA SLIDING IZQUIERDO BLANCO</v>
          </cell>
          <cell r="C331">
            <v>4453</v>
          </cell>
          <cell r="D331">
            <v>46032</v>
          </cell>
          <cell r="E331">
            <v>4.3499999999999997E-2</v>
          </cell>
          <cell r="F331" t="str">
            <v>NATURAL</v>
          </cell>
          <cell r="G331" t="str">
            <v>ACCESORIOS</v>
          </cell>
        </row>
        <row r="332">
          <cell r="A332" t="str">
            <v>HI-ACC-SLD-AZSI-MR</v>
          </cell>
          <cell r="B332" t="str">
            <v>ADAPTADOR ZAPATA SLIDING IZQUIERDO MARRON</v>
          </cell>
          <cell r="C332">
            <v>3921</v>
          </cell>
          <cell r="D332">
            <v>46032</v>
          </cell>
          <cell r="E332">
            <v>4.3499999999999997E-2</v>
          </cell>
          <cell r="F332" t="str">
            <v>NATURAL</v>
          </cell>
          <cell r="G332" t="str">
            <v>ACCESORIOS</v>
          </cell>
        </row>
        <row r="333">
          <cell r="A333" t="str">
            <v>HI-ACC-SLD-AZSI-NE</v>
          </cell>
          <cell r="B333" t="str">
            <v>ADAPTADOR ZAPATA SLIDING IZQUIERDO NEGRO</v>
          </cell>
          <cell r="C333">
            <v>3025</v>
          </cell>
          <cell r="D333">
            <v>46032</v>
          </cell>
          <cell r="E333">
            <v>4.3499999999999997E-2</v>
          </cell>
          <cell r="F333" t="str">
            <v>NATURAL</v>
          </cell>
          <cell r="G333" t="str">
            <v>ACCESORIOS</v>
          </cell>
        </row>
        <row r="334">
          <cell r="A334" t="str">
            <v>HI-ACC-SLD-L4H-BL</v>
          </cell>
          <cell r="B334" t="str">
            <v>LIMITADOR 4TA HOJA BLANCO</v>
          </cell>
          <cell r="C334">
            <v>3282</v>
          </cell>
          <cell r="D334">
            <v>46032</v>
          </cell>
          <cell r="E334">
            <v>5.6000000000000001E-2</v>
          </cell>
          <cell r="F334" t="str">
            <v>NATURAL</v>
          </cell>
          <cell r="G334" t="str">
            <v>ACCESORIOS</v>
          </cell>
        </row>
        <row r="335">
          <cell r="A335" t="str">
            <v>HI-ACC-SLD-L4H-MR</v>
          </cell>
          <cell r="B335" t="str">
            <v>LIMITADOR 4TA HOJA MARRON</v>
          </cell>
          <cell r="C335">
            <v>3138</v>
          </cell>
          <cell r="D335">
            <v>46060</v>
          </cell>
          <cell r="E335">
            <v>5.6000000000000001E-2</v>
          </cell>
          <cell r="F335" t="str">
            <v>NATURAL</v>
          </cell>
          <cell r="G335" t="str">
            <v>ACCESORIOS</v>
          </cell>
        </row>
        <row r="336">
          <cell r="A336" t="str">
            <v>HI-ACC-SLD-L4H-NE</v>
          </cell>
          <cell r="B336" t="str">
            <v>LIMITADOR 4TA HOJA NEGRO</v>
          </cell>
          <cell r="C336">
            <v>2206</v>
          </cell>
          <cell r="D336">
            <v>46060</v>
          </cell>
          <cell r="E336">
            <v>5.6000000000000001E-2</v>
          </cell>
          <cell r="F336" t="str">
            <v>NATURAL</v>
          </cell>
          <cell r="G336" t="str">
            <v>ACCESORIOS</v>
          </cell>
        </row>
        <row r="337">
          <cell r="A337" t="str">
            <v>HI-ACC-SLD-RMP-BL</v>
          </cell>
          <cell r="B337" t="str">
            <v>RESBALON MANILLA PARCHE BLANCO</v>
          </cell>
          <cell r="C337">
            <v>2307</v>
          </cell>
          <cell r="D337">
            <v>45661</v>
          </cell>
          <cell r="E337">
            <v>3.0999999999999999E-3</v>
          </cell>
          <cell r="F337" t="str">
            <v>NATURAL</v>
          </cell>
          <cell r="G337" t="str">
            <v>ACCESORIOS</v>
          </cell>
        </row>
        <row r="338">
          <cell r="A338" t="str">
            <v>HI-ACC-SLD-RMP-MR</v>
          </cell>
          <cell r="B338" t="str">
            <v>RESBALON MANILLA PARCHE MARRON</v>
          </cell>
          <cell r="C338">
            <v>3666</v>
          </cell>
          <cell r="D338">
            <v>45068</v>
          </cell>
          <cell r="E338">
            <v>3.0999999999999999E-3</v>
          </cell>
          <cell r="F338" t="str">
            <v>NATURAL</v>
          </cell>
          <cell r="G338" t="str">
            <v>ACCESORIOS</v>
          </cell>
        </row>
        <row r="339">
          <cell r="A339" t="str">
            <v>HI-ACC-SLD-RMP-NE</v>
          </cell>
          <cell r="B339" t="str">
            <v>RESBALON MANILLA PARCHE NEGRO</v>
          </cell>
          <cell r="C339">
            <v>2995</v>
          </cell>
          <cell r="D339">
            <v>45298</v>
          </cell>
          <cell r="E339">
            <v>3.0999999999999999E-3</v>
          </cell>
          <cell r="F339" t="str">
            <v>NATURAL</v>
          </cell>
          <cell r="G339" t="str">
            <v>ACCESORIOS</v>
          </cell>
        </row>
        <row r="340">
          <cell r="A340" t="str">
            <v>HI-ACC-SLD-TEZA-BL</v>
          </cell>
          <cell r="B340" t="str">
            <v>TOPE ESTANCO ZAPATA SLIDING BLANCO</v>
          </cell>
          <cell r="C340">
            <v>3690</v>
          </cell>
          <cell r="D340">
            <v>45298</v>
          </cell>
          <cell r="E340">
            <v>1.23E-2</v>
          </cell>
          <cell r="F340" t="str">
            <v>NATURAL</v>
          </cell>
          <cell r="G340" t="str">
            <v>ACCESORIOS</v>
          </cell>
        </row>
        <row r="341">
          <cell r="A341" t="str">
            <v>HI-ACC-SLD-TEZA-MR</v>
          </cell>
          <cell r="B341" t="str">
            <v>TOPE ESTANCO ZAPATA SLIDING MARRON</v>
          </cell>
          <cell r="C341">
            <v>4801</v>
          </cell>
          <cell r="D341">
            <v>46060</v>
          </cell>
          <cell r="E341">
            <v>1.23E-2</v>
          </cell>
          <cell r="F341" t="str">
            <v>NATURAL</v>
          </cell>
          <cell r="G341" t="str">
            <v>ACCESORIOS</v>
          </cell>
        </row>
        <row r="342">
          <cell r="A342" t="str">
            <v>HI-ACC-SLD-TEZA-NE</v>
          </cell>
          <cell r="B342" t="str">
            <v>TOPE ESTANCO ZAPATA SLIDING NEGRO</v>
          </cell>
          <cell r="C342">
            <v>3590</v>
          </cell>
          <cell r="D342">
            <v>46060</v>
          </cell>
          <cell r="E342">
            <v>1.23E-2</v>
          </cell>
          <cell r="F342" t="str">
            <v>NATURAL</v>
          </cell>
          <cell r="G342" t="str">
            <v>ACCESORIOS</v>
          </cell>
        </row>
        <row r="343">
          <cell r="A343" t="str">
            <v>HI-ACC-SLD-TF-BL</v>
          </cell>
          <cell r="B343" t="str">
            <v>TRASLAPO FALSO BLANCO</v>
          </cell>
          <cell r="C343">
            <v>2346</v>
          </cell>
          <cell r="D343">
            <v>45661</v>
          </cell>
          <cell r="E343">
            <v>1.4200000000000001E-2</v>
          </cell>
          <cell r="F343" t="str">
            <v>NATURAL</v>
          </cell>
          <cell r="G343" t="str">
            <v>ACCESORIOS</v>
          </cell>
        </row>
        <row r="344">
          <cell r="A344" t="str">
            <v>HI-ACC-SLD-TF-MR</v>
          </cell>
          <cell r="B344" t="str">
            <v>TRASLAPO FALSO MARRON</v>
          </cell>
          <cell r="C344">
            <v>1466</v>
          </cell>
          <cell r="D344">
            <v>46032</v>
          </cell>
          <cell r="E344">
            <v>1.4200000000000001E-2</v>
          </cell>
          <cell r="F344" t="str">
            <v>NATURAL</v>
          </cell>
          <cell r="G344" t="str">
            <v>ACCESORIOS</v>
          </cell>
        </row>
        <row r="345">
          <cell r="A345" t="str">
            <v>HI-ACC-SLD-TF-NE</v>
          </cell>
          <cell r="B345" t="str">
            <v>TRASLAPO FALSO NEGRO</v>
          </cell>
          <cell r="C345">
            <v>400</v>
          </cell>
          <cell r="D345">
            <v>45661</v>
          </cell>
          <cell r="E345">
            <v>1.4200000000000001E-2</v>
          </cell>
          <cell r="F345" t="str">
            <v>NATURAL</v>
          </cell>
          <cell r="G345" t="str">
            <v>ACCESORIOS</v>
          </cell>
        </row>
        <row r="346">
          <cell r="A346" t="str">
            <v>HI-ACC-TAM-12</v>
          </cell>
          <cell r="B346" t="str">
            <v>TOPE DE GOMA 12MM</v>
          </cell>
          <cell r="C346">
            <v>0</v>
          </cell>
          <cell r="D346">
            <v>45661</v>
          </cell>
          <cell r="E346">
            <v>2.8E-3</v>
          </cell>
          <cell r="F346" t="str">
            <v>NEGRO</v>
          </cell>
          <cell r="G346" t="str">
            <v>ACCESORIOS</v>
          </cell>
        </row>
        <row r="347">
          <cell r="A347" t="str">
            <v>HI-ACC-TB-BL</v>
          </cell>
          <cell r="B347" t="str">
            <v>TAPA BATIENTE - BLANCO</v>
          </cell>
          <cell r="C347">
            <v>6830</v>
          </cell>
          <cell r="D347">
            <v>46170</v>
          </cell>
          <cell r="E347">
            <v>0.06</v>
          </cell>
          <cell r="F347" t="str">
            <v>BLANCO</v>
          </cell>
          <cell r="G347" t="str">
            <v>ACCESORIOS</v>
          </cell>
        </row>
        <row r="348">
          <cell r="A348" t="str">
            <v>HI-ACC-TB-MO</v>
          </cell>
          <cell r="B348" t="str">
            <v>TAPA BATIENTE - MARRON OSCURO</v>
          </cell>
          <cell r="C348">
            <v>6991</v>
          </cell>
          <cell r="D348">
            <v>46032</v>
          </cell>
          <cell r="E348">
            <v>0.06</v>
          </cell>
          <cell r="F348" t="str">
            <v>MARRON OSCURO</v>
          </cell>
          <cell r="G348" t="str">
            <v>ACCESORIOS</v>
          </cell>
        </row>
        <row r="349">
          <cell r="A349" t="str">
            <v>HI-ACC-TB-MR</v>
          </cell>
          <cell r="B349" t="str">
            <v>TAPA BATIENTE - MARRON</v>
          </cell>
          <cell r="C349">
            <v>1718</v>
          </cell>
          <cell r="D349">
            <v>46060</v>
          </cell>
          <cell r="E349">
            <v>0.06</v>
          </cell>
          <cell r="F349" t="str">
            <v>MARRON</v>
          </cell>
          <cell r="G349" t="str">
            <v>ACCESORIOS</v>
          </cell>
        </row>
        <row r="350">
          <cell r="A350" t="str">
            <v>HI-ACC-TB-NE</v>
          </cell>
          <cell r="B350" t="str">
            <v>TAPA BATIENTE - NEGRO</v>
          </cell>
          <cell r="C350">
            <v>6898</v>
          </cell>
          <cell r="D350">
            <v>46032</v>
          </cell>
          <cell r="E350">
            <v>0.06</v>
          </cell>
          <cell r="F350" t="str">
            <v>NEGRO</v>
          </cell>
          <cell r="G350" t="str">
            <v>ACCESORIOS</v>
          </cell>
        </row>
        <row r="351">
          <cell r="A351" t="str">
            <v>HI-ACC-TDG-BL</v>
          </cell>
          <cell r="B351" t="str">
            <v>TAPA DESAGUE - BLANCO</v>
          </cell>
          <cell r="C351">
            <v>66000</v>
          </cell>
          <cell r="D351">
            <v>46191</v>
          </cell>
          <cell r="E351">
            <v>1.1000000000000001E-3</v>
          </cell>
          <cell r="F351" t="str">
            <v>BLANCO</v>
          </cell>
          <cell r="G351" t="str">
            <v>ACCESORIOS</v>
          </cell>
        </row>
        <row r="352">
          <cell r="A352" t="str">
            <v>HI-ACC-TDG-GS</v>
          </cell>
          <cell r="B352" t="str">
            <v>TAPA DESAGUE - GRIS</v>
          </cell>
          <cell r="C352">
            <v>1200</v>
          </cell>
          <cell r="D352">
            <v>45298</v>
          </cell>
          <cell r="E352">
            <v>1.1000000000000001E-3</v>
          </cell>
          <cell r="F352" t="str">
            <v>GRAFITO</v>
          </cell>
          <cell r="G352" t="str">
            <v>ACCESORIOS</v>
          </cell>
        </row>
        <row r="353">
          <cell r="A353" t="str">
            <v>HI-ACC-TDG-MR</v>
          </cell>
          <cell r="B353" t="str">
            <v>TAPA DESAGUE - MARRON</v>
          </cell>
          <cell r="C353">
            <v>89960</v>
          </cell>
          <cell r="D353">
            <v>46191</v>
          </cell>
          <cell r="E353">
            <v>1.1000000000000001E-3</v>
          </cell>
          <cell r="F353" t="str">
            <v>MARRON</v>
          </cell>
          <cell r="G353" t="str">
            <v>ACCESORIOS</v>
          </cell>
        </row>
        <row r="354">
          <cell r="A354" t="str">
            <v>HI-ACC-TDG-NE</v>
          </cell>
          <cell r="B354" t="str">
            <v>TAPA DESAGUE - NEGRO</v>
          </cell>
          <cell r="C354">
            <v>72500</v>
          </cell>
          <cell r="D354">
            <v>46191</v>
          </cell>
          <cell r="E354">
            <v>1.1000000000000001E-3</v>
          </cell>
          <cell r="F354" t="str">
            <v>NEGRO</v>
          </cell>
          <cell r="G354" t="str">
            <v>ACCESORIOS</v>
          </cell>
        </row>
        <row r="355">
          <cell r="A355" t="str">
            <v>HI-ACC-TE-MDR-BL</v>
          </cell>
          <cell r="B355" t="str">
            <v>TOPE ESTANCO CORREDERA S70 - BLANCO</v>
          </cell>
          <cell r="C355">
            <v>20218</v>
          </cell>
          <cell r="D355">
            <v>46191</v>
          </cell>
          <cell r="E355">
            <v>0.02</v>
          </cell>
          <cell r="F355" t="str">
            <v>BLANCO</v>
          </cell>
          <cell r="G355" t="str">
            <v>ACCESORIOS</v>
          </cell>
        </row>
        <row r="356">
          <cell r="A356" t="str">
            <v>HI-ACC-TE-MDR-GR</v>
          </cell>
          <cell r="B356" t="str">
            <v>TOPE ESTANCO CORREDERA - GRIS</v>
          </cell>
          <cell r="C356">
            <v>1399</v>
          </cell>
          <cell r="D356">
            <v>45661</v>
          </cell>
          <cell r="E356">
            <v>0.02</v>
          </cell>
          <cell r="F356" t="str">
            <v>GRAFITO</v>
          </cell>
          <cell r="G356" t="str">
            <v>ACCESORIOS</v>
          </cell>
        </row>
        <row r="357">
          <cell r="A357" t="str">
            <v>HI-ACC-TE-MDR-MR</v>
          </cell>
          <cell r="B357" t="str">
            <v>TOPE ESTANCO CORREDERA S70 - MARRON</v>
          </cell>
          <cell r="C357">
            <v>14540</v>
          </cell>
          <cell r="D357">
            <v>46191</v>
          </cell>
          <cell r="E357">
            <v>0.02</v>
          </cell>
          <cell r="F357" t="str">
            <v>MARRON</v>
          </cell>
          <cell r="G357" t="str">
            <v>ACCESORIOS</v>
          </cell>
        </row>
        <row r="358">
          <cell r="A358" t="str">
            <v>HI-ACC-TE-MDR-NE</v>
          </cell>
          <cell r="B358" t="str">
            <v>TOPE ESTANCO CORREDERA S70 - NEGRO</v>
          </cell>
          <cell r="C358">
            <v>10246</v>
          </cell>
          <cell r="D358">
            <v>46191</v>
          </cell>
          <cell r="E358">
            <v>0.02</v>
          </cell>
          <cell r="F358" t="str">
            <v>NEGRO</v>
          </cell>
          <cell r="G358" t="str">
            <v>ACCESORIOS</v>
          </cell>
        </row>
        <row r="359">
          <cell r="A359" t="str">
            <v>HI-ACC-TE-MDR-S75-BL</v>
          </cell>
          <cell r="B359" t="str">
            <v>TOPE ESTANCO CORREDERA S75 - BLANCO</v>
          </cell>
          <cell r="C359">
            <v>38385</v>
          </cell>
          <cell r="D359">
            <v>46191</v>
          </cell>
          <cell r="E359">
            <v>0.02</v>
          </cell>
          <cell r="F359" t="str">
            <v>BLANCO</v>
          </cell>
          <cell r="G359" t="str">
            <v>ACCESORIOS</v>
          </cell>
        </row>
        <row r="360">
          <cell r="A360" t="str">
            <v>HI-ACC-TE-MDR-S75-GR</v>
          </cell>
          <cell r="B360" t="str">
            <v>TOPE ESTANCO CORREDERA S75 - GRIS</v>
          </cell>
          <cell r="C360">
            <v>0</v>
          </cell>
          <cell r="D360"/>
          <cell r="E360">
            <v>0.02</v>
          </cell>
          <cell r="F360" t="str">
            <v>GRIS</v>
          </cell>
          <cell r="G360" t="str">
            <v>ACCESORIOS</v>
          </cell>
        </row>
        <row r="361">
          <cell r="A361" t="str">
            <v>HI-ACC-TE-MDR-S75-MR</v>
          </cell>
          <cell r="B361" t="str">
            <v>TOPE ESTANCO CORREDERA S75 - MARRON</v>
          </cell>
          <cell r="C361">
            <v>33586</v>
          </cell>
          <cell r="D361">
            <v>46191</v>
          </cell>
          <cell r="E361">
            <v>0.02</v>
          </cell>
          <cell r="F361" t="str">
            <v>MARRON</v>
          </cell>
          <cell r="G361" t="str">
            <v>ACCESORIOS</v>
          </cell>
        </row>
        <row r="362">
          <cell r="A362" t="str">
            <v>HI-ACC-TE-MDR-S75-NE</v>
          </cell>
          <cell r="B362" t="str">
            <v>TOPE ESTANCO CORREDERA S75 - NEGRO</v>
          </cell>
          <cell r="C362">
            <v>33941</v>
          </cell>
          <cell r="D362">
            <v>46191</v>
          </cell>
          <cell r="E362">
            <v>0.02</v>
          </cell>
          <cell r="F362" t="str">
            <v>NEGRO</v>
          </cell>
          <cell r="G362" t="str">
            <v>ACCESORIOS</v>
          </cell>
        </row>
        <row r="363">
          <cell r="A363" t="str">
            <v>HI-ACC-TEZ-BL</v>
          </cell>
          <cell r="B363" t="str">
            <v>TOPE ESTANCO ZENIA - BLANCO</v>
          </cell>
          <cell r="C363">
            <v>1449</v>
          </cell>
          <cell r="D363">
            <v>46060</v>
          </cell>
          <cell r="E363">
            <v>0.01</v>
          </cell>
          <cell r="F363" t="str">
            <v>BLANCO</v>
          </cell>
          <cell r="G363" t="str">
            <v>ACCESORIOS</v>
          </cell>
        </row>
        <row r="364">
          <cell r="A364" t="str">
            <v>HI-ACC-TEZ-GR</v>
          </cell>
          <cell r="B364" t="str">
            <v>TOPE ESTANCO ZENIA - GRAFITO</v>
          </cell>
          <cell r="C364">
            <v>11870</v>
          </cell>
          <cell r="D364">
            <v>45839</v>
          </cell>
          <cell r="E364">
            <v>0.01</v>
          </cell>
          <cell r="F364" t="str">
            <v>GRAFITO</v>
          </cell>
          <cell r="G364" t="str">
            <v>ACCESORIOS</v>
          </cell>
        </row>
        <row r="365">
          <cell r="A365" t="str">
            <v>HI-ACC-TEZ-MR</v>
          </cell>
          <cell r="B365" t="str">
            <v>TOPE ESTANCO ZENIA - MARRON</v>
          </cell>
          <cell r="C365">
            <v>5937</v>
          </cell>
          <cell r="D365">
            <v>46060</v>
          </cell>
          <cell r="E365">
            <v>0.01</v>
          </cell>
          <cell r="F365" t="str">
            <v>MARRON</v>
          </cell>
          <cell r="G365" t="str">
            <v>ACCESORIOS</v>
          </cell>
        </row>
        <row r="366">
          <cell r="A366" t="str">
            <v>HI-ACC-TPC90-BL</v>
          </cell>
          <cell r="B366" t="str">
            <v>TOPE CORREDERA 90° - BLANCO</v>
          </cell>
          <cell r="C366">
            <v>1898</v>
          </cell>
          <cell r="D366">
            <v>46167</v>
          </cell>
          <cell r="E366">
            <v>0.05</v>
          </cell>
          <cell r="F366" t="str">
            <v>BLANCO</v>
          </cell>
          <cell r="G366" t="str">
            <v>ACCESORIOS</v>
          </cell>
        </row>
        <row r="367">
          <cell r="A367" t="str">
            <v>HI-ACC-TPC90-MR</v>
          </cell>
          <cell r="B367" t="str">
            <v>TOPE CORREDERA 90º - MARRON</v>
          </cell>
          <cell r="C367">
            <v>1354</v>
          </cell>
          <cell r="D367">
            <v>46167</v>
          </cell>
          <cell r="E367">
            <v>0.05</v>
          </cell>
          <cell r="F367" t="str">
            <v>MARRON</v>
          </cell>
          <cell r="G367" t="str">
            <v>ACCESORIOS</v>
          </cell>
        </row>
        <row r="368">
          <cell r="A368" t="str">
            <v>HI-ACC-TPC90-NE</v>
          </cell>
          <cell r="B368" t="str">
            <v>TOPE CORREDERA 90° - NEGRO</v>
          </cell>
          <cell r="C368">
            <v>2349</v>
          </cell>
          <cell r="D368">
            <v>46167</v>
          </cell>
          <cell r="E368">
            <v>0.05</v>
          </cell>
          <cell r="F368" t="str">
            <v>NEGRO</v>
          </cell>
          <cell r="G368" t="str">
            <v>ACCESORIOS</v>
          </cell>
        </row>
        <row r="369">
          <cell r="A369" t="str">
            <v>HI-ACC-TTAMO-BL</v>
          </cell>
          <cell r="B369" t="str">
            <v>TAPA TORNILLO AMO III - BLANCO</v>
          </cell>
          <cell r="C369">
            <v>307475</v>
          </cell>
          <cell r="D369">
            <v>46191</v>
          </cell>
          <cell r="E369">
            <v>2.9999999999999997E-4</v>
          </cell>
          <cell r="F369" t="str">
            <v>BLANCO</v>
          </cell>
          <cell r="G369" t="str">
            <v>ACCESORIOS</v>
          </cell>
        </row>
        <row r="370">
          <cell r="A370" t="str">
            <v>HI-ACC-TTAMO-MO</v>
          </cell>
          <cell r="B370" t="str">
            <v>TAPA TORNILLO AMO III - MARRON OSCURO</v>
          </cell>
          <cell r="C370">
            <v>0</v>
          </cell>
          <cell r="D370"/>
          <cell r="E370">
            <v>2.9999999999999997E-4</v>
          </cell>
          <cell r="F370" t="str">
            <v>MARRON OSCURO</v>
          </cell>
          <cell r="G370" t="str">
            <v>ACCESORIOS</v>
          </cell>
        </row>
        <row r="371">
          <cell r="A371" t="str">
            <v>HI-ACC-TTAMO-MR</v>
          </cell>
          <cell r="B371" t="str">
            <v>TAPA TORNILLO AMO III - MARRON</v>
          </cell>
          <cell r="C371">
            <v>156930</v>
          </cell>
          <cell r="D371">
            <v>46191</v>
          </cell>
          <cell r="E371">
            <v>2.9999999999999997E-4</v>
          </cell>
          <cell r="F371" t="str">
            <v>MARRON</v>
          </cell>
          <cell r="G371" t="str">
            <v>ACCESORIOS</v>
          </cell>
        </row>
        <row r="372">
          <cell r="A372" t="str">
            <v>HI-ACC-TTAMO-NE</v>
          </cell>
          <cell r="B372" t="str">
            <v>TAPA TORNILLO AMO III - NEGRO</v>
          </cell>
          <cell r="C372">
            <v>89004</v>
          </cell>
          <cell r="D372">
            <v>46191</v>
          </cell>
          <cell r="E372">
            <v>2.9999999999999997E-4</v>
          </cell>
          <cell r="F372" t="str">
            <v>NEGRO</v>
          </cell>
          <cell r="G372" t="str">
            <v>ACCESORIOS</v>
          </cell>
        </row>
        <row r="373">
          <cell r="A373" t="str">
            <v>HI-ACC-TTM-BL</v>
          </cell>
          <cell r="B373" t="str">
            <v>TAPA TORNILLO MOSQUITERO 10mm - BLANCA</v>
          </cell>
          <cell r="C373">
            <v>4077</v>
          </cell>
          <cell r="D373">
            <v>46060</v>
          </cell>
          <cell r="E373">
            <v>1E-3</v>
          </cell>
          <cell r="F373" t="str">
            <v>BLANCO</v>
          </cell>
          <cell r="G373" t="str">
            <v>MOSQUITERO CORREDERA</v>
          </cell>
        </row>
        <row r="374">
          <cell r="A374" t="str">
            <v>HI-ACC-TTM-MR</v>
          </cell>
          <cell r="B374" t="str">
            <v>TAPA TORNILLO MOSQUITERO 10mm - MARRON</v>
          </cell>
          <cell r="C374">
            <v>9909</v>
          </cell>
          <cell r="D374">
            <v>46191</v>
          </cell>
          <cell r="E374">
            <v>1E-3</v>
          </cell>
          <cell r="F374" t="str">
            <v>MARRON</v>
          </cell>
          <cell r="G374" t="str">
            <v>MOSQUITERO CORREDERA</v>
          </cell>
        </row>
        <row r="375">
          <cell r="A375" t="str">
            <v>HI-ACC-TTM-NE</v>
          </cell>
          <cell r="B375" t="str">
            <v>TAPA TORNILLO MOSQUITERO 10mm - NEGRO</v>
          </cell>
          <cell r="C375">
            <v>7399</v>
          </cell>
          <cell r="D375">
            <v>45945</v>
          </cell>
          <cell r="E375">
            <v>1E-3</v>
          </cell>
          <cell r="F375" t="str">
            <v>NEGRO</v>
          </cell>
          <cell r="G375" t="str">
            <v>MOSQUITERO CORREDERA</v>
          </cell>
        </row>
        <row r="376">
          <cell r="A376" t="str">
            <v>HI-ACR-MQP-NA</v>
          </cell>
          <cell r="B376" t="str">
            <v>ANILLO DE CUERDA MOSQUITERO PLEGABLE - NATURAL</v>
          </cell>
          <cell r="C376">
            <v>7203</v>
          </cell>
          <cell r="D376">
            <v>46032</v>
          </cell>
          <cell r="E376">
            <v>1E-4</v>
          </cell>
          <cell r="F376" t="str">
            <v>NATURAL</v>
          </cell>
          <cell r="G376" t="str">
            <v>MOSQUITERO PLEGABLE</v>
          </cell>
        </row>
        <row r="377">
          <cell r="A377" t="str">
            <v>HI-ACZ-BPZ-NE</v>
          </cell>
          <cell r="B377" t="str">
            <v>BURLETE PERIMETRAL ZENIA</v>
          </cell>
          <cell r="C377">
            <v>8522</v>
          </cell>
          <cell r="D377">
            <v>45839</v>
          </cell>
          <cell r="E377">
            <v>0.04</v>
          </cell>
          <cell r="F377" t="str">
            <v>NEGRO</v>
          </cell>
          <cell r="G377" t="str">
            <v>ACCESORIOS</v>
          </cell>
        </row>
        <row r="378">
          <cell r="A378" t="str">
            <v>HI-ACZ-BSZ-NE</v>
          </cell>
          <cell r="B378" t="str">
            <v>BURLETE SUPERIOR ZENIA</v>
          </cell>
          <cell r="C378">
            <v>4425</v>
          </cell>
          <cell r="D378">
            <v>46060</v>
          </cell>
          <cell r="E378">
            <v>0.03</v>
          </cell>
          <cell r="F378" t="str">
            <v>NEGRO</v>
          </cell>
          <cell r="G378" t="str">
            <v>ACCESORIOS</v>
          </cell>
        </row>
        <row r="379">
          <cell r="A379" t="str">
            <v>HI-ACZ-BTZ-NE</v>
          </cell>
          <cell r="B379" t="str">
            <v>BURLETE TRASLAPO ZENIA</v>
          </cell>
          <cell r="C379">
            <v>3235</v>
          </cell>
          <cell r="D379">
            <v>45839</v>
          </cell>
          <cell r="E379">
            <v>0.04</v>
          </cell>
          <cell r="F379" t="str">
            <v>NEGRO</v>
          </cell>
          <cell r="G379" t="str">
            <v>ACCESORIOS</v>
          </cell>
        </row>
        <row r="380">
          <cell r="A380" t="str">
            <v>HI-ACZ-KPZ-1800</v>
          </cell>
          <cell r="B380" t="str">
            <v>KIT PUERTA ZENIA 1800 x 2100</v>
          </cell>
          <cell r="C380">
            <v>116</v>
          </cell>
          <cell r="D380">
            <v>46060</v>
          </cell>
          <cell r="E380">
            <v>3.66</v>
          </cell>
          <cell r="F380" t="str">
            <v>NATURAL</v>
          </cell>
          <cell r="G380" t="str">
            <v>ELEVADORA</v>
          </cell>
        </row>
        <row r="381">
          <cell r="A381" t="str">
            <v>HI-ACZ-KPZ-2100</v>
          </cell>
          <cell r="B381" t="str">
            <v>KIT PUERTA ZENIA 2100 x 2400</v>
          </cell>
          <cell r="C381">
            <v>102</v>
          </cell>
          <cell r="D381">
            <v>46155</v>
          </cell>
          <cell r="E381">
            <v>4.82</v>
          </cell>
          <cell r="F381" t="str">
            <v>NATURAL</v>
          </cell>
          <cell r="G381" t="str">
            <v>ELEVADORA</v>
          </cell>
        </row>
        <row r="382">
          <cell r="A382" t="str">
            <v>HI-ACZ-KPZ-RF-1800</v>
          </cell>
          <cell r="B382" t="str">
            <v>KIT PUERTA ZENIA 1800 x 2100 REFORZADO</v>
          </cell>
          <cell r="C382">
            <v>145</v>
          </cell>
          <cell r="D382">
            <v>46155</v>
          </cell>
          <cell r="E382">
            <v>5.4379999999999997</v>
          </cell>
          <cell r="F382" t="str">
            <v>NATURAL</v>
          </cell>
          <cell r="G382" t="str">
            <v>ELEVADORA</v>
          </cell>
        </row>
        <row r="383">
          <cell r="A383" t="str">
            <v>HI-ACZ-KPZ-RF-2100</v>
          </cell>
          <cell r="B383" t="str">
            <v>KIT PUERTA ZENIA 2100 x 2400 REFORZADO</v>
          </cell>
          <cell r="C383">
            <v>56</v>
          </cell>
          <cell r="D383">
            <v>46060</v>
          </cell>
          <cell r="E383">
            <v>5.7640000000000002</v>
          </cell>
          <cell r="F383" t="str">
            <v>NATURAL</v>
          </cell>
          <cell r="G383" t="str">
            <v>ELEVADORA</v>
          </cell>
        </row>
        <row r="384">
          <cell r="A384" t="str">
            <v>HI-ACZ-KPZ-RF-2400</v>
          </cell>
          <cell r="B384" t="str">
            <v>KIT PUERTA ZENIA 2400 x 2800 REFORZADO</v>
          </cell>
          <cell r="C384">
            <v>66</v>
          </cell>
          <cell r="D384">
            <v>46060</v>
          </cell>
          <cell r="E384">
            <v>6.0720000000000001</v>
          </cell>
          <cell r="F384" t="str">
            <v>NATURAL</v>
          </cell>
          <cell r="G384" t="str">
            <v>ELEVADORA</v>
          </cell>
        </row>
        <row r="385">
          <cell r="A385" t="str">
            <v>HI-ACZ-RTZ-BL</v>
          </cell>
          <cell r="B385" t="str">
            <v>REMATE TRASLAPO ZENIA - BLANCO</v>
          </cell>
          <cell r="C385">
            <v>2905</v>
          </cell>
          <cell r="D385">
            <v>45661</v>
          </cell>
          <cell r="E385">
            <v>1.9E-3</v>
          </cell>
          <cell r="F385" t="str">
            <v>BLANCO</v>
          </cell>
          <cell r="G385" t="str">
            <v>ACCESORIOS</v>
          </cell>
        </row>
        <row r="386">
          <cell r="A386" t="str">
            <v>HI-ACZ-RTZ-MR</v>
          </cell>
          <cell r="B386" t="str">
            <v>REMATE TRASLAPO ZENIA - MARRON</v>
          </cell>
          <cell r="C386">
            <v>3159</v>
          </cell>
          <cell r="D386">
            <v>45601</v>
          </cell>
          <cell r="E386">
            <v>1.9E-3</v>
          </cell>
          <cell r="F386" t="str">
            <v>MARRON</v>
          </cell>
          <cell r="G386" t="str">
            <v>ACCESORIOS</v>
          </cell>
        </row>
        <row r="387">
          <cell r="A387" t="str">
            <v>HI-ACZ-RTZ-NE</v>
          </cell>
          <cell r="B387" t="str">
            <v>REMATE TRASLAPO ZENIA - NEGRO</v>
          </cell>
          <cell r="C387">
            <v>7585</v>
          </cell>
          <cell r="D387">
            <v>46032</v>
          </cell>
          <cell r="E387">
            <v>1.9E-3</v>
          </cell>
          <cell r="F387" t="str">
            <v>NEGRO</v>
          </cell>
          <cell r="G387" t="str">
            <v>ACCESORIOS</v>
          </cell>
        </row>
        <row r="388">
          <cell r="A388" t="str">
            <v>HI-ACZ-TTZ-BL</v>
          </cell>
          <cell r="B388" t="str">
            <v>TERMINAL TRASLAPO ZENIA - BLANCO</v>
          </cell>
          <cell r="C388">
            <v>1382</v>
          </cell>
          <cell r="D388">
            <v>45594</v>
          </cell>
          <cell r="E388">
            <v>0.01</v>
          </cell>
          <cell r="F388" t="str">
            <v>BLANCO</v>
          </cell>
          <cell r="G388" t="str">
            <v>ACCESORIOS</v>
          </cell>
        </row>
        <row r="389">
          <cell r="A389" t="str">
            <v>HI-ACZ-TTZ-GS</v>
          </cell>
          <cell r="B389" t="str">
            <v>TERMINAL TRASLAPO ZENIA - GRIS</v>
          </cell>
          <cell r="C389">
            <v>6058</v>
          </cell>
          <cell r="D389">
            <v>46060</v>
          </cell>
          <cell r="E389">
            <v>0.01</v>
          </cell>
          <cell r="F389" t="str">
            <v>GRAFITO</v>
          </cell>
          <cell r="G389" t="str">
            <v>ACCESORIOS</v>
          </cell>
        </row>
        <row r="390">
          <cell r="A390" t="str">
            <v>HI-ACZ-TTZ-MR</v>
          </cell>
          <cell r="B390" t="str">
            <v>TERMINAL TRASLAPO ZENIA - MARRON</v>
          </cell>
          <cell r="C390">
            <v>2054</v>
          </cell>
          <cell r="D390">
            <v>46032</v>
          </cell>
          <cell r="E390">
            <v>0.01</v>
          </cell>
          <cell r="F390" t="str">
            <v>MARRON</v>
          </cell>
          <cell r="G390" t="str">
            <v>ACCESORIOS</v>
          </cell>
        </row>
        <row r="391">
          <cell r="A391" t="str">
            <v>HI-AME-CDC-SLK</v>
          </cell>
          <cell r="B391" t="str">
            <v>CINTA DOBLE CONTACTO - 50 mts</v>
          </cell>
          <cell r="C391">
            <v>591</v>
          </cell>
          <cell r="D391">
            <v>46183</v>
          </cell>
          <cell r="E391">
            <v>0.1177</v>
          </cell>
          <cell r="F391" t="str">
            <v>NATURAL</v>
          </cell>
          <cell r="G391" t="str">
            <v>AMERICANA</v>
          </cell>
        </row>
        <row r="392">
          <cell r="A392" t="str">
            <v>HI-AME-CF-HJS</v>
          </cell>
          <cell r="B392" t="str">
            <v>CONTRA FORMA HOJAS AMERICANA</v>
          </cell>
          <cell r="C392">
            <v>0</v>
          </cell>
          <cell r="D392">
            <v>45558</v>
          </cell>
          <cell r="E392">
            <v>0</v>
          </cell>
          <cell r="F392" t="str">
            <v>NATURAL</v>
          </cell>
          <cell r="G392" t="str">
            <v>AMERICANA</v>
          </cell>
        </row>
        <row r="393">
          <cell r="A393" t="str">
            <v>HI-AME-CF-MCA</v>
          </cell>
          <cell r="B393" t="str">
            <v>CONTRA FORMA MARCO AMERICANA</v>
          </cell>
          <cell r="C393">
            <v>0</v>
          </cell>
          <cell r="D393">
            <v>45558</v>
          </cell>
          <cell r="E393">
            <v>0</v>
          </cell>
          <cell r="F393" t="str">
            <v>NATURAL</v>
          </cell>
          <cell r="G393" t="str">
            <v>AMERICANA</v>
          </cell>
        </row>
        <row r="394">
          <cell r="A394" t="str">
            <v>HI-AME-CRD-SLK</v>
          </cell>
          <cell r="B394" t="str">
            <v>CERRADERO AMERICANA SILTEK</v>
          </cell>
          <cell r="C394">
            <v>4617</v>
          </cell>
          <cell r="D394">
            <v>46183</v>
          </cell>
          <cell r="E394">
            <v>6.1899999999999997E-2</v>
          </cell>
          <cell r="F394" t="str">
            <v>NATURAL</v>
          </cell>
          <cell r="G394" t="str">
            <v>AMERICANA</v>
          </cell>
        </row>
        <row r="395">
          <cell r="A395" t="str">
            <v>HI-AME-CRR- SLK</v>
          </cell>
          <cell r="B395" t="str">
            <v>CARRO AMERICANA SILTEK</v>
          </cell>
          <cell r="C395">
            <v>4715</v>
          </cell>
          <cell r="D395">
            <v>46135</v>
          </cell>
          <cell r="E395">
            <v>1.37E-2</v>
          </cell>
          <cell r="F395" t="str">
            <v>NATURAL</v>
          </cell>
          <cell r="G395" t="str">
            <v>AMERICANA</v>
          </cell>
        </row>
        <row r="396">
          <cell r="A396" t="str">
            <v>HI-AME-DR-TFJ</v>
          </cell>
          <cell r="B396" t="str">
            <v>DISCO RETESTEADOR - TRASLAPO FIJO</v>
          </cell>
          <cell r="C396">
            <v>14</v>
          </cell>
          <cell r="D396">
            <v>46032</v>
          </cell>
          <cell r="E396">
            <v>2</v>
          </cell>
          <cell r="F396" t="str">
            <v>NATURAL</v>
          </cell>
          <cell r="G396" t="str">
            <v>AMERICANA</v>
          </cell>
        </row>
        <row r="397">
          <cell r="A397" t="str">
            <v>HI-AME-DR-TFJ-SOM</v>
          </cell>
          <cell r="B397" t="str">
            <v>DISCO RETESTEADOR TRASLAPO FIJO AMERICANA - SOM</v>
          </cell>
          <cell r="C397">
            <v>0</v>
          </cell>
          <cell r="D397">
            <v>45706</v>
          </cell>
          <cell r="E397">
            <v>0.94279999999999997</v>
          </cell>
          <cell r="F397" t="str">
            <v>NATURAL</v>
          </cell>
          <cell r="G397" t="str">
            <v>HERRAMIENTAS</v>
          </cell>
        </row>
        <row r="398">
          <cell r="A398" t="str">
            <v>HI-AME-F500-SLK</v>
          </cell>
          <cell r="B398" t="str">
            <v>FELPA AMERICANA SILTEK - 500 mts</v>
          </cell>
          <cell r="C398">
            <v>161</v>
          </cell>
          <cell r="D398">
            <v>46183</v>
          </cell>
          <cell r="E398">
            <v>2.9664000000000001</v>
          </cell>
          <cell r="F398" t="str">
            <v>NATURAL</v>
          </cell>
          <cell r="G398" t="str">
            <v>AMERICANA</v>
          </cell>
        </row>
        <row r="399">
          <cell r="A399" t="str">
            <v>HI-AME-FLP-SLK</v>
          </cell>
          <cell r="B399" t="str">
            <v>FELPA AMERICANA SILTEK - 210 mts</v>
          </cell>
          <cell r="C399">
            <v>31</v>
          </cell>
          <cell r="D399">
            <v>45904</v>
          </cell>
          <cell r="E399">
            <v>1.3924000000000001</v>
          </cell>
          <cell r="F399" t="str">
            <v>GRIS</v>
          </cell>
          <cell r="G399" t="str">
            <v>AMERICANA</v>
          </cell>
        </row>
        <row r="400">
          <cell r="A400" t="str">
            <v>HI-BIS-100-BL</v>
          </cell>
          <cell r="B400" t="str">
            <v>BISAGRA 100 mm - BLANCO</v>
          </cell>
          <cell r="C400">
            <v>0</v>
          </cell>
          <cell r="D400"/>
          <cell r="E400">
            <v>0.11</v>
          </cell>
          <cell r="F400" t="str">
            <v>BLANCO</v>
          </cell>
          <cell r="G400" t="str">
            <v>BISAGRAS</v>
          </cell>
        </row>
        <row r="401">
          <cell r="A401" t="str">
            <v>HI-BIS-100-NE</v>
          </cell>
          <cell r="B401" t="str">
            <v>BISAGRA 100 mm - NEGRO</v>
          </cell>
          <cell r="C401">
            <v>0</v>
          </cell>
          <cell r="D401">
            <v>45533</v>
          </cell>
          <cell r="E401">
            <v>0.11</v>
          </cell>
          <cell r="F401" t="str">
            <v>NEGRO</v>
          </cell>
          <cell r="G401" t="str">
            <v>BISAGRAS</v>
          </cell>
        </row>
        <row r="402">
          <cell r="A402" t="str">
            <v>HI-BIS-100-SEG-BL</v>
          </cell>
          <cell r="B402" t="str">
            <v>BISAGRA 100 mm C/ CLAVIJA SEGURIDAD - BLANCO</v>
          </cell>
          <cell r="C402">
            <v>5275</v>
          </cell>
          <cell r="D402">
            <v>46191</v>
          </cell>
          <cell r="E402">
            <v>0.11</v>
          </cell>
          <cell r="F402" t="str">
            <v>BLANCO</v>
          </cell>
          <cell r="G402" t="str">
            <v>BISAGRAS</v>
          </cell>
        </row>
        <row r="403">
          <cell r="A403" t="str">
            <v>HI-BIS-100-SEG-GS</v>
          </cell>
          <cell r="B403" t="str">
            <v>BISAGRA 100 mm C/ CLAVIJA SEGURIDAD - GRIS</v>
          </cell>
          <cell r="C403">
            <v>0</v>
          </cell>
          <cell r="D403">
            <v>44561</v>
          </cell>
          <cell r="E403">
            <v>0.11</v>
          </cell>
          <cell r="F403" t="str">
            <v>GRAFITO</v>
          </cell>
          <cell r="G403" t="str">
            <v>BISAGRAS</v>
          </cell>
        </row>
        <row r="404">
          <cell r="A404" t="str">
            <v>HI-BIS-100-SEG-MR</v>
          </cell>
          <cell r="B404" t="str">
            <v>BISAGRA 100 mm C/ CLAVIJA SEGURIDAD - MARRON</v>
          </cell>
          <cell r="C404">
            <v>2521</v>
          </cell>
          <cell r="D404">
            <v>46191</v>
          </cell>
          <cell r="E404">
            <v>0.11</v>
          </cell>
          <cell r="F404" t="str">
            <v>MARRON</v>
          </cell>
          <cell r="G404" t="str">
            <v>BISAGRAS</v>
          </cell>
        </row>
        <row r="405">
          <cell r="A405" t="str">
            <v>HI-BIS-100-SEG-NE</v>
          </cell>
          <cell r="B405" t="str">
            <v>BISAGRA 100 mm C/ CLAVIJA SEGURIDAD - NEGRO</v>
          </cell>
          <cell r="C405">
            <v>1595</v>
          </cell>
          <cell r="D405">
            <v>46195</v>
          </cell>
          <cell r="E405">
            <v>0.11</v>
          </cell>
          <cell r="F405" t="str">
            <v>NEGRO</v>
          </cell>
          <cell r="G405" t="str">
            <v>BISAGRAS</v>
          </cell>
        </row>
        <row r="406">
          <cell r="A406" t="str">
            <v>HI-BIS-3D-BL</v>
          </cell>
          <cell r="B406" t="str">
            <v>BISAGRA 3D AJUSTABLE 125 kg PAVO - BLANCO</v>
          </cell>
          <cell r="C406">
            <v>4337</v>
          </cell>
          <cell r="D406">
            <v>46191</v>
          </cell>
          <cell r="E406">
            <v>0.7</v>
          </cell>
          <cell r="F406" t="str">
            <v>BLANCO</v>
          </cell>
          <cell r="G406" t="str">
            <v>BISAGRAS</v>
          </cell>
        </row>
        <row r="407">
          <cell r="A407" t="str">
            <v>HI-BIS-3D-BL-SM</v>
          </cell>
          <cell r="B407" t="str">
            <v>BISAGRA 3D AJUSTABLE - BLANCO - SOM</v>
          </cell>
          <cell r="C407">
            <v>4</v>
          </cell>
          <cell r="D407">
            <v>45545</v>
          </cell>
          <cell r="E407">
            <v>0.7</v>
          </cell>
          <cell r="F407" t="str">
            <v>BLANCO</v>
          </cell>
          <cell r="G407" t="str">
            <v>BISAGRAS</v>
          </cell>
        </row>
        <row r="408">
          <cell r="A408" t="str">
            <v>HI-BIS-3D-CF</v>
          </cell>
          <cell r="B408" t="str">
            <v>BISAGRA 3D AJUSTABLE 125 kg PAVO - CAFE</v>
          </cell>
          <cell r="C408">
            <v>504</v>
          </cell>
          <cell r="D408">
            <v>45995</v>
          </cell>
          <cell r="E408">
            <v>0.7</v>
          </cell>
          <cell r="F408" t="str">
            <v>CAFE</v>
          </cell>
          <cell r="G408" t="str">
            <v>BISAGRAS</v>
          </cell>
        </row>
        <row r="409">
          <cell r="A409" t="str">
            <v>HI-BIS-3D-MR</v>
          </cell>
          <cell r="B409" t="str">
            <v>BISAGRA 3D AJUSTABLE 125 kg PAVO - MARRON</v>
          </cell>
          <cell r="C409">
            <v>2566</v>
          </cell>
          <cell r="D409">
            <v>46191</v>
          </cell>
          <cell r="E409">
            <v>0.7</v>
          </cell>
          <cell r="F409" t="str">
            <v>MARRON</v>
          </cell>
          <cell r="G409" t="str">
            <v>BISAGRAS</v>
          </cell>
        </row>
        <row r="410">
          <cell r="A410" t="str">
            <v>HI-BIS-3D-MR-SM</v>
          </cell>
          <cell r="B410" t="str">
            <v>BISAGRA 3D AJUSTABLE - MARRON - SOM</v>
          </cell>
          <cell r="C410">
            <v>0</v>
          </cell>
          <cell r="D410">
            <v>44816</v>
          </cell>
          <cell r="E410">
            <v>0.63</v>
          </cell>
          <cell r="F410" t="str">
            <v>MARRON</v>
          </cell>
          <cell r="G410" t="str">
            <v>BISAGRAS</v>
          </cell>
        </row>
        <row r="411">
          <cell r="A411" t="str">
            <v>HI-BIS-3D-NE</v>
          </cell>
          <cell r="B411" t="str">
            <v>BISAGRA 3D AJUSTABLE 125 kg PAVO - NEGRO</v>
          </cell>
          <cell r="C411">
            <v>1098</v>
          </cell>
          <cell r="D411">
            <v>46191</v>
          </cell>
          <cell r="E411">
            <v>0.7</v>
          </cell>
          <cell r="F411" t="str">
            <v>NEGRO</v>
          </cell>
          <cell r="G411" t="str">
            <v>BISAGRAS</v>
          </cell>
        </row>
        <row r="412">
          <cell r="A412" t="str">
            <v>HI-BIS-3D-NE-SM</v>
          </cell>
          <cell r="B412" t="str">
            <v>BISAGRA 3D AJUSTABLE - NEGRO - SOM</v>
          </cell>
          <cell r="C412">
            <v>21</v>
          </cell>
          <cell r="D412">
            <v>45512</v>
          </cell>
          <cell r="E412">
            <v>0.63</v>
          </cell>
          <cell r="F412" t="str">
            <v>NEGRO</v>
          </cell>
          <cell r="G412" t="str">
            <v>BISAGRAS</v>
          </cell>
        </row>
        <row r="413">
          <cell r="A413" t="str">
            <v>HI-BIS-75-CS-BL</v>
          </cell>
          <cell r="B413" t="str">
            <v>BISAGRA 75 mm C/ CLAVIJA SEGURIDAD - BLANCO</v>
          </cell>
          <cell r="C413">
            <v>0</v>
          </cell>
          <cell r="D413">
            <v>45123</v>
          </cell>
          <cell r="E413">
            <v>0.08</v>
          </cell>
          <cell r="F413" t="str">
            <v>BLANCO</v>
          </cell>
          <cell r="G413" t="str">
            <v>BISAGRAS</v>
          </cell>
        </row>
        <row r="414">
          <cell r="A414" t="str">
            <v>HI-BIS-75-CS-MR</v>
          </cell>
          <cell r="B414" t="str">
            <v>BISAGRA 75 mm C/ CLAVIJA SEGURIDAD - MARRON</v>
          </cell>
          <cell r="C414">
            <v>0</v>
          </cell>
          <cell r="D414">
            <v>45123</v>
          </cell>
          <cell r="E414">
            <v>0.08</v>
          </cell>
          <cell r="F414" t="str">
            <v>MARRON</v>
          </cell>
          <cell r="G414" t="str">
            <v>BISAGRAS</v>
          </cell>
        </row>
        <row r="415">
          <cell r="A415" t="str">
            <v>HI-BIS-75-CS-NE</v>
          </cell>
          <cell r="B415" t="str">
            <v>BISAGRA 75 mm C/ CLAVIJA SEGURIDAD - NEGRO</v>
          </cell>
          <cell r="C415">
            <v>0</v>
          </cell>
          <cell r="D415">
            <v>45298</v>
          </cell>
          <cell r="E415">
            <v>0.08</v>
          </cell>
          <cell r="F415" t="str">
            <v>NEGRO</v>
          </cell>
          <cell r="G415" t="str">
            <v>BISAGRAS</v>
          </cell>
        </row>
        <row r="416">
          <cell r="A416" t="str">
            <v>HI-BIS-OCL-60-3H</v>
          </cell>
          <cell r="B416" t="str">
            <v>PAR BISAGRAS OCULTAS 60 KG - 13 AXIS - 3H</v>
          </cell>
          <cell r="C416">
            <v>1994</v>
          </cell>
          <cell r="D416">
            <v>45661</v>
          </cell>
          <cell r="E416">
            <v>0.08</v>
          </cell>
          <cell r="F416" t="str">
            <v>NEGRO</v>
          </cell>
          <cell r="G416" t="str">
            <v>BISAGRAS</v>
          </cell>
        </row>
        <row r="417">
          <cell r="A417" t="str">
            <v>HI-BR-AB-10</v>
          </cell>
          <cell r="B417" t="str">
            <v>BRAZO ABATIR 10 - PLG - SLK</v>
          </cell>
          <cell r="C417">
            <v>252</v>
          </cell>
          <cell r="D417">
            <v>45338</v>
          </cell>
          <cell r="E417">
            <v>0.28999999999999998</v>
          </cell>
          <cell r="F417" t="str">
            <v>NATURAL</v>
          </cell>
          <cell r="G417" t="str">
            <v>BRAZO</v>
          </cell>
        </row>
        <row r="418">
          <cell r="A418" t="str">
            <v>HI-BR-AB-14</v>
          </cell>
          <cell r="B418" t="str">
            <v>BRAZO ABATIR 14 - PLG - SLK</v>
          </cell>
          <cell r="C418">
            <v>0</v>
          </cell>
          <cell r="D418">
            <v>45661</v>
          </cell>
          <cell r="E418">
            <v>0.37</v>
          </cell>
          <cell r="F418" t="str">
            <v>NATURAL</v>
          </cell>
          <cell r="G418" t="str">
            <v>BRAZO</v>
          </cell>
        </row>
        <row r="419">
          <cell r="A419" t="str">
            <v>HI-BR-AB-15</v>
          </cell>
          <cell r="B419" t="str">
            <v>BRAZO ABATIR 18 - PLG - SLK</v>
          </cell>
          <cell r="C419">
            <v>0</v>
          </cell>
          <cell r="D419">
            <v>45298</v>
          </cell>
          <cell r="E419">
            <v>0.45</v>
          </cell>
          <cell r="F419" t="str">
            <v>NATURAL</v>
          </cell>
          <cell r="G419" t="str">
            <v>BRAZO</v>
          </cell>
        </row>
        <row r="420">
          <cell r="A420" t="str">
            <v>HI-BR-PR-10</v>
          </cell>
          <cell r="B420" t="str">
            <v>BRAZO PROYECTANTE 10 - PLG - SLK</v>
          </cell>
          <cell r="C420">
            <v>4219</v>
          </cell>
          <cell r="D420">
            <v>46060</v>
          </cell>
          <cell r="E420">
            <v>0.2</v>
          </cell>
          <cell r="F420" t="str">
            <v>NATURAL</v>
          </cell>
          <cell r="G420" t="str">
            <v>BRAZO</v>
          </cell>
        </row>
        <row r="421">
          <cell r="A421" t="str">
            <v>HI-BR-PR-10-NC</v>
          </cell>
          <cell r="B421" t="str">
            <v>BRAZO PROYECCION NICO 10 - PLG</v>
          </cell>
          <cell r="C421">
            <v>636</v>
          </cell>
          <cell r="D421">
            <v>46167</v>
          </cell>
          <cell r="E421">
            <v>0.17</v>
          </cell>
          <cell r="F421" t="str">
            <v>NATURAL</v>
          </cell>
          <cell r="G421" t="str">
            <v>BRAZO</v>
          </cell>
        </row>
        <row r="422">
          <cell r="A422" t="str">
            <v>HI-BR-PR-12</v>
          </cell>
          <cell r="B422" t="str">
            <v>BRAZO PROYECTANTE 12 - PLG - SLK</v>
          </cell>
          <cell r="C422">
            <v>122</v>
          </cell>
          <cell r="D422">
            <v>45931</v>
          </cell>
          <cell r="E422">
            <v>0.23</v>
          </cell>
          <cell r="F422" t="str">
            <v>NATURAL</v>
          </cell>
          <cell r="G422" t="str">
            <v>BRAZO</v>
          </cell>
        </row>
        <row r="423">
          <cell r="A423" t="str">
            <v>HI-BR-PR-12-NC</v>
          </cell>
          <cell r="B423" t="str">
            <v>BRAZO PROYECCION NICO 12 - PLG</v>
          </cell>
          <cell r="C423">
            <v>278</v>
          </cell>
          <cell r="D423">
            <v>46191</v>
          </cell>
          <cell r="E423">
            <v>0.2</v>
          </cell>
          <cell r="F423" t="str">
            <v>NATURAL</v>
          </cell>
          <cell r="G423" t="str">
            <v>BRAZO</v>
          </cell>
        </row>
        <row r="424">
          <cell r="A424" t="str">
            <v>HI-BR-PR-14</v>
          </cell>
          <cell r="B424" t="str">
            <v>BRAZO PROYECTANTE 14 - PLG - SLK</v>
          </cell>
          <cell r="C424">
            <v>208</v>
          </cell>
          <cell r="D424">
            <v>45661</v>
          </cell>
          <cell r="E424">
            <v>0.27510000000000001</v>
          </cell>
          <cell r="F424" t="str">
            <v>NEGRO</v>
          </cell>
          <cell r="G424" t="str">
            <v>BRAZO</v>
          </cell>
        </row>
        <row r="425">
          <cell r="A425" t="str">
            <v>HI-BR-PR-16</v>
          </cell>
          <cell r="B425" t="str">
            <v>BRAZO PROYECTANTE 16 - PLG - SLK</v>
          </cell>
          <cell r="C425">
            <v>0</v>
          </cell>
          <cell r="D425">
            <v>45545</v>
          </cell>
          <cell r="E425">
            <v>0.3</v>
          </cell>
          <cell r="F425" t="str">
            <v>NATURAL</v>
          </cell>
          <cell r="G425" t="str">
            <v>BRAZO</v>
          </cell>
        </row>
        <row r="426">
          <cell r="A426" t="str">
            <v>HI-BR-PR-16-NC</v>
          </cell>
          <cell r="B426" t="str">
            <v>BRAZO PROYECCION NICO 16 - PLG</v>
          </cell>
          <cell r="C426">
            <v>923</v>
          </cell>
          <cell r="D426">
            <v>46191</v>
          </cell>
          <cell r="E426">
            <v>0.26</v>
          </cell>
          <cell r="F426" t="str">
            <v>NATURAL</v>
          </cell>
          <cell r="G426" t="str">
            <v>BRAZO</v>
          </cell>
        </row>
        <row r="427">
          <cell r="A427" t="str">
            <v>HI-BR-PR-20</v>
          </cell>
          <cell r="B427" t="str">
            <v>BRAZO PROYECTANTE 20 - PLG - SLK</v>
          </cell>
          <cell r="C427">
            <v>0</v>
          </cell>
          <cell r="D427">
            <v>45298</v>
          </cell>
          <cell r="E427">
            <v>0.4</v>
          </cell>
          <cell r="F427" t="str">
            <v>NATURAL</v>
          </cell>
          <cell r="G427" t="str">
            <v>BRAZO</v>
          </cell>
        </row>
        <row r="428">
          <cell r="A428" t="str">
            <v>HI-BR-PR-20-NC</v>
          </cell>
          <cell r="B428" t="str">
            <v>BRAZO PROYECCION NICO 20 - PLG</v>
          </cell>
          <cell r="C428">
            <v>1051</v>
          </cell>
          <cell r="D428">
            <v>45931</v>
          </cell>
          <cell r="E428">
            <v>0.33</v>
          </cell>
          <cell r="F428" t="str">
            <v>NATURAL</v>
          </cell>
          <cell r="G428" t="str">
            <v>BRAZO</v>
          </cell>
        </row>
        <row r="429">
          <cell r="A429" t="str">
            <v>HI-BR-PR-24</v>
          </cell>
          <cell r="B429" t="str">
            <v>BRAZO PROYECTANTE 24 - PLG - SLK</v>
          </cell>
          <cell r="C429">
            <v>0</v>
          </cell>
          <cell r="D429">
            <v>45476</v>
          </cell>
          <cell r="E429">
            <v>0.52</v>
          </cell>
          <cell r="F429" t="str">
            <v>NATURAL</v>
          </cell>
          <cell r="G429" t="str">
            <v>BRAZO</v>
          </cell>
        </row>
        <row r="430">
          <cell r="A430" t="str">
            <v>HI-BR-PR-24-NC</v>
          </cell>
          <cell r="B430" t="str">
            <v>BRAZO PROYECCION NICO 24 - PLG</v>
          </cell>
          <cell r="C430">
            <v>1373</v>
          </cell>
          <cell r="D430">
            <v>46191</v>
          </cell>
          <cell r="E430">
            <v>0.39</v>
          </cell>
          <cell r="F430" t="str">
            <v>NATURAL</v>
          </cell>
          <cell r="G430" t="str">
            <v>BRAZO</v>
          </cell>
        </row>
        <row r="431">
          <cell r="A431" t="str">
            <v>HI-BR-PR-8</v>
          </cell>
          <cell r="B431" t="str">
            <v>BRAZO PROYECTANTE 8 - PLG - SLK</v>
          </cell>
          <cell r="C431">
            <v>3230</v>
          </cell>
          <cell r="D431">
            <v>46060</v>
          </cell>
          <cell r="E431">
            <v>0.19</v>
          </cell>
          <cell r="F431" t="str">
            <v>NATURAL</v>
          </cell>
          <cell r="G431" t="str">
            <v>BRAZO</v>
          </cell>
        </row>
        <row r="432">
          <cell r="A432" t="str">
            <v>HI-BR-PR-8-NC</v>
          </cell>
          <cell r="B432" t="str">
            <v>BRAZO PROYECCION NICO 8 - PLG</v>
          </cell>
          <cell r="C432">
            <v>382</v>
          </cell>
          <cell r="D432">
            <v>46167</v>
          </cell>
          <cell r="E432">
            <v>0.14000000000000001</v>
          </cell>
          <cell r="F432" t="str">
            <v>NATURAL</v>
          </cell>
          <cell r="G432" t="str">
            <v>BRAZO</v>
          </cell>
        </row>
        <row r="433">
          <cell r="A433" t="str">
            <v>HI-CC-CLL-E15-1800</v>
          </cell>
          <cell r="B433" t="str">
            <v>CREMONA CORREDERA CON LLAVE E15 1800 mm</v>
          </cell>
          <cell r="C433">
            <v>155</v>
          </cell>
          <cell r="D433">
            <v>46060</v>
          </cell>
          <cell r="E433">
            <v>0.89759999999999995</v>
          </cell>
          <cell r="F433" t="str">
            <v>NATURAL</v>
          </cell>
          <cell r="G433" t="str">
            <v>CREMONA</v>
          </cell>
        </row>
        <row r="434">
          <cell r="A434" t="str">
            <v>HI-CC-CLL-E15-2000</v>
          </cell>
          <cell r="B434" t="str">
            <v>CREMONA CORREDERA CON LLAVE E15 2000 mm</v>
          </cell>
          <cell r="C434">
            <v>106</v>
          </cell>
          <cell r="D434">
            <v>46076</v>
          </cell>
          <cell r="E434">
            <v>0.98419999999999996</v>
          </cell>
          <cell r="F434" t="str">
            <v>NATURAL</v>
          </cell>
          <cell r="G434" t="str">
            <v>CREMONA</v>
          </cell>
        </row>
        <row r="435">
          <cell r="A435" t="str">
            <v>HI-CC-E15-1000</v>
          </cell>
          <cell r="B435" t="str">
            <v>CREMONA CORREDERA E15 1000 mm</v>
          </cell>
          <cell r="C435">
            <v>4071</v>
          </cell>
          <cell r="D435">
            <v>46191</v>
          </cell>
          <cell r="E435">
            <v>0.41</v>
          </cell>
          <cell r="F435" t="str">
            <v>NATURAL</v>
          </cell>
          <cell r="G435" t="str">
            <v>CREMONA</v>
          </cell>
        </row>
        <row r="436">
          <cell r="A436" t="str">
            <v>HI-CC-E15-1000-SM</v>
          </cell>
          <cell r="B436" t="str">
            <v>CREMONA CORREDERA 1000 mm E15 - SOM</v>
          </cell>
          <cell r="C436">
            <v>0</v>
          </cell>
          <cell r="D436">
            <v>44926</v>
          </cell>
          <cell r="E436">
            <v>0.39</v>
          </cell>
          <cell r="F436" t="str">
            <v>NATURAL</v>
          </cell>
          <cell r="G436" t="str">
            <v>CREMONA</v>
          </cell>
        </row>
        <row r="437">
          <cell r="A437" t="str">
            <v>HI-CC-E15-1200</v>
          </cell>
          <cell r="B437" t="str">
            <v>CREMONA CORREDERA E15 1200 mm</v>
          </cell>
          <cell r="C437">
            <v>696</v>
          </cell>
          <cell r="D437">
            <v>46167</v>
          </cell>
          <cell r="E437">
            <v>0.48</v>
          </cell>
          <cell r="F437" t="str">
            <v>NATURAL</v>
          </cell>
          <cell r="G437" t="str">
            <v>CREMONA</v>
          </cell>
        </row>
        <row r="438">
          <cell r="A438" t="str">
            <v>HI-CC-E15-1200-SM</v>
          </cell>
          <cell r="B438" t="str">
            <v>CREMONA CORREDERA 1200 mm E15 - SOM</v>
          </cell>
          <cell r="C438">
            <v>413</v>
          </cell>
          <cell r="D438">
            <v>44670</v>
          </cell>
          <cell r="E438">
            <v>0.46</v>
          </cell>
          <cell r="F438" t="str">
            <v>NATURAL</v>
          </cell>
          <cell r="G438" t="str">
            <v>CREMONA</v>
          </cell>
        </row>
        <row r="439">
          <cell r="A439" t="str">
            <v>HI-CC-E15-1400</v>
          </cell>
          <cell r="B439" t="str">
            <v>CREMONA CORREDERA E15 1400 mm</v>
          </cell>
          <cell r="C439">
            <v>2009</v>
          </cell>
          <cell r="D439">
            <v>46191</v>
          </cell>
          <cell r="E439">
            <v>0.6</v>
          </cell>
          <cell r="F439" t="str">
            <v>NATURAL</v>
          </cell>
          <cell r="G439" t="str">
            <v>CREMONA</v>
          </cell>
        </row>
        <row r="440">
          <cell r="A440" t="str">
            <v>HI-CC-E15-1400-SM</v>
          </cell>
          <cell r="B440" t="str">
            <v>CREMONA CORREDERA 1400 mm E15 - SOM</v>
          </cell>
          <cell r="C440">
            <v>0</v>
          </cell>
          <cell r="D440">
            <v>44825</v>
          </cell>
          <cell r="E440">
            <v>0.54</v>
          </cell>
          <cell r="F440" t="str">
            <v>NATURAL</v>
          </cell>
          <cell r="G440" t="str">
            <v>CREMONA</v>
          </cell>
        </row>
        <row r="441">
          <cell r="A441" t="str">
            <v>HI-CC-E15-1600</v>
          </cell>
          <cell r="B441" t="str">
            <v>CREMONA CORREDERA E15 1600 mm</v>
          </cell>
          <cell r="C441">
            <v>1608</v>
          </cell>
          <cell r="D441">
            <v>46167</v>
          </cell>
          <cell r="E441">
            <v>0.69</v>
          </cell>
          <cell r="F441" t="str">
            <v>NATURAL</v>
          </cell>
          <cell r="G441" t="str">
            <v>CREMONA</v>
          </cell>
        </row>
        <row r="442">
          <cell r="A442" t="str">
            <v>HI-CC-E15-1600-SM</v>
          </cell>
          <cell r="B442" t="str">
            <v>CREMONA CORREDERA 1600 mm E15 - SOM</v>
          </cell>
          <cell r="C442">
            <v>0</v>
          </cell>
          <cell r="D442">
            <v>44946</v>
          </cell>
          <cell r="E442">
            <v>0.63</v>
          </cell>
          <cell r="F442" t="str">
            <v>NATURAL</v>
          </cell>
          <cell r="G442" t="str">
            <v>CREMONA</v>
          </cell>
        </row>
        <row r="443">
          <cell r="A443" t="str">
            <v>HI-CC-E15-1800</v>
          </cell>
          <cell r="B443" t="str">
            <v>CREMONA CORREDERA E15 1800 mm</v>
          </cell>
          <cell r="C443">
            <v>2483</v>
          </cell>
          <cell r="D443">
            <v>46191</v>
          </cell>
          <cell r="E443">
            <v>0.76</v>
          </cell>
          <cell r="F443" t="str">
            <v>NATURAL</v>
          </cell>
          <cell r="G443" t="str">
            <v>CREMONA</v>
          </cell>
        </row>
        <row r="444">
          <cell r="A444" t="str">
            <v>HI-CC-E15-1800-SM</v>
          </cell>
          <cell r="B444" t="str">
            <v>CREMONA CORREDERA 1800 mm E15 - SOM</v>
          </cell>
          <cell r="C444">
            <v>0</v>
          </cell>
          <cell r="D444">
            <v>44926</v>
          </cell>
          <cell r="E444">
            <v>0.72</v>
          </cell>
          <cell r="F444" t="str">
            <v>NATURAL</v>
          </cell>
          <cell r="G444" t="str">
            <v>CREMONA</v>
          </cell>
        </row>
        <row r="445">
          <cell r="A445" t="str">
            <v>HI-CC-E15-2000</v>
          </cell>
          <cell r="B445" t="str">
            <v>CREMONA CORREDERA E15 2000 mm</v>
          </cell>
          <cell r="C445">
            <v>1655</v>
          </cell>
          <cell r="D445">
            <v>46191</v>
          </cell>
          <cell r="E445">
            <v>0.84</v>
          </cell>
          <cell r="F445" t="str">
            <v>NATURAL</v>
          </cell>
          <cell r="G445" t="str">
            <v>CREMONA</v>
          </cell>
        </row>
        <row r="446">
          <cell r="A446" t="str">
            <v>HI-CC-E15-2000-SM</v>
          </cell>
          <cell r="B446" t="str">
            <v>CREMONA CORREDERA 2000 mm E15 - SOM</v>
          </cell>
          <cell r="C446">
            <v>657</v>
          </cell>
          <cell r="D446">
            <v>46060</v>
          </cell>
          <cell r="E446">
            <v>0.8</v>
          </cell>
          <cell r="F446" t="str">
            <v>NATURAL</v>
          </cell>
          <cell r="G446" t="str">
            <v>CREMONA</v>
          </cell>
        </row>
        <row r="447">
          <cell r="A447" t="str">
            <v>HI-CC-E15-210</v>
          </cell>
          <cell r="B447" t="str">
            <v>CREMONA CORREDERA E15 210 mm</v>
          </cell>
          <cell r="C447">
            <v>5631</v>
          </cell>
          <cell r="D447">
            <v>46167</v>
          </cell>
          <cell r="E447">
            <v>0.13</v>
          </cell>
          <cell r="F447" t="str">
            <v>NATURAL</v>
          </cell>
          <cell r="G447" t="str">
            <v>CREMONA</v>
          </cell>
        </row>
        <row r="448">
          <cell r="A448" t="str">
            <v>HI-CC-E15-210-SM</v>
          </cell>
          <cell r="B448" t="str">
            <v>CREMONA CORREDERA E15 210 mm - SOM</v>
          </cell>
          <cell r="C448">
            <v>0</v>
          </cell>
          <cell r="D448">
            <v>44670</v>
          </cell>
          <cell r="E448">
            <v>0.123</v>
          </cell>
          <cell r="F448" t="str">
            <v>NATURAL</v>
          </cell>
          <cell r="G448" t="str">
            <v>CREMONA</v>
          </cell>
        </row>
        <row r="449">
          <cell r="A449" t="str">
            <v>HI-CC-E15-280-SM</v>
          </cell>
          <cell r="B449" t="str">
            <v>CREMONA CORREDERA E15 280 mm - SOM</v>
          </cell>
          <cell r="C449">
            <v>0</v>
          </cell>
          <cell r="D449">
            <v>45260</v>
          </cell>
          <cell r="E449">
            <v>0.125</v>
          </cell>
          <cell r="F449" t="str">
            <v>NATURAL</v>
          </cell>
          <cell r="G449" t="str">
            <v>CREMONA</v>
          </cell>
        </row>
        <row r="450">
          <cell r="A450" t="str">
            <v>HI-CC-E15-300-SM</v>
          </cell>
          <cell r="B450" t="str">
            <v>CREMONA CORREDERA 300 mm E15 - SOM</v>
          </cell>
          <cell r="C450">
            <v>1459</v>
          </cell>
          <cell r="D450">
            <v>45545</v>
          </cell>
          <cell r="E450">
            <v>0.12</v>
          </cell>
          <cell r="F450" t="str">
            <v>NATURAL</v>
          </cell>
          <cell r="G450" t="str">
            <v>CREMONA</v>
          </cell>
        </row>
        <row r="451">
          <cell r="A451" t="str">
            <v>HI-CC-E15-400</v>
          </cell>
          <cell r="B451" t="str">
            <v>CREMONA CORREDERA E15 400 mm</v>
          </cell>
          <cell r="C451">
            <v>1530</v>
          </cell>
          <cell r="D451">
            <v>46167</v>
          </cell>
          <cell r="E451">
            <v>0.2</v>
          </cell>
          <cell r="F451" t="str">
            <v>NATURAL</v>
          </cell>
          <cell r="G451" t="str">
            <v>CREMONA</v>
          </cell>
        </row>
        <row r="452">
          <cell r="A452" t="str">
            <v>HI-CC-E15-400-SM</v>
          </cell>
          <cell r="B452" t="str">
            <v>CREMONA CORREDERA 400 mm E15 - SOM</v>
          </cell>
          <cell r="C452">
            <v>0</v>
          </cell>
          <cell r="D452">
            <v>45661</v>
          </cell>
          <cell r="E452">
            <v>0.15</v>
          </cell>
          <cell r="F452" t="str">
            <v>NATURAL</v>
          </cell>
          <cell r="G452" t="str">
            <v>CREMONA</v>
          </cell>
        </row>
        <row r="453">
          <cell r="A453" t="str">
            <v>HI-CC-E15-600</v>
          </cell>
          <cell r="B453" t="str">
            <v>CREMONA CORREDERA E15 600 mm</v>
          </cell>
          <cell r="C453">
            <v>955</v>
          </cell>
          <cell r="D453">
            <v>46167</v>
          </cell>
          <cell r="E453">
            <v>0.24</v>
          </cell>
          <cell r="F453" t="str">
            <v>NATURAL</v>
          </cell>
          <cell r="G453" t="str">
            <v>CREMONA</v>
          </cell>
        </row>
        <row r="454">
          <cell r="A454" t="str">
            <v>HI-CC-E15-600-2ZP</v>
          </cell>
          <cell r="B454" t="str">
            <v>CREMONA CORREDERA E15 600 mm - 2 ZP</v>
          </cell>
          <cell r="C454">
            <v>0</v>
          </cell>
          <cell r="D454">
            <v>45728</v>
          </cell>
          <cell r="E454">
            <v>0.25</v>
          </cell>
          <cell r="F454" t="str">
            <v>NATURAL</v>
          </cell>
          <cell r="G454" t="str">
            <v>CREMONA</v>
          </cell>
        </row>
        <row r="455">
          <cell r="A455" t="str">
            <v>HI-CC-E15-600-SM</v>
          </cell>
          <cell r="B455" t="str">
            <v>CREMONA CORREDERA 600 mm E15 - SOM</v>
          </cell>
          <cell r="C455">
            <v>0</v>
          </cell>
          <cell r="D455">
            <v>44775</v>
          </cell>
          <cell r="E455">
            <v>0.23</v>
          </cell>
          <cell r="F455" t="str">
            <v>NATURAL</v>
          </cell>
          <cell r="G455" t="str">
            <v>CREMONA</v>
          </cell>
        </row>
        <row r="456">
          <cell r="A456" t="str">
            <v>HI-CC-E15-800</v>
          </cell>
          <cell r="B456" t="str">
            <v>CREMONA CORREDERA E15 800 mm</v>
          </cell>
          <cell r="C456">
            <v>3169</v>
          </cell>
          <cell r="D456">
            <v>46167</v>
          </cell>
          <cell r="E456">
            <v>0.33</v>
          </cell>
          <cell r="F456" t="str">
            <v>NATURAL</v>
          </cell>
          <cell r="G456" t="str">
            <v>CREMONA</v>
          </cell>
        </row>
        <row r="457">
          <cell r="A457" t="str">
            <v>HI-CC-E15-800-SM</v>
          </cell>
          <cell r="B457" t="str">
            <v>CREMONA CORREDERA 800 mm E15 - SOM</v>
          </cell>
          <cell r="C457">
            <v>0</v>
          </cell>
          <cell r="D457">
            <v>45123</v>
          </cell>
          <cell r="E457">
            <v>0.31</v>
          </cell>
          <cell r="F457" t="str">
            <v>NATURAL</v>
          </cell>
          <cell r="G457" t="str">
            <v>CREMONA</v>
          </cell>
        </row>
        <row r="458">
          <cell r="A458" t="str">
            <v>HI-CC-E75-1000</v>
          </cell>
          <cell r="B458" t="str">
            <v>CREMONA CORREDERA E7,5 1000 mm</v>
          </cell>
          <cell r="C458">
            <v>921</v>
          </cell>
          <cell r="D458">
            <v>46167</v>
          </cell>
          <cell r="E458">
            <v>0.43</v>
          </cell>
          <cell r="F458" t="str">
            <v>NATURAL</v>
          </cell>
          <cell r="G458" t="str">
            <v>CREMONA</v>
          </cell>
        </row>
        <row r="459">
          <cell r="A459" t="str">
            <v>HI-CC-E75-1000-SM</v>
          </cell>
          <cell r="B459" t="str">
            <v>CREMONA CORREDERA E7,5 1000 mm - SOM</v>
          </cell>
          <cell r="C459">
            <v>0</v>
          </cell>
          <cell r="D459">
            <v>45123</v>
          </cell>
          <cell r="E459">
            <v>0.42549999999999999</v>
          </cell>
          <cell r="F459" t="str">
            <v>NATURAL</v>
          </cell>
          <cell r="G459" t="str">
            <v>CREMONA</v>
          </cell>
        </row>
        <row r="460">
          <cell r="A460" t="str">
            <v>HI-CC-E75-1200</v>
          </cell>
          <cell r="B460" t="str">
            <v>CREMONA CORREDERA E7,5 1200 mm</v>
          </cell>
          <cell r="C460">
            <v>3094</v>
          </cell>
          <cell r="D460">
            <v>46191</v>
          </cell>
          <cell r="E460">
            <v>0.49</v>
          </cell>
          <cell r="F460" t="str">
            <v>NATURAL</v>
          </cell>
          <cell r="G460" t="str">
            <v>CREMONA</v>
          </cell>
        </row>
        <row r="461">
          <cell r="A461" t="str">
            <v>HI-CC-E75-1200-SM</v>
          </cell>
          <cell r="B461" t="str">
            <v>CREMONA CORREDERA E7,5 1200 mm - SOM</v>
          </cell>
          <cell r="C461">
            <v>95</v>
          </cell>
          <cell r="D461">
            <v>45545</v>
          </cell>
          <cell r="E461">
            <v>0.49230000000000002</v>
          </cell>
          <cell r="F461" t="str">
            <v>NATURAL</v>
          </cell>
          <cell r="G461" t="str">
            <v>CREMONA</v>
          </cell>
        </row>
        <row r="462">
          <cell r="A462" t="str">
            <v>HI-CC-E75-1400</v>
          </cell>
          <cell r="B462" t="str">
            <v>CREMONA CORREDERA E7,5 1400 mm</v>
          </cell>
          <cell r="C462">
            <v>805</v>
          </cell>
          <cell r="D462">
            <v>46167</v>
          </cell>
          <cell r="E462">
            <v>0.59</v>
          </cell>
          <cell r="F462" t="str">
            <v>NATURAL</v>
          </cell>
          <cell r="G462" t="str">
            <v>CREMONA</v>
          </cell>
        </row>
        <row r="463">
          <cell r="A463" t="str">
            <v>HI-CC-E75-1400-SM</v>
          </cell>
          <cell r="B463" t="str">
            <v>CREMONA CORREDERA E7,5 1400 mm - SOM</v>
          </cell>
          <cell r="C463">
            <v>198</v>
          </cell>
          <cell r="D463">
            <v>45123</v>
          </cell>
          <cell r="E463">
            <v>0.58750000000000002</v>
          </cell>
          <cell r="F463" t="str">
            <v>NATURAL</v>
          </cell>
          <cell r="G463" t="str">
            <v>CREMONA</v>
          </cell>
        </row>
        <row r="464">
          <cell r="A464" t="str">
            <v>HI-CC-E75-1600</v>
          </cell>
          <cell r="B464" t="str">
            <v>CREMONA CORREDERA E7,5 1600 mm</v>
          </cell>
          <cell r="C464">
            <v>121</v>
          </cell>
          <cell r="D464">
            <v>46056</v>
          </cell>
          <cell r="E464">
            <v>0.69840000000000002</v>
          </cell>
          <cell r="F464" t="str">
            <v>NATURAL</v>
          </cell>
          <cell r="G464" t="str">
            <v>CREMONA</v>
          </cell>
        </row>
        <row r="465">
          <cell r="A465" t="str">
            <v>HI-CC-E75-1800</v>
          </cell>
          <cell r="B465" t="str">
            <v>CREMONA CORREDERA E7,5 1800 mm</v>
          </cell>
          <cell r="C465">
            <v>1209</v>
          </cell>
          <cell r="D465">
            <v>46191</v>
          </cell>
          <cell r="E465">
            <v>0.78</v>
          </cell>
          <cell r="F465" t="str">
            <v>NATURAL</v>
          </cell>
          <cell r="G465" t="str">
            <v>CREMONA</v>
          </cell>
        </row>
        <row r="466">
          <cell r="A466" t="str">
            <v>HI-CC-E75-1800-SM</v>
          </cell>
          <cell r="B466" t="str">
            <v>CREMONA CORREDERA E7,5 1800 mm - SOM</v>
          </cell>
          <cell r="C466">
            <v>0</v>
          </cell>
          <cell r="D466">
            <v>45661</v>
          </cell>
          <cell r="E466">
            <v>0.77629999999999999</v>
          </cell>
          <cell r="F466" t="str">
            <v>NATURAL</v>
          </cell>
          <cell r="G466" t="str">
            <v>CREMONA</v>
          </cell>
        </row>
        <row r="467">
          <cell r="A467" t="str">
            <v>HI-CC-E75-400</v>
          </cell>
          <cell r="B467" t="str">
            <v>CREMONA CORREDERA E7,5 400 mm</v>
          </cell>
          <cell r="C467">
            <v>1686</v>
          </cell>
          <cell r="D467">
            <v>46167</v>
          </cell>
          <cell r="E467">
            <v>0.21</v>
          </cell>
          <cell r="F467" t="str">
            <v>NATURAL</v>
          </cell>
          <cell r="G467" t="str">
            <v>CREMONA</v>
          </cell>
        </row>
        <row r="468">
          <cell r="A468" t="str">
            <v>HI-CC-E75-400-SM</v>
          </cell>
          <cell r="B468" t="str">
            <v>CREMONA CORREDERA E7,5 400 mm - SOM</v>
          </cell>
          <cell r="C468">
            <v>0</v>
          </cell>
          <cell r="D468">
            <v>44595</v>
          </cell>
          <cell r="E468">
            <v>0.2082</v>
          </cell>
          <cell r="F468" t="str">
            <v>NATURAL</v>
          </cell>
          <cell r="G468" t="str">
            <v>CREMONA</v>
          </cell>
        </row>
        <row r="469">
          <cell r="A469" t="str">
            <v>HI-CC-E75-600</v>
          </cell>
          <cell r="B469" t="str">
            <v>CREMONA CORREDERA E7,5 600 mm</v>
          </cell>
          <cell r="C469">
            <v>4088</v>
          </cell>
          <cell r="D469">
            <v>46191</v>
          </cell>
          <cell r="E469">
            <v>0.26</v>
          </cell>
          <cell r="F469" t="str">
            <v>NATURAL</v>
          </cell>
          <cell r="G469" t="str">
            <v>CREMONA</v>
          </cell>
        </row>
        <row r="470">
          <cell r="A470" t="str">
            <v>HI-CC-E75-600-SM</v>
          </cell>
          <cell r="B470" t="str">
            <v>CREMONA CORREDERA E7,5 600 mm - SOM</v>
          </cell>
          <cell r="C470">
            <v>0</v>
          </cell>
          <cell r="D470">
            <v>45661</v>
          </cell>
          <cell r="E470">
            <v>0.25719999999999998</v>
          </cell>
          <cell r="F470" t="str">
            <v>NATURAL</v>
          </cell>
          <cell r="G470" t="str">
            <v>CREMONA</v>
          </cell>
        </row>
        <row r="471">
          <cell r="A471" t="str">
            <v>HI-CC-E75-800</v>
          </cell>
          <cell r="B471" t="str">
            <v>CREMONA CORREDERA E7,5 800mm</v>
          </cell>
          <cell r="C471">
            <v>2474</v>
          </cell>
          <cell r="D471">
            <v>46167</v>
          </cell>
          <cell r="E471">
            <v>0.34</v>
          </cell>
          <cell r="F471" t="str">
            <v>NATURAL</v>
          </cell>
          <cell r="G471" t="str">
            <v>CREMONA</v>
          </cell>
        </row>
        <row r="472">
          <cell r="A472" t="str">
            <v>HI-CC-E75-800-SM</v>
          </cell>
          <cell r="B472" t="str">
            <v>CREMONA CORREDERA E7,5 800 mm - SOM</v>
          </cell>
          <cell r="C472">
            <v>0</v>
          </cell>
          <cell r="D472">
            <v>45123</v>
          </cell>
          <cell r="E472">
            <v>0.3407</v>
          </cell>
          <cell r="F472" t="str">
            <v>NATURAL</v>
          </cell>
          <cell r="G472" t="str">
            <v>CREMONA</v>
          </cell>
        </row>
        <row r="473">
          <cell r="A473" t="str">
            <v>HI-CD-13</v>
          </cell>
          <cell r="B473" t="str">
            <v>CERRADERO 13 mm</v>
          </cell>
          <cell r="C473">
            <v>40169</v>
          </cell>
          <cell r="D473">
            <v>46191</v>
          </cell>
          <cell r="E473">
            <v>0.01</v>
          </cell>
          <cell r="F473" t="str">
            <v>NATURAL</v>
          </cell>
          <cell r="G473" t="str">
            <v>CERRADEROS</v>
          </cell>
        </row>
        <row r="474">
          <cell r="A474" t="str">
            <v>HI-CD-13-FT</v>
          </cell>
          <cell r="B474" t="str">
            <v>CERRADERO 13 mm - FIRAT</v>
          </cell>
          <cell r="C474">
            <v>48897</v>
          </cell>
          <cell r="D474">
            <v>46170</v>
          </cell>
          <cell r="E474">
            <v>0.01</v>
          </cell>
          <cell r="F474" t="str">
            <v>NATURAL</v>
          </cell>
          <cell r="G474" t="str">
            <v>CERRADEROS</v>
          </cell>
        </row>
        <row r="475">
          <cell r="A475" t="str">
            <v>HI-CD-9</v>
          </cell>
          <cell r="B475" t="str">
            <v>CERRADERO 9 mm</v>
          </cell>
          <cell r="C475">
            <v>6781</v>
          </cell>
          <cell r="D475">
            <v>46167</v>
          </cell>
          <cell r="E475">
            <v>0.01</v>
          </cell>
          <cell r="F475" t="str">
            <v>NATURAL</v>
          </cell>
          <cell r="G475" t="str">
            <v>CERRADEROS</v>
          </cell>
        </row>
        <row r="476">
          <cell r="A476" t="str">
            <v>HI-CD-9-AX</v>
          </cell>
          <cell r="B476" t="str">
            <v>CERRADERO 9 mm AXIS</v>
          </cell>
          <cell r="C476">
            <v>0</v>
          </cell>
          <cell r="D476"/>
          <cell r="E476">
            <v>0.01</v>
          </cell>
          <cell r="F476" t="str">
            <v>NATURAL</v>
          </cell>
          <cell r="G476" t="str">
            <v>CERRADEROS</v>
          </cell>
        </row>
        <row r="477">
          <cell r="A477" t="str">
            <v>HI-CD-BT</v>
          </cell>
          <cell r="B477" t="str">
            <v>CERRADERO BATIENTE</v>
          </cell>
          <cell r="C477">
            <v>1029</v>
          </cell>
          <cell r="D477">
            <v>46056</v>
          </cell>
          <cell r="E477">
            <v>0.03</v>
          </cell>
          <cell r="F477" t="str">
            <v>NATURAL</v>
          </cell>
          <cell r="G477" t="str">
            <v>CERRADEROS</v>
          </cell>
        </row>
        <row r="478">
          <cell r="A478" t="str">
            <v>HI-CD-COR</v>
          </cell>
          <cell r="B478" t="str">
            <v>CERRADERO CORREDERA</v>
          </cell>
          <cell r="C478">
            <v>41040</v>
          </cell>
          <cell r="D478">
            <v>46167</v>
          </cell>
          <cell r="E478">
            <v>0.01</v>
          </cell>
          <cell r="F478" t="str">
            <v>NATURAL</v>
          </cell>
          <cell r="G478" t="str">
            <v>CERRADEROS</v>
          </cell>
        </row>
        <row r="479">
          <cell r="A479" t="str">
            <v>HI-CD-COR-FT</v>
          </cell>
          <cell r="B479" t="str">
            <v>CERRADERO CORREDERA FIRAT</v>
          </cell>
          <cell r="C479">
            <v>51390</v>
          </cell>
          <cell r="D479">
            <v>46191</v>
          </cell>
          <cell r="E479">
            <v>0.01</v>
          </cell>
          <cell r="F479" t="str">
            <v>NATURAL</v>
          </cell>
          <cell r="G479" t="str">
            <v>CERRADEROS</v>
          </cell>
        </row>
        <row r="480">
          <cell r="A480" t="str">
            <v>HI-CD-COR-SEG</v>
          </cell>
          <cell r="B480" t="str">
            <v>CERRADERO CORREDERA SEGURIDAD</v>
          </cell>
          <cell r="C480">
            <v>1542</v>
          </cell>
          <cell r="D480">
            <v>45408</v>
          </cell>
          <cell r="E480">
            <v>0.03</v>
          </cell>
          <cell r="F480" t="str">
            <v>NATURAL</v>
          </cell>
          <cell r="G480" t="str">
            <v>CERRADEROS</v>
          </cell>
        </row>
        <row r="481">
          <cell r="A481" t="str">
            <v>HI-CD-CPT</v>
          </cell>
          <cell r="B481" t="str">
            <v>CERRADERO CENTRAL PUERTA</v>
          </cell>
          <cell r="C481">
            <v>3026</v>
          </cell>
          <cell r="D481">
            <v>46191</v>
          </cell>
          <cell r="E481">
            <v>0.09</v>
          </cell>
          <cell r="F481" t="str">
            <v>NATURAL</v>
          </cell>
          <cell r="G481" t="str">
            <v>CERRADEROS</v>
          </cell>
        </row>
        <row r="482">
          <cell r="A482" t="str">
            <v>HI-CD-CTR-BT</v>
          </cell>
          <cell r="B482" t="str">
            <v>CERRADERO CENTRAL PUERTA BATIENTE</v>
          </cell>
          <cell r="C482">
            <v>1397</v>
          </cell>
          <cell r="D482">
            <v>46167</v>
          </cell>
          <cell r="E482">
            <v>0.08</v>
          </cell>
          <cell r="F482" t="str">
            <v>NATURAL</v>
          </cell>
          <cell r="G482" t="str">
            <v>CERRADEROS</v>
          </cell>
        </row>
        <row r="483">
          <cell r="A483" t="str">
            <v>HI-CD-KIT-OCL</v>
          </cell>
          <cell r="B483" t="str">
            <v>KIT CIERRE OCULTO 13 mm</v>
          </cell>
          <cell r="C483">
            <v>1276</v>
          </cell>
          <cell r="D483">
            <v>46191</v>
          </cell>
          <cell r="E483">
            <v>0.06</v>
          </cell>
          <cell r="F483" t="str">
            <v>NATURAL</v>
          </cell>
          <cell r="G483" t="str">
            <v>CERRADEROS</v>
          </cell>
        </row>
        <row r="484">
          <cell r="A484" t="str">
            <v>HI-CD-PP-13</v>
          </cell>
          <cell r="B484" t="str">
            <v>CERRADERO PICAPORTE 13 mm</v>
          </cell>
          <cell r="C484">
            <v>769</v>
          </cell>
          <cell r="D484">
            <v>46191</v>
          </cell>
          <cell r="E484">
            <v>0.14000000000000001</v>
          </cell>
          <cell r="F484" t="str">
            <v>NATURAL</v>
          </cell>
          <cell r="G484" t="str">
            <v>CERRADEROS</v>
          </cell>
        </row>
        <row r="485">
          <cell r="A485" t="str">
            <v>HI-CD-PP-ECO</v>
          </cell>
          <cell r="B485" t="str">
            <v>CERRADERO PICAPORTE ECO</v>
          </cell>
          <cell r="C485">
            <v>871</v>
          </cell>
          <cell r="D485">
            <v>46191</v>
          </cell>
          <cell r="E485">
            <v>0.08</v>
          </cell>
          <cell r="F485" t="str">
            <v>NATURAL</v>
          </cell>
          <cell r="G485" t="str">
            <v>CERRADEROS</v>
          </cell>
        </row>
        <row r="486">
          <cell r="A486" t="str">
            <v>HI-CE-E22-1800</v>
          </cell>
          <cell r="B486" t="str">
            <v>CREMONA ABATIR EXTERIOR E22 1800 mm</v>
          </cell>
          <cell r="C486">
            <v>1134</v>
          </cell>
          <cell r="D486">
            <v>45545</v>
          </cell>
          <cell r="E486">
            <v>0.79</v>
          </cell>
          <cell r="F486" t="str">
            <v>NATURAL</v>
          </cell>
          <cell r="G486" t="str">
            <v>CREMONA</v>
          </cell>
        </row>
        <row r="487">
          <cell r="A487" t="str">
            <v>HI-CE-E22-210</v>
          </cell>
          <cell r="B487" t="str">
            <v>CREMONA ABATIR EXTERIOR E22 210 mm</v>
          </cell>
          <cell r="C487">
            <v>0</v>
          </cell>
          <cell r="D487">
            <v>45533</v>
          </cell>
          <cell r="E487">
            <v>0.14000000000000001</v>
          </cell>
          <cell r="F487" t="str">
            <v>NATURAL</v>
          </cell>
          <cell r="G487" t="str">
            <v>CREMONA</v>
          </cell>
        </row>
        <row r="488">
          <cell r="A488" t="str">
            <v>HI-CE-E22-400</v>
          </cell>
          <cell r="B488" t="str">
            <v>CREMONA ABATIR EXTERIOR E22 400 mm</v>
          </cell>
          <cell r="C488">
            <v>0</v>
          </cell>
          <cell r="D488">
            <v>45224</v>
          </cell>
          <cell r="E488">
            <v>0.22</v>
          </cell>
          <cell r="F488" t="str">
            <v>NATURAL</v>
          </cell>
          <cell r="G488" t="str">
            <v>CREMONA</v>
          </cell>
        </row>
        <row r="489">
          <cell r="A489" t="str">
            <v>HI-CE-E22-600</v>
          </cell>
          <cell r="B489" t="str">
            <v>CREMONA ABATIR EXTERIOR E22 600 mm</v>
          </cell>
          <cell r="C489">
            <v>0</v>
          </cell>
          <cell r="D489">
            <v>44561</v>
          </cell>
          <cell r="E489">
            <v>0.28000000000000003</v>
          </cell>
          <cell r="F489" t="str">
            <v>NATURAL</v>
          </cell>
          <cell r="G489" t="str">
            <v>CREMONA</v>
          </cell>
        </row>
        <row r="490">
          <cell r="A490" t="str">
            <v>HI-CE-E22-800</v>
          </cell>
          <cell r="B490" t="str">
            <v>CREMONA ABATIR EXTERIOR E22 800 mm</v>
          </cell>
          <cell r="C490">
            <v>4582</v>
          </cell>
          <cell r="D490">
            <v>46032</v>
          </cell>
          <cell r="E490">
            <v>0.37</v>
          </cell>
          <cell r="F490" t="str">
            <v>NATURAL</v>
          </cell>
          <cell r="G490" t="str">
            <v>CREMONA</v>
          </cell>
        </row>
        <row r="491">
          <cell r="A491" t="str">
            <v>HI-CE-E25-1000</v>
          </cell>
          <cell r="B491" t="str">
            <v>CREMONA ABATIR EXTERIOR E25 1000 mm</v>
          </cell>
          <cell r="C491">
            <v>1533</v>
          </cell>
          <cell r="D491">
            <v>46167</v>
          </cell>
          <cell r="E491">
            <v>0.43</v>
          </cell>
          <cell r="F491" t="str">
            <v>NATURAL</v>
          </cell>
          <cell r="G491" t="str">
            <v>CREMONA</v>
          </cell>
        </row>
        <row r="492">
          <cell r="A492" t="str">
            <v>HI-CE-E25-1000-SM</v>
          </cell>
          <cell r="B492" t="str">
            <v>CREMONA ABATIR EXTERIOR E25 1000 mm - SOM</v>
          </cell>
          <cell r="C492">
            <v>0</v>
          </cell>
          <cell r="D492">
            <v>44595</v>
          </cell>
          <cell r="E492">
            <v>0.43269999999999997</v>
          </cell>
          <cell r="F492" t="str">
            <v>NATURAL</v>
          </cell>
          <cell r="G492" t="str">
            <v>CREMONA</v>
          </cell>
        </row>
        <row r="493">
          <cell r="A493" t="str">
            <v>HI-CE-E25-1200</v>
          </cell>
          <cell r="B493" t="str">
            <v>CREMONA ABATIR EXTERIOR E25 1200 mm</v>
          </cell>
          <cell r="C493">
            <v>864</v>
          </cell>
          <cell r="D493">
            <v>46167</v>
          </cell>
          <cell r="E493">
            <v>0.54</v>
          </cell>
          <cell r="F493" t="str">
            <v>NATURAL</v>
          </cell>
          <cell r="G493" t="str">
            <v>CREMONA</v>
          </cell>
        </row>
        <row r="494">
          <cell r="A494" t="str">
            <v>HI-CE-E25-1200-SM</v>
          </cell>
          <cell r="B494" t="str">
            <v>CREMONA ABATIR EXTERIOR E25 1200 mm - SOM</v>
          </cell>
          <cell r="C494">
            <v>0</v>
          </cell>
          <cell r="D494">
            <v>44595</v>
          </cell>
          <cell r="E494">
            <v>0.53979999999999995</v>
          </cell>
          <cell r="F494" t="str">
            <v>NATURAL</v>
          </cell>
          <cell r="G494" t="str">
            <v>CREMONA</v>
          </cell>
        </row>
        <row r="495">
          <cell r="A495" t="str">
            <v>HI-CE-E25-1400</v>
          </cell>
          <cell r="B495" t="str">
            <v>CREMONA ABATIR EXTERIOR E25 1400 mm</v>
          </cell>
          <cell r="C495">
            <v>462</v>
          </cell>
          <cell r="D495">
            <v>45915</v>
          </cell>
          <cell r="E495">
            <v>0.6</v>
          </cell>
          <cell r="F495" t="str">
            <v>NATURAL</v>
          </cell>
          <cell r="G495" t="str">
            <v>CREMONA</v>
          </cell>
        </row>
        <row r="496">
          <cell r="A496" t="str">
            <v>HI-CE-E25-1400-SM</v>
          </cell>
          <cell r="B496" t="str">
            <v>CREMONA ABATIR EXTERIOR E25 1400 mm - SOM</v>
          </cell>
          <cell r="C496">
            <v>0</v>
          </cell>
          <cell r="D496">
            <v>44595</v>
          </cell>
          <cell r="E496">
            <v>0.60399999999999998</v>
          </cell>
          <cell r="F496" t="str">
            <v>NATURAL</v>
          </cell>
          <cell r="G496" t="str">
            <v>CREMONA</v>
          </cell>
        </row>
        <row r="497">
          <cell r="A497" t="str">
            <v>HI-CE-E25-1600</v>
          </cell>
          <cell r="B497" t="str">
            <v>CREMONA ABATIR EXTERIOR E25 1600 mm</v>
          </cell>
          <cell r="C497">
            <v>509</v>
          </cell>
          <cell r="D497">
            <v>46060</v>
          </cell>
          <cell r="E497">
            <v>0.72</v>
          </cell>
          <cell r="F497" t="str">
            <v>NATURAL</v>
          </cell>
          <cell r="G497" t="str">
            <v>CREMONA</v>
          </cell>
        </row>
        <row r="498">
          <cell r="A498" t="str">
            <v>HI-CE-E25-1600-SM</v>
          </cell>
          <cell r="B498" t="str">
            <v>CREMONA ABATIR EXTERIOR E25 1600 mm - SOM</v>
          </cell>
          <cell r="C498">
            <v>0</v>
          </cell>
          <cell r="D498">
            <v>44595</v>
          </cell>
          <cell r="E498">
            <v>0.7248</v>
          </cell>
          <cell r="F498" t="str">
            <v>NATURAL</v>
          </cell>
          <cell r="G498" t="str">
            <v>CREMONA</v>
          </cell>
        </row>
        <row r="499">
          <cell r="A499" t="str">
            <v>HI-CE-E25-1800</v>
          </cell>
          <cell r="B499" t="str">
            <v>CREMONA ABATIR EXTERIOR E25 1800 mm</v>
          </cell>
          <cell r="C499">
            <v>646</v>
          </cell>
          <cell r="D499">
            <v>45684</v>
          </cell>
          <cell r="E499">
            <v>0.79</v>
          </cell>
          <cell r="F499" t="str">
            <v>NATURAL</v>
          </cell>
          <cell r="G499" t="str">
            <v>CREMONA</v>
          </cell>
        </row>
        <row r="500">
          <cell r="A500" t="str">
            <v>HI-CE-E25-1800-SM</v>
          </cell>
          <cell r="B500" t="str">
            <v>CREMONA ABATIR EXTERIOR E25 1800 mm - SOM</v>
          </cell>
          <cell r="C500">
            <v>0</v>
          </cell>
          <cell r="D500">
            <v>45123</v>
          </cell>
          <cell r="E500">
            <v>0.79349999999999998</v>
          </cell>
          <cell r="F500" t="str">
            <v>NATURAL</v>
          </cell>
          <cell r="G500" t="str">
            <v>CREMONA</v>
          </cell>
        </row>
        <row r="501">
          <cell r="A501" t="str">
            <v>HI-CE-E25-2000</v>
          </cell>
          <cell r="B501" t="str">
            <v>CREMONA ABATIR EXTERIOR E25 2000 mm</v>
          </cell>
          <cell r="C501">
            <v>719</v>
          </cell>
          <cell r="D501">
            <v>45661</v>
          </cell>
          <cell r="E501">
            <v>0.85</v>
          </cell>
          <cell r="F501" t="str">
            <v>NATURAL</v>
          </cell>
          <cell r="G501" t="str">
            <v>CREMONA</v>
          </cell>
        </row>
        <row r="502">
          <cell r="A502" t="str">
            <v>HI-CE-E25-210</v>
          </cell>
          <cell r="B502" t="str">
            <v>CREMONA ABATIR EXTERIOR E25 210 mm</v>
          </cell>
          <cell r="C502">
            <v>1306</v>
          </cell>
          <cell r="D502">
            <v>46167</v>
          </cell>
          <cell r="E502">
            <v>0.15</v>
          </cell>
          <cell r="F502" t="str">
            <v>NATURAL</v>
          </cell>
          <cell r="G502" t="str">
            <v>CREMONA</v>
          </cell>
        </row>
        <row r="503">
          <cell r="A503" t="str">
            <v>HI-CE-E25-210-SM</v>
          </cell>
          <cell r="B503" t="str">
            <v>CREMONA ABATIR EXTERIOR E25 210 mm - SOM</v>
          </cell>
          <cell r="C503">
            <v>0</v>
          </cell>
          <cell r="D503"/>
          <cell r="E503">
            <v>0.14910000000000001</v>
          </cell>
          <cell r="F503" t="str">
            <v>NATURAL</v>
          </cell>
          <cell r="G503" t="str">
            <v>CREMONA</v>
          </cell>
        </row>
        <row r="504">
          <cell r="A504" t="str">
            <v>HI-CE-E25-400</v>
          </cell>
          <cell r="B504" t="str">
            <v>CREMONA ABATIR EXTERIOR E25 400 mm</v>
          </cell>
          <cell r="C504">
            <v>455</v>
          </cell>
          <cell r="D504">
            <v>46191</v>
          </cell>
          <cell r="E504">
            <v>0.22</v>
          </cell>
          <cell r="F504" t="str">
            <v>NATURAL</v>
          </cell>
          <cell r="G504" t="str">
            <v>CREMONA</v>
          </cell>
        </row>
        <row r="505">
          <cell r="A505" t="str">
            <v>HI-CE-E25-400-SM</v>
          </cell>
          <cell r="B505" t="str">
            <v>CREMONA ABATIR EXTERIOR E25 400 mm - SOM</v>
          </cell>
          <cell r="C505">
            <v>0</v>
          </cell>
          <cell r="D505">
            <v>44678</v>
          </cell>
          <cell r="E505">
            <v>0.21940000000000001</v>
          </cell>
          <cell r="F505" t="str">
            <v>NATURAL</v>
          </cell>
          <cell r="G505" t="str">
            <v>CREMONA</v>
          </cell>
        </row>
        <row r="506">
          <cell r="A506" t="str">
            <v>HI-CE-E25-600</v>
          </cell>
          <cell r="B506" t="str">
            <v>CREMONA ABATIR EXTERIOR E25 600 mm</v>
          </cell>
          <cell r="C506">
            <v>2190</v>
          </cell>
          <cell r="D506">
            <v>46167</v>
          </cell>
          <cell r="E506">
            <v>0.27</v>
          </cell>
          <cell r="F506" t="str">
            <v>NATURAL</v>
          </cell>
          <cell r="G506" t="str">
            <v>CREMONA</v>
          </cell>
        </row>
        <row r="507">
          <cell r="A507" t="str">
            <v>HI-CE-E25-600-SM</v>
          </cell>
          <cell r="B507" t="str">
            <v>CREMONA ABATIR EXTERIOR E25 600 mm - SOM</v>
          </cell>
          <cell r="C507">
            <v>0</v>
          </cell>
          <cell r="D507">
            <v>44678</v>
          </cell>
          <cell r="E507">
            <v>0.27310000000000001</v>
          </cell>
          <cell r="F507" t="str">
            <v>NATURAL</v>
          </cell>
          <cell r="G507" t="str">
            <v>CREMONA</v>
          </cell>
        </row>
        <row r="508">
          <cell r="A508" t="str">
            <v>HI-CE-E25-800</v>
          </cell>
          <cell r="B508" t="str">
            <v>CREMONA ABATIR EXTERIOR E25 800 mm</v>
          </cell>
          <cell r="C508">
            <v>2573</v>
          </cell>
          <cell r="D508">
            <v>46191</v>
          </cell>
          <cell r="E508">
            <v>0.36</v>
          </cell>
          <cell r="F508" t="str">
            <v>NATURAL</v>
          </cell>
          <cell r="G508" t="str">
            <v>CREMONA</v>
          </cell>
        </row>
        <row r="509">
          <cell r="A509" t="str">
            <v>HI-CE-E25-800-SM</v>
          </cell>
          <cell r="B509" t="str">
            <v>CREMONA ABATIR EXTERIOR E25 800 mm - SOM</v>
          </cell>
          <cell r="C509">
            <v>0</v>
          </cell>
          <cell r="D509">
            <v>44595</v>
          </cell>
          <cell r="E509">
            <v>0.35649999999999998</v>
          </cell>
          <cell r="F509" t="str">
            <v>NATURAL</v>
          </cell>
          <cell r="G509" t="str">
            <v>CREMONA</v>
          </cell>
        </row>
        <row r="510">
          <cell r="A510" t="str">
            <v>HI-CE-E75-1600</v>
          </cell>
          <cell r="B510" t="str">
            <v>CREMONA CORREDERA E7,5 1600 mm</v>
          </cell>
          <cell r="C510">
            <v>0</v>
          </cell>
          <cell r="D510">
            <v>45661</v>
          </cell>
          <cell r="E510">
            <v>0</v>
          </cell>
          <cell r="F510" t="str">
            <v>NATURAL</v>
          </cell>
          <cell r="G510" t="str">
            <v>CREMONA</v>
          </cell>
        </row>
        <row r="511">
          <cell r="A511" t="str">
            <v>HI-CE-E75-2000</v>
          </cell>
          <cell r="B511" t="str">
            <v>CREMONA CORREDERA E7,5 2000 mm</v>
          </cell>
          <cell r="C511">
            <v>615</v>
          </cell>
          <cell r="D511">
            <v>46032</v>
          </cell>
          <cell r="E511">
            <v>0.86439999999999995</v>
          </cell>
          <cell r="F511" t="str">
            <v>NATURAL</v>
          </cell>
          <cell r="G511" t="str">
            <v>CREMONA</v>
          </cell>
        </row>
        <row r="512">
          <cell r="A512" t="str">
            <v>HI-CEV-E22-1130</v>
          </cell>
          <cell r="B512" t="str">
            <v>CREMONA ABATIR EXTERIOR VARIABLE E22/1130 (985 - 1400)</v>
          </cell>
          <cell r="C512">
            <v>0</v>
          </cell>
          <cell r="D512">
            <v>44561</v>
          </cell>
          <cell r="E512">
            <v>0.54</v>
          </cell>
          <cell r="F512" t="str">
            <v>NATURAL</v>
          </cell>
          <cell r="G512" t="str">
            <v>CREMONA</v>
          </cell>
        </row>
        <row r="513">
          <cell r="A513" t="str">
            <v>HI-CEV-E22-628</v>
          </cell>
          <cell r="B513" t="str">
            <v>CREMONA ABATIR EXTERIOR VARIABLE E22/628 (585 - 1000)</v>
          </cell>
          <cell r="C513">
            <v>0</v>
          </cell>
          <cell r="D513"/>
          <cell r="E513">
            <v>0.38</v>
          </cell>
          <cell r="F513" t="str">
            <v>NATURAL</v>
          </cell>
          <cell r="G513" t="str">
            <v>CREMONA</v>
          </cell>
        </row>
        <row r="514">
          <cell r="A514" t="str">
            <v>HI-CEV-E22-830</v>
          </cell>
          <cell r="B514" t="str">
            <v>CREMONA ABATIR EXTERIOR VARIABLE E22/830 (685 - 1100)</v>
          </cell>
          <cell r="C514">
            <v>0</v>
          </cell>
          <cell r="D514">
            <v>44907</v>
          </cell>
          <cell r="E514">
            <v>0.4</v>
          </cell>
          <cell r="F514" t="str">
            <v>NATURAL</v>
          </cell>
          <cell r="G514" t="str">
            <v>CREMONA</v>
          </cell>
        </row>
        <row r="515">
          <cell r="A515" t="str">
            <v>HI-CEV-E25-1130</v>
          </cell>
          <cell r="B515" t="str">
            <v>CREMONA ABATIR EXTERIOR VARIABLE E25/1130 (985 -1400)</v>
          </cell>
          <cell r="C515">
            <v>626</v>
          </cell>
          <cell r="D515">
            <v>46060</v>
          </cell>
          <cell r="E515">
            <v>0.55000000000000004</v>
          </cell>
          <cell r="F515" t="str">
            <v>NATURAL</v>
          </cell>
          <cell r="G515" t="str">
            <v>CREMONA</v>
          </cell>
        </row>
        <row r="516">
          <cell r="A516" t="str">
            <v>HI-CEV-E25-628</v>
          </cell>
          <cell r="B516" t="str">
            <v>CREMONA ABATIR EXTERIOR VARIABLE E25/628 (585 - 1000)</v>
          </cell>
          <cell r="C516">
            <v>402</v>
          </cell>
          <cell r="D516">
            <v>45661</v>
          </cell>
          <cell r="E516">
            <v>0.38</v>
          </cell>
          <cell r="F516" t="str">
            <v>NATURAL</v>
          </cell>
          <cell r="G516" t="str">
            <v>CREMONA</v>
          </cell>
        </row>
        <row r="517">
          <cell r="A517" t="str">
            <v>HI-CEV-E25-830</v>
          </cell>
          <cell r="B517" t="str">
            <v>CREMONA ABATIR EXTERIOR VARIABLE E25/830 (685 - 1100)</v>
          </cell>
          <cell r="C517">
            <v>0</v>
          </cell>
          <cell r="D517">
            <v>46032</v>
          </cell>
          <cell r="E517">
            <v>0.41</v>
          </cell>
          <cell r="F517" t="str">
            <v>NATURAL</v>
          </cell>
          <cell r="G517" t="str">
            <v>CREMONA</v>
          </cell>
        </row>
        <row r="518">
          <cell r="A518" t="str">
            <v>HI-CF-S60-HVF-FRT</v>
          </cell>
          <cell r="B518" t="str">
            <v>CONTRA FORMA HOJA S60 - FRT</v>
          </cell>
          <cell r="C518">
            <v>185</v>
          </cell>
          <cell r="D518">
            <v>45987</v>
          </cell>
          <cell r="E518">
            <v>1.1555</v>
          </cell>
          <cell r="F518" t="str">
            <v>NATURAL</v>
          </cell>
          <cell r="G518" t="str">
            <v>HERRAMIENTAS</v>
          </cell>
        </row>
        <row r="519">
          <cell r="A519" t="str">
            <v>HI-CF-SLA-HPC-FRT</v>
          </cell>
          <cell r="B519" t="str">
            <v>CONTRA FORMA HOJA ANDES 66 - FRT</v>
          </cell>
          <cell r="C519">
            <v>73</v>
          </cell>
          <cell r="D519">
            <v>46032</v>
          </cell>
          <cell r="E519">
            <v>0.34760000000000002</v>
          </cell>
          <cell r="F519" t="str">
            <v>NATURAL</v>
          </cell>
          <cell r="G519" t="str">
            <v>HERRAMIENTAS</v>
          </cell>
        </row>
        <row r="520">
          <cell r="A520" t="str">
            <v>HI-CF-SLA-MCA-FRT</v>
          </cell>
          <cell r="B520" t="str">
            <v>CONTRA FORMA MARCO CORREDERA ANDES - FRT</v>
          </cell>
          <cell r="C520">
            <v>146</v>
          </cell>
          <cell r="D520">
            <v>45708</v>
          </cell>
          <cell r="E520">
            <v>0.96879999999999999</v>
          </cell>
          <cell r="F520" t="str">
            <v>NATURAL</v>
          </cell>
          <cell r="G520" t="str">
            <v>HERRAMIENTAS</v>
          </cell>
        </row>
        <row r="521">
          <cell r="A521" t="str">
            <v>HI-CF-SLA-MDR</v>
          </cell>
          <cell r="B521" t="str">
            <v>CONTRA FORMA MARCO DOBLE RIEL ANDES FIRAT</v>
          </cell>
          <cell r="C521">
            <v>0</v>
          </cell>
          <cell r="D521">
            <v>45419</v>
          </cell>
          <cell r="E521">
            <v>0</v>
          </cell>
          <cell r="F521" t="str">
            <v>NATURAL</v>
          </cell>
          <cell r="G521" t="str">
            <v>HERRAMIENTAS</v>
          </cell>
        </row>
        <row r="522">
          <cell r="A522" t="str">
            <v>HI-CF-SLD-HVC-FRT</v>
          </cell>
          <cell r="B522" t="str">
            <v>CONTRA FORMA HOJA 80 - FRT</v>
          </cell>
          <cell r="C522">
            <v>156</v>
          </cell>
          <cell r="D522">
            <v>45987</v>
          </cell>
          <cell r="E522">
            <v>0.44369999999999998</v>
          </cell>
          <cell r="F522" t="str">
            <v>NATURAL</v>
          </cell>
          <cell r="G522" t="str">
            <v>HERRAMIENTAS</v>
          </cell>
        </row>
        <row r="523">
          <cell r="A523" t="str">
            <v>HI-CF-SLZ-HCZ-FRT</v>
          </cell>
          <cell r="B523" t="str">
            <v>CONTRA FORMA HOJA SLIDING ZENIA - FRT</v>
          </cell>
          <cell r="C523">
            <v>47</v>
          </cell>
          <cell r="D523">
            <v>45708</v>
          </cell>
          <cell r="E523">
            <v>0.4672</v>
          </cell>
          <cell r="F523" t="str">
            <v>NATURAL</v>
          </cell>
          <cell r="G523" t="str">
            <v>HERRAMIENTAS</v>
          </cell>
        </row>
        <row r="524">
          <cell r="A524" t="str">
            <v>HI-CF-SLZ-MCZ-FRT</v>
          </cell>
          <cell r="B524" t="str">
            <v>CONTRA FORMA MARCO SLIDING ZENIA - FRT</v>
          </cell>
          <cell r="C524">
            <v>7</v>
          </cell>
          <cell r="D524">
            <v>45708</v>
          </cell>
          <cell r="E524">
            <v>2.2258</v>
          </cell>
          <cell r="F524" t="str">
            <v>NATURAL</v>
          </cell>
          <cell r="G524" t="str">
            <v>HERRAMIENTAS</v>
          </cell>
        </row>
        <row r="525">
          <cell r="A525" t="str">
            <v>HI-CIA-MQP</v>
          </cell>
          <cell r="B525" t="str">
            <v>CINTA ADHESIVA MOSQUITERO PLEGABLE - 1 MT</v>
          </cell>
          <cell r="C525">
            <v>1304</v>
          </cell>
          <cell r="D525">
            <v>46114</v>
          </cell>
          <cell r="E525">
            <v>4.9799999999999997E-2</v>
          </cell>
          <cell r="F525" t="str">
            <v>NATURAL</v>
          </cell>
          <cell r="G525" t="str">
            <v>MOSQUITERO PLEGABLE</v>
          </cell>
        </row>
        <row r="526">
          <cell r="A526" t="str">
            <v>HI-CIM-MQP-NE</v>
          </cell>
          <cell r="B526" t="str">
            <v>CINTA IMAN MOSQUITERO PLEGABLE - NEGRO</v>
          </cell>
          <cell r="C526">
            <v>61</v>
          </cell>
          <cell r="D526">
            <v>46060</v>
          </cell>
          <cell r="E526">
            <v>8.4900000000000003E-2</v>
          </cell>
          <cell r="F526" t="str">
            <v>NEGRO</v>
          </cell>
          <cell r="G526" t="str">
            <v>MOSQUITERO PLEGABLE</v>
          </cell>
        </row>
        <row r="527">
          <cell r="A527" t="str">
            <v>HI-CIN-E15-1000</v>
          </cell>
          <cell r="B527" t="str">
            <v>CREMONA ABATIR INTERIOR E15 1000 mm</v>
          </cell>
          <cell r="C527">
            <v>232</v>
          </cell>
          <cell r="D527">
            <v>46167</v>
          </cell>
          <cell r="E527">
            <v>0.41</v>
          </cell>
          <cell r="F527" t="str">
            <v>NATURAL</v>
          </cell>
          <cell r="G527" t="str">
            <v>CREMONA</v>
          </cell>
        </row>
        <row r="528">
          <cell r="A528" t="str">
            <v>HI-CIN-E15-1200</v>
          </cell>
          <cell r="B528" t="str">
            <v>CREMONA ABATIR INTERIOR E15 1200 mm</v>
          </cell>
          <cell r="C528">
            <v>232</v>
          </cell>
          <cell r="D528">
            <v>45533</v>
          </cell>
          <cell r="E528">
            <v>0.51</v>
          </cell>
          <cell r="F528" t="str">
            <v>NATURAL</v>
          </cell>
          <cell r="G528" t="str">
            <v>CREMONA</v>
          </cell>
        </row>
        <row r="529">
          <cell r="A529" t="str">
            <v>HI-CIN-E15-1400</v>
          </cell>
          <cell r="B529" t="str">
            <v>CREMONA ABATIR INTERIOR E15 1400 mm</v>
          </cell>
          <cell r="C529">
            <v>137</v>
          </cell>
          <cell r="D529">
            <v>45882</v>
          </cell>
          <cell r="E529">
            <v>0.59</v>
          </cell>
          <cell r="F529" t="str">
            <v>NATURAL</v>
          </cell>
          <cell r="G529" t="str">
            <v>CREMONA</v>
          </cell>
        </row>
        <row r="530">
          <cell r="A530" t="str">
            <v>HI-CIN-E15-1600</v>
          </cell>
          <cell r="B530" t="str">
            <v>CREMONA ABATIR INTERIOR E15 1600 mm</v>
          </cell>
          <cell r="C530">
            <v>404</v>
          </cell>
          <cell r="D530">
            <v>45661</v>
          </cell>
          <cell r="E530">
            <v>0.69</v>
          </cell>
          <cell r="F530" t="str">
            <v>NATURAL</v>
          </cell>
          <cell r="G530" t="str">
            <v>CREMONA</v>
          </cell>
        </row>
        <row r="531">
          <cell r="A531" t="str">
            <v>HI-CIN-E15-1800</v>
          </cell>
          <cell r="B531" t="str">
            <v>CREMONA ABATIR INTERIOR E15 1800 mm</v>
          </cell>
          <cell r="C531">
            <v>191</v>
          </cell>
          <cell r="D531">
            <v>46032</v>
          </cell>
          <cell r="E531">
            <v>0.76</v>
          </cell>
          <cell r="F531" t="str">
            <v>NATURAL</v>
          </cell>
          <cell r="G531" t="str">
            <v>CREMONA</v>
          </cell>
        </row>
        <row r="532">
          <cell r="A532" t="str">
            <v>HI-CIN-E15-2000</v>
          </cell>
          <cell r="B532" t="str">
            <v>CREMONA ABATIR INTERIOR E15 2000 mm</v>
          </cell>
          <cell r="C532">
            <v>188</v>
          </cell>
          <cell r="D532">
            <v>46060</v>
          </cell>
          <cell r="E532">
            <v>0.86</v>
          </cell>
          <cell r="F532" t="str">
            <v>NATURAL</v>
          </cell>
          <cell r="G532" t="str">
            <v>CREMONA</v>
          </cell>
        </row>
        <row r="533">
          <cell r="A533" t="str">
            <v>HI-CIN-E15-400</v>
          </cell>
          <cell r="B533" t="str">
            <v>CREMONA ABATIR INTERIOR E15 400 mm</v>
          </cell>
          <cell r="C533">
            <v>125</v>
          </cell>
          <cell r="D533">
            <v>45958</v>
          </cell>
          <cell r="E533">
            <v>0.19</v>
          </cell>
          <cell r="F533" t="str">
            <v>NATURAL</v>
          </cell>
          <cell r="G533" t="str">
            <v>CREMONA</v>
          </cell>
        </row>
        <row r="534">
          <cell r="A534" t="str">
            <v>HI-CIN-E15-600</v>
          </cell>
          <cell r="B534" t="str">
            <v>CREMONA ABATIR INTERIOR E15 600 mm</v>
          </cell>
          <cell r="C534">
            <v>234</v>
          </cell>
          <cell r="D534">
            <v>46167</v>
          </cell>
          <cell r="E534">
            <v>0.24</v>
          </cell>
          <cell r="F534" t="str">
            <v>NATURAL</v>
          </cell>
          <cell r="G534" t="str">
            <v>CREMONA</v>
          </cell>
        </row>
        <row r="535">
          <cell r="A535" t="str">
            <v>HI-CIN-E15-800</v>
          </cell>
          <cell r="B535" t="str">
            <v>CREMONA ABATIR INTERIOR E15 800 mm</v>
          </cell>
          <cell r="C535">
            <v>207</v>
          </cell>
          <cell r="D535">
            <v>46056</v>
          </cell>
          <cell r="E535">
            <v>0.33</v>
          </cell>
          <cell r="F535" t="str">
            <v>NATURAL</v>
          </cell>
          <cell r="G535" t="str">
            <v>CREMONA</v>
          </cell>
        </row>
        <row r="536">
          <cell r="A536" t="str">
            <v>HI-CLR-80-3H</v>
          </cell>
          <cell r="B536" t="str">
            <v>CILINDRO DE 80 MM C/ PESTILLO</v>
          </cell>
          <cell r="C536">
            <v>0</v>
          </cell>
          <cell r="D536">
            <v>45661</v>
          </cell>
          <cell r="E536">
            <v>0.3155</v>
          </cell>
          <cell r="F536" t="str">
            <v>NATURAL</v>
          </cell>
          <cell r="G536" t="str">
            <v>CILINDRO</v>
          </cell>
        </row>
        <row r="537">
          <cell r="A537" t="str">
            <v>HI-CLR-80-DF</v>
          </cell>
          <cell r="B537" t="str">
            <v>CILINDRO 80 mm - DAF</v>
          </cell>
          <cell r="C537">
            <v>0</v>
          </cell>
          <cell r="D537"/>
          <cell r="E537">
            <v>0.27</v>
          </cell>
          <cell r="F537" t="str">
            <v>NATURAL</v>
          </cell>
          <cell r="G537" t="str">
            <v>CILINDRO</v>
          </cell>
        </row>
        <row r="538">
          <cell r="A538" t="str">
            <v>HI-CLR-80-SM</v>
          </cell>
          <cell r="B538" t="str">
            <v>CILINDRO 80 mm - SOM</v>
          </cell>
          <cell r="C538">
            <v>0</v>
          </cell>
          <cell r="D538">
            <v>45298</v>
          </cell>
          <cell r="E538">
            <v>0.25</v>
          </cell>
          <cell r="F538" t="str">
            <v>NATURAL</v>
          </cell>
          <cell r="G538" t="str">
            <v>CILINDRO</v>
          </cell>
        </row>
        <row r="539">
          <cell r="A539" t="str">
            <v>HI-CLR-80-YK</v>
          </cell>
          <cell r="B539" t="str">
            <v>CILINDRO 80 mm - ITO</v>
          </cell>
          <cell r="C539">
            <v>1469</v>
          </cell>
          <cell r="D539">
            <v>46191</v>
          </cell>
          <cell r="E539">
            <v>0.27</v>
          </cell>
          <cell r="F539" t="str">
            <v>NATURAL</v>
          </cell>
          <cell r="G539" t="str">
            <v>CILINDRO</v>
          </cell>
        </row>
        <row r="540">
          <cell r="A540" t="str">
            <v>HI-CM-MQT-5</v>
          </cell>
          <cell r="B540" t="str">
            <v>CORDON MOSQUITERO BLANCO  5mm</v>
          </cell>
          <cell r="C540">
            <v>11849</v>
          </cell>
          <cell r="D540">
            <v>46060</v>
          </cell>
          <cell r="E540">
            <v>0.02</v>
          </cell>
          <cell r="F540" t="str">
            <v>BLANCO</v>
          </cell>
          <cell r="G540" t="str">
            <v>MOSQUITERO CORREDERA</v>
          </cell>
        </row>
        <row r="541">
          <cell r="A541" t="str">
            <v>HI-CMQ-MQP-GR</v>
          </cell>
          <cell r="B541" t="str">
            <v>CUERDA MOSQUITERO PLEGABLE - GRIS</v>
          </cell>
          <cell r="C541">
            <v>6233</v>
          </cell>
          <cell r="D541">
            <v>45537</v>
          </cell>
          <cell r="E541">
            <v>1.5E-3</v>
          </cell>
          <cell r="F541" t="str">
            <v>GRIS</v>
          </cell>
          <cell r="G541" t="str">
            <v>MOSQUITERO PLEGABLE</v>
          </cell>
        </row>
        <row r="542">
          <cell r="A542" t="str">
            <v>HI-COB-E15-1185</v>
          </cell>
          <cell r="B542" t="str">
            <v>CREMONA OB E15 1185 - 1600 mm</v>
          </cell>
          <cell r="C542">
            <v>338</v>
          </cell>
          <cell r="D542">
            <v>46191</v>
          </cell>
          <cell r="E542">
            <v>0.6</v>
          </cell>
          <cell r="F542" t="str">
            <v>NATURAL</v>
          </cell>
          <cell r="G542" t="str">
            <v>OB</v>
          </cell>
        </row>
        <row r="543">
          <cell r="A543" t="str">
            <v>HI-COB-E15-1385</v>
          </cell>
          <cell r="B543" t="str">
            <v>CREMONA OB E15 1385 - 1800 mm</v>
          </cell>
          <cell r="C543">
            <v>495</v>
          </cell>
          <cell r="D543">
            <v>46060</v>
          </cell>
          <cell r="E543">
            <v>0.7</v>
          </cell>
          <cell r="F543" t="str">
            <v>NATURAL</v>
          </cell>
          <cell r="G543" t="str">
            <v>OB</v>
          </cell>
        </row>
        <row r="544">
          <cell r="A544" t="str">
            <v>HI-COB-E15-1585</v>
          </cell>
          <cell r="B544" t="str">
            <v>CREMONA OB E15 1585 - 2000 mm</v>
          </cell>
          <cell r="C544">
            <v>81</v>
          </cell>
          <cell r="D544">
            <v>46060</v>
          </cell>
          <cell r="E544">
            <v>0.81</v>
          </cell>
          <cell r="F544" t="str">
            <v>NATURAL</v>
          </cell>
          <cell r="G544" t="str">
            <v>OB</v>
          </cell>
        </row>
        <row r="545">
          <cell r="A545" t="str">
            <v>HI-COB-E15-480</v>
          </cell>
          <cell r="B545" t="str">
            <v>CREMONA OB E15 480 - 700 mm</v>
          </cell>
          <cell r="C545">
            <v>263</v>
          </cell>
          <cell r="D545">
            <v>46060</v>
          </cell>
          <cell r="E545">
            <v>0.3</v>
          </cell>
          <cell r="F545" t="str">
            <v>NATURAL</v>
          </cell>
          <cell r="G545" t="str">
            <v>OB</v>
          </cell>
        </row>
        <row r="546">
          <cell r="A546" t="str">
            <v>HI-COB-E15-585</v>
          </cell>
          <cell r="B546" t="str">
            <v>CREMONA OB E15 585 - 1000 mm</v>
          </cell>
          <cell r="C546">
            <v>316</v>
          </cell>
          <cell r="D546">
            <v>46060</v>
          </cell>
          <cell r="E546">
            <v>0.34</v>
          </cell>
          <cell r="F546" t="str">
            <v>NATURAL</v>
          </cell>
          <cell r="G546" t="str">
            <v>OB</v>
          </cell>
        </row>
        <row r="547">
          <cell r="A547" t="str">
            <v>HI-COB-E15-685</v>
          </cell>
          <cell r="B547" t="str">
            <v>CREMONA OB E15 685 - 1100 mm</v>
          </cell>
          <cell r="C547">
            <v>27</v>
          </cell>
          <cell r="D547">
            <v>46076</v>
          </cell>
          <cell r="E547">
            <v>0.39</v>
          </cell>
          <cell r="F547" t="str">
            <v>NATURAL</v>
          </cell>
          <cell r="G547" t="str">
            <v>OB</v>
          </cell>
        </row>
        <row r="548">
          <cell r="A548" t="str">
            <v>HI-COB-E15-885</v>
          </cell>
          <cell r="B548" t="str">
            <v>CREMONA OB E15 885 -1300 mm</v>
          </cell>
          <cell r="C548">
            <v>299</v>
          </cell>
          <cell r="D548">
            <v>46191</v>
          </cell>
          <cell r="E548">
            <v>0.47</v>
          </cell>
          <cell r="F548" t="str">
            <v>NATURAL</v>
          </cell>
          <cell r="G548" t="str">
            <v>OB</v>
          </cell>
        </row>
        <row r="549">
          <cell r="A549" t="str">
            <v>HI-COB-E15-985</v>
          </cell>
          <cell r="B549" t="str">
            <v>CREMONA OB E15 985 - 1400 mm</v>
          </cell>
          <cell r="C549">
            <v>145</v>
          </cell>
          <cell r="D549">
            <v>46167</v>
          </cell>
          <cell r="E549">
            <v>0.52</v>
          </cell>
          <cell r="F549" t="str">
            <v>NATURAL</v>
          </cell>
          <cell r="G549" t="str">
            <v>OB</v>
          </cell>
        </row>
        <row r="550">
          <cell r="A550" t="str">
            <v>HI-COR-TR-CORR-SOM</v>
          </cell>
          <cell r="B550" t="str">
            <v>CORTADORA TRASLAPOS CORREDERA - SOM</v>
          </cell>
          <cell r="C550">
            <v>9</v>
          </cell>
          <cell r="D550">
            <v>45706</v>
          </cell>
          <cell r="E550">
            <v>9.4499999999999993</v>
          </cell>
          <cell r="F550" t="str">
            <v>NATURAL</v>
          </cell>
          <cell r="G550" t="str">
            <v>HERRAMIENTAS</v>
          </cell>
        </row>
        <row r="551">
          <cell r="A551" t="str">
            <v>HI-CP-E3592-1800</v>
          </cell>
          <cell r="B551" t="str">
            <v>CREMONA PUERTA E35/92 1800 mm</v>
          </cell>
          <cell r="C551">
            <v>533</v>
          </cell>
          <cell r="D551">
            <v>46191</v>
          </cell>
          <cell r="E551">
            <v>0.98</v>
          </cell>
          <cell r="F551" t="str">
            <v>NATURAL</v>
          </cell>
          <cell r="G551" t="str">
            <v>CREMONA</v>
          </cell>
        </row>
        <row r="552">
          <cell r="A552" t="str">
            <v>HI-CP-E3592-2000</v>
          </cell>
          <cell r="B552" t="str">
            <v>CREMONA PUERTA E35/92 2000 mm</v>
          </cell>
          <cell r="C552">
            <v>157</v>
          </cell>
          <cell r="D552">
            <v>46191</v>
          </cell>
          <cell r="E552">
            <v>1.05</v>
          </cell>
          <cell r="F552" t="str">
            <v>NATURAL</v>
          </cell>
          <cell r="G552" t="str">
            <v>CREMONA</v>
          </cell>
        </row>
        <row r="553">
          <cell r="A553" t="str">
            <v>HI-CPE-E3592-2000</v>
          </cell>
          <cell r="B553" t="str">
            <v>CREMONA PUERTA EXTENSIBLE E35 2000 mm</v>
          </cell>
          <cell r="C553">
            <v>800</v>
          </cell>
          <cell r="D553">
            <v>46060</v>
          </cell>
          <cell r="E553">
            <v>1.07</v>
          </cell>
          <cell r="F553" t="str">
            <v>NATURAL</v>
          </cell>
          <cell r="G553" t="str">
            <v>CREMONA</v>
          </cell>
        </row>
        <row r="554">
          <cell r="A554" t="str">
            <v>HI-CR-AJT-40</v>
          </cell>
          <cell r="B554" t="str">
            <v>CARRO AJUSTABLE 40 KG</v>
          </cell>
          <cell r="C554">
            <v>0</v>
          </cell>
          <cell r="D554">
            <v>45661</v>
          </cell>
          <cell r="E554">
            <v>0.06</v>
          </cell>
          <cell r="F554" t="str">
            <v>NATURAL</v>
          </cell>
          <cell r="G554" t="str">
            <v>CARRO</v>
          </cell>
        </row>
        <row r="555">
          <cell r="A555" t="str">
            <v>HI-CR-AJT-40-NAT</v>
          </cell>
          <cell r="B555" t="str">
            <v>CARRO AJUSTABLE 40 KG - NAT</v>
          </cell>
          <cell r="C555">
            <v>7146</v>
          </cell>
          <cell r="D555">
            <v>46191</v>
          </cell>
          <cell r="E555">
            <v>0.06</v>
          </cell>
          <cell r="F555" t="str">
            <v>NATURAL</v>
          </cell>
          <cell r="G555" t="str">
            <v>CARRO</v>
          </cell>
        </row>
        <row r="556">
          <cell r="A556" t="str">
            <v>HI-CR-AJT-70-KG</v>
          </cell>
          <cell r="B556" t="str">
            <v>CARRO AJUSTABLE 70 KG</v>
          </cell>
          <cell r="C556">
            <v>11654</v>
          </cell>
          <cell r="D556">
            <v>46191</v>
          </cell>
          <cell r="E556">
            <v>0.1</v>
          </cell>
          <cell r="F556" t="str">
            <v>NATURAL</v>
          </cell>
          <cell r="G556" t="str">
            <v>CARRO</v>
          </cell>
        </row>
        <row r="557">
          <cell r="A557" t="str">
            <v>HI-CR-MQT</v>
          </cell>
          <cell r="B557" t="str">
            <v>CARRO MOSQUITERO - FIRAT</v>
          </cell>
          <cell r="C557">
            <v>1892</v>
          </cell>
          <cell r="D557">
            <v>46135</v>
          </cell>
          <cell r="E557">
            <v>0.01</v>
          </cell>
          <cell r="F557" t="str">
            <v>NATURAL</v>
          </cell>
          <cell r="G557" t="str">
            <v>CARRO</v>
          </cell>
        </row>
        <row r="558">
          <cell r="A558" t="str">
            <v>HI-CR-MQT-3H</v>
          </cell>
          <cell r="B558" t="str">
            <v>CARRO MOSQUITERO - 3H</v>
          </cell>
          <cell r="C558">
            <v>1267</v>
          </cell>
          <cell r="D558">
            <v>46135</v>
          </cell>
          <cell r="E558">
            <v>0.01</v>
          </cell>
          <cell r="F558" t="str">
            <v>NATURAL</v>
          </cell>
          <cell r="G558" t="str">
            <v>CARRO</v>
          </cell>
        </row>
        <row r="559">
          <cell r="A559" t="str">
            <v>HI-CR-SLA-40</v>
          </cell>
          <cell r="B559" t="str">
            <v>CARRO ANDES 54 - 40 KG</v>
          </cell>
          <cell r="C559">
            <v>3534</v>
          </cell>
          <cell r="D559">
            <v>46170</v>
          </cell>
          <cell r="E559">
            <v>0.06</v>
          </cell>
          <cell r="F559" t="str">
            <v>NATURAL</v>
          </cell>
          <cell r="G559" t="str">
            <v>CARRO</v>
          </cell>
        </row>
        <row r="560">
          <cell r="A560" t="str">
            <v>HI-CR-SLA-FJ-45-CS</v>
          </cell>
          <cell r="B560" t="str">
            <v>CARRO CELSUS ANDES - FIJO 45 KG</v>
          </cell>
          <cell r="C560">
            <v>15087</v>
          </cell>
          <cell r="D560">
            <v>46097</v>
          </cell>
          <cell r="E560">
            <v>0.03</v>
          </cell>
          <cell r="F560" t="str">
            <v>NEGRO</v>
          </cell>
          <cell r="G560" t="str">
            <v>CARRO</v>
          </cell>
        </row>
        <row r="561">
          <cell r="A561" t="str">
            <v>HI-CR-SLA-FJ-90-CS</v>
          </cell>
          <cell r="B561" t="str">
            <v>CARRO CELSUS ANDES - FIJO 90 KG</v>
          </cell>
          <cell r="C561">
            <v>4361</v>
          </cell>
          <cell r="D561">
            <v>46135</v>
          </cell>
          <cell r="E561">
            <v>0.03</v>
          </cell>
          <cell r="F561" t="str">
            <v>NEGRO</v>
          </cell>
          <cell r="G561" t="str">
            <v>CARRO</v>
          </cell>
        </row>
        <row r="562">
          <cell r="A562" t="str">
            <v>HI-CR-SLA-RG-40-CS</v>
          </cell>
          <cell r="B562" t="str">
            <v>CARRO CELSUS ANDES - REGULABLE 40 KG</v>
          </cell>
          <cell r="C562">
            <v>0</v>
          </cell>
          <cell r="D562"/>
          <cell r="E562">
            <v>0</v>
          </cell>
          <cell r="F562" t="str">
            <v>NATURAL</v>
          </cell>
          <cell r="G562" t="str">
            <v>CARRO</v>
          </cell>
        </row>
        <row r="563">
          <cell r="A563" t="str">
            <v>HI-CR-SLA-RG-60-CS</v>
          </cell>
          <cell r="B563" t="str">
            <v>CARRO CELSUS ANDES - REGULABLE 60 KG</v>
          </cell>
          <cell r="C563">
            <v>458</v>
          </cell>
          <cell r="D563">
            <v>46135</v>
          </cell>
          <cell r="E563">
            <v>7.3499999999999996E-2</v>
          </cell>
          <cell r="F563" t="str">
            <v>NATURAL</v>
          </cell>
          <cell r="G563" t="str">
            <v>CARRO</v>
          </cell>
        </row>
        <row r="564">
          <cell r="A564" t="str">
            <v>HI-CR-SLA-RG-80-CS</v>
          </cell>
          <cell r="B564" t="str">
            <v>CARRO CELSUS SLIDING - REGULABLE 80 KG</v>
          </cell>
          <cell r="C564">
            <v>3067</v>
          </cell>
          <cell r="D564">
            <v>46135</v>
          </cell>
          <cell r="E564">
            <v>7.4800000000000005E-2</v>
          </cell>
          <cell r="F564" t="str">
            <v>NATURAL</v>
          </cell>
          <cell r="G564" t="str">
            <v>CARRO</v>
          </cell>
        </row>
        <row r="565">
          <cell r="A565" t="str">
            <v>HI-CR-SLD-AJT-240-CS</v>
          </cell>
          <cell r="B565" t="str">
            <v>CARRO CELSUS SLIDING - REGULABLE 230 KG</v>
          </cell>
          <cell r="C565">
            <v>2861</v>
          </cell>
          <cell r="D565">
            <v>46135</v>
          </cell>
          <cell r="E565">
            <v>0.24</v>
          </cell>
          <cell r="F565" t="str">
            <v>NEGRO</v>
          </cell>
          <cell r="G565" t="str">
            <v>CARRO</v>
          </cell>
        </row>
        <row r="566">
          <cell r="A566" t="str">
            <v>HI-CR-SLD-RG-120-CS</v>
          </cell>
          <cell r="B566" t="str">
            <v>CARRO CELSUS SLIDING - REGULABLE 120 KG</v>
          </cell>
          <cell r="C566">
            <v>11011</v>
          </cell>
          <cell r="D566">
            <v>46135</v>
          </cell>
          <cell r="E566">
            <v>0.08</v>
          </cell>
          <cell r="F566" t="str">
            <v>NEGRO</v>
          </cell>
          <cell r="G566" t="str">
            <v>CARRO</v>
          </cell>
        </row>
        <row r="567">
          <cell r="A567" t="str">
            <v>HI-CR-SLD-RG-60-CS</v>
          </cell>
          <cell r="B567" t="str">
            <v>CARRO CELSUS SLIDING - REGULABLE 60 KG</v>
          </cell>
          <cell r="C567">
            <v>11733</v>
          </cell>
          <cell r="D567">
            <v>46135</v>
          </cell>
          <cell r="E567">
            <v>0.06</v>
          </cell>
          <cell r="F567" t="str">
            <v>NEGRO</v>
          </cell>
          <cell r="G567" t="str">
            <v>CARRO</v>
          </cell>
        </row>
        <row r="568">
          <cell r="A568" t="str">
            <v>HI-EXT-CP-420</v>
          </cell>
          <cell r="B568" t="str">
            <v>EXTENSOR CREMONA DE PUERTA 420 mm</v>
          </cell>
          <cell r="C568">
            <v>645</v>
          </cell>
          <cell r="D568">
            <v>46191</v>
          </cell>
          <cell r="E568">
            <v>0.19</v>
          </cell>
          <cell r="F568" t="str">
            <v>NATURAL</v>
          </cell>
          <cell r="G568" t="str">
            <v>CREMONA</v>
          </cell>
        </row>
        <row r="569">
          <cell r="A569" t="str">
            <v>HI-EXT-CP-630</v>
          </cell>
          <cell r="B569" t="str">
            <v>EXTENSOR CREMONA DE PUERTA 630 mm</v>
          </cell>
          <cell r="C569">
            <v>298</v>
          </cell>
          <cell r="D569">
            <v>46060</v>
          </cell>
          <cell r="E569">
            <v>0.28999999999999998</v>
          </cell>
          <cell r="F569" t="str">
            <v>NATURAL</v>
          </cell>
          <cell r="G569" t="str">
            <v>CREMONA</v>
          </cell>
        </row>
        <row r="570">
          <cell r="A570" t="str">
            <v>HI-FLP-7X6-GR-SOM</v>
          </cell>
          <cell r="B570" t="str">
            <v>FELPA 7X6 S/FILM SEAL - 1 MT - GRIS - SOM</v>
          </cell>
          <cell r="C570">
            <v>1472</v>
          </cell>
          <cell r="D570">
            <v>45537</v>
          </cell>
          <cell r="E570">
            <v>6.0000000000000001E-3</v>
          </cell>
          <cell r="F570" t="str">
            <v>GRIS</v>
          </cell>
          <cell r="G570" t="str">
            <v>FELPA</v>
          </cell>
        </row>
        <row r="571">
          <cell r="A571" t="str">
            <v>HI-FLP-7X6-GS</v>
          </cell>
          <cell r="B571" t="str">
            <v>FELPA C/F 7X6 mm 300 mts - GRIS - SLK</v>
          </cell>
          <cell r="C571">
            <v>312</v>
          </cell>
          <cell r="D571">
            <v>46106</v>
          </cell>
          <cell r="E571">
            <v>2.5</v>
          </cell>
          <cell r="F571" t="str">
            <v>GRAFITO</v>
          </cell>
          <cell r="G571" t="str">
            <v>FELPA</v>
          </cell>
        </row>
        <row r="572">
          <cell r="A572" t="str">
            <v>HI-FLP-7X6-NE</v>
          </cell>
          <cell r="B572" t="str">
            <v>FELPA C/F 7X6 mm 300 mts - NEGRO - SLK</v>
          </cell>
          <cell r="C572">
            <v>1196</v>
          </cell>
          <cell r="D572">
            <v>46106</v>
          </cell>
          <cell r="E572">
            <v>2.5</v>
          </cell>
          <cell r="F572" t="str">
            <v>NEGRO</v>
          </cell>
          <cell r="G572" t="str">
            <v>FELPA</v>
          </cell>
        </row>
        <row r="573">
          <cell r="A573" t="str">
            <v>HI-FLP-7X8-GS</v>
          </cell>
          <cell r="B573" t="str">
            <v>FELPA C/F 7X8 mm 300 mts - GRIS - SLK</v>
          </cell>
          <cell r="C573">
            <v>220</v>
          </cell>
          <cell r="D573">
            <v>45827</v>
          </cell>
          <cell r="E573">
            <v>2.64</v>
          </cell>
          <cell r="F573" t="str">
            <v>GRAFITO</v>
          </cell>
          <cell r="G573" t="str">
            <v>FELPA</v>
          </cell>
        </row>
        <row r="574">
          <cell r="A574" t="str">
            <v>HI-FLP-7X8-NE</v>
          </cell>
          <cell r="B574" t="str">
            <v>FELPA C/F 7X8 mm 300 mts - NEGRO - SLK</v>
          </cell>
          <cell r="C574">
            <v>1676</v>
          </cell>
          <cell r="D574">
            <v>46106</v>
          </cell>
          <cell r="E574">
            <v>2.64</v>
          </cell>
          <cell r="F574" t="str">
            <v>NEGRO</v>
          </cell>
          <cell r="G574" t="str">
            <v>FELPA</v>
          </cell>
        </row>
        <row r="575">
          <cell r="A575" t="str">
            <v>HI-LMD-AP</v>
          </cell>
          <cell r="B575" t="str">
            <v>LIMITADOR DE APERTURA</v>
          </cell>
          <cell r="C575">
            <v>3659</v>
          </cell>
          <cell r="D575">
            <v>46191</v>
          </cell>
          <cell r="E575">
            <v>0.12</v>
          </cell>
          <cell r="F575" t="str">
            <v>NATURAL</v>
          </cell>
          <cell r="G575" t="str">
            <v>OB</v>
          </cell>
        </row>
        <row r="576">
          <cell r="A576" t="str">
            <v>HI-LMD-AP-RGL</v>
          </cell>
          <cell r="B576" t="str">
            <v>LIMITADOR DE APERTURA REGULABLE</v>
          </cell>
          <cell r="C576">
            <v>0</v>
          </cell>
          <cell r="D576">
            <v>45068</v>
          </cell>
          <cell r="E576">
            <v>0</v>
          </cell>
          <cell r="F576" t="str">
            <v>NEGRO</v>
          </cell>
          <cell r="G576" t="str">
            <v>MANILLA</v>
          </cell>
        </row>
        <row r="577">
          <cell r="A577" t="str">
            <v>HI-MLA-BL-OV-SLK</v>
          </cell>
          <cell r="B577" t="str">
            <v>MANILLA SILTEK OVAL - BL</v>
          </cell>
          <cell r="C577">
            <v>2000</v>
          </cell>
          <cell r="D577">
            <v>45995</v>
          </cell>
          <cell r="E577">
            <v>0.15</v>
          </cell>
          <cell r="F577" t="str">
            <v>BLANCO</v>
          </cell>
          <cell r="G577" t="str">
            <v>MANILLA</v>
          </cell>
        </row>
        <row r="578">
          <cell r="A578" t="str">
            <v>HI-MLA-BL-SLK</v>
          </cell>
          <cell r="B578" t="str">
            <v>MANILLA NEW FORNAX BLANCA</v>
          </cell>
          <cell r="C578">
            <v>31518</v>
          </cell>
          <cell r="D578">
            <v>45982</v>
          </cell>
          <cell r="E578">
            <v>0.14000000000000001</v>
          </cell>
          <cell r="F578" t="str">
            <v>BLANCO</v>
          </cell>
          <cell r="G578" t="str">
            <v>MANILLA</v>
          </cell>
        </row>
        <row r="579">
          <cell r="A579" t="str">
            <v>HI-MLA-CLL-BL</v>
          </cell>
          <cell r="B579" t="str">
            <v>MANILLA CON LLAVE - BLANCA</v>
          </cell>
          <cell r="C579">
            <v>0</v>
          </cell>
          <cell r="D579">
            <v>45123</v>
          </cell>
          <cell r="E579">
            <v>0.4536</v>
          </cell>
          <cell r="F579" t="str">
            <v>BLANCO</v>
          </cell>
          <cell r="G579" t="str">
            <v>MANILLA</v>
          </cell>
        </row>
        <row r="580">
          <cell r="A580" t="str">
            <v>HI-MLA-CLL-MR</v>
          </cell>
          <cell r="B580" t="str">
            <v>MANILLA CON LLAVE - MARRON</v>
          </cell>
          <cell r="C580">
            <v>0</v>
          </cell>
          <cell r="D580">
            <v>45123</v>
          </cell>
          <cell r="E580">
            <v>0.4536</v>
          </cell>
          <cell r="F580" t="str">
            <v>MARRON</v>
          </cell>
          <cell r="G580" t="str">
            <v>MANILLA</v>
          </cell>
        </row>
        <row r="581">
          <cell r="A581" t="str">
            <v>HI-MLA-CLL-NE</v>
          </cell>
          <cell r="B581" t="str">
            <v>MANILLA CON LLAVE - NEGRA</v>
          </cell>
          <cell r="C581">
            <v>0</v>
          </cell>
          <cell r="D581">
            <v>45068</v>
          </cell>
          <cell r="E581">
            <v>0.4536</v>
          </cell>
          <cell r="F581" t="str">
            <v>NEGRO</v>
          </cell>
          <cell r="G581" t="str">
            <v>MANILLA</v>
          </cell>
        </row>
        <row r="582">
          <cell r="A582" t="str">
            <v>HI-MLA-ECO-DE-BL</v>
          </cell>
          <cell r="B582" t="str">
            <v>MANILLA ECONOMICA ANDES DER - BLANCO</v>
          </cell>
          <cell r="C582">
            <v>4376</v>
          </cell>
          <cell r="D582">
            <v>46060</v>
          </cell>
          <cell r="E582">
            <v>7.0000000000000007E-2</v>
          </cell>
          <cell r="F582" t="str">
            <v>BLANCO</v>
          </cell>
          <cell r="G582" t="str">
            <v>MANILLA</v>
          </cell>
        </row>
        <row r="583">
          <cell r="A583" t="str">
            <v>HI-MLA-ECO-DE-MO</v>
          </cell>
          <cell r="B583" t="str">
            <v>MANILLA ECONOMICA ANDES DER - MARRON OSCURO</v>
          </cell>
          <cell r="C583">
            <v>91</v>
          </cell>
          <cell r="D583">
            <v>45530</v>
          </cell>
          <cell r="E583">
            <v>7.0000000000000007E-2</v>
          </cell>
          <cell r="F583" t="str">
            <v>MARRON OSCURO</v>
          </cell>
          <cell r="G583" t="str">
            <v>MANILLA</v>
          </cell>
        </row>
        <row r="584">
          <cell r="A584" t="str">
            <v>HI-MLA-ECO-IZ-BL</v>
          </cell>
          <cell r="B584" t="str">
            <v>MANILLA ECONOMICA ANDES IZQ - BLANCO</v>
          </cell>
          <cell r="C584">
            <v>2580</v>
          </cell>
          <cell r="D584">
            <v>46060</v>
          </cell>
          <cell r="E584">
            <v>7.0000000000000007E-2</v>
          </cell>
          <cell r="F584" t="str">
            <v>BLANCO</v>
          </cell>
          <cell r="G584" t="str">
            <v>MANILLA</v>
          </cell>
        </row>
        <row r="585">
          <cell r="A585" t="str">
            <v>HI-MLA-EGE-BL</v>
          </cell>
          <cell r="B585" t="str">
            <v>MANILLA EGE - BLANCA</v>
          </cell>
          <cell r="C585">
            <v>0</v>
          </cell>
          <cell r="D585">
            <v>45247</v>
          </cell>
          <cell r="E585">
            <v>0</v>
          </cell>
          <cell r="F585" t="str">
            <v>BLANCO</v>
          </cell>
          <cell r="G585" t="str">
            <v>MANILLA</v>
          </cell>
        </row>
        <row r="586">
          <cell r="A586" t="str">
            <v>HI-MLA-EGE-GS</v>
          </cell>
          <cell r="B586" t="str">
            <v>MANILLA EGE - GRIS</v>
          </cell>
          <cell r="C586">
            <v>1116</v>
          </cell>
          <cell r="D586">
            <v>46060</v>
          </cell>
          <cell r="E586">
            <v>0</v>
          </cell>
          <cell r="F586" t="str">
            <v>GRIS</v>
          </cell>
          <cell r="G586" t="str">
            <v>MANILLA</v>
          </cell>
        </row>
        <row r="587">
          <cell r="A587" t="str">
            <v>HI-MLA-EGE-NE</v>
          </cell>
          <cell r="B587" t="str">
            <v>MANILLA EGE - NEGRA</v>
          </cell>
          <cell r="C587">
            <v>1985</v>
          </cell>
          <cell r="D587">
            <v>46060</v>
          </cell>
          <cell r="E587">
            <v>0</v>
          </cell>
          <cell r="F587" t="str">
            <v>NEGRO</v>
          </cell>
          <cell r="G587" t="str">
            <v>MANILLA</v>
          </cell>
        </row>
        <row r="588">
          <cell r="A588" t="str">
            <v>HI-MLA-EST-BL</v>
          </cell>
          <cell r="B588" t="str">
            <v>MANILLA ESTRECHA - BLANCO</v>
          </cell>
          <cell r="C588">
            <v>412</v>
          </cell>
          <cell r="D588">
            <v>46167</v>
          </cell>
          <cell r="E588">
            <v>0.25</v>
          </cell>
          <cell r="F588" t="str">
            <v>BLANCO</v>
          </cell>
          <cell r="G588" t="str">
            <v>MANILLA</v>
          </cell>
        </row>
        <row r="589">
          <cell r="A589" t="str">
            <v>HI-MLA-EST-CLL-BL</v>
          </cell>
          <cell r="B589" t="str">
            <v>MANILLA ESTRECHA CON LLAVE - BLANCO</v>
          </cell>
          <cell r="C589">
            <v>104</v>
          </cell>
          <cell r="D589">
            <v>45661</v>
          </cell>
          <cell r="E589">
            <v>0.27</v>
          </cell>
          <cell r="F589" t="str">
            <v>BLANCO</v>
          </cell>
          <cell r="G589" t="str">
            <v>MANILLA</v>
          </cell>
        </row>
        <row r="590">
          <cell r="A590" t="str">
            <v>HI-MLA-EST-MO</v>
          </cell>
          <cell r="B590" t="str">
            <v>MANILLA ESTRECHA - MARRON OSCURO</v>
          </cell>
          <cell r="C590">
            <v>0</v>
          </cell>
          <cell r="D590">
            <v>45545</v>
          </cell>
          <cell r="E590">
            <v>0.25</v>
          </cell>
          <cell r="F590" t="str">
            <v>MARRON OSCURO</v>
          </cell>
          <cell r="G590" t="str">
            <v>MANILLA</v>
          </cell>
        </row>
        <row r="591">
          <cell r="A591" t="str">
            <v>HI-MLA-EST-MR</v>
          </cell>
          <cell r="B591" t="str">
            <v>MANILLA ESTRECHA - MARRON</v>
          </cell>
          <cell r="C591">
            <v>782</v>
          </cell>
          <cell r="D591">
            <v>46167</v>
          </cell>
          <cell r="E591">
            <v>0.25</v>
          </cell>
          <cell r="F591" t="str">
            <v>MARRON</v>
          </cell>
          <cell r="G591" t="str">
            <v>MANILLA</v>
          </cell>
        </row>
        <row r="592">
          <cell r="A592" t="str">
            <v>HI-MLA-EST-NE</v>
          </cell>
          <cell r="B592" t="str">
            <v>MANILLA ESTRECHA - NEGRO</v>
          </cell>
          <cell r="C592">
            <v>326</v>
          </cell>
          <cell r="D592">
            <v>46167</v>
          </cell>
          <cell r="E592">
            <v>0.25</v>
          </cell>
          <cell r="F592" t="str">
            <v>NEGRO</v>
          </cell>
          <cell r="G592" t="str">
            <v>MANILLA</v>
          </cell>
        </row>
        <row r="593">
          <cell r="A593" t="str">
            <v>HI-MLA-FNX-BL</v>
          </cell>
          <cell r="B593" t="str">
            <v>MANILLA FORNAX - BLANCO</v>
          </cell>
          <cell r="C593">
            <v>187</v>
          </cell>
          <cell r="D593">
            <v>46153</v>
          </cell>
          <cell r="E593">
            <v>0.14000000000000001</v>
          </cell>
          <cell r="F593" t="str">
            <v>BLANCO</v>
          </cell>
          <cell r="G593" t="str">
            <v>MANILLA</v>
          </cell>
        </row>
        <row r="594">
          <cell r="A594" t="str">
            <v>HI-MLA-FNX-MR</v>
          </cell>
          <cell r="B594" t="str">
            <v>MANILLA FORNAX - MARRON</v>
          </cell>
          <cell r="C594">
            <v>17</v>
          </cell>
          <cell r="D594">
            <v>46032</v>
          </cell>
          <cell r="E594">
            <v>0.14000000000000001</v>
          </cell>
          <cell r="F594" t="str">
            <v>MARRON</v>
          </cell>
          <cell r="G594" t="str">
            <v>MANILLA</v>
          </cell>
        </row>
        <row r="595">
          <cell r="A595" t="str">
            <v>HI-MLA-FNX-NE</v>
          </cell>
          <cell r="B595" t="str">
            <v>MANILLA FORNAX - NEGRO</v>
          </cell>
          <cell r="C595">
            <v>11348</v>
          </cell>
          <cell r="D595">
            <v>46153</v>
          </cell>
          <cell r="E595">
            <v>0.14000000000000001</v>
          </cell>
          <cell r="F595" t="str">
            <v>NEGRO</v>
          </cell>
          <cell r="G595" t="str">
            <v>MANILLA</v>
          </cell>
        </row>
        <row r="596">
          <cell r="A596" t="str">
            <v>HI-MLA-FNX-PAR-DE-BL</v>
          </cell>
          <cell r="B596" t="str">
            <v>MANILLA PARCHE ANDES FNX - BLANCO - DE</v>
          </cell>
          <cell r="C596">
            <v>0</v>
          </cell>
          <cell r="D596"/>
          <cell r="E596">
            <v>0</v>
          </cell>
          <cell r="F596" t="str">
            <v>BLANCO</v>
          </cell>
          <cell r="G596" t="str">
            <v>MANILLA</v>
          </cell>
        </row>
        <row r="597">
          <cell r="A597" t="str">
            <v>HI-MLA-FNX-PAR-IZ-BL</v>
          </cell>
          <cell r="B597" t="str">
            <v>MANILLA PARCHE ANDES FNX - BLANCO - IZ</v>
          </cell>
          <cell r="C597">
            <v>0</v>
          </cell>
          <cell r="D597"/>
          <cell r="E597">
            <v>0</v>
          </cell>
          <cell r="F597" t="str">
            <v>BLANCO</v>
          </cell>
          <cell r="G597" t="str">
            <v>MANILLA</v>
          </cell>
        </row>
        <row r="598">
          <cell r="A598" t="str">
            <v>HI-MLA-MLA-BL</v>
          </cell>
          <cell r="B598" t="str">
            <v>MANILLA CONTRA MANILLA - BLANCO</v>
          </cell>
          <cell r="C598">
            <v>1</v>
          </cell>
          <cell r="D598">
            <v>45661</v>
          </cell>
          <cell r="E598">
            <v>0.36530000000000001</v>
          </cell>
          <cell r="F598" t="str">
            <v>BLANCO</v>
          </cell>
          <cell r="G598" t="str">
            <v>MANILLA</v>
          </cell>
        </row>
        <row r="599">
          <cell r="A599" t="str">
            <v>HI-MLA-MLA-MR</v>
          </cell>
          <cell r="B599" t="str">
            <v>MANILLA CONTRA MANILLA - MARRON</v>
          </cell>
          <cell r="C599">
            <v>2</v>
          </cell>
          <cell r="D599">
            <v>46060</v>
          </cell>
          <cell r="E599">
            <v>0.36530000000000001</v>
          </cell>
          <cell r="F599" t="str">
            <v>MARRON</v>
          </cell>
          <cell r="G599" t="str">
            <v>MANILLA</v>
          </cell>
        </row>
        <row r="600">
          <cell r="A600" t="str">
            <v>HI-MLA-MLA-NE</v>
          </cell>
          <cell r="B600" t="str">
            <v>MANILLA CONTRA MANILLA - NEGRO</v>
          </cell>
          <cell r="C600">
            <v>2</v>
          </cell>
          <cell r="D600">
            <v>46032</v>
          </cell>
          <cell r="E600">
            <v>0.36530000000000001</v>
          </cell>
          <cell r="F600" t="str">
            <v>NEGRO</v>
          </cell>
          <cell r="G600" t="str">
            <v>MANILLA</v>
          </cell>
        </row>
        <row r="601">
          <cell r="A601" t="str">
            <v>HI-MLA-MNO-BL</v>
          </cell>
          <cell r="B601" t="str">
            <v>MANILLA MILANO - BLANCO</v>
          </cell>
          <cell r="C601">
            <v>1760</v>
          </cell>
          <cell r="D601">
            <v>46060</v>
          </cell>
          <cell r="E601">
            <v>0.16</v>
          </cell>
          <cell r="F601" t="str">
            <v>BLANCO</v>
          </cell>
          <cell r="G601" t="str">
            <v>MANILLA</v>
          </cell>
        </row>
        <row r="602">
          <cell r="A602" t="str">
            <v>HI-MLA-MNO-BL-SLK</v>
          </cell>
          <cell r="B602" t="str">
            <v>MANILLA MILANO BLANCA - SLK</v>
          </cell>
          <cell r="C602">
            <v>4700</v>
          </cell>
          <cell r="D602">
            <v>45982</v>
          </cell>
          <cell r="E602">
            <v>0.16</v>
          </cell>
          <cell r="F602" t="str">
            <v>BLANCO</v>
          </cell>
          <cell r="G602" t="str">
            <v>MANILLA</v>
          </cell>
        </row>
        <row r="603">
          <cell r="A603" t="str">
            <v>HI-MLA-MNO-GS</v>
          </cell>
          <cell r="B603" t="str">
            <v>MANILLA MILANO - GRIS</v>
          </cell>
          <cell r="C603">
            <v>1143</v>
          </cell>
          <cell r="D603">
            <v>46060</v>
          </cell>
          <cell r="E603">
            <v>0.16</v>
          </cell>
          <cell r="F603" t="str">
            <v>GRAFITO</v>
          </cell>
          <cell r="G603" t="str">
            <v>MANILLA</v>
          </cell>
        </row>
        <row r="604">
          <cell r="A604" t="str">
            <v>HI-MLA-MNO-HK-BL</v>
          </cell>
          <cell r="B604" t="str">
            <v>MANILLA MILANO HAUSTEK - BLANCO</v>
          </cell>
          <cell r="C604">
            <v>0</v>
          </cell>
          <cell r="D604">
            <v>44926</v>
          </cell>
          <cell r="E604">
            <v>0.16</v>
          </cell>
          <cell r="F604" t="str">
            <v>BLANCO</v>
          </cell>
          <cell r="G604" t="str">
            <v>MANILLA</v>
          </cell>
        </row>
        <row r="605">
          <cell r="A605" t="str">
            <v>HI-MLA-MNO-HK-MR</v>
          </cell>
          <cell r="B605" t="str">
            <v>MANILLA MILANO HAUSTEK - MARRON</v>
          </cell>
          <cell r="C605">
            <v>0</v>
          </cell>
          <cell r="D605">
            <v>45202</v>
          </cell>
          <cell r="E605">
            <v>0.16</v>
          </cell>
          <cell r="F605" t="str">
            <v>MARRON</v>
          </cell>
          <cell r="G605" t="str">
            <v>MANILLA</v>
          </cell>
        </row>
        <row r="606">
          <cell r="A606" t="str">
            <v>HI-MLA-MNO-HK-PL</v>
          </cell>
          <cell r="B606" t="str">
            <v>MANILLA MILANO HAUSTEK - PLATA</v>
          </cell>
          <cell r="C606">
            <v>0</v>
          </cell>
          <cell r="D606">
            <v>45545</v>
          </cell>
          <cell r="E606">
            <v>0.16</v>
          </cell>
          <cell r="F606" t="str">
            <v>PLATA</v>
          </cell>
          <cell r="G606" t="str">
            <v>MANILLA</v>
          </cell>
        </row>
        <row r="607">
          <cell r="A607" t="str">
            <v>HI-MLA-MNO-MO</v>
          </cell>
          <cell r="B607" t="str">
            <v>MANILLA MILANO - MARRON OSCURO</v>
          </cell>
          <cell r="C607">
            <v>479</v>
          </cell>
          <cell r="D607">
            <v>45628</v>
          </cell>
          <cell r="E607">
            <v>0.16</v>
          </cell>
          <cell r="F607" t="str">
            <v>MARRON OSCURO</v>
          </cell>
          <cell r="G607" t="str">
            <v>MANILLA</v>
          </cell>
        </row>
        <row r="608">
          <cell r="A608" t="str">
            <v>HI-MLA-MNO-MR</v>
          </cell>
          <cell r="B608" t="str">
            <v>MANILLA MILANO - MARRON</v>
          </cell>
          <cell r="C608">
            <v>1144</v>
          </cell>
          <cell r="D608">
            <v>46056</v>
          </cell>
          <cell r="E608">
            <v>0.16</v>
          </cell>
          <cell r="F608" t="str">
            <v>MARRON</v>
          </cell>
          <cell r="G608" t="str">
            <v>MANILLA</v>
          </cell>
        </row>
        <row r="609">
          <cell r="A609" t="str">
            <v>HI-MLA-MNO-MR-SLK</v>
          </cell>
          <cell r="B609" t="str">
            <v>MANILLA MILANO MARRON - SLK</v>
          </cell>
          <cell r="C609">
            <v>3000</v>
          </cell>
          <cell r="D609">
            <v>45982</v>
          </cell>
          <cell r="E609">
            <v>0.16</v>
          </cell>
          <cell r="F609" t="str">
            <v>MARRON</v>
          </cell>
          <cell r="G609" t="str">
            <v>MANILLA</v>
          </cell>
        </row>
        <row r="610">
          <cell r="A610" t="str">
            <v>HI-MLA-MNO-NE</v>
          </cell>
          <cell r="B610" t="str">
            <v>MANILLA MILANO - NEGRO</v>
          </cell>
          <cell r="C610">
            <v>151</v>
          </cell>
          <cell r="D610">
            <v>46056</v>
          </cell>
          <cell r="E610">
            <v>0.16</v>
          </cell>
          <cell r="F610" t="str">
            <v>NEGRO</v>
          </cell>
          <cell r="G610" t="str">
            <v>MANILLA</v>
          </cell>
        </row>
        <row r="611">
          <cell r="A611" t="str">
            <v>HI-MLA-MNO-NE-SLK</v>
          </cell>
          <cell r="B611" t="str">
            <v>MANILLA MILANO NEGRO - SLK</v>
          </cell>
          <cell r="C611">
            <v>3000</v>
          </cell>
          <cell r="D611">
            <v>45982</v>
          </cell>
          <cell r="E611">
            <v>0.16</v>
          </cell>
          <cell r="F611" t="str">
            <v>NEGRO</v>
          </cell>
          <cell r="G611" t="str">
            <v>MANILLA</v>
          </cell>
        </row>
        <row r="612">
          <cell r="A612" t="str">
            <v>HI-MLA-MR-OV-SLK</v>
          </cell>
          <cell r="B612" t="str">
            <v>MANILLA SILTEK OVAL - MR</v>
          </cell>
          <cell r="C612">
            <v>1800</v>
          </cell>
          <cell r="D612">
            <v>45995</v>
          </cell>
          <cell r="E612">
            <v>0.15</v>
          </cell>
          <cell r="F612" t="str">
            <v>MARRON</v>
          </cell>
          <cell r="G612" t="str">
            <v>MANILLA</v>
          </cell>
        </row>
        <row r="613">
          <cell r="A613" t="str">
            <v>HI-MLA-MR-SLK</v>
          </cell>
          <cell r="B613" t="str">
            <v>MANILLA NEW FORNAX MARRON</v>
          </cell>
          <cell r="C613">
            <v>22741</v>
          </cell>
          <cell r="D613">
            <v>45982</v>
          </cell>
          <cell r="E613">
            <v>0.14000000000000001</v>
          </cell>
          <cell r="F613" t="str">
            <v>MARRON</v>
          </cell>
          <cell r="G613" t="str">
            <v>MANILLA</v>
          </cell>
        </row>
        <row r="614">
          <cell r="A614" t="str">
            <v>HI-MLA-NE-OV-SLK</v>
          </cell>
          <cell r="B614" t="str">
            <v>MANILLA SILTEK OVAL - NE</v>
          </cell>
          <cell r="C614">
            <v>2000</v>
          </cell>
          <cell r="D614">
            <v>45995</v>
          </cell>
          <cell r="E614">
            <v>0.15</v>
          </cell>
          <cell r="F614" t="str">
            <v>NEGRO</v>
          </cell>
          <cell r="G614" t="str">
            <v>MANILLA</v>
          </cell>
        </row>
        <row r="615">
          <cell r="A615" t="str">
            <v>HI-MLA-NE-SLK</v>
          </cell>
          <cell r="B615" t="str">
            <v>MANILLA NEW FORNAX NEGRO</v>
          </cell>
          <cell r="C615">
            <v>24437</v>
          </cell>
          <cell r="D615">
            <v>45982</v>
          </cell>
          <cell r="E615">
            <v>0.14000000000000001</v>
          </cell>
          <cell r="F615" t="str">
            <v>NEGRO</v>
          </cell>
          <cell r="G615" t="str">
            <v>MANILLA</v>
          </cell>
        </row>
        <row r="616">
          <cell r="A616" t="str">
            <v>HI-MLA-OCL-BL</v>
          </cell>
          <cell r="B616" t="str">
            <v>MANILLA OCULTA - BLANCO</v>
          </cell>
          <cell r="C616">
            <v>279</v>
          </cell>
          <cell r="D616">
            <v>45616</v>
          </cell>
          <cell r="E616">
            <v>0.15</v>
          </cell>
          <cell r="F616" t="str">
            <v>BLANCO</v>
          </cell>
          <cell r="G616" t="str">
            <v>MANILLA</v>
          </cell>
        </row>
        <row r="617">
          <cell r="A617" t="str">
            <v>HI-MLA-OCL-MO</v>
          </cell>
          <cell r="B617" t="str">
            <v>MANILLA OCULTA MARRON OSCURO</v>
          </cell>
          <cell r="C617">
            <v>13</v>
          </cell>
          <cell r="D617">
            <v>45616</v>
          </cell>
          <cell r="E617">
            <v>0.3</v>
          </cell>
          <cell r="F617" t="str">
            <v>MARRON OSCURO</v>
          </cell>
          <cell r="G617" t="str">
            <v>MANILLA</v>
          </cell>
        </row>
        <row r="618">
          <cell r="A618" t="str">
            <v>HI-MLA-OCL-MR</v>
          </cell>
          <cell r="B618" t="str">
            <v>MANILLA OCULTA MARRON</v>
          </cell>
          <cell r="C618">
            <v>43</v>
          </cell>
          <cell r="D618">
            <v>46032</v>
          </cell>
          <cell r="E618">
            <v>0.3</v>
          </cell>
          <cell r="F618" t="str">
            <v>MARRON</v>
          </cell>
          <cell r="G618" t="str">
            <v>MANILLA</v>
          </cell>
        </row>
        <row r="619">
          <cell r="A619" t="str">
            <v>HI-MLA-OCL-NE</v>
          </cell>
          <cell r="B619" t="str">
            <v>MANILLA OCULTA - NEGRO</v>
          </cell>
          <cell r="C619">
            <v>0</v>
          </cell>
          <cell r="D619">
            <v>45661</v>
          </cell>
          <cell r="E619">
            <v>0.15</v>
          </cell>
          <cell r="F619" t="str">
            <v>NEGRO</v>
          </cell>
          <cell r="G619" t="str">
            <v>MANILLA</v>
          </cell>
        </row>
        <row r="620">
          <cell r="A620" t="str">
            <v>HI-MLA-OCL-TF</v>
          </cell>
          <cell r="B620" t="str">
            <v>MANILLA OCULTA TOFFEE</v>
          </cell>
          <cell r="C620">
            <v>82</v>
          </cell>
          <cell r="D620">
            <v>45530</v>
          </cell>
          <cell r="E620">
            <v>0.3</v>
          </cell>
          <cell r="F620" t="str">
            <v>TOFFE</v>
          </cell>
          <cell r="G620" t="str">
            <v>MANILLA</v>
          </cell>
        </row>
        <row r="621">
          <cell r="A621" t="str">
            <v>HI-MLA-PAR-DE-BL</v>
          </cell>
          <cell r="B621" t="str">
            <v>MANILLA PARCHE ANDES - BLANCO - DE</v>
          </cell>
          <cell r="C621">
            <v>505</v>
          </cell>
          <cell r="D621">
            <v>46195</v>
          </cell>
          <cell r="E621">
            <v>0.09</v>
          </cell>
          <cell r="F621" t="str">
            <v>BLANCO</v>
          </cell>
          <cell r="G621" t="str">
            <v>MANILLA</v>
          </cell>
        </row>
        <row r="622">
          <cell r="A622" t="str">
            <v>HI-MLA-PAR-DE-CF</v>
          </cell>
          <cell r="B622" t="str">
            <v>MANILLA PARCHE ANDES - CAFE- DE</v>
          </cell>
          <cell r="C622">
            <v>0</v>
          </cell>
          <cell r="D622">
            <v>44782</v>
          </cell>
          <cell r="E622">
            <v>0.09</v>
          </cell>
          <cell r="F622" t="str">
            <v>TOFFE</v>
          </cell>
          <cell r="G622" t="str">
            <v>MANILLA</v>
          </cell>
        </row>
        <row r="623">
          <cell r="A623" t="str">
            <v>HI-MLA-PAR-DE-MO</v>
          </cell>
          <cell r="B623" t="str">
            <v>MANILLA PARCHE ANDES - MARRON OSCURO - DE</v>
          </cell>
          <cell r="C623">
            <v>0</v>
          </cell>
          <cell r="D623">
            <v>45298</v>
          </cell>
          <cell r="E623">
            <v>0.09</v>
          </cell>
          <cell r="F623" t="str">
            <v>MARRON OSCURO</v>
          </cell>
          <cell r="G623" t="str">
            <v>MANILLA</v>
          </cell>
        </row>
        <row r="624">
          <cell r="A624" t="str">
            <v>HI-MLA-PAR-DE-MR</v>
          </cell>
          <cell r="B624" t="str">
            <v>MANILLA PARCHE ANDES - MARRON - DE</v>
          </cell>
          <cell r="C624">
            <v>1812</v>
          </cell>
          <cell r="D624">
            <v>46002</v>
          </cell>
          <cell r="E624">
            <v>0.09</v>
          </cell>
          <cell r="F624" t="str">
            <v>MARRON</v>
          </cell>
          <cell r="G624" t="str">
            <v>MANILLA</v>
          </cell>
        </row>
        <row r="625">
          <cell r="A625" t="str">
            <v>HI-MLA-PAR-IZ-BL</v>
          </cell>
          <cell r="B625" t="str">
            <v>MANILLA PARCHE ANDES - BLANCO - IZ</v>
          </cell>
          <cell r="C625">
            <v>97</v>
          </cell>
          <cell r="D625">
            <v>46060</v>
          </cell>
          <cell r="E625">
            <v>0.09</v>
          </cell>
          <cell r="F625" t="str">
            <v>BLANCO</v>
          </cell>
          <cell r="G625" t="str">
            <v>MANILLA</v>
          </cell>
        </row>
        <row r="626">
          <cell r="A626" t="str">
            <v>HI-MLA-PAR-IZ-CF</v>
          </cell>
          <cell r="B626" t="str">
            <v>MANILLA PARCHE ANDES - CAFE - IZ</v>
          </cell>
          <cell r="C626">
            <v>187</v>
          </cell>
          <cell r="D626">
            <v>45661</v>
          </cell>
          <cell r="E626">
            <v>0.09</v>
          </cell>
          <cell r="F626" t="str">
            <v>TOFFE</v>
          </cell>
          <cell r="G626" t="str">
            <v>MANILLA</v>
          </cell>
        </row>
        <row r="627">
          <cell r="A627" t="str">
            <v>HI-MLA-PAR-IZ-MO</v>
          </cell>
          <cell r="B627" t="str">
            <v>MANILLA PARCHE ANDES - MARRON OSCURO - IZ</v>
          </cell>
          <cell r="C627">
            <v>1309</v>
          </cell>
          <cell r="D627">
            <v>46087</v>
          </cell>
          <cell r="E627">
            <v>0.09</v>
          </cell>
          <cell r="F627" t="str">
            <v>MARRON OSCURO</v>
          </cell>
          <cell r="G627" t="str">
            <v>MANILLA</v>
          </cell>
        </row>
        <row r="628">
          <cell r="A628" t="str">
            <v>HI-MLA-PAR-IZ-MR</v>
          </cell>
          <cell r="B628" t="str">
            <v>MANILLA PARCHE ANDES - MARRON - IZ</v>
          </cell>
          <cell r="C628">
            <v>3673</v>
          </cell>
          <cell r="D628">
            <v>46060</v>
          </cell>
          <cell r="E628">
            <v>0.09</v>
          </cell>
          <cell r="F628" t="str">
            <v>MARRON</v>
          </cell>
          <cell r="G628" t="str">
            <v>MANILLA</v>
          </cell>
        </row>
        <row r="629">
          <cell r="A629" t="str">
            <v>HI-MLA-PTA-BL</v>
          </cell>
          <cell r="B629" t="str">
            <v>MANILLA PUERTA ABATIR 35/92 mm - BLANCO</v>
          </cell>
          <cell r="C629">
            <v>587</v>
          </cell>
          <cell r="D629">
            <v>46060</v>
          </cell>
          <cell r="E629">
            <v>0.43</v>
          </cell>
          <cell r="F629" t="str">
            <v>BLANCO</v>
          </cell>
          <cell r="G629" t="str">
            <v>MANILLA</v>
          </cell>
        </row>
        <row r="630">
          <cell r="A630" t="str">
            <v>HI-MLA-PTA-BL-SLK</v>
          </cell>
          <cell r="B630" t="str">
            <v>MANILLA PUERTA ABATIR 35/92mm BLANCA - SLK</v>
          </cell>
          <cell r="C630">
            <v>1576</v>
          </cell>
          <cell r="D630">
            <v>45982</v>
          </cell>
          <cell r="E630">
            <v>0.43</v>
          </cell>
          <cell r="F630" t="str">
            <v>BLANCO</v>
          </cell>
          <cell r="G630" t="str">
            <v>MANILLA</v>
          </cell>
        </row>
        <row r="631">
          <cell r="A631" t="str">
            <v>HI-MLA-PTA-CORR-BL-SOM</v>
          </cell>
          <cell r="B631" t="str">
            <v>MANILLA PUERTA CORREDERA BLANCO - SOM</v>
          </cell>
          <cell r="C631">
            <v>0</v>
          </cell>
          <cell r="D631">
            <v>45730</v>
          </cell>
          <cell r="E631">
            <v>0.28599999999999998</v>
          </cell>
          <cell r="F631" t="str">
            <v>BLANCO</v>
          </cell>
          <cell r="G631" t="str">
            <v>MANILLA</v>
          </cell>
        </row>
        <row r="632">
          <cell r="A632" t="str">
            <v>HI-MLA-PTA-CORR-EXT-BL-SLK</v>
          </cell>
          <cell r="B632" t="str">
            <v>MANILLA PUERTA CORREDERA EXTERIOR BLANCO - SILTEK</v>
          </cell>
          <cell r="C632">
            <v>96</v>
          </cell>
          <cell r="D632">
            <v>45954</v>
          </cell>
          <cell r="E632">
            <v>0.28599999999999998</v>
          </cell>
          <cell r="F632" t="str">
            <v>BLANCO</v>
          </cell>
          <cell r="G632" t="str">
            <v>MANILLA</v>
          </cell>
        </row>
        <row r="633">
          <cell r="A633" t="str">
            <v>HI-MLA-PTA-CORR-EXT-MR-SLK</v>
          </cell>
          <cell r="B633" t="str">
            <v>MANILLA PUERTA CORREDERA EXTERIOR MARRON - SILTEK</v>
          </cell>
          <cell r="C633">
            <v>65</v>
          </cell>
          <cell r="D633">
            <v>45954</v>
          </cell>
          <cell r="E633">
            <v>0.28599999999999998</v>
          </cell>
          <cell r="F633" t="str">
            <v>MARRON</v>
          </cell>
          <cell r="G633" t="str">
            <v>MANILLA</v>
          </cell>
        </row>
        <row r="634">
          <cell r="A634" t="str">
            <v>HI-MLA-PTA-CORR-EXT-NE-SLK</v>
          </cell>
          <cell r="B634" t="str">
            <v>MANILLA PUERTA CORREDERA EXTERIOR NEGRA - SILTEK</v>
          </cell>
          <cell r="C634">
            <v>77</v>
          </cell>
          <cell r="D634">
            <v>46011</v>
          </cell>
          <cell r="E634">
            <v>0.28599999999999998</v>
          </cell>
          <cell r="F634" t="str">
            <v>NEGRO</v>
          </cell>
          <cell r="G634" t="str">
            <v>MANILLA</v>
          </cell>
        </row>
        <row r="635">
          <cell r="A635" t="str">
            <v>HI-MLA-PTA-CORR-INT-BL-SLK</v>
          </cell>
          <cell r="B635" t="str">
            <v>MANILLA PUERTA CORREDERA INTERIOR BLANCO - SILTEK</v>
          </cell>
          <cell r="C635">
            <v>169</v>
          </cell>
          <cell r="D635">
            <v>46060</v>
          </cell>
          <cell r="E635">
            <v>0.28599999999999998</v>
          </cell>
          <cell r="F635" t="str">
            <v>BLANCO</v>
          </cell>
          <cell r="G635" t="str">
            <v>MANILLA</v>
          </cell>
        </row>
        <row r="636">
          <cell r="A636" t="str">
            <v>HI-MLA-PTA-CORR-INT-MR-SLK</v>
          </cell>
          <cell r="B636" t="str">
            <v>MANILLA PUERTA CORREDERA INTERIOR MARRON - SILTEK</v>
          </cell>
          <cell r="C636">
            <v>138</v>
          </cell>
          <cell r="D636">
            <v>46060</v>
          </cell>
          <cell r="E636">
            <v>0.28599999999999998</v>
          </cell>
          <cell r="F636" t="str">
            <v>MARRON</v>
          </cell>
          <cell r="G636" t="str">
            <v>MANILLA</v>
          </cell>
        </row>
        <row r="637">
          <cell r="A637" t="str">
            <v>HI-MLA-PTA-CORR-INT-NE-SLK</v>
          </cell>
          <cell r="B637" t="str">
            <v>MANILLA PUERTA CORREDERA INTERIOR NEGRA - SILTEK</v>
          </cell>
          <cell r="C637">
            <v>238</v>
          </cell>
          <cell r="D637">
            <v>46060</v>
          </cell>
          <cell r="E637">
            <v>0.28599999999999998</v>
          </cell>
          <cell r="F637" t="str">
            <v>NEGRO</v>
          </cell>
          <cell r="G637" t="str">
            <v>MANILLA</v>
          </cell>
        </row>
        <row r="638">
          <cell r="A638" t="str">
            <v>HI-MLA-PTA-CORR-MR-SOM</v>
          </cell>
          <cell r="B638" t="str">
            <v>MANILLA PUERTA CORREDERA MARRON - SOM</v>
          </cell>
          <cell r="C638">
            <v>0</v>
          </cell>
          <cell r="D638">
            <v>45730</v>
          </cell>
          <cell r="E638">
            <v>0.28599999999999998</v>
          </cell>
          <cell r="F638" t="str">
            <v>MARRON</v>
          </cell>
          <cell r="G638" t="str">
            <v>MANILLA</v>
          </cell>
        </row>
        <row r="639">
          <cell r="A639" t="str">
            <v>HI-MLA-PTA-CORR-NE-SOM</v>
          </cell>
          <cell r="B639" t="str">
            <v>MANILLA PUERTA CORREDERA NEGRA - SOM</v>
          </cell>
          <cell r="C639">
            <v>0</v>
          </cell>
          <cell r="D639">
            <v>45706</v>
          </cell>
          <cell r="E639">
            <v>0.28599999999999998</v>
          </cell>
          <cell r="F639" t="str">
            <v>NEGRO</v>
          </cell>
          <cell r="G639" t="str">
            <v>MANILLA</v>
          </cell>
        </row>
        <row r="640">
          <cell r="A640" t="str">
            <v>HI-MLA-PTA-MNO-MR</v>
          </cell>
          <cell r="B640" t="str">
            <v>MANILLA PUERTA MILANO ABATIR 35/92 mm - MARRON</v>
          </cell>
          <cell r="C640">
            <v>0</v>
          </cell>
          <cell r="D640">
            <v>44561</v>
          </cell>
          <cell r="E640">
            <v>0.43</v>
          </cell>
          <cell r="F640" t="str">
            <v>MARRON</v>
          </cell>
          <cell r="G640" t="str">
            <v>MANILLA</v>
          </cell>
        </row>
        <row r="641">
          <cell r="A641" t="str">
            <v>HI-MLA-PTA-MR</v>
          </cell>
          <cell r="B641" t="str">
            <v>MANILLA PUERTA ABATIR 35/92 mm - MARRON</v>
          </cell>
          <cell r="C641">
            <v>48</v>
          </cell>
          <cell r="D641">
            <v>46076</v>
          </cell>
          <cell r="E641">
            <v>0.43</v>
          </cell>
          <cell r="F641" t="str">
            <v>MARRON</v>
          </cell>
          <cell r="G641" t="str">
            <v>MANILLA</v>
          </cell>
        </row>
        <row r="642">
          <cell r="A642" t="str">
            <v>HI-MLA-PTA-MR-SLK</v>
          </cell>
          <cell r="B642" t="str">
            <v>MANILLA PUERTA ABATIR 35/92mm MARRON - SLK</v>
          </cell>
          <cell r="C642">
            <v>1460</v>
          </cell>
          <cell r="D642">
            <v>45982</v>
          </cell>
          <cell r="E642">
            <v>0.43</v>
          </cell>
          <cell r="F642" t="str">
            <v>MARRON</v>
          </cell>
          <cell r="G642" t="str">
            <v>MANILLA</v>
          </cell>
        </row>
        <row r="643">
          <cell r="A643" t="str">
            <v>HI-MLA-PTA-NE</v>
          </cell>
          <cell r="B643" t="str">
            <v>MANILLA PUERTA ABATIR 35/92 mm - NEGRO</v>
          </cell>
          <cell r="C643">
            <v>145</v>
          </cell>
          <cell r="D643">
            <v>46060</v>
          </cell>
          <cell r="E643">
            <v>0.43</v>
          </cell>
          <cell r="F643" t="str">
            <v>NEGRO</v>
          </cell>
          <cell r="G643" t="str">
            <v>MANILLA</v>
          </cell>
        </row>
        <row r="644">
          <cell r="A644" t="str">
            <v>HI-MLA-PTA-NE-SLK</v>
          </cell>
          <cell r="B644" t="str">
            <v>MANILLA PUERTA ABATIR 35/92mm NEGRO - SLK</v>
          </cell>
          <cell r="C644">
            <v>1466</v>
          </cell>
          <cell r="D644">
            <v>46060</v>
          </cell>
          <cell r="E644">
            <v>0.43</v>
          </cell>
          <cell r="F644" t="str">
            <v>NEGRO</v>
          </cell>
          <cell r="G644" t="str">
            <v>MANILLA</v>
          </cell>
        </row>
        <row r="645">
          <cell r="A645" t="str">
            <v>HI-MLA-SOM-BL</v>
          </cell>
          <cell r="B645" t="str">
            <v>MANILLA SOM - BLANCO</v>
          </cell>
          <cell r="C645">
            <v>0</v>
          </cell>
          <cell r="D645">
            <v>45474</v>
          </cell>
          <cell r="E645">
            <v>0.13</v>
          </cell>
          <cell r="F645" t="str">
            <v>BLANCO</v>
          </cell>
          <cell r="G645" t="str">
            <v>MANILLA</v>
          </cell>
        </row>
        <row r="646">
          <cell r="A646" t="str">
            <v>HI-MLA-SOM-MR</v>
          </cell>
          <cell r="B646" t="str">
            <v>MANILLA SOM - MARRON</v>
          </cell>
          <cell r="C646">
            <v>1350</v>
          </cell>
          <cell r="D646">
            <v>46032</v>
          </cell>
          <cell r="E646">
            <v>0.13</v>
          </cell>
          <cell r="F646" t="str">
            <v>MARRON</v>
          </cell>
          <cell r="G646" t="str">
            <v>MANILLA</v>
          </cell>
        </row>
        <row r="647">
          <cell r="A647" t="str">
            <v>HI-MLA-SOM-NE</v>
          </cell>
          <cell r="B647" t="str">
            <v>MANILLA SOM - NEGRO</v>
          </cell>
          <cell r="C647">
            <v>0</v>
          </cell>
          <cell r="D647">
            <v>45123</v>
          </cell>
          <cell r="E647">
            <v>0.13</v>
          </cell>
          <cell r="F647" t="str">
            <v>NEGRO</v>
          </cell>
          <cell r="G647" t="str">
            <v>MANILLA</v>
          </cell>
        </row>
        <row r="648">
          <cell r="A648" t="str">
            <v>HI-MLA-TRD-BL</v>
          </cell>
          <cell r="B648" t="str">
            <v>TIRADOR VENTANA - BLANCO</v>
          </cell>
          <cell r="C648">
            <v>0</v>
          </cell>
          <cell r="D648">
            <v>44561</v>
          </cell>
          <cell r="E648">
            <v>0.03</v>
          </cell>
          <cell r="F648" t="str">
            <v>BLANCO</v>
          </cell>
          <cell r="G648" t="str">
            <v>MANILLA</v>
          </cell>
        </row>
        <row r="649">
          <cell r="A649" t="str">
            <v>HI-MLA-TRD-MR</v>
          </cell>
          <cell r="B649" t="str">
            <v>TIRADOR VENTANA - MARRON</v>
          </cell>
          <cell r="C649">
            <v>0</v>
          </cell>
          <cell r="D649">
            <v>45117</v>
          </cell>
          <cell r="E649">
            <v>0.03</v>
          </cell>
          <cell r="F649" t="str">
            <v>MARRON</v>
          </cell>
          <cell r="G649" t="str">
            <v>MANILLA</v>
          </cell>
        </row>
        <row r="650">
          <cell r="A650" t="str">
            <v>HI-MLA-TRD-NE</v>
          </cell>
          <cell r="B650" t="str">
            <v>TIRADOR VENTANA - NEGRO</v>
          </cell>
          <cell r="C650">
            <v>0</v>
          </cell>
          <cell r="D650">
            <v>45483</v>
          </cell>
          <cell r="E650">
            <v>0.03</v>
          </cell>
          <cell r="F650" t="str">
            <v>NEGRO</v>
          </cell>
          <cell r="G650" t="str">
            <v>MANILLA</v>
          </cell>
        </row>
        <row r="651">
          <cell r="A651" t="str">
            <v>HI-MLZ-ELV-BL</v>
          </cell>
          <cell r="B651" t="str">
            <v>MANILLA ELEVADORA RECTA ZENIA - BLANCO</v>
          </cell>
          <cell r="C651">
            <v>5</v>
          </cell>
          <cell r="D651">
            <v>45601</v>
          </cell>
          <cell r="E651">
            <v>0.53</v>
          </cell>
          <cell r="F651" t="str">
            <v>BLANCO</v>
          </cell>
          <cell r="G651" t="str">
            <v>MANILLA</v>
          </cell>
        </row>
        <row r="652">
          <cell r="A652" t="str">
            <v>HI-MLZ-ELV-CF</v>
          </cell>
          <cell r="B652" t="str">
            <v>MANILLA ELEVADORA RECTA ZENIA - CAFE</v>
          </cell>
          <cell r="C652">
            <v>10</v>
          </cell>
          <cell r="D652">
            <v>45601</v>
          </cell>
          <cell r="E652">
            <v>0.53</v>
          </cell>
          <cell r="F652" t="str">
            <v>TOFFE</v>
          </cell>
          <cell r="G652" t="str">
            <v>MANILLA</v>
          </cell>
        </row>
        <row r="653">
          <cell r="A653" t="str">
            <v>HI-MLZ-ELV-GR</v>
          </cell>
          <cell r="B653" t="str">
            <v>MANILLA ELEVADORA RECTA ZENIA - GRIS</v>
          </cell>
          <cell r="C653">
            <v>60</v>
          </cell>
          <cell r="D653">
            <v>46060</v>
          </cell>
          <cell r="E653">
            <v>0.53</v>
          </cell>
          <cell r="F653" t="str">
            <v>GRIS</v>
          </cell>
          <cell r="G653" t="str">
            <v>MANILLA</v>
          </cell>
        </row>
        <row r="654">
          <cell r="A654" t="str">
            <v>HI-MLZ-ELV-GR-BL</v>
          </cell>
          <cell r="B654" t="str">
            <v>MANILLA ELEVADORA GRANDE ZENIA - BLANCO</v>
          </cell>
          <cell r="C654">
            <v>0</v>
          </cell>
          <cell r="D654">
            <v>45574</v>
          </cell>
          <cell r="E654">
            <v>0.56999999999999995</v>
          </cell>
          <cell r="F654" t="str">
            <v>BLANCO</v>
          </cell>
          <cell r="G654" t="str">
            <v>MANILLA</v>
          </cell>
        </row>
        <row r="655">
          <cell r="A655" t="str">
            <v>HI-MLZ-ELV-GR-CF</v>
          </cell>
          <cell r="B655" t="str">
            <v>MANILLA ELEVADORA GRANDE ZENIA - CAFE</v>
          </cell>
          <cell r="C655">
            <v>0</v>
          </cell>
          <cell r="D655">
            <v>45625</v>
          </cell>
          <cell r="E655">
            <v>0.56999999999999995</v>
          </cell>
          <cell r="F655" t="str">
            <v>CAFE</v>
          </cell>
          <cell r="G655" t="str">
            <v>MANILLA</v>
          </cell>
        </row>
        <row r="656">
          <cell r="A656" t="str">
            <v>HI-MLZ-ELV-GR-GR</v>
          </cell>
          <cell r="B656" t="str">
            <v>MANILLA ELEVADORA GRANDE ZENIA - GRIS</v>
          </cell>
          <cell r="C656">
            <v>9</v>
          </cell>
          <cell r="D656">
            <v>45601</v>
          </cell>
          <cell r="E656">
            <v>0.56999999999999995</v>
          </cell>
          <cell r="F656" t="str">
            <v>GRAFITO</v>
          </cell>
          <cell r="G656" t="str">
            <v>MANILLA</v>
          </cell>
        </row>
        <row r="657">
          <cell r="A657" t="str">
            <v>HI-MLZ-ELV-GR-LC</v>
          </cell>
          <cell r="B657" t="str">
            <v>MANILLA ELEVADORA GRANDE ZENIA - LIGHT CAFE</v>
          </cell>
          <cell r="C657">
            <v>0</v>
          </cell>
          <cell r="D657">
            <v>45594</v>
          </cell>
          <cell r="E657">
            <v>0.56999999999999995</v>
          </cell>
          <cell r="F657" t="str">
            <v>TOFFE</v>
          </cell>
          <cell r="G657" t="str">
            <v>MANILLA</v>
          </cell>
        </row>
        <row r="658">
          <cell r="A658" t="str">
            <v>HI-MLZ-ELV-GR-MR</v>
          </cell>
          <cell r="B658" t="str">
            <v>MANILLA ELEVADORA GRANDE ZENIA - MARRON</v>
          </cell>
          <cell r="C658">
            <v>0</v>
          </cell>
          <cell r="D658">
            <v>45625</v>
          </cell>
          <cell r="E658">
            <v>0.56999999999999995</v>
          </cell>
          <cell r="F658" t="str">
            <v>MARRON</v>
          </cell>
          <cell r="G658" t="str">
            <v>MANILLA</v>
          </cell>
        </row>
        <row r="659">
          <cell r="A659" t="str">
            <v>HI-MLZ-ELV-GR-NE</v>
          </cell>
          <cell r="B659" t="str">
            <v>MANILLA ELEVADORA GRANDE ZENIA - NEGRA</v>
          </cell>
          <cell r="C659">
            <v>0</v>
          </cell>
          <cell r="D659">
            <v>45799</v>
          </cell>
          <cell r="E659">
            <v>0.56999999999999995</v>
          </cell>
          <cell r="F659" t="str">
            <v>NEGRO</v>
          </cell>
          <cell r="G659" t="str">
            <v>MANILLA</v>
          </cell>
        </row>
        <row r="660">
          <cell r="A660" t="str">
            <v>HI-MLZ-ELV-MO</v>
          </cell>
          <cell r="B660" t="str">
            <v>MANILLA ELEVADORA RECTA ZENIA - MARRON OSCURO</v>
          </cell>
          <cell r="C660">
            <v>3</v>
          </cell>
          <cell r="D660">
            <v>46060</v>
          </cell>
          <cell r="E660">
            <v>0.53</v>
          </cell>
          <cell r="F660" t="str">
            <v>MARRON OSCURO</v>
          </cell>
          <cell r="G660" t="str">
            <v>MANILLA</v>
          </cell>
        </row>
        <row r="661">
          <cell r="A661" t="str">
            <v>HI-MLZ-ELV-MR</v>
          </cell>
          <cell r="B661" t="str">
            <v>MANILLA ELEVADORA RECTA ZENIA - MARRON</v>
          </cell>
          <cell r="C661">
            <v>241</v>
          </cell>
          <cell r="D661">
            <v>45791</v>
          </cell>
          <cell r="E661">
            <v>0.53</v>
          </cell>
          <cell r="F661" t="str">
            <v>MARRON</v>
          </cell>
          <cell r="G661" t="str">
            <v>MANILLA</v>
          </cell>
        </row>
        <row r="662">
          <cell r="A662" t="str">
            <v>HI-MLZ-ELV-OC-BL</v>
          </cell>
          <cell r="B662" t="str">
            <v>MANILLA ELEVADORA OCULTA ZENIA - BLANCO</v>
          </cell>
          <cell r="C662">
            <v>56</v>
          </cell>
          <cell r="D662">
            <v>46190</v>
          </cell>
          <cell r="E662">
            <v>0.1</v>
          </cell>
          <cell r="F662" t="str">
            <v>BLANCO</v>
          </cell>
          <cell r="G662" t="str">
            <v>MANILLA</v>
          </cell>
        </row>
        <row r="663">
          <cell r="A663" t="str">
            <v>HI-MLZ-ELV-OC-CF</v>
          </cell>
          <cell r="B663" t="str">
            <v>MANILLA ELEVADORA OCULTA ZENIA - CAFE</v>
          </cell>
          <cell r="C663">
            <v>20</v>
          </cell>
          <cell r="D663">
            <v>45625</v>
          </cell>
          <cell r="E663">
            <v>0.1</v>
          </cell>
          <cell r="F663" t="str">
            <v>CAFE</v>
          </cell>
          <cell r="G663" t="str">
            <v>MANILLA</v>
          </cell>
        </row>
        <row r="664">
          <cell r="A664" t="str">
            <v>HI-MLZ-ELV-OC-GR</v>
          </cell>
          <cell r="B664" t="str">
            <v>MANILLA ELEVADORA OCULTA ZENIA - GRIS</v>
          </cell>
          <cell r="C664">
            <v>87</v>
          </cell>
          <cell r="D664">
            <v>46032</v>
          </cell>
          <cell r="E664">
            <v>0.1</v>
          </cell>
          <cell r="F664" t="str">
            <v>GRAFITO</v>
          </cell>
          <cell r="G664" t="str">
            <v>MANILLA</v>
          </cell>
        </row>
        <row r="665">
          <cell r="A665" t="str">
            <v>HI-MLZ-ELV-OC-MR</v>
          </cell>
          <cell r="B665" t="str">
            <v>MANILLA ELEVADORA OCULTA ZENIA - MARRON</v>
          </cell>
          <cell r="C665">
            <v>118</v>
          </cell>
          <cell r="D665">
            <v>46177</v>
          </cell>
          <cell r="E665">
            <v>0.1</v>
          </cell>
          <cell r="F665" t="str">
            <v>MARRON</v>
          </cell>
          <cell r="G665" t="str">
            <v>MANILLA</v>
          </cell>
        </row>
        <row r="666">
          <cell r="A666" t="str">
            <v>HI-MLZ-ELV-OC-NE</v>
          </cell>
          <cell r="B666" t="str">
            <v>MANILLA ELEVADORA OCULTA ZENIA - NEGRO</v>
          </cell>
          <cell r="C666">
            <v>7</v>
          </cell>
          <cell r="D666">
            <v>46032</v>
          </cell>
          <cell r="E666">
            <v>0.1</v>
          </cell>
          <cell r="F666" t="str">
            <v>NEGRO</v>
          </cell>
          <cell r="G666" t="str">
            <v>MANILLA</v>
          </cell>
        </row>
        <row r="667">
          <cell r="A667" t="str">
            <v>HI-MM-MQP-2200</v>
          </cell>
          <cell r="B667" t="str">
            <v>MALLA MOSQUITERO PLEGABLE GRIS 2200 MM - 50 PLIEGUES / 1 MT</v>
          </cell>
          <cell r="C667">
            <v>331</v>
          </cell>
          <cell r="D667">
            <v>46100</v>
          </cell>
          <cell r="E667">
            <v>0.32400000000000001</v>
          </cell>
          <cell r="F667" t="str">
            <v>NATURAL</v>
          </cell>
          <cell r="G667" t="str">
            <v>MOSQUITERO PLEGABLE</v>
          </cell>
        </row>
        <row r="668">
          <cell r="A668" t="str">
            <v>HI-MM-MQP-3000</v>
          </cell>
          <cell r="B668" t="str">
            <v>MALLA MOSQUITERO PLEGABLE GRIS 3000 MM - 50 PLIEGUES / 1 MT</v>
          </cell>
          <cell r="C668">
            <v>316</v>
          </cell>
          <cell r="D668">
            <v>46100</v>
          </cell>
          <cell r="E668">
            <v>0</v>
          </cell>
          <cell r="F668" t="str">
            <v>GRIS</v>
          </cell>
          <cell r="G668" t="str">
            <v>MOSQUITERO PLEGABLE</v>
          </cell>
        </row>
        <row r="669">
          <cell r="A669" t="str">
            <v>HI-MM-MQT-1000</v>
          </cell>
          <cell r="B669" t="str">
            <v>MALLA MOSQUITERO GRAFITO DE 1000 mm</v>
          </cell>
          <cell r="C669">
            <v>3054</v>
          </cell>
          <cell r="D669">
            <v>45539</v>
          </cell>
          <cell r="E669">
            <v>3</v>
          </cell>
          <cell r="F669" t="str">
            <v>NATURAL</v>
          </cell>
          <cell r="G669" t="str">
            <v>MOSQUITERO CORREDERA</v>
          </cell>
        </row>
        <row r="670">
          <cell r="A670" t="str">
            <v>HI-MM-MQT-1600</v>
          </cell>
          <cell r="B670" t="str">
            <v>MALLA MOSQUITERO GRAFITO DE 1600 mm</v>
          </cell>
          <cell r="C670">
            <v>3678</v>
          </cell>
          <cell r="D670">
            <v>46032</v>
          </cell>
          <cell r="E670">
            <v>4.95</v>
          </cell>
          <cell r="F670" t="str">
            <v>NATURAL</v>
          </cell>
          <cell r="G670" t="str">
            <v>MOSQUITERO CORREDERA</v>
          </cell>
        </row>
        <row r="671">
          <cell r="A671" t="str">
            <v>HI-MM-MQT-800</v>
          </cell>
          <cell r="B671" t="str">
            <v>MALLA MOSQUITERO GRAFITO DE 800 mm</v>
          </cell>
          <cell r="C671">
            <v>4668</v>
          </cell>
          <cell r="D671">
            <v>46032</v>
          </cell>
          <cell r="E671">
            <v>2.5499999999999998</v>
          </cell>
          <cell r="F671" t="str">
            <v>NATURAL</v>
          </cell>
          <cell r="G671" t="str">
            <v>MOSQUITERO CORREDERA</v>
          </cell>
        </row>
        <row r="672">
          <cell r="A672" t="str">
            <v>HI-OB-1150</v>
          </cell>
          <cell r="B672" t="str">
            <v>TIRANTE 1150 - 1500</v>
          </cell>
          <cell r="C672">
            <v>161</v>
          </cell>
          <cell r="D672">
            <v>46167</v>
          </cell>
          <cell r="E672">
            <v>0.33</v>
          </cell>
          <cell r="F672" t="str">
            <v>NATURAL</v>
          </cell>
          <cell r="G672" t="str">
            <v>OB</v>
          </cell>
        </row>
        <row r="673">
          <cell r="A673" t="str">
            <v>HI-OB-13-BLN-SEG</v>
          </cell>
          <cell r="B673" t="str">
            <v>CERRADERO 13 mm PARA BULON DE SEG.</v>
          </cell>
          <cell r="C673">
            <v>950</v>
          </cell>
          <cell r="D673">
            <v>45661</v>
          </cell>
          <cell r="E673">
            <v>0.04</v>
          </cell>
          <cell r="F673" t="str">
            <v>NATURAL</v>
          </cell>
          <cell r="G673" t="str">
            <v>CERRADEROS</v>
          </cell>
        </row>
        <row r="674">
          <cell r="A674" t="str">
            <v>HI-OB-1350</v>
          </cell>
          <cell r="B674" t="str">
            <v>TIRANTE 1350 - 1600</v>
          </cell>
          <cell r="C674">
            <v>372</v>
          </cell>
          <cell r="D674">
            <v>46167</v>
          </cell>
          <cell r="E674">
            <v>0.44</v>
          </cell>
          <cell r="F674" t="str">
            <v>NATURAL</v>
          </cell>
          <cell r="G674" t="str">
            <v>OB</v>
          </cell>
        </row>
        <row r="675">
          <cell r="A675" t="str">
            <v>HI-OB-1850</v>
          </cell>
          <cell r="B675" t="str">
            <v>TIRANTE 1850 - 2100</v>
          </cell>
          <cell r="C675">
            <v>234</v>
          </cell>
          <cell r="D675">
            <v>45661</v>
          </cell>
          <cell r="E675">
            <v>0.67</v>
          </cell>
          <cell r="F675" t="str">
            <v>NATURAL</v>
          </cell>
          <cell r="G675" t="str">
            <v>OB</v>
          </cell>
        </row>
        <row r="676">
          <cell r="A676" t="str">
            <v>HI-OB-2100</v>
          </cell>
          <cell r="B676" t="str">
            <v>TIRANTE 2100 - 2400</v>
          </cell>
          <cell r="C676">
            <v>343</v>
          </cell>
          <cell r="D676">
            <v>46060</v>
          </cell>
          <cell r="E676">
            <v>0.8</v>
          </cell>
          <cell r="F676" t="str">
            <v>NATURAL</v>
          </cell>
          <cell r="G676" t="str">
            <v>OB</v>
          </cell>
        </row>
        <row r="677">
          <cell r="A677" t="str">
            <v>HI-OB-400</v>
          </cell>
          <cell r="B677" t="str">
            <v>TIRANTE 400 - 800</v>
          </cell>
          <cell r="C677">
            <v>150</v>
          </cell>
          <cell r="D677">
            <v>46167</v>
          </cell>
          <cell r="E677">
            <v>0.11</v>
          </cell>
          <cell r="F677" t="str">
            <v>NATURAL</v>
          </cell>
          <cell r="G677" t="str">
            <v>OB</v>
          </cell>
        </row>
        <row r="678">
          <cell r="A678" t="str">
            <v>HI-OB-700</v>
          </cell>
          <cell r="B678" t="str">
            <v>TIRANTE 700 - 1150</v>
          </cell>
          <cell r="C678">
            <v>181</v>
          </cell>
          <cell r="D678">
            <v>46167</v>
          </cell>
          <cell r="E678">
            <v>0.24</v>
          </cell>
          <cell r="F678" t="str">
            <v>NATURAL</v>
          </cell>
          <cell r="G678" t="str">
            <v>OB</v>
          </cell>
        </row>
        <row r="679">
          <cell r="A679" t="str">
            <v>HI-OB-AGR</v>
          </cell>
          <cell r="B679" t="str">
            <v>BISAGRA ANGULAR</v>
          </cell>
          <cell r="C679">
            <v>706</v>
          </cell>
          <cell r="D679">
            <v>46191</v>
          </cell>
          <cell r="E679">
            <v>0.06</v>
          </cell>
          <cell r="F679" t="str">
            <v>NATURAL</v>
          </cell>
          <cell r="G679" t="str">
            <v>OB</v>
          </cell>
        </row>
        <row r="680">
          <cell r="A680" t="str">
            <v>HI-OB-BIS-CMP</v>
          </cell>
          <cell r="B680" t="str">
            <v>BISAGRA DE COMPAS</v>
          </cell>
          <cell r="C680">
            <v>785</v>
          </cell>
          <cell r="D680">
            <v>46191</v>
          </cell>
          <cell r="E680">
            <v>7.0000000000000007E-2</v>
          </cell>
          <cell r="F680" t="str">
            <v>NATURAL</v>
          </cell>
          <cell r="G680" t="str">
            <v>OB</v>
          </cell>
        </row>
        <row r="681">
          <cell r="A681" t="str">
            <v>HI-OB-BIS-SBCE</v>
          </cell>
          <cell r="B681" t="str">
            <v>SOPORTE BISAGRA DE COMPAS CON EJE</v>
          </cell>
          <cell r="C681">
            <v>543</v>
          </cell>
          <cell r="D681">
            <v>46191</v>
          </cell>
          <cell r="E681">
            <v>0.06</v>
          </cell>
          <cell r="F681" t="str">
            <v>NATURAL</v>
          </cell>
          <cell r="G681" t="str">
            <v>BISAGRAS</v>
          </cell>
        </row>
        <row r="682">
          <cell r="A682" t="str">
            <v>HI-OB-BSL</v>
          </cell>
          <cell r="B682" t="str">
            <v>MECANISMO DE BASCULACION</v>
          </cell>
          <cell r="C682">
            <v>616</v>
          </cell>
          <cell r="D682">
            <v>46191</v>
          </cell>
          <cell r="E682">
            <v>7.0000000000000007E-2</v>
          </cell>
          <cell r="F682" t="str">
            <v>NATURAL</v>
          </cell>
          <cell r="G682" t="str">
            <v>OB</v>
          </cell>
        </row>
        <row r="683">
          <cell r="A683" t="str">
            <v>HI-OB-CB</v>
          </cell>
          <cell r="B683" t="str">
            <v>ANGULO DE CAMBIO</v>
          </cell>
          <cell r="C683">
            <v>666</v>
          </cell>
          <cell r="D683">
            <v>46191</v>
          </cell>
          <cell r="E683">
            <v>0.16</v>
          </cell>
          <cell r="F683" t="str">
            <v>NATURAL</v>
          </cell>
          <cell r="G683" t="str">
            <v>OB</v>
          </cell>
        </row>
        <row r="684">
          <cell r="A684" t="str">
            <v>HI-OB-CB-BS</v>
          </cell>
          <cell r="B684" t="str">
            <v>ANGULO DE CAMBIO CON BULON DE SEGURIDAD</v>
          </cell>
          <cell r="C684">
            <v>602</v>
          </cell>
          <cell r="D684">
            <v>46060</v>
          </cell>
          <cell r="E684">
            <v>0.16</v>
          </cell>
          <cell r="F684" t="str">
            <v>NATURAL</v>
          </cell>
          <cell r="G684" t="str">
            <v>OB</v>
          </cell>
        </row>
        <row r="685">
          <cell r="A685" t="str">
            <v>HI-OB-CB-ET</v>
          </cell>
          <cell r="B685" t="str">
            <v>ANGULO DE CAMBIO ESTRECHO</v>
          </cell>
          <cell r="C685">
            <v>203</v>
          </cell>
          <cell r="D685">
            <v>46032</v>
          </cell>
          <cell r="E685">
            <v>0.11</v>
          </cell>
          <cell r="F685" t="str">
            <v>NATURAL</v>
          </cell>
          <cell r="G685" t="str">
            <v>OB</v>
          </cell>
        </row>
        <row r="686">
          <cell r="A686" t="str">
            <v>HI-OB-CB-MV</v>
          </cell>
          <cell r="B686" t="str">
            <v>ANGULO DE CAMBIO PARA MICRO VENTILACION</v>
          </cell>
          <cell r="C686">
            <v>528</v>
          </cell>
          <cell r="D686">
            <v>46060</v>
          </cell>
          <cell r="E686">
            <v>0.16</v>
          </cell>
          <cell r="F686" t="str">
            <v>NATURAL</v>
          </cell>
          <cell r="G686" t="str">
            <v>OB</v>
          </cell>
        </row>
        <row r="687">
          <cell r="A687" t="str">
            <v>HI-OB-CD-MV</v>
          </cell>
          <cell r="B687" t="str">
            <v>CERRADERO ANGULO DE CAMBIO PARA MICROVENTILACION</v>
          </cell>
          <cell r="C687">
            <v>470</v>
          </cell>
          <cell r="D687">
            <v>45363</v>
          </cell>
          <cell r="E687">
            <v>1.4E-2</v>
          </cell>
          <cell r="F687" t="str">
            <v>NATURAL</v>
          </cell>
          <cell r="G687" t="str">
            <v>CERRADEROS</v>
          </cell>
        </row>
        <row r="688">
          <cell r="A688" t="str">
            <v>HI-OB-CPS</v>
          </cell>
          <cell r="B688" t="str">
            <v>FALSO COMPAS</v>
          </cell>
          <cell r="C688">
            <v>598</v>
          </cell>
          <cell r="D688">
            <v>45661</v>
          </cell>
          <cell r="E688">
            <v>0.12</v>
          </cell>
          <cell r="F688" t="str">
            <v>NATURAL</v>
          </cell>
          <cell r="G688" t="str">
            <v>OB</v>
          </cell>
        </row>
        <row r="689">
          <cell r="A689" t="str">
            <v>HI-OB-CPS-395</v>
          </cell>
          <cell r="B689" t="str">
            <v>COMPAS OB 395-600</v>
          </cell>
          <cell r="C689">
            <v>534</v>
          </cell>
          <cell r="D689">
            <v>46191</v>
          </cell>
          <cell r="E689">
            <v>0.34</v>
          </cell>
          <cell r="F689" t="str">
            <v>NATURAL</v>
          </cell>
          <cell r="G689" t="str">
            <v>OB</v>
          </cell>
        </row>
        <row r="690">
          <cell r="A690" t="str">
            <v>HI-OB-CPS-595</v>
          </cell>
          <cell r="B690" t="str">
            <v>COMPAS OB 595-800</v>
          </cell>
          <cell r="C690">
            <v>120</v>
          </cell>
          <cell r="D690">
            <v>46167</v>
          </cell>
          <cell r="E690">
            <v>0.47</v>
          </cell>
          <cell r="F690" t="str">
            <v>NATURAL</v>
          </cell>
          <cell r="G690" t="str">
            <v>OB</v>
          </cell>
        </row>
        <row r="691">
          <cell r="A691" t="str">
            <v>HI-OB-CPS-795</v>
          </cell>
          <cell r="B691" t="str">
            <v>COMPAS OB 795-1000</v>
          </cell>
          <cell r="C691">
            <v>136</v>
          </cell>
          <cell r="D691">
            <v>46191</v>
          </cell>
          <cell r="E691">
            <v>0.6</v>
          </cell>
          <cell r="F691" t="str">
            <v>NATURAL</v>
          </cell>
          <cell r="G691" t="str">
            <v>OB</v>
          </cell>
        </row>
        <row r="692">
          <cell r="A692" t="str">
            <v>HI-OB-CPS-995</v>
          </cell>
          <cell r="B692" t="str">
            <v>COMPAS OB 995-1200</v>
          </cell>
          <cell r="C692">
            <v>428</v>
          </cell>
          <cell r="D692">
            <v>46060</v>
          </cell>
          <cell r="E692">
            <v>0.7</v>
          </cell>
          <cell r="F692" t="str">
            <v>NATURAL</v>
          </cell>
          <cell r="G692" t="str">
            <v>OB</v>
          </cell>
        </row>
        <row r="693">
          <cell r="A693" t="str">
            <v>HI-OB-CPS1195</v>
          </cell>
          <cell r="B693" t="str">
            <v>COMPAS OB 1195-1400</v>
          </cell>
          <cell r="C693">
            <v>566</v>
          </cell>
          <cell r="D693">
            <v>46032</v>
          </cell>
          <cell r="E693">
            <v>0.86</v>
          </cell>
          <cell r="F693" t="str">
            <v>NATURAL</v>
          </cell>
          <cell r="G693" t="str">
            <v>OB</v>
          </cell>
        </row>
        <row r="694">
          <cell r="A694" t="str">
            <v>HI-OB-EMB-BL</v>
          </cell>
          <cell r="B694" t="str">
            <v>SET EMBELLECEDOR OB - BLANCO</v>
          </cell>
          <cell r="C694">
            <v>496</v>
          </cell>
          <cell r="D694">
            <v>46191</v>
          </cell>
          <cell r="E694">
            <v>0.01</v>
          </cell>
          <cell r="F694" t="str">
            <v>BLANCO</v>
          </cell>
          <cell r="G694" t="str">
            <v>OB</v>
          </cell>
        </row>
        <row r="695">
          <cell r="A695" t="str">
            <v>HI-OB-EMB-GS</v>
          </cell>
          <cell r="B695" t="str">
            <v>SET EMBELLECEDOR OB - GRIS</v>
          </cell>
          <cell r="C695">
            <v>1878</v>
          </cell>
          <cell r="D695">
            <v>46060</v>
          </cell>
          <cell r="E695">
            <v>0.01</v>
          </cell>
          <cell r="F695" t="str">
            <v>GRAFITO</v>
          </cell>
          <cell r="G695" t="str">
            <v>OB</v>
          </cell>
        </row>
        <row r="696">
          <cell r="A696" t="str">
            <v>HI-OB-EMB-MO</v>
          </cell>
          <cell r="B696" t="str">
            <v>SET EMBELLECEDOR OB - MARRON OSCURO</v>
          </cell>
          <cell r="C696">
            <v>340</v>
          </cell>
          <cell r="D696">
            <v>46011</v>
          </cell>
          <cell r="E696">
            <v>0.01</v>
          </cell>
          <cell r="F696" t="str">
            <v>MARRON OSCURO</v>
          </cell>
          <cell r="G696" t="str">
            <v>OB</v>
          </cell>
        </row>
        <row r="697">
          <cell r="A697" t="str">
            <v>HI-OB-EMB-MR</v>
          </cell>
          <cell r="B697" t="str">
            <v>SET EMBELLECEDOR OB - MARRON</v>
          </cell>
          <cell r="C697">
            <v>212</v>
          </cell>
          <cell r="D697">
            <v>46167</v>
          </cell>
          <cell r="E697">
            <v>0.01</v>
          </cell>
          <cell r="F697" t="str">
            <v>MARRON</v>
          </cell>
          <cell r="G697" t="str">
            <v>OB</v>
          </cell>
        </row>
        <row r="698">
          <cell r="A698" t="str">
            <v>HI-OB-EMB-NE</v>
          </cell>
          <cell r="B698" t="str">
            <v>SET EMBELLECEDOR OB - NEGRO</v>
          </cell>
          <cell r="C698">
            <v>393</v>
          </cell>
          <cell r="D698">
            <v>46076</v>
          </cell>
          <cell r="E698">
            <v>0.01</v>
          </cell>
          <cell r="F698" t="str">
            <v>NEGRO</v>
          </cell>
          <cell r="G698" t="str">
            <v>OB</v>
          </cell>
        </row>
        <row r="699">
          <cell r="A699" t="str">
            <v>HI-OB-FLS-MNB-13</v>
          </cell>
          <cell r="B699" t="str">
            <v>CERRADERO FALSA MANIOBRA 13 mm</v>
          </cell>
          <cell r="C699">
            <v>909</v>
          </cell>
          <cell r="D699">
            <v>46191</v>
          </cell>
          <cell r="E699">
            <v>0.02</v>
          </cell>
          <cell r="F699" t="str">
            <v>NATURAL</v>
          </cell>
          <cell r="G699" t="str">
            <v>CERRADEROS</v>
          </cell>
        </row>
        <row r="700">
          <cell r="A700" t="str">
            <v>HI-OB-FLS-MNB-BT</v>
          </cell>
          <cell r="B700" t="str">
            <v>CERRADERO FALSA MANIOBRA BATIENTE</v>
          </cell>
          <cell r="C700">
            <v>337</v>
          </cell>
          <cell r="D700">
            <v>46076</v>
          </cell>
          <cell r="E700">
            <v>0.01</v>
          </cell>
          <cell r="F700" t="str">
            <v>NATURAL</v>
          </cell>
          <cell r="G700" t="str">
            <v>CERRADEROS</v>
          </cell>
        </row>
        <row r="701">
          <cell r="A701" t="str">
            <v>HI-OB-MOH</v>
          </cell>
          <cell r="B701" t="str">
            <v>FALSA MANIOBRA HOJA</v>
          </cell>
          <cell r="C701">
            <v>537</v>
          </cell>
          <cell r="D701">
            <v>46167</v>
          </cell>
          <cell r="E701">
            <v>0.12</v>
          </cell>
          <cell r="F701" t="str">
            <v>NATURAL</v>
          </cell>
          <cell r="G701" t="str">
            <v>OB</v>
          </cell>
        </row>
        <row r="702">
          <cell r="A702" t="str">
            <v>HI-OB-OB-SEG</v>
          </cell>
          <cell r="B702" t="str">
            <v>CERRADERO OB SEGURIDAD</v>
          </cell>
          <cell r="C702">
            <v>973</v>
          </cell>
          <cell r="D702">
            <v>46011</v>
          </cell>
          <cell r="E702">
            <v>0.04</v>
          </cell>
          <cell r="F702" t="str">
            <v>NATURAL</v>
          </cell>
          <cell r="G702" t="str">
            <v>CERRADEROS</v>
          </cell>
        </row>
        <row r="703">
          <cell r="A703" t="str">
            <v>HI-OB-PER-AGR</v>
          </cell>
          <cell r="B703" t="str">
            <v>PERNIO ANGULAR</v>
          </cell>
          <cell r="C703">
            <v>482</v>
          </cell>
          <cell r="D703">
            <v>46191</v>
          </cell>
          <cell r="E703">
            <v>0.04</v>
          </cell>
          <cell r="F703" t="str">
            <v>NATURAL</v>
          </cell>
          <cell r="G703" t="str">
            <v>OB</v>
          </cell>
        </row>
        <row r="704">
          <cell r="A704" t="str">
            <v>HI-OB-PIC-13</v>
          </cell>
          <cell r="B704" t="str">
            <v>CERRADERO PICAPORTE OB 13mm</v>
          </cell>
          <cell r="C704">
            <v>498</v>
          </cell>
          <cell r="D704">
            <v>45298</v>
          </cell>
          <cell r="E704">
            <v>0.16</v>
          </cell>
          <cell r="F704" t="str">
            <v>NATURAL</v>
          </cell>
          <cell r="G704" t="str">
            <v>OB</v>
          </cell>
        </row>
        <row r="705">
          <cell r="A705" t="str">
            <v>HI-OB-PVT</v>
          </cell>
          <cell r="B705" t="str">
            <v>PIVOTE OB</v>
          </cell>
          <cell r="C705">
            <v>546</v>
          </cell>
          <cell r="D705">
            <v>46191</v>
          </cell>
          <cell r="E705">
            <v>0.03</v>
          </cell>
          <cell r="F705" t="str">
            <v>NATURAL</v>
          </cell>
          <cell r="G705" t="str">
            <v>OB</v>
          </cell>
        </row>
        <row r="706">
          <cell r="A706" t="str">
            <v>HI-OB-RGL-LLV</v>
          </cell>
          <cell r="B706" t="str">
            <v>LLAVE REGULACION OB</v>
          </cell>
          <cell r="C706">
            <v>701</v>
          </cell>
          <cell r="D706">
            <v>45210</v>
          </cell>
          <cell r="E706">
            <v>0.02</v>
          </cell>
          <cell r="F706" t="str">
            <v>NATURAL</v>
          </cell>
          <cell r="G706" t="str">
            <v>HERRAMIENTAS</v>
          </cell>
        </row>
        <row r="707">
          <cell r="A707" t="str">
            <v>HI-OB-SEG-13</v>
          </cell>
          <cell r="B707" t="str">
            <v>CERRADERO SEGURIDAD 13 mm</v>
          </cell>
          <cell r="C707">
            <v>0</v>
          </cell>
          <cell r="D707">
            <v>45545</v>
          </cell>
          <cell r="E707">
            <v>0.02</v>
          </cell>
          <cell r="F707" t="str">
            <v>NATURAL</v>
          </cell>
          <cell r="G707" t="str">
            <v>CERRADEROS</v>
          </cell>
        </row>
        <row r="708">
          <cell r="A708" t="str">
            <v>HI-OSC-KDER-MLA-BL</v>
          </cell>
          <cell r="B708" t="str">
            <v>KIT MANILLA - DER - OSCILOPARALELA - BLANCO</v>
          </cell>
          <cell r="C708">
            <v>5</v>
          </cell>
          <cell r="D708">
            <v>46032</v>
          </cell>
          <cell r="E708">
            <v>3.8839999999999999</v>
          </cell>
          <cell r="F708" t="str">
            <v>BLANCO</v>
          </cell>
          <cell r="G708" t="str">
            <v>OSCILOPARALELA</v>
          </cell>
        </row>
        <row r="709">
          <cell r="A709" t="str">
            <v>HI-OSC-KDER-MLA-MR</v>
          </cell>
          <cell r="B709" t="str">
            <v>KIT MANILLA - DER - OSCILOPARALELA - MARRON</v>
          </cell>
          <cell r="C709">
            <v>15</v>
          </cell>
          <cell r="D709">
            <v>44561</v>
          </cell>
          <cell r="E709">
            <v>3.8839999999999999</v>
          </cell>
          <cell r="F709" t="str">
            <v>MARRON</v>
          </cell>
          <cell r="G709" t="str">
            <v>OSCILOPARALELA</v>
          </cell>
        </row>
        <row r="710">
          <cell r="A710" t="str">
            <v>HI-OSC-KDER-MLA-NE</v>
          </cell>
          <cell r="B710" t="str">
            <v>KIT MANILLA - DER - OSCILOPARALELA - NEGRO</v>
          </cell>
          <cell r="C710">
            <v>13</v>
          </cell>
          <cell r="D710">
            <v>45590</v>
          </cell>
          <cell r="E710">
            <v>3.8839999999999999</v>
          </cell>
          <cell r="F710" t="str">
            <v>NEGRO</v>
          </cell>
          <cell r="G710" t="str">
            <v>OSCILOPARALELA</v>
          </cell>
        </row>
        <row r="711">
          <cell r="A711" t="str">
            <v>HI-OSC-KIT-RLS-BL</v>
          </cell>
          <cell r="B711" t="str">
            <v>KIT OSCILOPARALELA 685-1300/1985-2400 - BLANCO</v>
          </cell>
          <cell r="C711">
            <v>13</v>
          </cell>
          <cell r="D711">
            <v>46060</v>
          </cell>
          <cell r="E711">
            <v>7.3680000000000003</v>
          </cell>
          <cell r="F711" t="str">
            <v>BLANCO</v>
          </cell>
          <cell r="G711" t="str">
            <v>OSCILOPARALELA</v>
          </cell>
        </row>
        <row r="712">
          <cell r="A712" t="str">
            <v>HI-OSC-KIT-RLS-MR</v>
          </cell>
          <cell r="B712" t="str">
            <v>KIT OSCILOPARALELA 685-1300/1985-2400 - MARRON</v>
          </cell>
          <cell r="C712">
            <v>20</v>
          </cell>
          <cell r="D712">
            <v>44926</v>
          </cell>
          <cell r="E712">
            <v>7.3680000000000003</v>
          </cell>
          <cell r="F712" t="str">
            <v>MARRON</v>
          </cell>
          <cell r="G712" t="str">
            <v>OSCILOPARALELA</v>
          </cell>
        </row>
        <row r="713">
          <cell r="A713" t="str">
            <v>HI-OSC-KIT-RLS-NE</v>
          </cell>
          <cell r="B713" t="str">
            <v>KIT OSCILOPARALELA 685-1300/1985-2400 - NEGRO</v>
          </cell>
          <cell r="C713">
            <v>18</v>
          </cell>
          <cell r="D713">
            <v>45590</v>
          </cell>
          <cell r="E713">
            <v>7.3680000000000003</v>
          </cell>
          <cell r="F713" t="str">
            <v>NEGRO</v>
          </cell>
          <cell r="G713" t="str">
            <v>OSCILOPARALELA</v>
          </cell>
        </row>
        <row r="714">
          <cell r="A714" t="str">
            <v>HI-OSC-KIZQ-MLA-BL</v>
          </cell>
          <cell r="B714" t="str">
            <v>KIT MANILLA - IZQ  - OSCILOPARALELA - BLANCO</v>
          </cell>
          <cell r="C714">
            <v>6</v>
          </cell>
          <cell r="D714">
            <v>46060</v>
          </cell>
          <cell r="E714">
            <v>3.8839999999999999</v>
          </cell>
          <cell r="F714" t="str">
            <v>BLANCO</v>
          </cell>
          <cell r="G714" t="str">
            <v>OSCILOPARALELA</v>
          </cell>
        </row>
        <row r="715">
          <cell r="A715" t="str">
            <v>HI-OSC-KIZQ-MLA-MR</v>
          </cell>
          <cell r="B715" t="str">
            <v>KIT MANILLA - IZQ - OSCILOPARALELA - MARRON</v>
          </cell>
          <cell r="C715">
            <v>14</v>
          </cell>
          <cell r="D715">
            <v>44561</v>
          </cell>
          <cell r="E715">
            <v>3.8839999999999999</v>
          </cell>
          <cell r="F715" t="str">
            <v>MARRON</v>
          </cell>
          <cell r="G715" t="str">
            <v>OSCILOPARALELA</v>
          </cell>
        </row>
        <row r="716">
          <cell r="A716" t="str">
            <v>HI-OSC-KIZQ-MLA-NE</v>
          </cell>
          <cell r="B716" t="str">
            <v>KIT MANILLA - IZQ - OSCILOPARALELA - NEGRO</v>
          </cell>
          <cell r="C716">
            <v>16</v>
          </cell>
          <cell r="D716">
            <v>44561</v>
          </cell>
          <cell r="E716">
            <v>3.8839999999999999</v>
          </cell>
          <cell r="F716" t="str">
            <v>NEGRO</v>
          </cell>
          <cell r="G716" t="str">
            <v>OSCILOPARALELA</v>
          </cell>
        </row>
        <row r="717">
          <cell r="A717" t="str">
            <v>HI-PLA-BIS-100M</v>
          </cell>
          <cell r="B717" t="str">
            <v>PLANTILLA BISAGRA 100 mm</v>
          </cell>
          <cell r="C717">
            <v>160</v>
          </cell>
          <cell r="D717">
            <v>46167</v>
          </cell>
          <cell r="E717">
            <v>0.18</v>
          </cell>
          <cell r="F717" t="str">
            <v>NATURAL</v>
          </cell>
          <cell r="G717" t="str">
            <v>HERRAMIENTAS</v>
          </cell>
        </row>
        <row r="718">
          <cell r="A718" t="str">
            <v>HI-PLA-BIS-3D</v>
          </cell>
          <cell r="B718" t="str">
            <v>PLANTILLA BISAGRA PAVO 3D</v>
          </cell>
          <cell r="C718">
            <v>69</v>
          </cell>
          <cell r="D718">
            <v>46167</v>
          </cell>
          <cell r="E718">
            <v>0.31</v>
          </cell>
          <cell r="F718" t="str">
            <v>NARANJO</v>
          </cell>
          <cell r="G718" t="str">
            <v>HERRAMIENTAS</v>
          </cell>
        </row>
        <row r="719">
          <cell r="A719" t="str">
            <v>HI-PLA-BIS-MLT</v>
          </cell>
          <cell r="B719" t="str">
            <v>PLANTILLA BISAGRA PLEGABLE</v>
          </cell>
          <cell r="C719">
            <v>45</v>
          </cell>
          <cell r="D719">
            <v>46007</v>
          </cell>
          <cell r="E719">
            <v>0.14000000000000001</v>
          </cell>
          <cell r="F719" t="str">
            <v>NARANJO</v>
          </cell>
          <cell r="G719" t="str">
            <v>HERRAMIENTAS</v>
          </cell>
        </row>
        <row r="720">
          <cell r="A720" t="str">
            <v>HI-PLA-BIS-OBH</v>
          </cell>
          <cell r="B720" t="str">
            <v>PLANTILLA OSCILOBATIENTE HOJA</v>
          </cell>
          <cell r="C720">
            <v>60</v>
          </cell>
          <cell r="D720">
            <v>45973</v>
          </cell>
          <cell r="E720">
            <v>0.25</v>
          </cell>
          <cell r="F720" t="str">
            <v>NARANJO</v>
          </cell>
          <cell r="G720" t="str">
            <v>HERRAMIENTAS</v>
          </cell>
        </row>
        <row r="721">
          <cell r="A721" t="str">
            <v>HI-PLA-BIS-OBM</v>
          </cell>
          <cell r="B721" t="str">
            <v>PLANTILLA OSCILOBATIENTE MARCO</v>
          </cell>
          <cell r="C721">
            <v>568</v>
          </cell>
          <cell r="D721">
            <v>46032</v>
          </cell>
          <cell r="E721">
            <v>0.18</v>
          </cell>
          <cell r="F721" t="str">
            <v>NARANJO</v>
          </cell>
          <cell r="G721" t="str">
            <v>HERRAMIENTAS</v>
          </cell>
        </row>
        <row r="722">
          <cell r="A722" t="str">
            <v>HI-PLA-CRR-MLT</v>
          </cell>
          <cell r="B722" t="str">
            <v>PLANTILLA CARROS PLEGABLE</v>
          </cell>
          <cell r="C722">
            <v>39</v>
          </cell>
          <cell r="D722">
            <v>45915</v>
          </cell>
          <cell r="E722">
            <v>0.12</v>
          </cell>
          <cell r="F722" t="str">
            <v>NARANJO</v>
          </cell>
          <cell r="G722" t="str">
            <v>HERRAMIENTAS</v>
          </cell>
        </row>
        <row r="723">
          <cell r="A723" t="str">
            <v>HI-PLE-BSG-BL</v>
          </cell>
          <cell r="B723" t="str">
            <v>BISAGRA PLEGABLE - BLANCO</v>
          </cell>
          <cell r="C723">
            <v>95</v>
          </cell>
          <cell r="D723">
            <v>46060</v>
          </cell>
          <cell r="E723">
            <v>0.46</v>
          </cell>
          <cell r="F723" t="str">
            <v>BLANCO</v>
          </cell>
          <cell r="G723" t="str">
            <v>PLEGABLE</v>
          </cell>
        </row>
        <row r="724">
          <cell r="A724" t="str">
            <v>HI-PLE-BSG-NE</v>
          </cell>
          <cell r="B724" t="str">
            <v>BISAGRA PLEGABLE - NEGRO</v>
          </cell>
          <cell r="C724">
            <v>218</v>
          </cell>
          <cell r="D724">
            <v>45915</v>
          </cell>
          <cell r="E724">
            <v>0.46</v>
          </cell>
          <cell r="F724" t="str">
            <v>NEGRO</v>
          </cell>
          <cell r="G724" t="str">
            <v>PLEGABLE</v>
          </cell>
        </row>
        <row r="725">
          <cell r="A725" t="str">
            <v>HI-PLE-CRR</v>
          </cell>
          <cell r="B725" t="str">
            <v>CARRO &amp; GUIA PLEGABLE</v>
          </cell>
          <cell r="C725">
            <v>61</v>
          </cell>
          <cell r="D725">
            <v>45958</v>
          </cell>
          <cell r="E725">
            <v>0.28000000000000003</v>
          </cell>
          <cell r="F725" t="str">
            <v>NATURAL</v>
          </cell>
          <cell r="G725" t="str">
            <v>PLEGABLE</v>
          </cell>
        </row>
        <row r="726">
          <cell r="A726" t="str">
            <v>HI-PLE-GSP-BL</v>
          </cell>
          <cell r="B726" t="str">
            <v>GUIA SUPERIOR PLASTICA PLEGABLE - BLANCO</v>
          </cell>
          <cell r="C726">
            <v>62</v>
          </cell>
          <cell r="D726">
            <v>46060</v>
          </cell>
          <cell r="E726">
            <v>0.02</v>
          </cell>
          <cell r="F726" t="str">
            <v>BLANCO</v>
          </cell>
          <cell r="G726" t="str">
            <v>PLEGABLE</v>
          </cell>
        </row>
        <row r="727">
          <cell r="A727" t="str">
            <v>HI-PLE-GSP-NE</v>
          </cell>
          <cell r="B727" t="str">
            <v>GUIA SUPERIOR PLASTICA PLEGABLE - NEGRO</v>
          </cell>
          <cell r="C727">
            <v>168</v>
          </cell>
          <cell r="D727">
            <v>46060</v>
          </cell>
          <cell r="E727">
            <v>0.02</v>
          </cell>
          <cell r="F727" t="str">
            <v>NEGRO</v>
          </cell>
          <cell r="G727" t="str">
            <v>PLEGABLE</v>
          </cell>
        </row>
        <row r="728">
          <cell r="A728" t="str">
            <v>HI-PLE-KIT-BSG-BL</v>
          </cell>
          <cell r="B728" t="str">
            <v>KIT BISAGRA GUIA PLEGABLE - BLANCA</v>
          </cell>
          <cell r="C728">
            <v>251</v>
          </cell>
          <cell r="D728">
            <v>45298</v>
          </cell>
          <cell r="E728">
            <v>0.51</v>
          </cell>
          <cell r="F728" t="str">
            <v>BLANCO</v>
          </cell>
          <cell r="G728" t="str">
            <v>PLEGABLE</v>
          </cell>
        </row>
        <row r="729">
          <cell r="A729" t="str">
            <v>HI-PLE-KIT-BSG-MR</v>
          </cell>
          <cell r="B729" t="str">
            <v>KIT BISAGRA GUIA PLEGABLE - MARRON</v>
          </cell>
          <cell r="C729">
            <v>5</v>
          </cell>
          <cell r="D729">
            <v>45661</v>
          </cell>
          <cell r="E729">
            <v>0.20300000000000001</v>
          </cell>
          <cell r="F729" t="str">
            <v>MARRON</v>
          </cell>
          <cell r="G729" t="str">
            <v>BISAGRAS</v>
          </cell>
        </row>
        <row r="730">
          <cell r="A730" t="str">
            <v>HI-PLE-KIT-BSG-NE</v>
          </cell>
          <cell r="B730" t="str">
            <v>KIT BISAGRA GUIA PLEGABLE - NEGRO</v>
          </cell>
          <cell r="C730">
            <v>61</v>
          </cell>
          <cell r="D730">
            <v>45661</v>
          </cell>
          <cell r="E730">
            <v>0.51</v>
          </cell>
          <cell r="F730" t="str">
            <v>NEGRO</v>
          </cell>
          <cell r="G730" t="str">
            <v>PLEGABLE</v>
          </cell>
        </row>
        <row r="731">
          <cell r="A731" t="str">
            <v>HI-PLE-PLC-1385</v>
          </cell>
          <cell r="B731" t="str">
            <v>PALANCA REENVIO 1385 - 1800</v>
          </cell>
          <cell r="C731">
            <v>148</v>
          </cell>
          <cell r="D731">
            <v>45210</v>
          </cell>
          <cell r="E731">
            <v>0.73</v>
          </cell>
          <cell r="F731" t="str">
            <v>NATURAL</v>
          </cell>
          <cell r="G731" t="str">
            <v>PLEGABLE</v>
          </cell>
        </row>
        <row r="732">
          <cell r="A732" t="str">
            <v>HI-PLE-PLC-1585</v>
          </cell>
          <cell r="B732" t="str">
            <v>PALANCA REENVIO 1585 - 2000</v>
          </cell>
          <cell r="C732">
            <v>147</v>
          </cell>
          <cell r="D732">
            <v>46032</v>
          </cell>
          <cell r="E732">
            <v>0.79</v>
          </cell>
          <cell r="F732" t="str">
            <v>NATURAL</v>
          </cell>
          <cell r="G732" t="str">
            <v>PLEGABLE</v>
          </cell>
        </row>
        <row r="733">
          <cell r="A733" t="str">
            <v>HI-PLE-PLC-985</v>
          </cell>
          <cell r="B733" t="str">
            <v>PALANCA REENVIO 985 - 1400</v>
          </cell>
          <cell r="C733">
            <v>127</v>
          </cell>
          <cell r="D733">
            <v>45661</v>
          </cell>
          <cell r="E733">
            <v>0.53</v>
          </cell>
          <cell r="F733" t="str">
            <v>NATURAL</v>
          </cell>
          <cell r="G733" t="str">
            <v>PLEGABLE</v>
          </cell>
        </row>
        <row r="734">
          <cell r="A734" t="str">
            <v>HI-PLE-RLS-4MT-BL</v>
          </cell>
          <cell r="B734" t="str">
            <v>RIELES SUP. &amp; INF. PLE. 4 MT - BLANCO</v>
          </cell>
          <cell r="C734">
            <v>57</v>
          </cell>
          <cell r="D734">
            <v>45661</v>
          </cell>
          <cell r="E734">
            <v>12.84</v>
          </cell>
          <cell r="F734" t="str">
            <v>BLANCO</v>
          </cell>
          <cell r="G734" t="str">
            <v>PLEGABLE</v>
          </cell>
        </row>
        <row r="735">
          <cell r="A735" t="str">
            <v>HI-PLE-RLS-4MT-NE</v>
          </cell>
          <cell r="B735" t="str">
            <v>RIELES SUP. &amp; INF. PLE. 4 MT - NEGRO</v>
          </cell>
          <cell r="C735">
            <v>30</v>
          </cell>
          <cell r="D735">
            <v>45735</v>
          </cell>
          <cell r="E735">
            <v>12.84</v>
          </cell>
          <cell r="F735" t="str">
            <v>NEGRO</v>
          </cell>
          <cell r="G735" t="str">
            <v>PLEGABLE</v>
          </cell>
        </row>
        <row r="736">
          <cell r="A736" t="str">
            <v>HI-PLE-RLS-6MT-BL</v>
          </cell>
          <cell r="B736" t="str">
            <v>RIELES SUP. &amp; INF. PLE. 6 MT - BLANCO</v>
          </cell>
          <cell r="C736">
            <v>14</v>
          </cell>
          <cell r="D736">
            <v>46060</v>
          </cell>
          <cell r="E736">
            <v>18.84</v>
          </cell>
          <cell r="F736" t="str">
            <v>BLANCO</v>
          </cell>
          <cell r="G736" t="str">
            <v>PLEGABLE</v>
          </cell>
        </row>
        <row r="737">
          <cell r="A737" t="str">
            <v>HI-PLE-RLS-6MT-NE</v>
          </cell>
          <cell r="B737" t="str">
            <v>RIELES SUP. &amp; INF. PLE. 6 MT - NEGRO</v>
          </cell>
          <cell r="C737">
            <v>17</v>
          </cell>
          <cell r="D737">
            <v>46060</v>
          </cell>
          <cell r="E737">
            <v>18.84</v>
          </cell>
          <cell r="F737" t="str">
            <v>NEGRO</v>
          </cell>
          <cell r="G737" t="str">
            <v>PLEGABLE</v>
          </cell>
        </row>
        <row r="738">
          <cell r="A738" t="str">
            <v>HI-PLE-SP-CRR-BL</v>
          </cell>
          <cell r="B738" t="str">
            <v>SOPORTE CARRO &amp; GUIA PLEGABLE - BLANCO</v>
          </cell>
          <cell r="C738">
            <v>39</v>
          </cell>
          <cell r="D738">
            <v>45661</v>
          </cell>
          <cell r="E738">
            <v>0.71</v>
          </cell>
          <cell r="F738" t="str">
            <v>BLANCO</v>
          </cell>
          <cell r="G738" t="str">
            <v>PLEGABLE</v>
          </cell>
        </row>
        <row r="739">
          <cell r="A739" t="str">
            <v>HI-PLE-SP-CRR-NE</v>
          </cell>
          <cell r="B739" t="str">
            <v>SOPORTE CARRO &amp; GUIA PLEGABLE - NEGRO</v>
          </cell>
          <cell r="C739">
            <v>125</v>
          </cell>
          <cell r="D739">
            <v>46032</v>
          </cell>
          <cell r="E739">
            <v>0.71</v>
          </cell>
          <cell r="F739" t="str">
            <v>NEGRO</v>
          </cell>
          <cell r="G739" t="str">
            <v>PLEGABLE</v>
          </cell>
        </row>
        <row r="740">
          <cell r="A740" t="str">
            <v>HI-PLE-SUP-08-NE</v>
          </cell>
          <cell r="B740" t="str">
            <v>SUPLEMENTO 8 MM BISAGRA PLEGABLE - NEGRO</v>
          </cell>
          <cell r="C740">
            <v>2</v>
          </cell>
          <cell r="D740">
            <v>44855</v>
          </cell>
          <cell r="E740">
            <v>1.7999999999999999E-2</v>
          </cell>
          <cell r="F740" t="str">
            <v>NATURAL</v>
          </cell>
          <cell r="G740" t="str">
            <v>PLEGABLE</v>
          </cell>
        </row>
        <row r="741">
          <cell r="A741" t="str">
            <v>HI-PLE-SUP-13-NE</v>
          </cell>
          <cell r="B741" t="str">
            <v>SUPLEMENTO 13 MM BISAGRA PLEGABLE - NEGRO</v>
          </cell>
          <cell r="C741">
            <v>0</v>
          </cell>
          <cell r="D741">
            <v>45453</v>
          </cell>
          <cell r="E741">
            <v>0.03</v>
          </cell>
          <cell r="F741" t="str">
            <v>NEGRO</v>
          </cell>
          <cell r="G741" t="str">
            <v>PLEGABLE</v>
          </cell>
        </row>
        <row r="742">
          <cell r="A742" t="str">
            <v>HI-PLE-SUP-18-NE</v>
          </cell>
          <cell r="B742" t="str">
            <v>SUPLEMENTO 18 MM BISAGRA PLEGABLE - NEGRO</v>
          </cell>
          <cell r="C742">
            <v>0</v>
          </cell>
          <cell r="D742">
            <v>45661</v>
          </cell>
          <cell r="E742">
            <v>0.03</v>
          </cell>
          <cell r="F742" t="str">
            <v>NEGRO</v>
          </cell>
          <cell r="G742" t="str">
            <v>PLEGABLE</v>
          </cell>
        </row>
        <row r="743">
          <cell r="A743" t="str">
            <v>HI-PLE-SUP-19-BL</v>
          </cell>
          <cell r="B743" t="str">
            <v>SUPLEMENTO 19 MM BISAGRA PLEGABLE - BLANCO</v>
          </cell>
          <cell r="C743">
            <v>124</v>
          </cell>
          <cell r="D743">
            <v>46032</v>
          </cell>
          <cell r="E743">
            <v>0.03</v>
          </cell>
          <cell r="F743" t="str">
            <v>BLANCO</v>
          </cell>
          <cell r="G743" t="str">
            <v>PLEGABLE</v>
          </cell>
        </row>
        <row r="744">
          <cell r="A744" t="str">
            <v>HI-PLE-SUP-19-NE</v>
          </cell>
          <cell r="B744" t="str">
            <v>SUPLEMENTO 19 MM BISAGRA PLEGABLE - NEGRO</v>
          </cell>
          <cell r="C744">
            <v>206</v>
          </cell>
          <cell r="D744">
            <v>46076</v>
          </cell>
          <cell r="E744">
            <v>0.03</v>
          </cell>
          <cell r="F744" t="str">
            <v>NEGRO</v>
          </cell>
          <cell r="G744" t="str">
            <v>PLEGABLE</v>
          </cell>
        </row>
        <row r="745">
          <cell r="A745" t="str">
            <v>HI-RST-BL</v>
          </cell>
          <cell r="B745" t="str">
            <v>ROSETA BLANCA</v>
          </cell>
          <cell r="C745">
            <v>285</v>
          </cell>
          <cell r="D745">
            <v>45298</v>
          </cell>
          <cell r="E745">
            <v>4.7800000000000002E-2</v>
          </cell>
          <cell r="F745" t="str">
            <v>BLANCO</v>
          </cell>
          <cell r="G745" t="str">
            <v>CILINDRO</v>
          </cell>
        </row>
        <row r="746">
          <cell r="A746" t="str">
            <v>HI-RST-MR</v>
          </cell>
          <cell r="B746" t="str">
            <v>ROSETA MARRON</v>
          </cell>
          <cell r="C746">
            <v>140</v>
          </cell>
          <cell r="D746">
            <v>45945</v>
          </cell>
          <cell r="E746">
            <v>4.7800000000000002E-2</v>
          </cell>
          <cell r="F746" t="str">
            <v>MARRON</v>
          </cell>
          <cell r="G746" t="str">
            <v>CILINDRO</v>
          </cell>
        </row>
        <row r="747">
          <cell r="A747" t="str">
            <v>HI-RST-NE</v>
          </cell>
          <cell r="B747" t="str">
            <v>ROSETA NEGRA</v>
          </cell>
          <cell r="C747">
            <v>6</v>
          </cell>
          <cell r="D747">
            <v>46011</v>
          </cell>
          <cell r="E747">
            <v>4.7800000000000002E-2</v>
          </cell>
          <cell r="F747" t="str">
            <v>NEGRO</v>
          </cell>
          <cell r="G747" t="str">
            <v>CILINDRO</v>
          </cell>
        </row>
        <row r="748">
          <cell r="A748" t="str">
            <v>HI-S60-DL-HV</v>
          </cell>
          <cell r="B748" t="str">
            <v>DISCO LIMPIADOR - HOJAS S60</v>
          </cell>
          <cell r="C748">
            <v>9</v>
          </cell>
          <cell r="D748">
            <v>45123</v>
          </cell>
          <cell r="E748">
            <v>2.2599999999999998</v>
          </cell>
          <cell r="F748" t="str">
            <v>ROJO</v>
          </cell>
          <cell r="G748" t="str">
            <v>HERRAMIENTAS</v>
          </cell>
        </row>
        <row r="749">
          <cell r="A749" t="str">
            <v>HI-S60-DR-PT</v>
          </cell>
          <cell r="B749" t="str">
            <v>DISCO RETESTEADOR - POSTE T S60</v>
          </cell>
          <cell r="C749">
            <v>2</v>
          </cell>
          <cell r="D749">
            <v>46060</v>
          </cell>
          <cell r="E749">
            <v>1.86</v>
          </cell>
          <cell r="F749" t="str">
            <v>ROJO</v>
          </cell>
          <cell r="G749" t="str">
            <v>HERRAMIENTAS</v>
          </cell>
        </row>
        <row r="750">
          <cell r="A750" t="str">
            <v>HI-SEG-ADC-BL</v>
          </cell>
          <cell r="B750" t="str">
            <v>SEGURO ADICIONAL - BLANCO</v>
          </cell>
          <cell r="C750">
            <v>224</v>
          </cell>
          <cell r="D750">
            <v>46060</v>
          </cell>
          <cell r="E750">
            <v>0.35</v>
          </cell>
          <cell r="F750" t="str">
            <v>BLANCO</v>
          </cell>
          <cell r="G750" t="str">
            <v>CERRADEROS</v>
          </cell>
        </row>
        <row r="751">
          <cell r="A751" t="str">
            <v>HI-SEG-ADC-CF</v>
          </cell>
          <cell r="B751" t="str">
            <v>SEGURO ADICIONAL - TOFFE</v>
          </cell>
          <cell r="C751">
            <v>9</v>
          </cell>
          <cell r="D751">
            <v>44926</v>
          </cell>
          <cell r="E751">
            <v>0.35</v>
          </cell>
          <cell r="F751" t="str">
            <v>TOFFE</v>
          </cell>
          <cell r="G751" t="str">
            <v>CERRADEROS</v>
          </cell>
        </row>
        <row r="752">
          <cell r="A752" t="str">
            <v>HI-SEG-ADC-MR</v>
          </cell>
          <cell r="B752" t="str">
            <v>SEGURO ADICIONAL - MARRON</v>
          </cell>
          <cell r="C752">
            <v>333</v>
          </cell>
          <cell r="D752">
            <v>44561</v>
          </cell>
          <cell r="E752">
            <v>0.35</v>
          </cell>
          <cell r="F752" t="str">
            <v>MARRON</v>
          </cell>
          <cell r="G752" t="str">
            <v>CERRADEROS</v>
          </cell>
        </row>
        <row r="753">
          <cell r="A753" t="str">
            <v>HI-SEG-ADC-NE</v>
          </cell>
          <cell r="B753" t="str">
            <v>SEGURO ADICIONAL - NEGRO</v>
          </cell>
          <cell r="C753">
            <v>36</v>
          </cell>
          <cell r="D753">
            <v>45661</v>
          </cell>
          <cell r="E753">
            <v>0.35</v>
          </cell>
          <cell r="F753" t="str">
            <v>NEGRO</v>
          </cell>
          <cell r="G753" t="str">
            <v>CERRADEROS</v>
          </cell>
        </row>
        <row r="754">
          <cell r="A754" t="str">
            <v>HI-SEG-ANT</v>
          </cell>
          <cell r="B754" t="str">
            <v>SEGURO ANTIELEVACION</v>
          </cell>
          <cell r="C754">
            <v>15322</v>
          </cell>
          <cell r="D754">
            <v>46191</v>
          </cell>
          <cell r="E754">
            <v>0.01</v>
          </cell>
          <cell r="F754" t="str">
            <v>NATURAL</v>
          </cell>
          <cell r="G754" t="str">
            <v>CERRADEROS</v>
          </cell>
        </row>
        <row r="755">
          <cell r="A755" t="str">
            <v>HI-SLA-DL-MC</v>
          </cell>
          <cell r="B755" t="str">
            <v>DISCO LIMPIADOR - MARCOS CORREDERA MULTIPLE</v>
          </cell>
          <cell r="C755">
            <v>2</v>
          </cell>
          <cell r="D755">
            <v>44627</v>
          </cell>
          <cell r="E755">
            <v>2.39</v>
          </cell>
          <cell r="F755" t="str">
            <v>ROJO</v>
          </cell>
          <cell r="G755" t="str">
            <v>HERRAMIENTAS</v>
          </cell>
        </row>
        <row r="756">
          <cell r="A756" t="str">
            <v>HI-SLA-DR-HPC</v>
          </cell>
          <cell r="B756" t="str">
            <v>DISCO RETESTEADOR - HOJAS ANDES 66</v>
          </cell>
          <cell r="C756">
            <v>14</v>
          </cell>
          <cell r="D756">
            <v>45174</v>
          </cell>
          <cell r="E756">
            <v>1.42</v>
          </cell>
          <cell r="F756" t="str">
            <v>ROJO</v>
          </cell>
          <cell r="G756" t="str">
            <v>HERRAMIENTAS</v>
          </cell>
        </row>
        <row r="757">
          <cell r="A757" t="str">
            <v>HI-SLA-DR-HVC</v>
          </cell>
          <cell r="B757" t="str">
            <v>DISCO LIMPIADOR - ANDES 66</v>
          </cell>
          <cell r="C757">
            <v>4</v>
          </cell>
          <cell r="D757">
            <v>45661</v>
          </cell>
          <cell r="E757">
            <v>1.92</v>
          </cell>
          <cell r="F757" t="str">
            <v>ROJO</v>
          </cell>
          <cell r="G757" t="str">
            <v>HERRAMIENTAS</v>
          </cell>
        </row>
        <row r="758">
          <cell r="A758" t="str">
            <v>HI-SLA-DR-MDM</v>
          </cell>
          <cell r="B758" t="str">
            <v>DISCO RETESTEADOR - MARCO DIVISOR</v>
          </cell>
          <cell r="C758">
            <v>56</v>
          </cell>
          <cell r="D758">
            <v>45661</v>
          </cell>
          <cell r="E758">
            <v>0.87</v>
          </cell>
          <cell r="F758" t="str">
            <v>ROJO</v>
          </cell>
          <cell r="G758" t="str">
            <v>HERRAMIENTAS</v>
          </cell>
        </row>
        <row r="759">
          <cell r="A759" t="str">
            <v>HI-SLA-DR-MDR</v>
          </cell>
          <cell r="B759" t="str">
            <v>DISCO RETESTEADOR - MARCO DOBLE RIEL ANDES</v>
          </cell>
          <cell r="C759">
            <v>42</v>
          </cell>
          <cell r="D759">
            <v>45661</v>
          </cell>
          <cell r="E759">
            <v>1.19</v>
          </cell>
          <cell r="F759" t="str">
            <v>ROJO</v>
          </cell>
          <cell r="G759" t="str">
            <v>HERRAMIENTAS</v>
          </cell>
        </row>
        <row r="760">
          <cell r="A760" t="str">
            <v>HI-SLC-300-AN</v>
          </cell>
          <cell r="B760" t="str">
            <v>SILICONA SILTEK SELSIL 280 gr - ANTHRACITA</v>
          </cell>
          <cell r="C760">
            <v>1180</v>
          </cell>
          <cell r="D760">
            <v>46086</v>
          </cell>
          <cell r="E760">
            <v>0.49</v>
          </cell>
          <cell r="F760" t="str">
            <v>GRAFITO</v>
          </cell>
          <cell r="G760" t="str">
            <v>SILICONA</v>
          </cell>
        </row>
        <row r="761">
          <cell r="A761" t="str">
            <v>HI-SLC-300-BL</v>
          </cell>
          <cell r="B761" t="str">
            <v>SILICONA SILTEK SELSIL 280 gr - BLANCA</v>
          </cell>
          <cell r="C761">
            <v>6772</v>
          </cell>
          <cell r="D761">
            <v>46086</v>
          </cell>
          <cell r="E761">
            <v>0.49</v>
          </cell>
          <cell r="F761" t="str">
            <v>BLANCO</v>
          </cell>
          <cell r="G761" t="str">
            <v>SILICONA</v>
          </cell>
        </row>
        <row r="762">
          <cell r="A762" t="str">
            <v>HI-SLC-300-MR</v>
          </cell>
          <cell r="B762" t="str">
            <v>SILICONA SILTEK SELSIL 280 gr - MARRON</v>
          </cell>
          <cell r="C762">
            <v>10696</v>
          </cell>
          <cell r="D762">
            <v>46139</v>
          </cell>
          <cell r="E762">
            <v>0.49</v>
          </cell>
          <cell r="F762" t="str">
            <v>MARRON</v>
          </cell>
          <cell r="G762" t="str">
            <v>SILICONA</v>
          </cell>
        </row>
        <row r="763">
          <cell r="A763" t="str">
            <v>HI-SLC-300-NE</v>
          </cell>
          <cell r="B763" t="str">
            <v>SILICONA SILTEK SELSIL 280 gr - NEGRO</v>
          </cell>
          <cell r="C763">
            <v>5953</v>
          </cell>
          <cell r="D763">
            <v>46086</v>
          </cell>
          <cell r="E763">
            <v>0.49</v>
          </cell>
          <cell r="F763" t="str">
            <v>NEGRO</v>
          </cell>
          <cell r="G763" t="str">
            <v>SILICONA</v>
          </cell>
        </row>
        <row r="764">
          <cell r="A764" t="str">
            <v>HI-SLC-300-TO</v>
          </cell>
          <cell r="B764" t="str">
            <v>SILICONA SILTEK SELSIL 280 gr - TOFFE</v>
          </cell>
          <cell r="C764">
            <v>1276</v>
          </cell>
          <cell r="D764">
            <v>46086</v>
          </cell>
          <cell r="E764">
            <v>0.49</v>
          </cell>
          <cell r="F764" t="str">
            <v>TOFFE</v>
          </cell>
          <cell r="G764" t="str">
            <v>SILICONA</v>
          </cell>
        </row>
        <row r="765">
          <cell r="A765" t="str">
            <v>HI-SLD-DL-HVC</v>
          </cell>
          <cell r="B765" t="str">
            <v>DISCO LIMPIADOR - HOJAS 80</v>
          </cell>
          <cell r="C765">
            <v>19</v>
          </cell>
          <cell r="D765">
            <v>45661</v>
          </cell>
          <cell r="E765">
            <v>1.98</v>
          </cell>
          <cell r="F765" t="str">
            <v>ROJO</v>
          </cell>
          <cell r="G765" t="str">
            <v>HERRAMIENTAS</v>
          </cell>
        </row>
        <row r="766">
          <cell r="A766" t="str">
            <v>HI-SUP-CRR-13-CS</v>
          </cell>
          <cell r="B766" t="str">
            <v>SUPLEMENTO CARROS CELSUS 13 mm</v>
          </cell>
          <cell r="C766">
            <v>2613</v>
          </cell>
          <cell r="D766">
            <v>46135</v>
          </cell>
          <cell r="E766">
            <v>0.01</v>
          </cell>
          <cell r="F766" t="str">
            <v>GRAFITO</v>
          </cell>
          <cell r="G766" t="str">
            <v>ACCESORIOS</v>
          </cell>
        </row>
        <row r="767">
          <cell r="A767" t="str">
            <v>HI-SUP-CRR-165-CS</v>
          </cell>
          <cell r="B767" t="str">
            <v>SUPLEMENTO CARROS CELSUS 16.5 mm</v>
          </cell>
          <cell r="C767">
            <v>7091</v>
          </cell>
          <cell r="D767">
            <v>46097</v>
          </cell>
          <cell r="E767">
            <v>0.01</v>
          </cell>
          <cell r="F767" t="str">
            <v>GRAFITO</v>
          </cell>
          <cell r="G767" t="str">
            <v>CARRO</v>
          </cell>
        </row>
        <row r="768">
          <cell r="A768" t="str">
            <v>HI-SUP-CRR-185-CS</v>
          </cell>
          <cell r="B768" t="str">
            <v>SUPLEMENTO CARROS CELSUS 18.5 mm</v>
          </cell>
          <cell r="C768">
            <v>15297</v>
          </cell>
          <cell r="D768">
            <v>46060</v>
          </cell>
          <cell r="E768">
            <v>0.01</v>
          </cell>
          <cell r="F768" t="str">
            <v>GRAFITO</v>
          </cell>
          <cell r="G768" t="str">
            <v>ACCESORIOS</v>
          </cell>
        </row>
        <row r="769">
          <cell r="A769" t="str">
            <v>HI-SUP-CRR-30-CS</v>
          </cell>
          <cell r="B769" t="str">
            <v>SUPLEMENTO CARROS CELSUS 30 mm</v>
          </cell>
          <cell r="C769">
            <v>3064</v>
          </cell>
          <cell r="D769">
            <v>46135</v>
          </cell>
          <cell r="E769">
            <v>0.01</v>
          </cell>
          <cell r="F769" t="str">
            <v>GRAFITO</v>
          </cell>
          <cell r="G769" t="str">
            <v>ACCESORIOS</v>
          </cell>
        </row>
        <row r="770">
          <cell r="A770" t="str">
            <v>HI-SUP-CRR-6-CS</v>
          </cell>
          <cell r="B770" t="str">
            <v>SUPLEMENTO CARROS CELSUS 6 mm</v>
          </cell>
          <cell r="C770">
            <v>6683</v>
          </cell>
          <cell r="D770">
            <v>46135</v>
          </cell>
          <cell r="E770">
            <v>3.2000000000000002E-3</v>
          </cell>
          <cell r="F770" t="str">
            <v>GRAFITO</v>
          </cell>
          <cell r="G770" t="str">
            <v>ACCESORIOS</v>
          </cell>
        </row>
        <row r="771">
          <cell r="A771" t="str">
            <v>HI-SUP-CRR-CS</v>
          </cell>
          <cell r="B771" t="str">
            <v>SUPLEMENTO CARROS CELSUS</v>
          </cell>
          <cell r="C771">
            <v>0</v>
          </cell>
          <cell r="D771">
            <v>44561</v>
          </cell>
          <cell r="E771">
            <v>0.01</v>
          </cell>
          <cell r="F771" t="str">
            <v>GRAFITO</v>
          </cell>
          <cell r="G771" t="str">
            <v>CARRO</v>
          </cell>
        </row>
        <row r="772">
          <cell r="A772" t="str">
            <v>HI-TIR-EMB-BL-CS</v>
          </cell>
          <cell r="B772" t="str">
            <v>TIRADOR EMBUTIDO - BLANCO CELSUS</v>
          </cell>
          <cell r="C772">
            <v>2390</v>
          </cell>
          <cell r="D772">
            <v>46032</v>
          </cell>
          <cell r="E772">
            <v>7.0000000000000007E-2</v>
          </cell>
          <cell r="F772" t="str">
            <v>BLANCO</v>
          </cell>
          <cell r="G772" t="str">
            <v>MANILLA</v>
          </cell>
        </row>
        <row r="773">
          <cell r="A773" t="str">
            <v>HI-TIR-EMB-MR-CS</v>
          </cell>
          <cell r="B773" t="str">
            <v>TIRADOR EMBUTIDO - MARRON CELSUS</v>
          </cell>
          <cell r="C773">
            <v>2071</v>
          </cell>
          <cell r="D773">
            <v>46032</v>
          </cell>
          <cell r="E773">
            <v>7.0000000000000007E-2</v>
          </cell>
          <cell r="F773" t="str">
            <v>MARRON</v>
          </cell>
          <cell r="G773" t="str">
            <v>MANILLA</v>
          </cell>
        </row>
        <row r="774">
          <cell r="A774" t="str">
            <v>HI-TIR-EMB-NE-CS</v>
          </cell>
          <cell r="B774" t="str">
            <v>TIRADOR EMBUTIDO - NEGRO CELSUS</v>
          </cell>
          <cell r="C774">
            <v>566</v>
          </cell>
          <cell r="D774">
            <v>46060</v>
          </cell>
          <cell r="E774">
            <v>7.0000000000000007E-2</v>
          </cell>
          <cell r="F774" t="str">
            <v>NEGRO</v>
          </cell>
          <cell r="G774" t="str">
            <v>MANILLA</v>
          </cell>
        </row>
        <row r="775">
          <cell r="A775" t="str">
            <v>HI-TOR-AMO-75-100</v>
          </cell>
          <cell r="B775" t="str">
            <v>TORNILLO AMO III 7,5 x 100</v>
          </cell>
          <cell r="C775">
            <v>47590</v>
          </cell>
          <cell r="D775">
            <v>46076</v>
          </cell>
          <cell r="E775">
            <v>0.02</v>
          </cell>
          <cell r="F775" t="str">
            <v>NATURAL</v>
          </cell>
          <cell r="G775" t="str">
            <v>TORNILLO</v>
          </cell>
        </row>
        <row r="776">
          <cell r="A776" t="str">
            <v>HI-TOR-AMO-75-100-SLK</v>
          </cell>
          <cell r="B776" t="str">
            <v>TORNILLO AMO III 7,5 x 100 - SILTEK</v>
          </cell>
          <cell r="C776">
            <v>148799</v>
          </cell>
          <cell r="D776">
            <v>46100</v>
          </cell>
          <cell r="E776">
            <v>0.02</v>
          </cell>
          <cell r="F776" t="str">
            <v>NATURAL</v>
          </cell>
          <cell r="G776" t="str">
            <v>TORNILLO</v>
          </cell>
        </row>
        <row r="777">
          <cell r="A777" t="str">
            <v>HI-TOR-AMO-75-100-SOM</v>
          </cell>
          <cell r="B777" t="str">
            <v>TORNILLO AMO III 7,5 x 100 - SOM</v>
          </cell>
          <cell r="C777">
            <v>0</v>
          </cell>
          <cell r="D777">
            <v>45706</v>
          </cell>
          <cell r="E777">
            <v>0.02</v>
          </cell>
          <cell r="F777" t="str">
            <v>NATURAL</v>
          </cell>
          <cell r="G777" t="str">
            <v>TORNILLO</v>
          </cell>
        </row>
        <row r="778">
          <cell r="A778" t="str">
            <v>HI-TOR-AMO-75-120</v>
          </cell>
          <cell r="B778" t="str">
            <v>TORNILLO AMO III 7,5 x 120</v>
          </cell>
          <cell r="C778">
            <v>11616</v>
          </cell>
          <cell r="D778">
            <v>46060</v>
          </cell>
          <cell r="E778">
            <v>0.02</v>
          </cell>
          <cell r="F778" t="str">
            <v>NATURAL</v>
          </cell>
          <cell r="G778" t="str">
            <v>TORNILLO</v>
          </cell>
        </row>
        <row r="779">
          <cell r="A779" t="str">
            <v>HI-TOR-AMO-75-80</v>
          </cell>
          <cell r="B779" t="str">
            <v>TORNILLO AMO III 7,5 x 80</v>
          </cell>
          <cell r="C779">
            <v>0</v>
          </cell>
          <cell r="D779">
            <v>46197</v>
          </cell>
          <cell r="E779">
            <v>0.01</v>
          </cell>
          <cell r="F779" t="str">
            <v>NATURAL</v>
          </cell>
          <cell r="G779" t="str">
            <v>TORNILLO</v>
          </cell>
        </row>
        <row r="780">
          <cell r="A780" t="str">
            <v>HI-TOR-AMO-75-80-SLK</v>
          </cell>
          <cell r="B780" t="str">
            <v>TORNILLO AMO III 7,5 x 80 - SILTEK</v>
          </cell>
          <cell r="C780">
            <v>137013</v>
          </cell>
          <cell r="D780">
            <v>46100</v>
          </cell>
          <cell r="E780">
            <v>0.01</v>
          </cell>
          <cell r="F780" t="str">
            <v>NATURAL</v>
          </cell>
          <cell r="G780" t="str">
            <v>TORNILLO</v>
          </cell>
        </row>
        <row r="781">
          <cell r="A781" t="str">
            <v>HI-TOR-AMO-75-80-SOM</v>
          </cell>
          <cell r="B781" t="str">
            <v>TORNILLO AMO III 7,5 x 80 - SOM</v>
          </cell>
          <cell r="C781">
            <v>0</v>
          </cell>
          <cell r="D781">
            <v>45706</v>
          </cell>
          <cell r="E781">
            <v>0.01</v>
          </cell>
          <cell r="F781" t="str">
            <v>NATURAL</v>
          </cell>
          <cell r="G781" t="str">
            <v>TORNILLO</v>
          </cell>
        </row>
        <row r="782">
          <cell r="A782" t="str">
            <v>HI-TOR-AUT-39-13</v>
          </cell>
          <cell r="B782" t="str">
            <v>TORNILLO AUTOPERFORANTE 3,9 x 13</v>
          </cell>
          <cell r="C782">
            <v>392000</v>
          </cell>
          <cell r="D782">
            <v>46060</v>
          </cell>
          <cell r="E782">
            <v>8.0000000000000004E-4</v>
          </cell>
          <cell r="F782" t="str">
            <v>NATURAL</v>
          </cell>
          <cell r="G782" t="str">
            <v>TORNILLO</v>
          </cell>
        </row>
        <row r="783">
          <cell r="A783" t="str">
            <v>HI-TOR-AUT-39-13-SLK</v>
          </cell>
          <cell r="B783" t="str">
            <v>TORNILLO AUTOPERFORANTE 3,9 x 13 - SILTEK</v>
          </cell>
          <cell r="C783">
            <v>1695500</v>
          </cell>
          <cell r="D783">
            <v>46100</v>
          </cell>
          <cell r="E783">
            <v>8.0000000000000004E-4</v>
          </cell>
          <cell r="F783" t="str">
            <v>NATURAL</v>
          </cell>
          <cell r="G783" t="str">
            <v>TORNILLO</v>
          </cell>
        </row>
        <row r="784">
          <cell r="A784" t="str">
            <v>HI-TOR-AUT-39-13-SOM</v>
          </cell>
          <cell r="B784" t="str">
            <v>TORNILLO AUTOPERFORANTE 3,9 x 13 - SOM</v>
          </cell>
          <cell r="C784">
            <v>0</v>
          </cell>
          <cell r="D784">
            <v>45706</v>
          </cell>
          <cell r="E784">
            <v>8.0000000000000004E-4</v>
          </cell>
          <cell r="F784" t="str">
            <v>NATURAL</v>
          </cell>
          <cell r="G784" t="str">
            <v>TORNILLO</v>
          </cell>
        </row>
        <row r="785">
          <cell r="A785" t="str">
            <v>HI-TOR-AUT-39-16</v>
          </cell>
          <cell r="B785" t="str">
            <v>TORNILLO AUTOPERFORANTE 3,9 x 16</v>
          </cell>
          <cell r="C785">
            <v>800</v>
          </cell>
          <cell r="D785">
            <v>46076</v>
          </cell>
          <cell r="E785">
            <v>1E-3</v>
          </cell>
          <cell r="F785" t="str">
            <v>NATURAL</v>
          </cell>
          <cell r="G785" t="str">
            <v>TORNILLO</v>
          </cell>
        </row>
        <row r="786">
          <cell r="A786" t="str">
            <v>HI-TOR-AUT-39-16-SLK</v>
          </cell>
          <cell r="B786" t="str">
            <v>TORNILLO AUTOPERFORANTE 3,9 x 16 - SILTEK</v>
          </cell>
          <cell r="C786">
            <v>2088012</v>
          </cell>
          <cell r="D786">
            <v>46100</v>
          </cell>
          <cell r="E786">
            <v>1E-3</v>
          </cell>
          <cell r="F786" t="str">
            <v>NATURAL</v>
          </cell>
          <cell r="G786" t="str">
            <v>TORNILLO</v>
          </cell>
        </row>
        <row r="787">
          <cell r="A787" t="str">
            <v>HI-TOR-AUT-39-16-SOM</v>
          </cell>
          <cell r="B787" t="str">
            <v>TORNILLO AUTOPERFORANTE 3,9 x 16 - SOM</v>
          </cell>
          <cell r="C787">
            <v>0</v>
          </cell>
          <cell r="D787">
            <v>45706</v>
          </cell>
          <cell r="E787">
            <v>1E-3</v>
          </cell>
          <cell r="F787" t="str">
            <v>NATURAL</v>
          </cell>
          <cell r="G787" t="str">
            <v>TORNILLO</v>
          </cell>
        </row>
        <row r="788">
          <cell r="A788" t="str">
            <v>HI-TOR-AUT-39-19</v>
          </cell>
          <cell r="B788" t="str">
            <v>TORNILLO AUTOPERFORANTE 3,9 x 19</v>
          </cell>
          <cell r="C788">
            <v>166100</v>
          </cell>
          <cell r="D788">
            <v>46076</v>
          </cell>
          <cell r="E788">
            <v>1.2999999999999999E-3</v>
          </cell>
          <cell r="F788" t="str">
            <v>NATURAL</v>
          </cell>
          <cell r="G788" t="str">
            <v>TORNILLO</v>
          </cell>
        </row>
        <row r="789">
          <cell r="A789" t="str">
            <v>HI-TOR-AUT-39-19-SLK</v>
          </cell>
          <cell r="B789" t="str">
            <v>TORNILLO AUTOPERFORANTE 3,9 x 19 - SILTEK</v>
          </cell>
          <cell r="C789">
            <v>1720700</v>
          </cell>
          <cell r="D789">
            <v>46100</v>
          </cell>
          <cell r="E789">
            <v>1.2999999999999999E-3</v>
          </cell>
          <cell r="F789" t="str">
            <v>NATURAL</v>
          </cell>
          <cell r="G789" t="str">
            <v>TORNILLO</v>
          </cell>
        </row>
        <row r="790">
          <cell r="A790" t="str">
            <v>HI-TOR-AUT-39-19-SOM</v>
          </cell>
          <cell r="B790" t="str">
            <v>TORNILLO AUTOPERFORANTE 3,9 x 19 - SOM</v>
          </cell>
          <cell r="C790">
            <v>0</v>
          </cell>
          <cell r="D790">
            <v>45706</v>
          </cell>
          <cell r="E790">
            <v>1.2999999999999999E-3</v>
          </cell>
          <cell r="F790" t="str">
            <v>NATURAL</v>
          </cell>
          <cell r="G790" t="str">
            <v>TORNILLO</v>
          </cell>
        </row>
        <row r="791">
          <cell r="A791" t="str">
            <v>HI-TOR-AUT-39-25</v>
          </cell>
          <cell r="B791" t="str">
            <v>TORNILLO AUTOPERFORANTE 3,9 x 25</v>
          </cell>
          <cell r="C791">
            <v>114935</v>
          </cell>
          <cell r="D791">
            <v>46076</v>
          </cell>
          <cell r="E791">
            <v>1.6000000000000001E-3</v>
          </cell>
          <cell r="F791" t="str">
            <v>NATURAL</v>
          </cell>
          <cell r="G791" t="str">
            <v>TORNILLO</v>
          </cell>
        </row>
        <row r="792">
          <cell r="A792" t="str">
            <v>HI-TOR-AUT-39-25-SLK</v>
          </cell>
          <cell r="B792" t="str">
            <v>TORNILLO AUTOPERFORANTE 3,9 x 25 - SILTEK</v>
          </cell>
          <cell r="C792">
            <v>295200</v>
          </cell>
          <cell r="D792">
            <v>46100</v>
          </cell>
          <cell r="E792">
            <v>1.6000000000000001E-3</v>
          </cell>
          <cell r="F792" t="str">
            <v>NATURAL</v>
          </cell>
          <cell r="G792" t="str">
            <v>TORNILLO</v>
          </cell>
        </row>
        <row r="793">
          <cell r="A793" t="str">
            <v>HI-TOR-AUT-39-25-SOM</v>
          </cell>
          <cell r="B793" t="str">
            <v>TORNILLO AUTOPERFORANTE 3,9 x 25 - SOM</v>
          </cell>
          <cell r="C793">
            <v>0</v>
          </cell>
          <cell r="D793">
            <v>45706</v>
          </cell>
          <cell r="E793">
            <v>1.6000000000000001E-3</v>
          </cell>
          <cell r="F793" t="str">
            <v>NATURAL</v>
          </cell>
          <cell r="G793" t="str">
            <v>TORNILLO</v>
          </cell>
        </row>
        <row r="794">
          <cell r="A794" t="str">
            <v>HI-TOR-AUT-42-50</v>
          </cell>
          <cell r="B794" t="str">
            <v>TORNILLO AUTOPERFORANTE 4,2 x 50</v>
          </cell>
          <cell r="C794">
            <v>45128</v>
          </cell>
          <cell r="D794">
            <v>46060</v>
          </cell>
          <cell r="E794">
            <v>4.8999999999999998E-3</v>
          </cell>
          <cell r="F794" t="str">
            <v>NATURAL</v>
          </cell>
          <cell r="G794" t="str">
            <v>TORNILLO</v>
          </cell>
        </row>
        <row r="795">
          <cell r="A795" t="str">
            <v>HI-TOR-AUT-42-80</v>
          </cell>
          <cell r="B795" t="str">
            <v>TORNILLO AUTOPERFORNATE 4,2 x 80</v>
          </cell>
          <cell r="C795">
            <v>44980</v>
          </cell>
          <cell r="D795">
            <v>46167</v>
          </cell>
          <cell r="E795">
            <v>0.01</v>
          </cell>
          <cell r="F795" t="str">
            <v>NATURAL</v>
          </cell>
          <cell r="G795" t="str">
            <v>TORNILLO</v>
          </cell>
        </row>
        <row r="796">
          <cell r="A796" t="str">
            <v>HI-TOR-AUTR-39-13</v>
          </cell>
          <cell r="B796" t="str">
            <v>TORNILLO AUTOPERFORANTE REDONDO  3,9X13</v>
          </cell>
          <cell r="C796">
            <v>0</v>
          </cell>
          <cell r="D796">
            <v>44708</v>
          </cell>
          <cell r="E796">
            <v>8.0000000000000004E-4</v>
          </cell>
          <cell r="F796" t="str">
            <v>NATURAL</v>
          </cell>
          <cell r="G796" t="str">
            <v>TORNILLO</v>
          </cell>
        </row>
        <row r="797">
          <cell r="A797" t="str">
            <v>HI-TOR-PUA-42-20</v>
          </cell>
          <cell r="B797" t="str">
            <v>TORNILLO PUNTA AGUJA 4,2 x 20</v>
          </cell>
          <cell r="C797">
            <v>0</v>
          </cell>
          <cell r="D797">
            <v>45526</v>
          </cell>
          <cell r="E797">
            <v>1.1000000000000001E-3</v>
          </cell>
          <cell r="F797" t="str">
            <v>NATURAL</v>
          </cell>
          <cell r="G797" t="str">
            <v>TORNILLO</v>
          </cell>
        </row>
        <row r="798">
          <cell r="A798" t="str">
            <v>HI-TOR-PUA-42-25</v>
          </cell>
          <cell r="B798" t="str">
            <v>TORNILLO PUNTA AGUJA 4,2 x 25</v>
          </cell>
          <cell r="C798">
            <v>103100</v>
          </cell>
          <cell r="D798">
            <v>46076</v>
          </cell>
          <cell r="E798">
            <v>1.6000000000000001E-3</v>
          </cell>
          <cell r="F798" t="str">
            <v>NATURAL</v>
          </cell>
          <cell r="G798" t="str">
            <v>TORNILLO</v>
          </cell>
        </row>
        <row r="799">
          <cell r="A799" t="str">
            <v>HI-TOR-PUA-42-25-SLK</v>
          </cell>
          <cell r="B799" t="str">
            <v>TORNILLO PUNTA AGUJA 4,2 x 25 - SILTEK</v>
          </cell>
          <cell r="C799">
            <v>600800</v>
          </cell>
          <cell r="D799">
            <v>46100</v>
          </cell>
          <cell r="E799">
            <v>1.6000000000000001E-3</v>
          </cell>
          <cell r="F799" t="str">
            <v>NATURAL</v>
          </cell>
          <cell r="G799" t="str">
            <v>TORNILLO</v>
          </cell>
        </row>
        <row r="800">
          <cell r="A800" t="str">
            <v>HI-TOR-PUA-42-25-SOM</v>
          </cell>
          <cell r="B800" t="str">
            <v>TORNILLO PUNTA AGUJA 4,2 x 25 - SOM</v>
          </cell>
          <cell r="C800">
            <v>0</v>
          </cell>
          <cell r="D800">
            <v>45706</v>
          </cell>
          <cell r="E800">
            <v>1.6000000000000001E-3</v>
          </cell>
          <cell r="F800" t="str">
            <v>NATURAL</v>
          </cell>
          <cell r="G800" t="str">
            <v>TORNILLO</v>
          </cell>
        </row>
        <row r="801">
          <cell r="A801" t="str">
            <v>HI-TOR-PUA-42-38</v>
          </cell>
          <cell r="B801" t="str">
            <v>TORNILLO PUNTA AGUJA 4,2 x 38</v>
          </cell>
          <cell r="C801">
            <v>0</v>
          </cell>
          <cell r="D801">
            <v>46076</v>
          </cell>
          <cell r="E801">
            <v>2.3999999999999998E-3</v>
          </cell>
          <cell r="F801" t="str">
            <v>NATURAL</v>
          </cell>
          <cell r="G801" t="str">
            <v>TORNILLO</v>
          </cell>
        </row>
        <row r="802">
          <cell r="A802" t="str">
            <v>HI-TOR-PUA-42-38-SLK</v>
          </cell>
          <cell r="B802" t="str">
            <v>TORNILLO PUNTA AGUJA 4,2 x 38 - SILTEK</v>
          </cell>
          <cell r="C802">
            <v>630700</v>
          </cell>
          <cell r="D802">
            <v>46100</v>
          </cell>
          <cell r="E802">
            <v>2.3999999999999998E-3</v>
          </cell>
          <cell r="F802" t="str">
            <v>NATURAL</v>
          </cell>
          <cell r="G802" t="str">
            <v>TORNILLO</v>
          </cell>
        </row>
        <row r="803">
          <cell r="A803" t="str">
            <v>HI-TOR-PUA-42-38-SOM</v>
          </cell>
          <cell r="B803" t="str">
            <v>TORNILLO PUNTA AGUJA 4,2 x 38 - SOM</v>
          </cell>
          <cell r="C803">
            <v>0</v>
          </cell>
          <cell r="D803">
            <v>45706</v>
          </cell>
          <cell r="E803">
            <v>2.3999999999999998E-3</v>
          </cell>
          <cell r="F803" t="str">
            <v>NATURAL</v>
          </cell>
          <cell r="G803" t="str">
            <v>TORNILLO</v>
          </cell>
        </row>
        <row r="804">
          <cell r="A804" t="str">
            <v>HI-TOR-PUA-5-80</v>
          </cell>
          <cell r="B804" t="str">
            <v>TORNILLO PUNTA AGUJA 5 x 80</v>
          </cell>
          <cell r="C804">
            <v>6800</v>
          </cell>
          <cell r="D804">
            <v>45661</v>
          </cell>
          <cell r="E804">
            <v>0.01</v>
          </cell>
          <cell r="F804" t="str">
            <v>NATURAL</v>
          </cell>
          <cell r="G804" t="str">
            <v>TORNILLO</v>
          </cell>
        </row>
        <row r="805">
          <cell r="A805" t="str">
            <v>HL-ACA-PCA-AND-MA</v>
          </cell>
          <cell r="B805" t="str">
            <v>PUENTE DE ACRISTALAR ANDES - M</v>
          </cell>
          <cell r="C805">
            <v>22850</v>
          </cell>
          <cell r="D805">
            <v>46181</v>
          </cell>
          <cell r="E805">
            <v>3.5999999999999999E-3</v>
          </cell>
          <cell r="F805" t="str">
            <v>GRAFITO</v>
          </cell>
          <cell r="G805" t="str">
            <v>ACCESORIOS</v>
          </cell>
        </row>
        <row r="806">
          <cell r="A806" t="str">
            <v>HL-ACC-5X5-APOC-MA</v>
          </cell>
          <cell r="B806" t="str">
            <v>APOYO CERRADERO 5 x 5 - M</v>
          </cell>
          <cell r="C806">
            <v>123</v>
          </cell>
          <cell r="D806">
            <v>46177</v>
          </cell>
          <cell r="E806">
            <v>0.1</v>
          </cell>
          <cell r="F806" t="str">
            <v>NEGRO</v>
          </cell>
          <cell r="G806" t="str">
            <v>ACCESORIOS</v>
          </cell>
        </row>
        <row r="807">
          <cell r="A807" t="str">
            <v>HL-ACC-7X7-APOC-MA</v>
          </cell>
          <cell r="B807" t="str">
            <v>APOYO CERRADERO 7 x 7 - M</v>
          </cell>
          <cell r="C807">
            <v>206</v>
          </cell>
          <cell r="D807">
            <v>46181</v>
          </cell>
          <cell r="E807">
            <v>0.22</v>
          </cell>
          <cell r="F807" t="str">
            <v>NEGRO</v>
          </cell>
          <cell r="G807" t="str">
            <v>ACCESORIOS</v>
          </cell>
        </row>
        <row r="808">
          <cell r="A808" t="str">
            <v>HL-ACC-9X9-APOC-MA</v>
          </cell>
          <cell r="B808" t="str">
            <v>APOYO CERRADERO 9 x 9 - M</v>
          </cell>
          <cell r="C808">
            <v>413</v>
          </cell>
          <cell r="D808">
            <v>46184</v>
          </cell>
          <cell r="E808">
            <v>0.35</v>
          </cell>
          <cell r="F808" t="str">
            <v>NEGRO</v>
          </cell>
          <cell r="G808" t="str">
            <v>ACCESORIOS</v>
          </cell>
        </row>
        <row r="809">
          <cell r="A809" t="str">
            <v>HL-ACC-CLZ-2-MA</v>
          </cell>
          <cell r="B809" t="str">
            <v>CALZO CELESTE 100 x 202 x 2 - M</v>
          </cell>
          <cell r="C809">
            <v>20732</v>
          </cell>
          <cell r="D809">
            <v>46184</v>
          </cell>
          <cell r="E809">
            <v>3.3999999999999998E-3</v>
          </cell>
          <cell r="F809" t="str">
            <v>CELESTE</v>
          </cell>
          <cell r="G809" t="str">
            <v>ACCESORIOS</v>
          </cell>
        </row>
        <row r="810">
          <cell r="A810" t="str">
            <v>HL-ACC-CLZ-2-MV</v>
          </cell>
          <cell r="B810" t="str">
            <v>CALZO ACRISTALAR 2MM - AZUL - MV</v>
          </cell>
          <cell r="C810">
            <v>5619</v>
          </cell>
          <cell r="D810">
            <v>45453</v>
          </cell>
          <cell r="E810">
            <v>2.2000000000000001E-3</v>
          </cell>
          <cell r="F810" t="str">
            <v>NATURAL</v>
          </cell>
          <cell r="G810" t="str">
            <v>ACCESORIOS</v>
          </cell>
        </row>
        <row r="811">
          <cell r="A811" t="str">
            <v>HL-ACC-CLZ-3-MA</v>
          </cell>
          <cell r="B811" t="str">
            <v>CALZO ROJO 100 x 20 x 3 - M</v>
          </cell>
          <cell r="C811">
            <v>43220</v>
          </cell>
          <cell r="D811">
            <v>46184</v>
          </cell>
          <cell r="E811">
            <v>3.0000000000000001E-3</v>
          </cell>
          <cell r="F811" t="str">
            <v>ROJO</v>
          </cell>
          <cell r="G811" t="str">
            <v>ACCESORIOS</v>
          </cell>
        </row>
        <row r="812">
          <cell r="A812" t="str">
            <v>HL-ACC-CLZ-3-MV</v>
          </cell>
          <cell r="B812" t="str">
            <v>CALZO ACRISTALAR 3MM - ROJO - MV</v>
          </cell>
          <cell r="C812">
            <v>1408</v>
          </cell>
          <cell r="D812">
            <v>45453</v>
          </cell>
          <cell r="E812">
            <v>2.5999999999999999E-3</v>
          </cell>
          <cell r="F812" t="str">
            <v>NATURAL</v>
          </cell>
          <cell r="G812" t="str">
            <v>ACCESORIOS</v>
          </cell>
        </row>
        <row r="813">
          <cell r="A813" t="str">
            <v>HL-ACC-CLZ-4-MA</v>
          </cell>
          <cell r="B813" t="str">
            <v>CALZO AMARILLO 100 x 20 x 4 - M</v>
          </cell>
          <cell r="C813">
            <v>30514</v>
          </cell>
          <cell r="D813">
            <v>46184</v>
          </cell>
          <cell r="E813">
            <v>4.5999999999999999E-3</v>
          </cell>
          <cell r="F813" t="str">
            <v>AMARILLO</v>
          </cell>
          <cell r="G813" t="str">
            <v>ACCESORIOS</v>
          </cell>
        </row>
        <row r="814">
          <cell r="A814" t="str">
            <v>HL-ACC-CLZ-4-MV</v>
          </cell>
          <cell r="B814" t="str">
            <v>CALZO ACRISTALAR 4MM - AMARILLO - MV</v>
          </cell>
          <cell r="C814">
            <v>3426</v>
          </cell>
          <cell r="D814">
            <v>46032</v>
          </cell>
          <cell r="E814">
            <v>3.0999999999999999E-3</v>
          </cell>
          <cell r="F814" t="str">
            <v>NATURAL</v>
          </cell>
          <cell r="G814" t="str">
            <v>ACCESORIOS</v>
          </cell>
        </row>
        <row r="815">
          <cell r="A815" t="str">
            <v>HL-ACC-CLZ-5-MA</v>
          </cell>
          <cell r="B815" t="str">
            <v>CALZO VERDE 100 x 20 x 5 - M</v>
          </cell>
          <cell r="C815">
            <v>29100</v>
          </cell>
          <cell r="D815">
            <v>46181</v>
          </cell>
          <cell r="E815">
            <v>4.4999999999999997E-3</v>
          </cell>
          <cell r="F815" t="str">
            <v>VERDE</v>
          </cell>
          <cell r="G815" t="str">
            <v>ACCESORIOS</v>
          </cell>
        </row>
        <row r="816">
          <cell r="A816" t="str">
            <v>HL-ACC-ESP-M10-150-MA</v>
          </cell>
          <cell r="B816" t="str">
            <v>ESPARRAGO M10 X 150 mm - MA</v>
          </cell>
          <cell r="C816">
            <v>300</v>
          </cell>
          <cell r="D816">
            <v>46184</v>
          </cell>
          <cell r="E816">
            <v>0.65100000000000002</v>
          </cell>
          <cell r="F816" t="str">
            <v>NATURAL</v>
          </cell>
          <cell r="G816" t="str">
            <v>HERRAJES - BARANDAS</v>
          </cell>
        </row>
        <row r="817">
          <cell r="A817" t="str">
            <v>HL-ACC-GOL-M10-MA</v>
          </cell>
          <cell r="B817" t="str">
            <v>GOLILLA M10 - MA</v>
          </cell>
          <cell r="C817">
            <v>300</v>
          </cell>
          <cell r="D817">
            <v>46184</v>
          </cell>
          <cell r="E817">
            <v>2.8000000000000001E-2</v>
          </cell>
          <cell r="F817" t="str">
            <v>NATURAL</v>
          </cell>
          <cell r="G817" t="str">
            <v>HERRAJES - BARANDAS</v>
          </cell>
        </row>
        <row r="818">
          <cell r="A818" t="str">
            <v>HL-ACC-LPR-NE-GH</v>
          </cell>
          <cell r="B818" t="str">
            <v>LAPIZ DE RETOQUE NEGRO - G</v>
          </cell>
          <cell r="C818">
            <v>0</v>
          </cell>
          <cell r="E818">
            <v>0.03</v>
          </cell>
          <cell r="F818" t="str">
            <v>NEGRO</v>
          </cell>
          <cell r="G818" t="str">
            <v>ACCESORIOS</v>
          </cell>
        </row>
        <row r="819">
          <cell r="A819" t="str">
            <v>HL-ACC-LPR-NO-GH</v>
          </cell>
          <cell r="B819" t="str">
            <v>LAPIZ DE RETOQUE NOGAL - G</v>
          </cell>
          <cell r="C819">
            <v>0</v>
          </cell>
          <cell r="D819">
            <v>45576</v>
          </cell>
          <cell r="E819">
            <v>0.03</v>
          </cell>
          <cell r="F819" t="str">
            <v>NOGAL</v>
          </cell>
          <cell r="G819" t="str">
            <v>ACCESORIOS</v>
          </cell>
        </row>
        <row r="820">
          <cell r="A820" t="str">
            <v>HL-ACC-LPR-RD-GH</v>
          </cell>
          <cell r="B820" t="str">
            <v>LAPIZ RETOQUE ROBLE - G</v>
          </cell>
          <cell r="C820">
            <v>0</v>
          </cell>
          <cell r="D820">
            <v>44926</v>
          </cell>
          <cell r="E820">
            <v>0.03</v>
          </cell>
          <cell r="F820" t="str">
            <v>ROBLE</v>
          </cell>
          <cell r="G820" t="str">
            <v>ACCESORIOS</v>
          </cell>
        </row>
        <row r="821">
          <cell r="A821" t="str">
            <v>HL-ACC-PAC-SLD-MA</v>
          </cell>
          <cell r="B821" t="str">
            <v>PUENTE DE ACRISTALAR CORREDERA - M</v>
          </cell>
          <cell r="C821">
            <v>15064</v>
          </cell>
          <cell r="D821">
            <v>46184</v>
          </cell>
          <cell r="E821">
            <v>0.01</v>
          </cell>
          <cell r="F821" t="str">
            <v>GRAFITO</v>
          </cell>
          <cell r="G821" t="str">
            <v>ACCESORIOS</v>
          </cell>
        </row>
        <row r="822">
          <cell r="A822" t="str">
            <v>HL-ACC-PDA-S60-MA</v>
          </cell>
          <cell r="B822" t="str">
            <v>PUENTE DE ACRISTALAR ABATIBLE - M</v>
          </cell>
          <cell r="C822">
            <v>25175</v>
          </cell>
          <cell r="D822">
            <v>46184</v>
          </cell>
          <cell r="E822">
            <v>4.0000000000000001E-3</v>
          </cell>
          <cell r="F822" t="str">
            <v>GRAFITO</v>
          </cell>
          <cell r="G822" t="str">
            <v>ACCESORIOS</v>
          </cell>
        </row>
        <row r="823">
          <cell r="A823" t="str">
            <v>HL-ACC-RMP-BL-HQ</v>
          </cell>
          <cell r="B823" t="str">
            <v>RESBALON MANILLA PARCHE - BLANCO - HQ</v>
          </cell>
          <cell r="C823">
            <v>0</v>
          </cell>
          <cell r="D823"/>
          <cell r="E823">
            <v>0</v>
          </cell>
          <cell r="F823" t="str">
            <v>BLANCO</v>
          </cell>
          <cell r="G823" t="str">
            <v>ACCESORIOS</v>
          </cell>
        </row>
        <row r="824">
          <cell r="A824" t="str">
            <v>HL-ACC-RMP-BL-HS</v>
          </cell>
          <cell r="B824" t="str">
            <v>RESBALON MANILLA PARCHE - BLANCO - HS</v>
          </cell>
          <cell r="C824">
            <v>9</v>
          </cell>
          <cell r="D824">
            <v>46032</v>
          </cell>
          <cell r="E824">
            <v>0</v>
          </cell>
          <cell r="F824" t="str">
            <v>BLANCO</v>
          </cell>
          <cell r="G824" t="str">
            <v>ACCESORIOS</v>
          </cell>
        </row>
        <row r="825">
          <cell r="A825" t="str">
            <v>HL-ACC-SEP-12-NE</v>
          </cell>
          <cell r="B825" t="str">
            <v>ROLLO SEPARADOR DE 12mm 270MT - NEGRO</v>
          </cell>
          <cell r="C825">
            <v>0</v>
          </cell>
          <cell r="D825">
            <v>45331</v>
          </cell>
          <cell r="E825">
            <v>0</v>
          </cell>
          <cell r="F825" t="str">
            <v>NEGRO</v>
          </cell>
          <cell r="G825" t="str">
            <v>ACCESORIOS</v>
          </cell>
        </row>
        <row r="826">
          <cell r="A826" t="str">
            <v>HL-ACC-TAM-10-GH</v>
          </cell>
          <cell r="B826" t="str">
            <v>TOPE AMORTIGUADOR 10 mm - G</v>
          </cell>
          <cell r="C826">
            <v>0</v>
          </cell>
          <cell r="E826">
            <v>1.9E-3</v>
          </cell>
          <cell r="F826" t="str">
            <v>NEGRO</v>
          </cell>
          <cell r="G826" t="str">
            <v>ACCESORIOS</v>
          </cell>
        </row>
        <row r="827">
          <cell r="A827" t="str">
            <v>HL-ACC-TAM-13-GH</v>
          </cell>
          <cell r="B827" t="str">
            <v>TOPE AMORTIGUADOR 13 mm - G</v>
          </cell>
          <cell r="C827">
            <v>0</v>
          </cell>
          <cell r="D827">
            <v>45476</v>
          </cell>
          <cell r="E827">
            <v>1.9E-3</v>
          </cell>
          <cell r="F827" t="str">
            <v>NEGRO</v>
          </cell>
          <cell r="G827" t="str">
            <v>ACCESORIOS</v>
          </cell>
        </row>
        <row r="828">
          <cell r="A828" t="str">
            <v>HL-ACC-TAMOR-13-MA</v>
          </cell>
          <cell r="B828" t="str">
            <v>TOPE AMORTIGUADOR 13 mm - M</v>
          </cell>
          <cell r="C828">
            <v>5071</v>
          </cell>
          <cell r="D828">
            <v>46184</v>
          </cell>
          <cell r="E828">
            <v>1.9E-3</v>
          </cell>
          <cell r="F828" t="str">
            <v>NEGRO</v>
          </cell>
          <cell r="G828" t="str">
            <v>ACCESORIOS</v>
          </cell>
        </row>
        <row r="829">
          <cell r="A829" t="str">
            <v>HL-ACC-TC90-BL-GH</v>
          </cell>
          <cell r="B829" t="str">
            <v>TOPE 90° - BLANCO - G</v>
          </cell>
          <cell r="C829">
            <v>0</v>
          </cell>
          <cell r="D829">
            <v>44561</v>
          </cell>
          <cell r="E829">
            <v>0.02</v>
          </cell>
          <cell r="F829" t="str">
            <v>BLANCO</v>
          </cell>
          <cell r="G829" t="str">
            <v>ACCESORIOS</v>
          </cell>
        </row>
        <row r="830">
          <cell r="A830" t="str">
            <v>HL-ACC-TC90-NE-GH</v>
          </cell>
          <cell r="B830" t="str">
            <v>TOPE 90º - NEGRO - G</v>
          </cell>
          <cell r="C830">
            <v>0</v>
          </cell>
          <cell r="D830"/>
          <cell r="E830">
            <v>0.02</v>
          </cell>
          <cell r="F830" t="str">
            <v>NEGRO</v>
          </cell>
          <cell r="G830" t="str">
            <v>ACCESORIOS</v>
          </cell>
        </row>
        <row r="831">
          <cell r="A831" t="str">
            <v>HL-ACC-TDG-BL-PS</v>
          </cell>
          <cell r="B831" t="str">
            <v>TAPA DESAGUE BLANCO - PS</v>
          </cell>
          <cell r="C831">
            <v>21900</v>
          </cell>
          <cell r="D831">
            <v>46060</v>
          </cell>
          <cell r="E831">
            <v>1.4E-3</v>
          </cell>
          <cell r="F831" t="str">
            <v>BLANCO</v>
          </cell>
          <cell r="G831" t="str">
            <v>ACCESORIOS</v>
          </cell>
        </row>
        <row r="832">
          <cell r="A832" t="str">
            <v>HL-ACC-TDG-MR-PS</v>
          </cell>
          <cell r="B832" t="str">
            <v>TAPA DESAGUE MARRON - PS</v>
          </cell>
          <cell r="C832">
            <v>0</v>
          </cell>
          <cell r="D832"/>
          <cell r="E832">
            <v>0</v>
          </cell>
          <cell r="F832" t="str">
            <v>MARRON</v>
          </cell>
          <cell r="G832" t="str">
            <v>ACCESORIOS</v>
          </cell>
        </row>
        <row r="833">
          <cell r="A833" t="str">
            <v>HL-ACC-TDG-NE-PS</v>
          </cell>
          <cell r="B833" t="str">
            <v>TAPA DESAGUE NEGRO - PS</v>
          </cell>
          <cell r="C833">
            <v>4400</v>
          </cell>
          <cell r="D833">
            <v>45661</v>
          </cell>
          <cell r="E833">
            <v>1.4E-3</v>
          </cell>
          <cell r="F833" t="str">
            <v>NEGRO</v>
          </cell>
          <cell r="G833" t="str">
            <v>ACCESORIOS</v>
          </cell>
        </row>
        <row r="834">
          <cell r="A834" t="str">
            <v>HL-ACC-TRH-M10-MA</v>
          </cell>
          <cell r="B834" t="str">
            <v>TUERCA HEXAGONAL M10 - MA</v>
          </cell>
          <cell r="C834">
            <v>300</v>
          </cell>
          <cell r="D834">
            <v>46184</v>
          </cell>
          <cell r="E834">
            <v>6.9000000000000006E-2</v>
          </cell>
          <cell r="F834" t="str">
            <v>NATURAL</v>
          </cell>
          <cell r="G834" t="str">
            <v>HERRAJES - BARANDAS</v>
          </cell>
        </row>
        <row r="835">
          <cell r="A835" t="str">
            <v>HL-ACC-TTA-BL-MA</v>
          </cell>
          <cell r="B835" t="str">
            <v>TAPA TORNILLO AMO III - BLANCO - M</v>
          </cell>
          <cell r="C835">
            <v>26900</v>
          </cell>
          <cell r="D835">
            <v>46181</v>
          </cell>
          <cell r="E835">
            <v>4.0000000000000002E-4</v>
          </cell>
          <cell r="F835" t="str">
            <v>BLANCO</v>
          </cell>
          <cell r="G835" t="str">
            <v>ACCESORIOS</v>
          </cell>
        </row>
        <row r="836">
          <cell r="A836" t="str">
            <v>HL-ACC-TTA-MR-MA</v>
          </cell>
          <cell r="B836" t="str">
            <v>TAPA TORNILLO AMO III - MARRON - M</v>
          </cell>
          <cell r="C836">
            <v>26146</v>
          </cell>
          <cell r="D836">
            <v>46181</v>
          </cell>
          <cell r="E836">
            <v>4.0000000000000002E-4</v>
          </cell>
          <cell r="F836" t="str">
            <v>MARRON</v>
          </cell>
          <cell r="G836" t="str">
            <v>ACCESORIOS</v>
          </cell>
        </row>
        <row r="837">
          <cell r="A837" t="str">
            <v>HL-ACC-TTA-NE-MA</v>
          </cell>
          <cell r="B837" t="str">
            <v>TAPA TORNILLO AMO III - NEGRO - M</v>
          </cell>
          <cell r="C837">
            <v>38906</v>
          </cell>
          <cell r="D837">
            <v>46181</v>
          </cell>
          <cell r="E837">
            <v>4.0000000000000002E-4</v>
          </cell>
          <cell r="F837" t="str">
            <v>NEGRO</v>
          </cell>
          <cell r="G837" t="str">
            <v>ACCESORIOS</v>
          </cell>
        </row>
        <row r="838">
          <cell r="A838" t="str">
            <v>HL-ACC-TTM-BL-MA</v>
          </cell>
          <cell r="B838" t="str">
            <v>TAPA TORNILLO MOSQUITERO 10mm BLANCA - MA</v>
          </cell>
          <cell r="C838">
            <v>300</v>
          </cell>
          <cell r="D838">
            <v>46106</v>
          </cell>
          <cell r="E838">
            <v>5.0000000000000001E-4</v>
          </cell>
          <cell r="F838" t="str">
            <v>BLANCO</v>
          </cell>
          <cell r="G838" t="str">
            <v>ACCESORIOS</v>
          </cell>
        </row>
        <row r="839">
          <cell r="A839" t="str">
            <v>HL-ACC-TTM-MR-MA</v>
          </cell>
          <cell r="B839" t="str">
            <v>TAPA TORNILLO MOSQUITERO 10mm MARRON - MA</v>
          </cell>
          <cell r="C839">
            <v>14523</v>
          </cell>
          <cell r="D839">
            <v>46106</v>
          </cell>
          <cell r="E839">
            <v>5.0000000000000001E-4</v>
          </cell>
          <cell r="F839" t="str">
            <v>MARRON</v>
          </cell>
          <cell r="G839" t="str">
            <v>ACCESORIOS</v>
          </cell>
        </row>
        <row r="840">
          <cell r="A840" t="str">
            <v>HL-AD-GU-PVC-GU</v>
          </cell>
          <cell r="B840" t="str">
            <v>ADHESIVO DE PVC 200 gr - GU</v>
          </cell>
          <cell r="C840">
            <v>0</v>
          </cell>
          <cell r="D840"/>
          <cell r="E840">
            <v>0</v>
          </cell>
          <cell r="F840" t="str">
            <v>BLANCO</v>
          </cell>
          <cell r="G840" t="str">
            <v>HERRAMIENTAS</v>
          </cell>
        </row>
        <row r="841">
          <cell r="A841" t="str">
            <v>HL-AME-CF-HJS-FA</v>
          </cell>
          <cell r="B841" t="str">
            <v>CONTRA FORMA HOJAS AMERICANA - FA</v>
          </cell>
          <cell r="C841">
            <v>16</v>
          </cell>
          <cell r="D841">
            <v>46132</v>
          </cell>
          <cell r="E841">
            <v>1.9477</v>
          </cell>
          <cell r="F841" t="str">
            <v>NATURAL</v>
          </cell>
          <cell r="G841" t="str">
            <v>AMERICANA</v>
          </cell>
        </row>
        <row r="842">
          <cell r="A842" t="str">
            <v>HL-AME-CF-MCA-FA</v>
          </cell>
          <cell r="B842" t="str">
            <v>CONTRA FORMA MARCO AMERICANA - FA</v>
          </cell>
          <cell r="C842">
            <v>14</v>
          </cell>
          <cell r="D842">
            <v>46132</v>
          </cell>
          <cell r="E842">
            <v>1.8132999999999999</v>
          </cell>
          <cell r="F842" t="str">
            <v>NATURAL</v>
          </cell>
          <cell r="G842" t="str">
            <v>AMERICANA</v>
          </cell>
        </row>
        <row r="843">
          <cell r="A843" t="str">
            <v>HL-AME-CRD-TE</v>
          </cell>
          <cell r="B843" t="str">
            <v>CERRADERO AMERICANA - TE</v>
          </cell>
          <cell r="C843">
            <v>19</v>
          </cell>
          <cell r="D843">
            <v>46112</v>
          </cell>
          <cell r="E843">
            <v>0</v>
          </cell>
          <cell r="F843" t="str">
            <v>BLANCO</v>
          </cell>
          <cell r="G843" t="str">
            <v>AMERICANA</v>
          </cell>
        </row>
        <row r="844">
          <cell r="A844" t="str">
            <v>HL-AME-CRR- FB</v>
          </cell>
          <cell r="B844" t="str">
            <v>CARRO AMERICANA - FB</v>
          </cell>
          <cell r="C844">
            <v>3</v>
          </cell>
          <cell r="D844">
            <v>46135</v>
          </cell>
          <cell r="E844">
            <v>1.04E-2</v>
          </cell>
          <cell r="F844" t="str">
            <v>NATURAL</v>
          </cell>
          <cell r="G844" t="str">
            <v>CARRO</v>
          </cell>
        </row>
        <row r="845">
          <cell r="A845" t="str">
            <v>HL-AME-DTJ-LA-FA</v>
          </cell>
          <cell r="B845" t="str">
            <v>DESTAJADORA LINEA AMERICANA - FA</v>
          </cell>
          <cell r="C845">
            <v>0</v>
          </cell>
          <cell r="D845"/>
          <cell r="E845">
            <v>0</v>
          </cell>
          <cell r="F845" t="str">
            <v>NATURAL</v>
          </cell>
          <cell r="G845" t="str">
            <v>AMERICANA</v>
          </cell>
        </row>
        <row r="846">
          <cell r="A846" t="str">
            <v>HL-APS-300-DV-MA</v>
          </cell>
          <cell r="B846" t="str">
            <v>APLICADOR DE SELLANTE 300 ML - MA</v>
          </cell>
          <cell r="C846">
            <v>4</v>
          </cell>
          <cell r="D846">
            <v>45930</v>
          </cell>
          <cell r="E846">
            <v>0.54</v>
          </cell>
          <cell r="F846" t="str">
            <v>ROJO</v>
          </cell>
          <cell r="G846" t="str">
            <v>HERRAMIENTAS</v>
          </cell>
        </row>
        <row r="847">
          <cell r="A847" t="str">
            <v>HL-BIS-3D-BL-AD</v>
          </cell>
          <cell r="B847" t="str">
            <v>BISAGRA 3D AJUSTABLE - BLANCO - AD</v>
          </cell>
          <cell r="C847">
            <v>0</v>
          </cell>
          <cell r="D847">
            <v>44561</v>
          </cell>
          <cell r="E847">
            <v>0.7</v>
          </cell>
          <cell r="F847" t="str">
            <v>BLANCO</v>
          </cell>
          <cell r="G847" t="str">
            <v>BISAGRAS</v>
          </cell>
        </row>
        <row r="848">
          <cell r="A848" t="str">
            <v>HL-BIS-3D-BL-TT</v>
          </cell>
          <cell r="B848" t="str">
            <v>BISAGRA 3D BLANCO - TT</v>
          </cell>
          <cell r="C848">
            <v>694</v>
          </cell>
          <cell r="D848">
            <v>46060</v>
          </cell>
          <cell r="E848">
            <v>0.53</v>
          </cell>
          <cell r="F848" t="str">
            <v>BLANCO</v>
          </cell>
          <cell r="G848" t="str">
            <v>BISAGRAS</v>
          </cell>
        </row>
        <row r="849">
          <cell r="A849" t="str">
            <v>HL-BIS-3D-MR-AD</v>
          </cell>
          <cell r="B849" t="str">
            <v>BISAGRA 3D AJUSTABLE - MARRON - AD</v>
          </cell>
          <cell r="C849">
            <v>0</v>
          </cell>
          <cell r="D849">
            <v>44561</v>
          </cell>
          <cell r="E849">
            <v>0.7</v>
          </cell>
          <cell r="F849" t="str">
            <v>MARRON</v>
          </cell>
          <cell r="G849" t="str">
            <v>BISAGRAS</v>
          </cell>
        </row>
        <row r="850">
          <cell r="A850" t="str">
            <v>HL-BIS-3D-MR-TT</v>
          </cell>
          <cell r="B850" t="str">
            <v>BISAGRA 3D MARRON - TT</v>
          </cell>
          <cell r="C850">
            <v>298</v>
          </cell>
          <cell r="D850">
            <v>45783</v>
          </cell>
          <cell r="E850">
            <v>0.53</v>
          </cell>
          <cell r="F850" t="str">
            <v>MARRON</v>
          </cell>
          <cell r="G850" t="str">
            <v>BISAGRAS</v>
          </cell>
        </row>
        <row r="851">
          <cell r="A851" t="str">
            <v>HL-BIS-3D-NE-FB</v>
          </cell>
          <cell r="B851" t="str">
            <v>BISAGRA 3D NEGRA - FB</v>
          </cell>
          <cell r="C851">
            <v>0</v>
          </cell>
          <cell r="D851">
            <v>45264</v>
          </cell>
          <cell r="E851">
            <v>0</v>
          </cell>
          <cell r="F851" t="str">
            <v>NEGRO</v>
          </cell>
          <cell r="G851" t="str">
            <v>BISAGRAS</v>
          </cell>
        </row>
        <row r="852">
          <cell r="A852" t="str">
            <v>HL-BIS-3D-NE-TT</v>
          </cell>
          <cell r="B852" t="str">
            <v>BISAGRA 3D NEGRA - TT</v>
          </cell>
          <cell r="C852">
            <v>281</v>
          </cell>
          <cell r="D852">
            <v>46060</v>
          </cell>
          <cell r="E852">
            <v>0.53</v>
          </cell>
          <cell r="F852" t="str">
            <v>NEGRO</v>
          </cell>
          <cell r="G852" t="str">
            <v>BISAGRAS</v>
          </cell>
        </row>
        <row r="853">
          <cell r="A853" t="str">
            <v>HL-BIS-75-BL-AD</v>
          </cell>
          <cell r="B853" t="str">
            <v>BISAGRA 75 mm BLANCO - AD</v>
          </cell>
          <cell r="C853">
            <v>0</v>
          </cell>
          <cell r="D853"/>
          <cell r="E853">
            <v>0.08</v>
          </cell>
          <cell r="F853" t="str">
            <v>BLANCO</v>
          </cell>
          <cell r="G853" t="str">
            <v>BISAGRAS</v>
          </cell>
        </row>
        <row r="854">
          <cell r="A854" t="str">
            <v>HL-BR-AB-12-GU</v>
          </cell>
          <cell r="B854" t="str">
            <v>BRAZO ABATIR DGS 12 - PLG 22K - GU</v>
          </cell>
          <cell r="C854">
            <v>61</v>
          </cell>
          <cell r="D854">
            <v>46032</v>
          </cell>
          <cell r="E854">
            <v>0.22</v>
          </cell>
          <cell r="F854" t="str">
            <v>NATURAL</v>
          </cell>
          <cell r="G854" t="str">
            <v>BRAZO</v>
          </cell>
        </row>
        <row r="855">
          <cell r="A855" t="str">
            <v>HL-BR-AB-16-GU</v>
          </cell>
          <cell r="B855" t="str">
            <v>BRAZO ABATIR DGS 16 - PLG 24K - GU</v>
          </cell>
          <cell r="C855">
            <v>0</v>
          </cell>
          <cell r="D855">
            <v>45383</v>
          </cell>
          <cell r="E855">
            <v>0.3</v>
          </cell>
          <cell r="F855" t="str">
            <v>NATURAL</v>
          </cell>
          <cell r="G855" t="str">
            <v>BRAZO</v>
          </cell>
        </row>
        <row r="856">
          <cell r="A856" t="str">
            <v>HL-BR-AB-24-GU</v>
          </cell>
          <cell r="B856" t="str">
            <v>BRAZO ABATIR DGS 24 - PLG 50K - GU</v>
          </cell>
          <cell r="C856">
            <v>0</v>
          </cell>
          <cell r="D856"/>
          <cell r="E856">
            <v>0.39</v>
          </cell>
          <cell r="F856" t="str">
            <v>NATURAL</v>
          </cell>
          <cell r="G856" t="str">
            <v>BRAZO</v>
          </cell>
        </row>
        <row r="857">
          <cell r="A857" t="str">
            <v>HL-BR-PR-10-AD</v>
          </cell>
          <cell r="B857" t="str">
            <v>BRAZO PROYECCION 10 - PLG NICO - AD</v>
          </cell>
          <cell r="C857">
            <v>0</v>
          </cell>
          <cell r="D857"/>
          <cell r="E857">
            <v>0.17</v>
          </cell>
          <cell r="F857" t="str">
            <v>NATURAL</v>
          </cell>
          <cell r="G857" t="str">
            <v>BRAZO</v>
          </cell>
        </row>
        <row r="858">
          <cell r="A858" t="str">
            <v>HL-BR-PR-10-FB</v>
          </cell>
          <cell r="B858" t="str">
            <v>BRAZO FERRITICO COTSWOLD 10 - PLG (PR) - FB</v>
          </cell>
          <cell r="C858">
            <v>864</v>
          </cell>
          <cell r="D858">
            <v>46177</v>
          </cell>
          <cell r="E858">
            <v>0.17</v>
          </cell>
          <cell r="F858" t="str">
            <v>NATURAL</v>
          </cell>
          <cell r="G858" t="str">
            <v>BRAZO</v>
          </cell>
        </row>
        <row r="859">
          <cell r="A859" t="str">
            <v>HL-BR-PR-10-GU</v>
          </cell>
          <cell r="B859" t="str">
            <v>BRAZO PROYECTANTE DGS 10 - PLG 16K - GU</v>
          </cell>
          <cell r="C859">
            <v>0</v>
          </cell>
          <cell r="D859">
            <v>45306</v>
          </cell>
          <cell r="E859">
            <v>0.19</v>
          </cell>
          <cell r="F859" t="str">
            <v>NATURAL</v>
          </cell>
          <cell r="G859" t="str">
            <v>BRAZO</v>
          </cell>
        </row>
        <row r="860">
          <cell r="A860" t="str">
            <v>HL-BR-PR-10-HQ</v>
          </cell>
          <cell r="B860" t="str">
            <v>BRAZO ACERO FERRITICO  10 - PLG (PR) - HQ</v>
          </cell>
          <cell r="C860">
            <v>0</v>
          </cell>
          <cell r="D860"/>
          <cell r="E860">
            <v>0</v>
          </cell>
          <cell r="F860" t="str">
            <v>NATURAL</v>
          </cell>
          <cell r="G860" t="str">
            <v>BRAZO</v>
          </cell>
        </row>
        <row r="861">
          <cell r="A861" t="str">
            <v>HL-BR-PR-12-GU</v>
          </cell>
          <cell r="B861" t="str">
            <v>BRAZO PROYECTANTE DGS 12 - PLG 21K - GU</v>
          </cell>
          <cell r="C861">
            <v>57</v>
          </cell>
          <cell r="D861">
            <v>45661</v>
          </cell>
          <cell r="E861">
            <v>0.22</v>
          </cell>
          <cell r="F861" t="str">
            <v>NATURAL</v>
          </cell>
          <cell r="G861" t="str">
            <v>BRAZO</v>
          </cell>
        </row>
        <row r="862">
          <cell r="A862" t="str">
            <v>HL-BR-PR-12-HQ</v>
          </cell>
          <cell r="B862" t="str">
            <v>BRAZO ACERO FERRITICO  12 - PLG (PR) - HQ</v>
          </cell>
          <cell r="C862">
            <v>0</v>
          </cell>
          <cell r="D862"/>
          <cell r="E862">
            <v>0</v>
          </cell>
          <cell r="F862" t="str">
            <v>NATURAL</v>
          </cell>
          <cell r="G862" t="str">
            <v>BRAZO</v>
          </cell>
        </row>
        <row r="863">
          <cell r="A863" t="str">
            <v>HL-BR-PR-16-AD</v>
          </cell>
          <cell r="B863" t="str">
            <v>BRAZO PROYECCION 16 - PLG NICO - AD</v>
          </cell>
          <cell r="C863">
            <v>0</v>
          </cell>
          <cell r="D863">
            <v>44561</v>
          </cell>
          <cell r="E863">
            <v>0.27</v>
          </cell>
          <cell r="F863" t="str">
            <v>NATURAL</v>
          </cell>
          <cell r="G863" t="str">
            <v>BRAZO</v>
          </cell>
        </row>
        <row r="864">
          <cell r="A864" t="str">
            <v>HL-BR-PR-16-GU</v>
          </cell>
          <cell r="B864" t="str">
            <v>BRAZO PROYECTANTE DGS 16 - PLG 22K - GU</v>
          </cell>
          <cell r="C864">
            <v>0</v>
          </cell>
          <cell r="D864">
            <v>44926</v>
          </cell>
          <cell r="E864">
            <v>0.28999999999999998</v>
          </cell>
          <cell r="F864" t="str">
            <v>NATURAL</v>
          </cell>
          <cell r="G864" t="str">
            <v>BRAZO</v>
          </cell>
        </row>
        <row r="865">
          <cell r="A865" t="str">
            <v>HL-BR-PR-16-HQ</v>
          </cell>
          <cell r="B865" t="str">
            <v>BRAZO ACERO FERRITICO  16 - PLG (PR) - HQ</v>
          </cell>
          <cell r="C865">
            <v>0</v>
          </cell>
          <cell r="D865"/>
          <cell r="E865">
            <v>0</v>
          </cell>
          <cell r="F865" t="str">
            <v>NATURAL</v>
          </cell>
          <cell r="G865" t="str">
            <v>BRAZO</v>
          </cell>
        </row>
        <row r="866">
          <cell r="A866" t="str">
            <v>HL-BR-PR-20-AD</v>
          </cell>
          <cell r="B866" t="str">
            <v>BRAZO PROYECCION 20 - PLG NICO - AD</v>
          </cell>
          <cell r="C866">
            <v>0</v>
          </cell>
          <cell r="D866">
            <v>44561</v>
          </cell>
          <cell r="E866">
            <v>0.33</v>
          </cell>
          <cell r="F866" t="str">
            <v>NATURAL</v>
          </cell>
          <cell r="G866" t="str">
            <v>BRAZO</v>
          </cell>
        </row>
        <row r="867">
          <cell r="A867" t="str">
            <v>HL-BR-PR-20-FB</v>
          </cell>
          <cell r="B867" t="str">
            <v>BRAZO FERRITICO COTSWOLD 20 - PLG (PR) - FB</v>
          </cell>
          <cell r="C867">
            <v>559</v>
          </cell>
          <cell r="D867">
            <v>46177</v>
          </cell>
          <cell r="E867">
            <v>0.32</v>
          </cell>
          <cell r="F867" t="str">
            <v>NATURAL</v>
          </cell>
          <cell r="G867" t="str">
            <v>BRAZO</v>
          </cell>
        </row>
        <row r="868">
          <cell r="A868" t="str">
            <v>HL-BR-PR-20-GU</v>
          </cell>
          <cell r="B868" t="str">
            <v>BRAZO PROYECTANTE DGS 20 - PLG 24K - GU</v>
          </cell>
          <cell r="C868">
            <v>0</v>
          </cell>
          <cell r="D868">
            <v>45383</v>
          </cell>
          <cell r="E868">
            <v>0.35</v>
          </cell>
          <cell r="F868" t="str">
            <v>NATURAL</v>
          </cell>
          <cell r="G868" t="str">
            <v>BRAZO</v>
          </cell>
        </row>
        <row r="869">
          <cell r="A869" t="str">
            <v>HL-BR-PR-20-HQ</v>
          </cell>
          <cell r="B869" t="str">
            <v>BRAZO ACERO FERRITICO  20 - PLG (PR) - HQ</v>
          </cell>
          <cell r="C869">
            <v>0</v>
          </cell>
          <cell r="D869"/>
          <cell r="E869">
            <v>0</v>
          </cell>
          <cell r="F869" t="str">
            <v>NATURAL</v>
          </cell>
          <cell r="G869" t="str">
            <v>BRAZO</v>
          </cell>
        </row>
        <row r="870">
          <cell r="A870" t="str">
            <v>HL-BR-PR-24-AD</v>
          </cell>
          <cell r="B870" t="str">
            <v>BRAZO PROYECCION 24 - PLG NICO - AD</v>
          </cell>
          <cell r="C870">
            <v>0</v>
          </cell>
          <cell r="D870">
            <v>44561</v>
          </cell>
          <cell r="E870">
            <v>0.39</v>
          </cell>
          <cell r="F870" t="str">
            <v>NATURAL</v>
          </cell>
          <cell r="G870" t="str">
            <v>BRAZO</v>
          </cell>
        </row>
        <row r="871">
          <cell r="A871" t="str">
            <v>HL-BR-PR-24-FB</v>
          </cell>
          <cell r="B871" t="str">
            <v>BRAZO FERRITICO COTSWOLD 24 - PLG (PR) - FB</v>
          </cell>
          <cell r="C871">
            <v>1154</v>
          </cell>
          <cell r="D871">
            <v>46177</v>
          </cell>
          <cell r="E871">
            <v>0.39</v>
          </cell>
          <cell r="F871" t="str">
            <v>NATURAL</v>
          </cell>
          <cell r="G871" t="str">
            <v>BRAZO</v>
          </cell>
        </row>
        <row r="872">
          <cell r="A872" t="str">
            <v>HL-BR-PR-24-GU</v>
          </cell>
          <cell r="B872" t="str">
            <v>BRAZO PROYECTANTE DGS 24 - PLG 26K - GU</v>
          </cell>
          <cell r="C872">
            <v>60</v>
          </cell>
          <cell r="D872">
            <v>45348</v>
          </cell>
          <cell r="E872">
            <v>0.4</v>
          </cell>
          <cell r="F872" t="str">
            <v>NATURAL</v>
          </cell>
          <cell r="G872" t="str">
            <v>BRAZO</v>
          </cell>
        </row>
        <row r="873">
          <cell r="A873" t="str">
            <v>HL-BR-PR-24-HQ</v>
          </cell>
          <cell r="B873" t="str">
            <v>BRAZO ACERO FERRITICO  24 - PLG (PR) - HQ</v>
          </cell>
          <cell r="C873">
            <v>0</v>
          </cell>
          <cell r="D873"/>
          <cell r="E873">
            <v>0</v>
          </cell>
          <cell r="F873" t="str">
            <v>NATURAL</v>
          </cell>
          <cell r="G873" t="str">
            <v>BRAZO</v>
          </cell>
        </row>
        <row r="874">
          <cell r="A874" t="str">
            <v>HL-BR-PR-8-AD</v>
          </cell>
          <cell r="B874" t="str">
            <v>BRAZO PROYECCION 8 - PLG NICO - AD</v>
          </cell>
          <cell r="C874">
            <v>0</v>
          </cell>
          <cell r="D874">
            <v>44561</v>
          </cell>
          <cell r="E874">
            <v>0.14000000000000001</v>
          </cell>
          <cell r="F874" t="str">
            <v>NATURAL</v>
          </cell>
          <cell r="G874" t="str">
            <v>BRAZO</v>
          </cell>
        </row>
        <row r="875">
          <cell r="A875" t="str">
            <v>HL-BR-PR-8-GU</v>
          </cell>
          <cell r="B875" t="str">
            <v>BRAZO PROYECTANTE DGS 8 - PLG 12K - GU</v>
          </cell>
          <cell r="C875">
            <v>195</v>
          </cell>
          <cell r="D875">
            <v>45661</v>
          </cell>
          <cell r="E875">
            <v>0.15</v>
          </cell>
          <cell r="F875" t="str">
            <v>NATURAL</v>
          </cell>
          <cell r="G875" t="str">
            <v>BRAZO</v>
          </cell>
        </row>
        <row r="876">
          <cell r="A876" t="str">
            <v>HL-BR-PR-8-HQ</v>
          </cell>
          <cell r="B876" t="str">
            <v>BRAZO ACERO FERRITICO 8 - PLG (PR)- HQ</v>
          </cell>
          <cell r="C876">
            <v>0</v>
          </cell>
          <cell r="D876"/>
          <cell r="E876">
            <v>0</v>
          </cell>
          <cell r="F876" t="str">
            <v>NATURAL</v>
          </cell>
          <cell r="G876" t="str">
            <v>BRAZO</v>
          </cell>
        </row>
        <row r="877">
          <cell r="A877" t="str">
            <v>HL-BR-PRAB-12-FB</v>
          </cell>
          <cell r="B877" t="str">
            <v>BRAZO FERRITICO COTSWOLD 12 - PLG (PR-AB) - FB</v>
          </cell>
          <cell r="C877">
            <v>833</v>
          </cell>
          <cell r="D877">
            <v>46177</v>
          </cell>
          <cell r="E877">
            <v>0.2</v>
          </cell>
          <cell r="F877" t="str">
            <v>NATURAL</v>
          </cell>
          <cell r="G877" t="str">
            <v>BRAZO</v>
          </cell>
        </row>
        <row r="878">
          <cell r="A878" t="str">
            <v>HL-BR-PRAB-16-FB</v>
          </cell>
          <cell r="B878" t="str">
            <v>BRAZO FERRITICO COTSWOLD 16 - PLG (PR-AB) - FB</v>
          </cell>
          <cell r="C878">
            <v>872</v>
          </cell>
          <cell r="D878">
            <v>46177</v>
          </cell>
          <cell r="E878">
            <v>0.27</v>
          </cell>
          <cell r="F878" t="str">
            <v>NATURAL</v>
          </cell>
          <cell r="G878" t="str">
            <v>BRAZO</v>
          </cell>
        </row>
        <row r="879">
          <cell r="A879" t="str">
            <v>HL-BR-PRAB-8-FB</v>
          </cell>
          <cell r="B879" t="str">
            <v>BRAZO FERRITICO COTSWOLD 8 - PLG (PR-AB) - FB</v>
          </cell>
          <cell r="C879">
            <v>964</v>
          </cell>
          <cell r="D879">
            <v>46177</v>
          </cell>
          <cell r="E879">
            <v>0.14000000000000001</v>
          </cell>
          <cell r="F879" t="str">
            <v>NATURAL</v>
          </cell>
          <cell r="G879" t="str">
            <v>BRAZO</v>
          </cell>
        </row>
        <row r="880">
          <cell r="A880" t="str">
            <v>HL-BR-RF-22-FB</v>
          </cell>
          <cell r="B880" t="str">
            <v>BRAZO REFORZADO AUST 22 - PLG - FB</v>
          </cell>
          <cell r="C880">
            <v>35</v>
          </cell>
          <cell r="D880">
            <v>46154</v>
          </cell>
          <cell r="E880">
            <v>0.56000000000000005</v>
          </cell>
          <cell r="F880" t="str">
            <v>NATURAL</v>
          </cell>
          <cell r="G880" t="str">
            <v>BRAZO</v>
          </cell>
        </row>
        <row r="881">
          <cell r="A881" t="str">
            <v>HL-BR-RF-26-FB</v>
          </cell>
          <cell r="B881" t="str">
            <v>BRAZO REFORZADO AUST 26 - PLG - FB</v>
          </cell>
          <cell r="C881">
            <v>0</v>
          </cell>
          <cell r="D881">
            <v>46092</v>
          </cell>
          <cell r="E881">
            <v>0.86</v>
          </cell>
          <cell r="F881" t="str">
            <v>NATURAL</v>
          </cell>
          <cell r="G881" t="str">
            <v>BRAZO</v>
          </cell>
        </row>
        <row r="882">
          <cell r="A882" t="str">
            <v>HL-CC-E15-1000-TT</v>
          </cell>
          <cell r="B882" t="str">
            <v>CREMONA CORREDERA 1000 mm E15 - TT</v>
          </cell>
          <cell r="C882">
            <v>135</v>
          </cell>
          <cell r="D882">
            <v>45298</v>
          </cell>
          <cell r="E882">
            <v>0.04</v>
          </cell>
          <cell r="F882" t="str">
            <v>NATURAL</v>
          </cell>
          <cell r="G882" t="str">
            <v>CREMONA</v>
          </cell>
        </row>
        <row r="883">
          <cell r="A883" t="str">
            <v>HL-CC-E15-1200-AD</v>
          </cell>
          <cell r="B883" t="str">
            <v>CREMONA CORREDERA 1200 mm E15 - AD</v>
          </cell>
          <cell r="C883">
            <v>0</v>
          </cell>
          <cell r="D883">
            <v>44926</v>
          </cell>
          <cell r="E883">
            <v>0.5</v>
          </cell>
          <cell r="F883" t="str">
            <v>NATURAL</v>
          </cell>
          <cell r="G883" t="str">
            <v>CREMONA</v>
          </cell>
        </row>
        <row r="884">
          <cell r="A884" t="str">
            <v>HL-CC-E15-1200-TT</v>
          </cell>
          <cell r="B884" t="str">
            <v>CREMONA CORREDERA 1200 mm E15 - TT</v>
          </cell>
          <cell r="C884">
            <v>0</v>
          </cell>
          <cell r="D884">
            <v>45198</v>
          </cell>
          <cell r="E884">
            <v>0.48599999999999999</v>
          </cell>
          <cell r="F884" t="str">
            <v>NATURAL</v>
          </cell>
          <cell r="G884" t="str">
            <v>CREMONA</v>
          </cell>
        </row>
        <row r="885">
          <cell r="A885" t="str">
            <v>HL-CC-E15-1400-AD</v>
          </cell>
          <cell r="B885" t="str">
            <v>CREMONA CORREDERA 1400 mm E15 - AD</v>
          </cell>
          <cell r="C885">
            <v>0</v>
          </cell>
          <cell r="D885">
            <v>45298</v>
          </cell>
          <cell r="E885">
            <v>0.57999999999999996</v>
          </cell>
          <cell r="F885" t="str">
            <v>NATURAL</v>
          </cell>
          <cell r="G885" t="str">
            <v>CREMONA</v>
          </cell>
        </row>
        <row r="886">
          <cell r="A886" t="str">
            <v>HL-CC-E15-1600-AD</v>
          </cell>
          <cell r="B886" t="str">
            <v>CREMONA CORREDERA 1600 mm E15 - AD</v>
          </cell>
          <cell r="C886">
            <v>0</v>
          </cell>
          <cell r="D886">
            <v>45054</v>
          </cell>
          <cell r="E886">
            <v>0.66</v>
          </cell>
          <cell r="F886" t="str">
            <v>NATURAL</v>
          </cell>
          <cell r="G886" t="str">
            <v>CREMONA</v>
          </cell>
        </row>
        <row r="887">
          <cell r="A887" t="str">
            <v>HL-CC-E15-1800-AD</v>
          </cell>
          <cell r="B887" t="str">
            <v>CREMONA CORREDERA 1800 mm E15 - AD</v>
          </cell>
          <cell r="C887">
            <v>0</v>
          </cell>
          <cell r="D887">
            <v>44907</v>
          </cell>
          <cell r="E887">
            <v>0.74</v>
          </cell>
          <cell r="F887" t="str">
            <v>NATURAL</v>
          </cell>
          <cell r="G887" t="str">
            <v>CREMONA</v>
          </cell>
        </row>
        <row r="888">
          <cell r="A888" t="str">
            <v>HL-CC-E15-1800-TT</v>
          </cell>
          <cell r="B888" t="str">
            <v>CREMONA CORREDERA 1800 mm E15 - TT</v>
          </cell>
          <cell r="C888">
            <v>71</v>
          </cell>
          <cell r="D888">
            <v>46175</v>
          </cell>
          <cell r="E888">
            <v>0.75</v>
          </cell>
          <cell r="F888" t="str">
            <v>NATURAL</v>
          </cell>
          <cell r="G888" t="str">
            <v>CREMONA</v>
          </cell>
        </row>
        <row r="889">
          <cell r="A889" t="str">
            <v>HL-CC-E15-2000-AD</v>
          </cell>
          <cell r="B889" t="str">
            <v>CREMONA CORREDERA 2000 mm E15 - AD</v>
          </cell>
          <cell r="C889">
            <v>0</v>
          </cell>
          <cell r="D889">
            <v>44580</v>
          </cell>
          <cell r="E889">
            <v>0.83</v>
          </cell>
          <cell r="F889" t="str">
            <v>NATURAL</v>
          </cell>
          <cell r="G889" t="str">
            <v>CREMONA</v>
          </cell>
        </row>
        <row r="890">
          <cell r="A890" t="str">
            <v>HL-CC-E15-400-AD</v>
          </cell>
          <cell r="B890" t="str">
            <v>CREMONA CORREDERA 400 mm E15 - AD</v>
          </cell>
          <cell r="C890">
            <v>0</v>
          </cell>
          <cell r="D890">
            <v>45661</v>
          </cell>
          <cell r="E890">
            <v>0.16</v>
          </cell>
          <cell r="F890" t="str">
            <v>NATURAL</v>
          </cell>
          <cell r="G890" t="str">
            <v>CREMONA</v>
          </cell>
        </row>
        <row r="891">
          <cell r="A891" t="str">
            <v>HL-CC-E15-600-TT</v>
          </cell>
          <cell r="B891" t="str">
            <v>CREMONA CORREDERA 600 mm E15 - TT</v>
          </cell>
          <cell r="C891">
            <v>293</v>
          </cell>
          <cell r="D891">
            <v>45888</v>
          </cell>
          <cell r="E891">
            <v>0.24099999999999999</v>
          </cell>
          <cell r="F891" t="str">
            <v>NATURAL</v>
          </cell>
          <cell r="G891" t="str">
            <v>CREMONA</v>
          </cell>
        </row>
        <row r="892">
          <cell r="A892" t="str">
            <v>HL-CC-E15-800-AD</v>
          </cell>
          <cell r="B892" t="str">
            <v>CREMONA CORREDERA 800 mm E15 - AD</v>
          </cell>
          <cell r="C892">
            <v>0</v>
          </cell>
          <cell r="D892">
            <v>45420</v>
          </cell>
          <cell r="E892">
            <v>0.33</v>
          </cell>
          <cell r="F892" t="str">
            <v>NATURAL</v>
          </cell>
          <cell r="G892" t="str">
            <v>CREMONA</v>
          </cell>
        </row>
        <row r="893">
          <cell r="A893" t="str">
            <v>HL-CC-E15-800-TT</v>
          </cell>
          <cell r="B893" t="str">
            <v>CREMONA CORREDERA 800 mm E15 - TT</v>
          </cell>
          <cell r="C893">
            <v>346</v>
          </cell>
          <cell r="D893">
            <v>46060</v>
          </cell>
          <cell r="E893">
            <v>0.34</v>
          </cell>
          <cell r="F893" t="str">
            <v>NATURAL</v>
          </cell>
          <cell r="G893" t="str">
            <v>CREMONA</v>
          </cell>
        </row>
        <row r="894">
          <cell r="A894" t="str">
            <v>HL-CC-E75-1000-AD</v>
          </cell>
          <cell r="B894" t="str">
            <v>CREMONA CORREDERA 1000 mm E7.5 - AD</v>
          </cell>
          <cell r="C894">
            <v>0</v>
          </cell>
          <cell r="D894">
            <v>45476</v>
          </cell>
          <cell r="E894">
            <v>0.41</v>
          </cell>
          <cell r="F894" t="str">
            <v>NATURAL</v>
          </cell>
          <cell r="G894" t="str">
            <v>CREMONA</v>
          </cell>
        </row>
        <row r="895">
          <cell r="A895" t="str">
            <v>HL-CC-E75-1000-TT</v>
          </cell>
          <cell r="B895" t="str">
            <v>CREMONA CORREDERA 1000 mm E7.5 - TT</v>
          </cell>
          <cell r="C895">
            <v>9</v>
          </cell>
          <cell r="D895">
            <v>45661</v>
          </cell>
          <cell r="E895">
            <v>0.41</v>
          </cell>
          <cell r="F895" t="str">
            <v>NATURAL</v>
          </cell>
          <cell r="G895" t="str">
            <v>CREMONA</v>
          </cell>
        </row>
        <row r="896">
          <cell r="A896" t="str">
            <v>HL-CC-E75-1200-AD</v>
          </cell>
          <cell r="B896" t="str">
            <v>CREMONA CORREDERA 1200 mm E7.5 - AD</v>
          </cell>
          <cell r="C896">
            <v>0</v>
          </cell>
          <cell r="D896">
            <v>45298</v>
          </cell>
          <cell r="E896">
            <v>0.5</v>
          </cell>
          <cell r="F896" t="str">
            <v>NATURAL</v>
          </cell>
          <cell r="G896" t="str">
            <v>CREMONA</v>
          </cell>
        </row>
        <row r="897">
          <cell r="A897" t="str">
            <v>HL-CC-E75-1200-TT</v>
          </cell>
          <cell r="B897" t="str">
            <v>CREMONA CORREDERA 1200 mm E7.5 - TT</v>
          </cell>
          <cell r="C897">
            <v>0</v>
          </cell>
          <cell r="D897">
            <v>45661</v>
          </cell>
          <cell r="E897">
            <v>0.5</v>
          </cell>
          <cell r="F897" t="str">
            <v>NATURAL</v>
          </cell>
          <cell r="G897" t="str">
            <v>CREMONA</v>
          </cell>
        </row>
        <row r="898">
          <cell r="A898" t="str">
            <v>HL-CC-E75-1800-AD</v>
          </cell>
          <cell r="B898" t="str">
            <v>CREMONA CORREDERA 1800 mm E7.5 - AD</v>
          </cell>
          <cell r="C898">
            <v>0</v>
          </cell>
          <cell r="D898">
            <v>44946</v>
          </cell>
          <cell r="E898">
            <v>0.74</v>
          </cell>
          <cell r="F898" t="str">
            <v>NATURAL</v>
          </cell>
          <cell r="G898" t="str">
            <v>CREMONA</v>
          </cell>
        </row>
        <row r="899">
          <cell r="A899" t="str">
            <v>HL-CC-E75-1800-TT</v>
          </cell>
          <cell r="B899" t="str">
            <v>CREMONA CORREDERA 1800 mm E7.5 - TT</v>
          </cell>
          <cell r="C899">
            <v>61</v>
          </cell>
          <cell r="D899">
            <v>46060</v>
          </cell>
          <cell r="E899">
            <v>0.747</v>
          </cell>
          <cell r="F899" t="str">
            <v>NATURAL</v>
          </cell>
          <cell r="G899" t="str">
            <v>CREMONA</v>
          </cell>
        </row>
        <row r="900">
          <cell r="A900" t="str">
            <v>HL-CC-E75-400-AD</v>
          </cell>
          <cell r="B900" t="str">
            <v>CREMONA CORREDERA 400 mm E7.5 - AD</v>
          </cell>
          <cell r="C900">
            <v>0</v>
          </cell>
          <cell r="D900"/>
          <cell r="E900">
            <v>0.18</v>
          </cell>
          <cell r="F900" t="str">
            <v>NATURAL</v>
          </cell>
          <cell r="G900" t="str">
            <v>CREMONA</v>
          </cell>
        </row>
        <row r="901">
          <cell r="A901" t="str">
            <v>HL-CC-E75-400-TT</v>
          </cell>
          <cell r="B901" t="str">
            <v>CREMONA CORREDERA 400 mm E 7.5 - TT</v>
          </cell>
          <cell r="C901">
            <v>230</v>
          </cell>
          <cell r="D901">
            <v>46060</v>
          </cell>
          <cell r="E901">
            <v>0.18</v>
          </cell>
          <cell r="F901" t="str">
            <v>NATURAL</v>
          </cell>
          <cell r="G901" t="str">
            <v>CREMONA</v>
          </cell>
        </row>
        <row r="902">
          <cell r="A902" t="str">
            <v>HL-CC-E75-600-AD</v>
          </cell>
          <cell r="B902" t="str">
            <v>CREMONA CORREDERA 600 mm E7.5 - AD</v>
          </cell>
          <cell r="C902">
            <v>0</v>
          </cell>
          <cell r="D902">
            <v>45420</v>
          </cell>
          <cell r="E902">
            <v>0.25</v>
          </cell>
          <cell r="F902" t="str">
            <v>NATURAL</v>
          </cell>
          <cell r="G902" t="str">
            <v>CREMONA</v>
          </cell>
        </row>
        <row r="903">
          <cell r="A903" t="str">
            <v>HL-CC-E75-600-TT</v>
          </cell>
          <cell r="B903" t="str">
            <v>CREMONA CORREDERA 600 mm E 7.5 - TT</v>
          </cell>
          <cell r="C903">
            <v>82</v>
          </cell>
          <cell r="D903">
            <v>45661</v>
          </cell>
          <cell r="E903">
            <v>0.24</v>
          </cell>
          <cell r="F903" t="str">
            <v>NATURAL</v>
          </cell>
          <cell r="G903" t="str">
            <v>CREMONA</v>
          </cell>
        </row>
        <row r="904">
          <cell r="A904" t="str">
            <v>HL-CC-E75-800-AD</v>
          </cell>
          <cell r="B904" t="str">
            <v>CREMONA CORREDERA 800 mm E7.5 - AD</v>
          </cell>
          <cell r="C904">
            <v>0</v>
          </cell>
          <cell r="D904"/>
          <cell r="E904">
            <v>0.33</v>
          </cell>
          <cell r="F904" t="str">
            <v>NATURAL</v>
          </cell>
          <cell r="G904" t="str">
            <v>CREMONA</v>
          </cell>
        </row>
        <row r="905">
          <cell r="A905" t="str">
            <v>HL-CC-E75-800-TT</v>
          </cell>
          <cell r="B905" t="str">
            <v>CREMONA CORREDERA 800 mm E 7.5 - TT</v>
          </cell>
          <cell r="C905">
            <v>78</v>
          </cell>
          <cell r="D905">
            <v>46032</v>
          </cell>
          <cell r="E905">
            <v>0.33</v>
          </cell>
          <cell r="F905" t="str">
            <v>NATURAL</v>
          </cell>
          <cell r="G905" t="str">
            <v>CREMONA</v>
          </cell>
        </row>
        <row r="906">
          <cell r="A906" t="str">
            <v>HL-CD-13-AD</v>
          </cell>
          <cell r="B906" t="str">
            <v>CERRADERO 13 mm - AD</v>
          </cell>
          <cell r="C906">
            <v>0</v>
          </cell>
          <cell r="D906">
            <v>45298</v>
          </cell>
          <cell r="E906">
            <v>0.01</v>
          </cell>
          <cell r="F906" t="str">
            <v>NATURAL</v>
          </cell>
          <cell r="G906" t="str">
            <v>CERRADEROS</v>
          </cell>
        </row>
        <row r="907">
          <cell r="A907" t="str">
            <v>HL-CD-13-TT</v>
          </cell>
          <cell r="B907" t="str">
            <v>CERRADERO 13 mm - TT</v>
          </cell>
          <cell r="C907">
            <v>8720</v>
          </cell>
          <cell r="D907">
            <v>45661</v>
          </cell>
          <cell r="E907">
            <v>0.01</v>
          </cell>
          <cell r="F907" t="str">
            <v>NATURAL</v>
          </cell>
          <cell r="G907" t="str">
            <v>CERRADEROS</v>
          </cell>
        </row>
        <row r="908">
          <cell r="A908" t="str">
            <v>HL-CD-BT-TT</v>
          </cell>
          <cell r="B908" t="str">
            <v>CERRADERO CALUGA BATIENTE - TT</v>
          </cell>
          <cell r="C908">
            <v>22</v>
          </cell>
          <cell r="D908">
            <v>46181</v>
          </cell>
          <cell r="E908">
            <v>0.22</v>
          </cell>
          <cell r="F908" t="str">
            <v>NATURAL</v>
          </cell>
          <cell r="G908" t="str">
            <v>CERRADEROS</v>
          </cell>
        </row>
        <row r="909">
          <cell r="A909" t="str">
            <v>HL-CD-COR-HS</v>
          </cell>
          <cell r="B909" t="str">
            <v>CERRADERO CORREDERA - HS</v>
          </cell>
          <cell r="C909">
            <v>550</v>
          </cell>
          <cell r="D909">
            <v>46060</v>
          </cell>
          <cell r="E909">
            <v>0.01</v>
          </cell>
          <cell r="F909" t="str">
            <v>NATURAL</v>
          </cell>
          <cell r="G909" t="str">
            <v>CERRADEROS</v>
          </cell>
        </row>
        <row r="910">
          <cell r="A910" t="str">
            <v>HL-CD-COR-TT</v>
          </cell>
          <cell r="B910" t="str">
            <v>CERRADERO CORREDERA - TT</v>
          </cell>
          <cell r="C910">
            <v>1402</v>
          </cell>
          <cell r="D910">
            <v>45661</v>
          </cell>
          <cell r="E910">
            <v>0.01</v>
          </cell>
          <cell r="F910" t="str">
            <v>NATURAL</v>
          </cell>
          <cell r="G910" t="str">
            <v>CERRADEROS</v>
          </cell>
        </row>
        <row r="911">
          <cell r="A911" t="str">
            <v>HL-CD-CPT-TT</v>
          </cell>
          <cell r="B911" t="str">
            <v>CERRADERO CENTRAL PUERTA - TT</v>
          </cell>
          <cell r="C911">
            <v>279</v>
          </cell>
          <cell r="D911">
            <v>45945</v>
          </cell>
          <cell r="E911">
            <v>0.09</v>
          </cell>
          <cell r="F911" t="str">
            <v>NATURAL</v>
          </cell>
          <cell r="G911" t="str">
            <v>CERRADEROS</v>
          </cell>
        </row>
        <row r="912">
          <cell r="A912" t="str">
            <v>HL-CD-CTR-BT-FB</v>
          </cell>
          <cell r="B912" t="str">
            <v>CERRADERO CENTRAL PUERTA BATIENTE - FB</v>
          </cell>
          <cell r="C912">
            <v>76</v>
          </cell>
          <cell r="D912">
            <v>45251</v>
          </cell>
          <cell r="E912">
            <v>0</v>
          </cell>
          <cell r="F912" t="str">
            <v>NATURAL</v>
          </cell>
          <cell r="G912" t="str">
            <v>CERRADEROS</v>
          </cell>
        </row>
        <row r="913">
          <cell r="A913" t="str">
            <v>HL-CDC-GU</v>
          </cell>
          <cell r="B913" t="str">
            <v>CUCHILLO DON CARLO - GU</v>
          </cell>
          <cell r="C913">
            <v>6</v>
          </cell>
          <cell r="D913">
            <v>45967</v>
          </cell>
          <cell r="E913">
            <v>0.11</v>
          </cell>
          <cell r="F913" t="str">
            <v>NATURAL</v>
          </cell>
          <cell r="G913" t="str">
            <v>HERRAMIENTAS</v>
          </cell>
        </row>
        <row r="914">
          <cell r="A914" t="str">
            <v>HL-CE-E15-1200-TT</v>
          </cell>
          <cell r="B914" t="str">
            <v>CREMONA ABATIR INTERIOR 1200 mm E15 - TT</v>
          </cell>
          <cell r="C914">
            <v>0</v>
          </cell>
          <cell r="D914">
            <v>44561</v>
          </cell>
          <cell r="E914">
            <v>0.5</v>
          </cell>
          <cell r="F914" t="str">
            <v>NATURAL</v>
          </cell>
          <cell r="G914" t="str">
            <v>CREMONA</v>
          </cell>
        </row>
        <row r="915">
          <cell r="A915" t="str">
            <v>HL-CE-E25-1000-AD</v>
          </cell>
          <cell r="B915" t="str">
            <v>CREMONA ABATIR EXTERIOR 1000 mm E25 - AD</v>
          </cell>
          <cell r="C915">
            <v>0</v>
          </cell>
          <cell r="D915">
            <v>45123</v>
          </cell>
          <cell r="E915">
            <v>0.47</v>
          </cell>
          <cell r="F915" t="str">
            <v>NATURAL</v>
          </cell>
          <cell r="G915" t="str">
            <v>CREMONA</v>
          </cell>
        </row>
        <row r="916">
          <cell r="A916" t="str">
            <v>HL-CE-E25-1000-TT</v>
          </cell>
          <cell r="B916" t="str">
            <v>CREMONA ABATIR EXTERIOR 1000 mm E25 - TT</v>
          </cell>
          <cell r="C916">
            <v>121</v>
          </cell>
          <cell r="D916">
            <v>46060</v>
          </cell>
          <cell r="E916">
            <v>0.5</v>
          </cell>
          <cell r="F916" t="str">
            <v>NATURAL</v>
          </cell>
          <cell r="G916" t="str">
            <v>CREMONA</v>
          </cell>
        </row>
        <row r="917">
          <cell r="A917" t="str">
            <v>HL-CE-E25-1200-TT</v>
          </cell>
          <cell r="B917" t="str">
            <v>CREMONA ABATIR EXTERIOR 1200 mm E25 - TT</v>
          </cell>
          <cell r="C917">
            <v>189</v>
          </cell>
          <cell r="D917">
            <v>45661</v>
          </cell>
          <cell r="E917">
            <v>0.6</v>
          </cell>
          <cell r="F917" t="str">
            <v>NATURAL</v>
          </cell>
          <cell r="G917" t="str">
            <v>CREMONA</v>
          </cell>
        </row>
        <row r="918">
          <cell r="A918" t="str">
            <v>HL-CE-E25-1400-TT</v>
          </cell>
          <cell r="B918" t="str">
            <v>CREMONA ABATIR EXTERIOR 1400 mm E25 - TT</v>
          </cell>
          <cell r="C918">
            <v>230</v>
          </cell>
          <cell r="D918">
            <v>44926</v>
          </cell>
          <cell r="E918">
            <v>0.69</v>
          </cell>
          <cell r="F918" t="str">
            <v>NATURAL</v>
          </cell>
          <cell r="G918" t="str">
            <v>CREMONA</v>
          </cell>
        </row>
        <row r="919">
          <cell r="A919" t="str">
            <v>HL-CE-E25-1600-TT</v>
          </cell>
          <cell r="B919" t="str">
            <v>CREMONA ABATIR EXTERIOR 1600 mm E25 - TT</v>
          </cell>
          <cell r="C919">
            <v>67</v>
          </cell>
          <cell r="D919">
            <v>46060</v>
          </cell>
          <cell r="E919">
            <v>0.77</v>
          </cell>
          <cell r="F919" t="str">
            <v>NATURAL</v>
          </cell>
          <cell r="G919" t="str">
            <v>CREMONA</v>
          </cell>
        </row>
        <row r="920">
          <cell r="A920" t="str">
            <v>HL-CE-E25-1800-TT</v>
          </cell>
          <cell r="B920" t="str">
            <v>CREMONA ABATIR EXTERIOR 1800 mm E25 - TT</v>
          </cell>
          <cell r="C920">
            <v>4</v>
          </cell>
          <cell r="D920">
            <v>45661</v>
          </cell>
          <cell r="E920">
            <v>0.79</v>
          </cell>
          <cell r="F920" t="str">
            <v>NATURAL</v>
          </cell>
          <cell r="G920" t="str">
            <v>CREMONA</v>
          </cell>
        </row>
        <row r="921">
          <cell r="A921" t="str">
            <v>HL-CE-E25-2000-TT</v>
          </cell>
          <cell r="B921" t="str">
            <v>CREMONA ABATIR EXTERIOR 2000 mm E25 - TT</v>
          </cell>
          <cell r="C921">
            <v>0</v>
          </cell>
          <cell r="D921">
            <v>44561</v>
          </cell>
          <cell r="E921">
            <v>1.07</v>
          </cell>
          <cell r="F921" t="str">
            <v>NATURAL</v>
          </cell>
          <cell r="G921" t="str">
            <v>CREMONA</v>
          </cell>
        </row>
        <row r="922">
          <cell r="A922" t="str">
            <v>HL-CE-E25-210-AD</v>
          </cell>
          <cell r="B922" t="str">
            <v>CREMONA ABATIR EXTERIOR 210 mm E25 - AD</v>
          </cell>
          <cell r="C922">
            <v>0</v>
          </cell>
          <cell r="D922">
            <v>45123</v>
          </cell>
          <cell r="E922">
            <v>0.15</v>
          </cell>
          <cell r="F922" t="str">
            <v>NATURAL</v>
          </cell>
          <cell r="G922" t="str">
            <v>CREMONA</v>
          </cell>
        </row>
        <row r="923">
          <cell r="A923" t="str">
            <v>HL-CE-E25-280-TT</v>
          </cell>
          <cell r="B923" t="str">
            <v>CREMONA ABATIR EXTERIOR 280 mm E25 - TT</v>
          </cell>
          <cell r="C923">
            <v>85</v>
          </cell>
          <cell r="D923">
            <v>46169</v>
          </cell>
          <cell r="E923">
            <v>0.20499999999999999</v>
          </cell>
          <cell r="F923" t="str">
            <v>NATURAL</v>
          </cell>
          <cell r="G923" t="str">
            <v>CREMONA</v>
          </cell>
        </row>
        <row r="924">
          <cell r="A924" t="str">
            <v>HL-CE-E25-400-AD</v>
          </cell>
          <cell r="B924" t="str">
            <v>CREMONA ABATIR EXTERIOR 400 mm E25 - AD</v>
          </cell>
          <cell r="C924">
            <v>0</v>
          </cell>
          <cell r="D924">
            <v>45082</v>
          </cell>
          <cell r="E924">
            <v>0.22</v>
          </cell>
          <cell r="F924" t="str">
            <v>NATURAL</v>
          </cell>
          <cell r="G924" t="str">
            <v>CREMONA</v>
          </cell>
        </row>
        <row r="925">
          <cell r="A925" t="str">
            <v>HL-CE-E25-400-TT</v>
          </cell>
          <cell r="B925" t="str">
            <v>CREMONA ABATIR EXTERIOR 400 mm E25 - TT</v>
          </cell>
          <cell r="C925">
            <v>85</v>
          </cell>
          <cell r="D925">
            <v>46169</v>
          </cell>
          <cell r="E925">
            <v>0.24</v>
          </cell>
          <cell r="F925" t="str">
            <v>NATURAL</v>
          </cell>
          <cell r="G925" t="str">
            <v>CREMONA</v>
          </cell>
        </row>
        <row r="926">
          <cell r="A926" t="str">
            <v>HL-CE-E25-600-AD</v>
          </cell>
          <cell r="B926" t="str">
            <v>CREMONA ABATIR EXTERIOR 600 mm E25 - AD</v>
          </cell>
          <cell r="C926">
            <v>0</v>
          </cell>
          <cell r="D926">
            <v>45123</v>
          </cell>
          <cell r="E926">
            <v>0.28000000000000003</v>
          </cell>
          <cell r="F926" t="str">
            <v>NATURAL</v>
          </cell>
          <cell r="G926" t="str">
            <v>CREMONA</v>
          </cell>
        </row>
        <row r="927">
          <cell r="A927" t="str">
            <v>HL-CE-E25-600-TT</v>
          </cell>
          <cell r="B927" t="str">
            <v>CREMONA ABATIR EXTERIOR 600 mm E25 - TT</v>
          </cell>
          <cell r="C927">
            <v>122</v>
          </cell>
          <cell r="D927">
            <v>46060</v>
          </cell>
          <cell r="E927">
            <v>0.32</v>
          </cell>
          <cell r="F927" t="str">
            <v>NATURAL</v>
          </cell>
          <cell r="G927" t="str">
            <v>CREMONA</v>
          </cell>
        </row>
        <row r="928">
          <cell r="A928" t="str">
            <v>HL-CE-E25-800-AD</v>
          </cell>
          <cell r="B928" t="str">
            <v>CREMONA ABATIR EXTERIOR 800 mm E25 - AD</v>
          </cell>
          <cell r="C928">
            <v>0</v>
          </cell>
          <cell r="D928">
            <v>45123</v>
          </cell>
          <cell r="E928">
            <v>0.39</v>
          </cell>
          <cell r="F928" t="str">
            <v>NATURAL</v>
          </cell>
          <cell r="G928" t="str">
            <v>CREMONA</v>
          </cell>
        </row>
        <row r="929">
          <cell r="A929" t="str">
            <v>HL-CE-E25-800-TT</v>
          </cell>
          <cell r="B929" t="str">
            <v>CREMONA ABATIR EXTERIOR 800 mm E25 - TT</v>
          </cell>
          <cell r="C929">
            <v>286</v>
          </cell>
          <cell r="D929">
            <v>45483</v>
          </cell>
          <cell r="E929">
            <v>0.42</v>
          </cell>
          <cell r="F929" t="str">
            <v>NATURAL</v>
          </cell>
          <cell r="G929" t="str">
            <v>CREMONA</v>
          </cell>
        </row>
        <row r="930">
          <cell r="A930" t="str">
            <v>HL-CF-HCZ-PP</v>
          </cell>
          <cell r="B930" t="str">
            <v>CONTRA FORMA HOJA SLIDING ZENIA - PP</v>
          </cell>
          <cell r="C930">
            <v>1</v>
          </cell>
          <cell r="D930">
            <v>45661</v>
          </cell>
          <cell r="E930">
            <v>0.82</v>
          </cell>
          <cell r="F930" t="str">
            <v>NATURAL</v>
          </cell>
          <cell r="G930" t="str">
            <v>HERRAMIENTAS</v>
          </cell>
        </row>
        <row r="931">
          <cell r="A931" t="str">
            <v>HL-CF-HJZ-FA-FA</v>
          </cell>
          <cell r="B931" t="str">
            <v>CONTRA FORMA HOJA SLIDING ZENIA - FA</v>
          </cell>
          <cell r="C931">
            <v>4</v>
          </cell>
          <cell r="D931">
            <v>45661</v>
          </cell>
          <cell r="E931">
            <v>0.83</v>
          </cell>
          <cell r="F931" t="str">
            <v>NATURAL</v>
          </cell>
          <cell r="G931" t="str">
            <v>HERRAMIENTAS</v>
          </cell>
        </row>
        <row r="932">
          <cell r="A932" t="str">
            <v>HL-CF-JUQ-B-BT</v>
          </cell>
          <cell r="B932" t="str">
            <v>CONTRA FORMA JUNQUILLOS - BL</v>
          </cell>
          <cell r="C932">
            <v>2</v>
          </cell>
          <cell r="D932">
            <v>45469</v>
          </cell>
          <cell r="E932">
            <v>0.99</v>
          </cell>
          <cell r="F932" t="str">
            <v>NATURAL</v>
          </cell>
          <cell r="G932" t="str">
            <v>HERRAMIENTAS</v>
          </cell>
        </row>
        <row r="933">
          <cell r="A933" t="str">
            <v>HL-CF-JUQ-FA-FA</v>
          </cell>
          <cell r="B933" t="str">
            <v>CONTRA FORMA JUNQUILLOS - FA</v>
          </cell>
          <cell r="C933">
            <v>13</v>
          </cell>
          <cell r="D933">
            <v>46184</v>
          </cell>
          <cell r="E933">
            <v>1.06</v>
          </cell>
          <cell r="F933" t="str">
            <v>NATURAL</v>
          </cell>
          <cell r="G933" t="str">
            <v>HERRAMIENTAS</v>
          </cell>
        </row>
        <row r="934">
          <cell r="A934" t="str">
            <v>HL-CF-JUQ-PP</v>
          </cell>
          <cell r="B934" t="str">
            <v>CONTRA FORMA JUNQUILLOS - PP</v>
          </cell>
          <cell r="C934">
            <v>0</v>
          </cell>
          <cell r="D934">
            <v>45799</v>
          </cell>
          <cell r="E934">
            <v>1.06</v>
          </cell>
          <cell r="F934" t="str">
            <v>NATURAL</v>
          </cell>
          <cell r="G934" t="str">
            <v>HERRAMIENTAS</v>
          </cell>
        </row>
        <row r="935">
          <cell r="A935" t="str">
            <v>HL-CF-MCZ-FA-FA</v>
          </cell>
          <cell r="B935" t="str">
            <v>CONTRA FORMA MARCO SLIDING ZENIA - FA</v>
          </cell>
          <cell r="C935">
            <v>0</v>
          </cell>
          <cell r="D935">
            <v>45661</v>
          </cell>
          <cell r="E935">
            <v>2.5299999999999998</v>
          </cell>
          <cell r="F935" t="str">
            <v>NATURAL</v>
          </cell>
          <cell r="G935" t="str">
            <v>HERRAMIENTAS</v>
          </cell>
        </row>
        <row r="936">
          <cell r="A936" t="str">
            <v>HL-CF-MCZ-PP</v>
          </cell>
          <cell r="B936" t="str">
            <v>CONTRA FORMA MARCO SLIDING ZENIA - PP</v>
          </cell>
          <cell r="C936">
            <v>1</v>
          </cell>
          <cell r="D936">
            <v>45601</v>
          </cell>
          <cell r="E936">
            <v>1.88</v>
          </cell>
          <cell r="F936" t="str">
            <v>NATURAL</v>
          </cell>
          <cell r="G936" t="str">
            <v>HERRAMIENTAS</v>
          </cell>
        </row>
        <row r="937">
          <cell r="A937" t="str">
            <v>HL-CF-MSQ-HC-BT</v>
          </cell>
          <cell r="B937" t="str">
            <v>CONTRA FORMA HOJA MOSQUITERO - BL</v>
          </cell>
          <cell r="C937">
            <v>0</v>
          </cell>
          <cell r="D937">
            <v>45721</v>
          </cell>
          <cell r="E937">
            <v>0.42599999999999999</v>
          </cell>
          <cell r="F937" t="str">
            <v>NATURAL</v>
          </cell>
          <cell r="G937" t="str">
            <v>HERRAMIENTAS</v>
          </cell>
        </row>
        <row r="938">
          <cell r="A938" t="str">
            <v>HL-CF-MSQ-HC-FA</v>
          </cell>
          <cell r="B938" t="str">
            <v>CONTRA FORMA HOJA MOSQUITERO - FA</v>
          </cell>
          <cell r="C938">
            <v>12</v>
          </cell>
          <cell r="D938">
            <v>46184</v>
          </cell>
          <cell r="E938">
            <v>1.2</v>
          </cell>
          <cell r="F938" t="str">
            <v>NATURAL</v>
          </cell>
          <cell r="G938" t="str">
            <v>HERRAMIENTAS</v>
          </cell>
        </row>
        <row r="939">
          <cell r="A939" t="str">
            <v>HL-CF-MSQ-MCO-BT</v>
          </cell>
          <cell r="B939" t="str">
            <v>CONTRA FORMA MARCO MOSQUITERO - BL</v>
          </cell>
          <cell r="C939">
            <v>1</v>
          </cell>
          <cell r="D939">
            <v>45721</v>
          </cell>
          <cell r="E939">
            <v>0.38900000000000001</v>
          </cell>
          <cell r="F939" t="str">
            <v>NATURAL</v>
          </cell>
          <cell r="G939" t="str">
            <v>HERRAMIENTAS</v>
          </cell>
        </row>
        <row r="940">
          <cell r="A940" t="str">
            <v>HL-CF-MSQ-MCO-FA</v>
          </cell>
          <cell r="B940" t="str">
            <v>CONTRA FORMA MARCO MOSQUITERO - FA</v>
          </cell>
          <cell r="C940">
            <v>15</v>
          </cell>
          <cell r="D940">
            <v>46184</v>
          </cell>
          <cell r="E940">
            <v>1.2</v>
          </cell>
          <cell r="F940" t="str">
            <v>NATURAL</v>
          </cell>
          <cell r="G940" t="str">
            <v>HERRAMIENTAS</v>
          </cell>
        </row>
        <row r="941">
          <cell r="A941" t="str">
            <v>HL-CF-S38-HVA-BT</v>
          </cell>
          <cell r="B941" t="str">
            <v>CONTRA FORMA HOJA S38 ANDES - BL</v>
          </cell>
          <cell r="C941">
            <v>6</v>
          </cell>
          <cell r="D941">
            <v>45536</v>
          </cell>
          <cell r="E941">
            <v>0.56999999999999995</v>
          </cell>
          <cell r="F941" t="str">
            <v>NATURAL</v>
          </cell>
          <cell r="G941" t="str">
            <v>HERRAMIENTAS</v>
          </cell>
        </row>
        <row r="942">
          <cell r="A942" t="str">
            <v>HL-CF-S38-HVA-FA</v>
          </cell>
          <cell r="B942" t="str">
            <v>CONTRA FORMA HOJA S38 ANDES - FA</v>
          </cell>
          <cell r="C942">
            <v>2</v>
          </cell>
          <cell r="D942">
            <v>46060</v>
          </cell>
          <cell r="E942">
            <v>0.5</v>
          </cell>
          <cell r="F942" t="str">
            <v>NATURAL</v>
          </cell>
          <cell r="G942" t="str">
            <v>HERRAMIENTAS</v>
          </cell>
        </row>
        <row r="943">
          <cell r="A943" t="str">
            <v>HL-CF-S38-PP</v>
          </cell>
          <cell r="B943" t="str">
            <v>CONTRA FORMA HOJA S38 ANDES - PP</v>
          </cell>
          <cell r="C943">
            <v>0</v>
          </cell>
          <cell r="D943">
            <v>45608</v>
          </cell>
          <cell r="E943">
            <v>0.57999999999999996</v>
          </cell>
          <cell r="F943" t="str">
            <v>NATURAL</v>
          </cell>
          <cell r="G943" t="str">
            <v>HERRAMIENTAS</v>
          </cell>
        </row>
        <row r="944">
          <cell r="A944" t="str">
            <v>HL-CF-S60-HVF</v>
          </cell>
          <cell r="B944" t="str">
            <v>CONTRA FORMA HOJA S60 - BL</v>
          </cell>
          <cell r="C944">
            <v>3</v>
          </cell>
          <cell r="D944">
            <v>45413</v>
          </cell>
          <cell r="E944">
            <v>1.29</v>
          </cell>
          <cell r="F944" t="str">
            <v>NATURAL</v>
          </cell>
          <cell r="G944" t="str">
            <v>HERRAMIENTAS</v>
          </cell>
        </row>
        <row r="945">
          <cell r="A945" t="str">
            <v>HL-CF-S60-HVF-FA</v>
          </cell>
          <cell r="B945" t="str">
            <v>CONTRA FORMA HOJA S60 - FA</v>
          </cell>
          <cell r="C945">
            <v>1</v>
          </cell>
          <cell r="D945">
            <v>45298</v>
          </cell>
          <cell r="E945">
            <v>1.2</v>
          </cell>
          <cell r="F945" t="str">
            <v>NATURAL</v>
          </cell>
          <cell r="G945" t="str">
            <v>HERRAMIENTAS</v>
          </cell>
        </row>
        <row r="946">
          <cell r="A946" t="str">
            <v>HL-CF-S60-PP</v>
          </cell>
          <cell r="B946" t="str">
            <v>CONTRA FORMA HOJA S60 - PP</v>
          </cell>
          <cell r="C946">
            <v>6</v>
          </cell>
          <cell r="D946">
            <v>45661</v>
          </cell>
          <cell r="E946">
            <v>1.32</v>
          </cell>
          <cell r="F946" t="str">
            <v>NATURAL</v>
          </cell>
          <cell r="G946" t="str">
            <v>HERRAMIENTAS</v>
          </cell>
        </row>
        <row r="947">
          <cell r="A947" t="str">
            <v>HL-CF-SLA-HCA-FA</v>
          </cell>
          <cell r="B947" t="str">
            <v>CONTRA FORMA HOJA ANDES 66 - FA</v>
          </cell>
          <cell r="C947">
            <v>1</v>
          </cell>
          <cell r="D947">
            <v>46060</v>
          </cell>
          <cell r="E947">
            <v>0.55000000000000004</v>
          </cell>
          <cell r="F947" t="str">
            <v>NATURAL</v>
          </cell>
          <cell r="G947" t="str">
            <v>HERRAMIENTAS</v>
          </cell>
        </row>
        <row r="948">
          <cell r="A948" t="str">
            <v>HL-CF-SLA-HPC-BT</v>
          </cell>
          <cell r="B948" t="str">
            <v>CONTRA FORMA HOJA ANDES 66 - BL</v>
          </cell>
          <cell r="C948">
            <v>0</v>
          </cell>
          <cell r="D948">
            <v>45413</v>
          </cell>
          <cell r="E948">
            <v>0.61</v>
          </cell>
          <cell r="F948" t="str">
            <v>NATURAL</v>
          </cell>
          <cell r="G948" t="str">
            <v>HERRAMIENTAS</v>
          </cell>
        </row>
        <row r="949">
          <cell r="A949" t="str">
            <v>HL-CF-SLA-MDR-BT</v>
          </cell>
          <cell r="B949" t="str">
            <v>CONTRA FORMA MARCO DOBLE RIEL ANDES - BL</v>
          </cell>
          <cell r="C949">
            <v>0</v>
          </cell>
          <cell r="D949">
            <v>45123</v>
          </cell>
          <cell r="E949">
            <v>1.04</v>
          </cell>
          <cell r="F949" t="str">
            <v>NATURAL</v>
          </cell>
          <cell r="G949" t="str">
            <v>HERRAMIENTAS</v>
          </cell>
        </row>
        <row r="950">
          <cell r="A950" t="str">
            <v>HL-CF-SLA-MLT-FA</v>
          </cell>
          <cell r="B950" t="str">
            <v>CONTRA FORMA ALETA MULTIPLE - FA</v>
          </cell>
          <cell r="C950">
            <v>0</v>
          </cell>
          <cell r="D950">
            <v>46128</v>
          </cell>
          <cell r="E950">
            <v>2.89</v>
          </cell>
          <cell r="F950" t="str">
            <v>NATURAL</v>
          </cell>
          <cell r="G950" t="str">
            <v>HERRAMIENTAS</v>
          </cell>
        </row>
        <row r="951">
          <cell r="A951" t="str">
            <v>HL-CF-SLA-MMR-BT</v>
          </cell>
          <cell r="B951" t="str">
            <v>CONTRA FORMA MARCO MONORRIEL ANDES - BL</v>
          </cell>
          <cell r="C951">
            <v>0</v>
          </cell>
          <cell r="D951">
            <v>45000</v>
          </cell>
          <cell r="E951">
            <v>1.41</v>
          </cell>
          <cell r="F951" t="str">
            <v>NATURAL</v>
          </cell>
          <cell r="G951" t="str">
            <v>HERRAMIENTAS</v>
          </cell>
        </row>
        <row r="952">
          <cell r="A952" t="str">
            <v>HL-CF-SLA-PCA-DE-FA</v>
          </cell>
          <cell r="B952" t="str">
            <v>PLANTILLA CORTE ALETA MLT DE - FA</v>
          </cell>
          <cell r="C952">
            <v>0</v>
          </cell>
          <cell r="D952">
            <v>46128</v>
          </cell>
          <cell r="E952">
            <v>0.99</v>
          </cell>
          <cell r="F952" t="str">
            <v>BLANCO</v>
          </cell>
          <cell r="G952" t="str">
            <v>HERRAMIENTAS</v>
          </cell>
        </row>
        <row r="953">
          <cell r="A953" t="str">
            <v>HL-CF-SLA-PCA-GA-FA</v>
          </cell>
          <cell r="B953" t="str">
            <v>PLANTILLA CORTE ALETA MLT GUIA - FA</v>
          </cell>
          <cell r="C953">
            <v>1</v>
          </cell>
          <cell r="D953">
            <v>46128</v>
          </cell>
          <cell r="E953">
            <v>0.89</v>
          </cell>
          <cell r="F953" t="str">
            <v>BLANCO</v>
          </cell>
          <cell r="G953" t="str">
            <v>HERRAMIENTAS</v>
          </cell>
        </row>
        <row r="954">
          <cell r="A954" t="str">
            <v>HL-CF-SLA-PCA-IZ-FA</v>
          </cell>
          <cell r="B954" t="str">
            <v>PLANTILLA CORTE ALETA MLT IZQ - FA</v>
          </cell>
          <cell r="C954">
            <v>0</v>
          </cell>
          <cell r="D954">
            <v>46128</v>
          </cell>
          <cell r="E954">
            <v>0.99</v>
          </cell>
          <cell r="F954" t="str">
            <v>BLANCO</v>
          </cell>
          <cell r="G954" t="str">
            <v>HERRAMIENTAS</v>
          </cell>
        </row>
        <row r="955">
          <cell r="A955" t="str">
            <v>HL-CF-SLA-PP</v>
          </cell>
          <cell r="B955" t="str">
            <v>CONTRA FORMA HOJA ANDES 66 - PP</v>
          </cell>
          <cell r="C955">
            <v>0</v>
          </cell>
          <cell r="D955">
            <v>45298</v>
          </cell>
          <cell r="E955">
            <v>0.62</v>
          </cell>
          <cell r="F955" t="str">
            <v>NATURAL</v>
          </cell>
          <cell r="G955" t="str">
            <v>HERRAMIENTAS</v>
          </cell>
        </row>
        <row r="956">
          <cell r="A956" t="str">
            <v>HL-CF-SLD-HVC-BT</v>
          </cell>
          <cell r="B956" t="str">
            <v>CONTRA FORMA HOJA 80 - BL</v>
          </cell>
          <cell r="C956">
            <v>2</v>
          </cell>
          <cell r="D956">
            <v>45608</v>
          </cell>
          <cell r="E956">
            <v>0.98</v>
          </cell>
          <cell r="F956" t="str">
            <v>NATURAL</v>
          </cell>
          <cell r="G956" t="str">
            <v>HERRAMIENTAS</v>
          </cell>
        </row>
        <row r="957">
          <cell r="A957" t="str">
            <v>HL-CF-SLD-HVC-FA</v>
          </cell>
          <cell r="B957" t="str">
            <v>CONTRA FORMA HOJA 80 - FA</v>
          </cell>
          <cell r="C957">
            <v>1</v>
          </cell>
          <cell r="D957">
            <v>46060</v>
          </cell>
          <cell r="E957">
            <v>0.87</v>
          </cell>
          <cell r="F957" t="str">
            <v>NATURAL</v>
          </cell>
          <cell r="G957" t="str">
            <v>HERRAMIENTAS</v>
          </cell>
        </row>
        <row r="958">
          <cell r="A958" t="str">
            <v>HL-CF-SLD-MC-BT</v>
          </cell>
          <cell r="B958" t="str">
            <v>CONTRA FORMA MARCO DOBLE RIEL - BL</v>
          </cell>
          <cell r="C958">
            <v>0</v>
          </cell>
          <cell r="D958"/>
          <cell r="E958">
            <v>1.21</v>
          </cell>
          <cell r="F958" t="str">
            <v>NATURAL</v>
          </cell>
          <cell r="G958" t="str">
            <v>HERRAMIENTAS</v>
          </cell>
        </row>
        <row r="959">
          <cell r="A959" t="str">
            <v>HL-CF-SLD-PP</v>
          </cell>
          <cell r="B959" t="str">
            <v>CONTRA FORMA HOJA 80 - PP</v>
          </cell>
          <cell r="C959">
            <v>0</v>
          </cell>
          <cell r="D959">
            <v>45298</v>
          </cell>
          <cell r="E959">
            <v>0.98</v>
          </cell>
          <cell r="F959" t="str">
            <v>NATURAL</v>
          </cell>
          <cell r="G959" t="str">
            <v>HERRAMIENTAS</v>
          </cell>
        </row>
        <row r="960">
          <cell r="A960" t="str">
            <v>HL-CF-SLZ-HCZ-BT</v>
          </cell>
          <cell r="B960" t="str">
            <v>CONTRA FORMA HOJA SLIDING ZENIA - BL</v>
          </cell>
          <cell r="C960">
            <v>0</v>
          </cell>
          <cell r="D960">
            <v>45298</v>
          </cell>
          <cell r="E960">
            <v>0.8</v>
          </cell>
          <cell r="F960" t="str">
            <v>NATURAL</v>
          </cell>
          <cell r="G960" t="str">
            <v>HERRAMIENTAS</v>
          </cell>
        </row>
        <row r="961">
          <cell r="A961" t="str">
            <v>HL-CF-SLZ-MCZ-BT</v>
          </cell>
          <cell r="B961" t="str">
            <v>CONTRA FORMA MARCO SLIDING ZENIA - BL</v>
          </cell>
          <cell r="C961">
            <v>1</v>
          </cell>
          <cell r="D961">
            <v>45601</v>
          </cell>
          <cell r="E961">
            <v>2.72</v>
          </cell>
          <cell r="F961" t="str">
            <v>NATURAL</v>
          </cell>
          <cell r="G961" t="str">
            <v>HERRAMIENTAS</v>
          </cell>
        </row>
        <row r="962">
          <cell r="A962" t="str">
            <v>HL-CI-E15-1000-TT</v>
          </cell>
          <cell r="B962" t="str">
            <v>CREMONA ABATIR INTERIOR 1000 mm E15 - TT</v>
          </cell>
          <cell r="C962">
            <v>0</v>
          </cell>
          <cell r="D962">
            <v>44561</v>
          </cell>
          <cell r="E962">
            <v>0.42</v>
          </cell>
          <cell r="F962" t="str">
            <v>NATURAL</v>
          </cell>
          <cell r="G962" t="str">
            <v>CREMONA</v>
          </cell>
        </row>
        <row r="963">
          <cell r="A963" t="str">
            <v>HL-CI-E15-1600-TT</v>
          </cell>
          <cell r="B963" t="str">
            <v>CREMONA ABATIR INTERIOR 1600 mm E15 - TT</v>
          </cell>
          <cell r="C963">
            <v>58</v>
          </cell>
          <cell r="D963">
            <v>44926</v>
          </cell>
          <cell r="E963">
            <v>0.67</v>
          </cell>
          <cell r="F963" t="str">
            <v>NATURAL</v>
          </cell>
          <cell r="G963" t="str">
            <v>CREMONA</v>
          </cell>
        </row>
        <row r="964">
          <cell r="A964" t="str">
            <v>HL-CI-E15-1800-TT</v>
          </cell>
          <cell r="B964" t="str">
            <v>CREMONA ABATIR INTERIOR 1800 mm E15 - TT</v>
          </cell>
          <cell r="C964">
            <v>39</v>
          </cell>
          <cell r="D964">
            <v>44926</v>
          </cell>
          <cell r="E964">
            <v>0.76</v>
          </cell>
          <cell r="F964" t="str">
            <v>NATURAL</v>
          </cell>
          <cell r="G964" t="str">
            <v>CREMONA</v>
          </cell>
        </row>
        <row r="965">
          <cell r="A965" t="str">
            <v>HL-CI-E15-600-TT</v>
          </cell>
          <cell r="B965" t="str">
            <v>CREMONA ABATIR INTERIOR 600 mm E15 - TT</v>
          </cell>
          <cell r="C965">
            <v>0</v>
          </cell>
          <cell r="D965">
            <v>44561</v>
          </cell>
          <cell r="E965">
            <v>0.23</v>
          </cell>
          <cell r="F965" t="str">
            <v>NATURAL</v>
          </cell>
          <cell r="G965" t="str">
            <v>CREMONA</v>
          </cell>
        </row>
        <row r="966">
          <cell r="A966" t="str">
            <v>HL-CI-E15-800-TT</v>
          </cell>
          <cell r="B966" t="str">
            <v>CREMONA ABATIR INTERIOR 800 mm E15 - TT</v>
          </cell>
          <cell r="C966">
            <v>100</v>
          </cell>
          <cell r="D966">
            <v>44926</v>
          </cell>
          <cell r="E966">
            <v>0.34</v>
          </cell>
          <cell r="F966" t="str">
            <v>NATURAL</v>
          </cell>
          <cell r="G966" t="str">
            <v>CREMONA</v>
          </cell>
        </row>
        <row r="967">
          <cell r="A967" t="str">
            <v>HL-CLR-80-GU</v>
          </cell>
          <cell r="B967" t="str">
            <v>CILINDRO 80 mm - GU</v>
          </cell>
          <cell r="C967">
            <v>0</v>
          </cell>
          <cell r="D967">
            <v>45833</v>
          </cell>
          <cell r="E967">
            <v>0.27</v>
          </cell>
          <cell r="F967" t="str">
            <v>NATURAL</v>
          </cell>
          <cell r="G967" t="str">
            <v>CILINDRO</v>
          </cell>
        </row>
        <row r="968">
          <cell r="A968" t="str">
            <v>HL-CM-MQT-MV</v>
          </cell>
          <cell r="B968" t="str">
            <v>CORDON MOSQUITERO NEGRO - MV</v>
          </cell>
          <cell r="C968">
            <v>463</v>
          </cell>
          <cell r="D968">
            <v>46168</v>
          </cell>
          <cell r="E968">
            <v>0.12740000000000001</v>
          </cell>
          <cell r="F968" t="str">
            <v>NEGRO</v>
          </cell>
          <cell r="G968" t="str">
            <v>MOSQUITERO CORREDERA</v>
          </cell>
        </row>
        <row r="969">
          <cell r="A969" t="str">
            <v>HL-CNT-ST</v>
          </cell>
          <cell r="B969" t="str">
            <v>CINTA DE EMBALAJE - SEALTEC</v>
          </cell>
          <cell r="C969">
            <v>0</v>
          </cell>
          <cell r="D969">
            <v>45929</v>
          </cell>
          <cell r="E969">
            <v>0</v>
          </cell>
          <cell r="F969" t="str">
            <v>NATURAL</v>
          </cell>
        </row>
        <row r="970">
          <cell r="A970" t="str">
            <v>HL-CP-E35-2000-AD</v>
          </cell>
          <cell r="B970" t="str">
            <v>CREMONA PUERTA E35/92 2000 mm</v>
          </cell>
          <cell r="C970">
            <v>0</v>
          </cell>
          <cell r="D970"/>
          <cell r="E970">
            <v>1.06</v>
          </cell>
          <cell r="F970" t="str">
            <v>NATURAL</v>
          </cell>
          <cell r="G970" t="str">
            <v>CREMONA</v>
          </cell>
        </row>
        <row r="971">
          <cell r="A971" t="str">
            <v>HL-CR-AJT-140-FB</v>
          </cell>
          <cell r="B971" t="str">
            <v>CARRO PABOSE 140 KG DOBLE RUEDA AJUSTABLE - FB</v>
          </cell>
          <cell r="C971">
            <v>1</v>
          </cell>
          <cell r="D971">
            <v>46072</v>
          </cell>
          <cell r="E971">
            <v>0.09</v>
          </cell>
          <cell r="F971" t="str">
            <v>NEGRO</v>
          </cell>
          <cell r="G971" t="str">
            <v>CARRO</v>
          </cell>
        </row>
        <row r="972">
          <cell r="A972" t="str">
            <v>HL-CR-AJT-280-FB</v>
          </cell>
          <cell r="B972" t="str">
            <v>CARRO PABOSE 280 KG DOBLE RUEDA REGULABLE - FB</v>
          </cell>
          <cell r="C972">
            <v>0</v>
          </cell>
          <cell r="D972">
            <v>45945</v>
          </cell>
          <cell r="E972">
            <v>0.14000000000000001</v>
          </cell>
          <cell r="F972" t="str">
            <v>NEGRO</v>
          </cell>
          <cell r="G972" t="str">
            <v>CARRO</v>
          </cell>
        </row>
        <row r="973">
          <cell r="A973" t="str">
            <v>HL-CR-AJT-40-AD</v>
          </cell>
          <cell r="B973" t="str">
            <v>CARRO AJUSTABLE 40 KG - AD</v>
          </cell>
          <cell r="C973">
            <v>0</v>
          </cell>
          <cell r="D973"/>
          <cell r="E973">
            <v>0.06</v>
          </cell>
          <cell r="F973" t="str">
            <v>NATURAL</v>
          </cell>
          <cell r="G973" t="str">
            <v>CARRO</v>
          </cell>
        </row>
        <row r="974">
          <cell r="A974" t="str">
            <v>HL-CR-AJT-70-AD</v>
          </cell>
          <cell r="B974" t="str">
            <v>CARRO AJUSTABLE 70 KG NATURAL - AD</v>
          </cell>
          <cell r="C974">
            <v>0</v>
          </cell>
          <cell r="D974"/>
          <cell r="E974">
            <v>0.1</v>
          </cell>
          <cell r="F974" t="str">
            <v>NATURAL</v>
          </cell>
          <cell r="G974" t="str">
            <v>CARRO</v>
          </cell>
        </row>
        <row r="975">
          <cell r="A975" t="str">
            <v>HL-CR-PB-120-FB</v>
          </cell>
          <cell r="B975" t="str">
            <v>CARRO PABOSE 120 KG ANDES - FB</v>
          </cell>
          <cell r="C975">
            <v>0</v>
          </cell>
          <cell r="D975"/>
          <cell r="E975">
            <v>0.03</v>
          </cell>
          <cell r="F975" t="str">
            <v>NEGRO</v>
          </cell>
          <cell r="G975" t="str">
            <v>CARRO</v>
          </cell>
        </row>
        <row r="976">
          <cell r="A976" t="str">
            <v>HL-CR-PB-60-FB</v>
          </cell>
          <cell r="B976" t="str">
            <v>CARRO PABOSE 60 KG ANDES - FB</v>
          </cell>
          <cell r="C976">
            <v>0</v>
          </cell>
          <cell r="D976">
            <v>44561</v>
          </cell>
          <cell r="E976">
            <v>0.25</v>
          </cell>
          <cell r="F976" t="str">
            <v>NEGRO</v>
          </cell>
          <cell r="G976" t="str">
            <v>CARRO</v>
          </cell>
        </row>
        <row r="977">
          <cell r="A977" t="str">
            <v>HL-CR-PB-70-FB</v>
          </cell>
          <cell r="B977" t="str">
            <v>CARRO PABOSE 70 KG AGUJA - FB</v>
          </cell>
          <cell r="C977">
            <v>262</v>
          </cell>
          <cell r="D977">
            <v>46032</v>
          </cell>
          <cell r="E977">
            <v>0.04</v>
          </cell>
          <cell r="F977" t="str">
            <v>NEGRO</v>
          </cell>
          <cell r="G977" t="str">
            <v>CARRO</v>
          </cell>
        </row>
        <row r="978">
          <cell r="A978" t="str">
            <v>HL-CR-SLD-RG-400-HQ</v>
          </cell>
          <cell r="B978" t="str">
            <v>CARRO CELSUS SLIDING - REGULABLE 400 KG - HQ</v>
          </cell>
          <cell r="C978">
            <v>55</v>
          </cell>
          <cell r="D978">
            <v>46176</v>
          </cell>
          <cell r="E978">
            <v>0.44440000000000002</v>
          </cell>
          <cell r="F978" t="str">
            <v>NEGRO</v>
          </cell>
          <cell r="G978" t="str">
            <v>CARRO</v>
          </cell>
        </row>
        <row r="979">
          <cell r="A979" t="str">
            <v>HL-CRT-HL-MA</v>
          </cell>
          <cell r="B979" t="str">
            <v>CARTONERO HOJA LARGA - MA</v>
          </cell>
          <cell r="C979">
            <v>0</v>
          </cell>
          <cell r="D979">
            <v>45930</v>
          </cell>
          <cell r="E979">
            <v>0.09</v>
          </cell>
          <cell r="F979" t="str">
            <v>NEGRO</v>
          </cell>
          <cell r="G979" t="str">
            <v>HERRAMIENTAS</v>
          </cell>
        </row>
        <row r="980">
          <cell r="A980" t="str">
            <v>HL-EM-MQT-MV</v>
          </cell>
          <cell r="B980" t="str">
            <v>ENMALLADOR MOSQUITERO - MV</v>
          </cell>
          <cell r="C980">
            <v>10</v>
          </cell>
          <cell r="D980">
            <v>46132</v>
          </cell>
          <cell r="E980">
            <v>0.12740000000000001</v>
          </cell>
          <cell r="F980" t="str">
            <v>NATURAL</v>
          </cell>
          <cell r="G980" t="str">
            <v>MOSQUITERO CORREDERA</v>
          </cell>
        </row>
        <row r="981">
          <cell r="A981" t="str">
            <v>HL-FLP-5X5-NE-FS</v>
          </cell>
          <cell r="B981" t="str">
            <v>FELPA 5X5 C/FIN SEAL 600 MT - FS</v>
          </cell>
          <cell r="C981">
            <v>1</v>
          </cell>
          <cell r="D981">
            <v>46072</v>
          </cell>
          <cell r="E981">
            <v>3.8E-3</v>
          </cell>
          <cell r="F981" t="str">
            <v>NATURAL</v>
          </cell>
          <cell r="G981" t="str">
            <v>FELPA</v>
          </cell>
        </row>
        <row r="982">
          <cell r="A982" t="str">
            <v>HL-FLP-5X5-NE-SL</v>
          </cell>
          <cell r="B982" t="str">
            <v>FELPA 5X5 S/FILM SEAL - 1 MT- SL</v>
          </cell>
          <cell r="C982">
            <v>1145</v>
          </cell>
          <cell r="D982">
            <v>46032</v>
          </cell>
          <cell r="E982">
            <v>2.5</v>
          </cell>
          <cell r="F982" t="str">
            <v>NEGRO</v>
          </cell>
          <cell r="G982" t="str">
            <v>FELPA</v>
          </cell>
        </row>
        <row r="983">
          <cell r="A983" t="str">
            <v>HL-FLP-7X6-NE-FS</v>
          </cell>
          <cell r="B983" t="str">
            <v>FELPA 7X6 C/FILM SEAL 400 MTS 4P - FS</v>
          </cell>
          <cell r="C983">
            <v>0</v>
          </cell>
          <cell r="D983">
            <v>45882</v>
          </cell>
          <cell r="E983">
            <v>2.5</v>
          </cell>
          <cell r="F983" t="str">
            <v>NEGRO</v>
          </cell>
          <cell r="G983" t="str">
            <v>FELPA</v>
          </cell>
        </row>
        <row r="984">
          <cell r="A984" t="str">
            <v>HL-FLP-7X8-CF-FS</v>
          </cell>
          <cell r="B984" t="str">
            <v>FELPA 7X8 C/FIN SEAL 300 MTS 4P - FS</v>
          </cell>
          <cell r="C984">
            <v>0</v>
          </cell>
          <cell r="D984">
            <v>45127</v>
          </cell>
          <cell r="E984">
            <v>2.64</v>
          </cell>
          <cell r="F984" t="str">
            <v>NEGRO</v>
          </cell>
          <cell r="G984" t="str">
            <v>FELPA</v>
          </cell>
        </row>
        <row r="985">
          <cell r="A985" t="str">
            <v>HL-HJA-CRT-HL-MA</v>
          </cell>
          <cell r="B985" t="str">
            <v>REPUESTO CARTONERO HOJA LARGA 5mm - MA</v>
          </cell>
          <cell r="C985">
            <v>0</v>
          </cell>
          <cell r="D985">
            <v>45880</v>
          </cell>
          <cell r="E985">
            <v>7.0000000000000007E-2</v>
          </cell>
          <cell r="F985" t="str">
            <v>NEGRO</v>
          </cell>
          <cell r="G985" t="str">
            <v>HERRAMIENTAS</v>
          </cell>
        </row>
        <row r="986">
          <cell r="A986" t="str">
            <v>HL-LM-GU-PVC-BL-GU</v>
          </cell>
          <cell r="B986" t="str">
            <v>LIMPIADOR PVC BLANCO - GU</v>
          </cell>
          <cell r="C986">
            <v>29</v>
          </cell>
          <cell r="D986">
            <v>46142</v>
          </cell>
          <cell r="E986">
            <v>0.99</v>
          </cell>
          <cell r="F986" t="str">
            <v>BLANCO</v>
          </cell>
          <cell r="G986" t="str">
            <v>HERRAMIENTAS</v>
          </cell>
        </row>
        <row r="987">
          <cell r="A987" t="str">
            <v>HL-LM-GU-PVC-FL-GU</v>
          </cell>
          <cell r="B987" t="str">
            <v>LIMPIADOR PVC FOLIADOS - GU</v>
          </cell>
          <cell r="C987">
            <v>22</v>
          </cell>
          <cell r="D987">
            <v>46139</v>
          </cell>
          <cell r="E987">
            <v>0.99</v>
          </cell>
          <cell r="F987" t="str">
            <v>BLANCO</v>
          </cell>
          <cell r="G987" t="str">
            <v>HERRAMIENTAS</v>
          </cell>
        </row>
        <row r="988">
          <cell r="A988" t="str">
            <v>HL-LMD-AP-TT</v>
          </cell>
          <cell r="B988" t="str">
            <v>LIMITADOR DE APERTURA REGULABLE - T</v>
          </cell>
          <cell r="C988">
            <v>10</v>
          </cell>
          <cell r="D988">
            <v>46060</v>
          </cell>
          <cell r="E988">
            <v>0.12</v>
          </cell>
          <cell r="F988" t="str">
            <v>NATURAL</v>
          </cell>
          <cell r="G988" t="str">
            <v>OB</v>
          </cell>
        </row>
        <row r="989">
          <cell r="A989" t="str">
            <v>HL-MCT-ACR-32-MA</v>
          </cell>
          <cell r="B989" t="str">
            <v>MACETA DE ACRISTALAR 32 mm - MA</v>
          </cell>
          <cell r="C989">
            <v>0</v>
          </cell>
          <cell r="D989">
            <v>45194</v>
          </cell>
          <cell r="E989">
            <v>0.32</v>
          </cell>
          <cell r="F989" t="str">
            <v>ROBLE</v>
          </cell>
          <cell r="G989" t="str">
            <v>HERRAMIENTAS</v>
          </cell>
        </row>
        <row r="990">
          <cell r="A990" t="str">
            <v>HL-MCT-ACR-35-MA</v>
          </cell>
          <cell r="B990" t="str">
            <v>MACETA DE ACRISTALAR 35 mm - MA</v>
          </cell>
          <cell r="C990">
            <v>11</v>
          </cell>
          <cell r="D990">
            <v>46119</v>
          </cell>
          <cell r="E990">
            <v>0.42</v>
          </cell>
          <cell r="F990" t="str">
            <v>ROBLE</v>
          </cell>
          <cell r="G990" t="str">
            <v>HERRAMIENTAS</v>
          </cell>
        </row>
        <row r="991">
          <cell r="A991" t="str">
            <v>HL-MLA-AGT-BL</v>
          </cell>
          <cell r="B991" t="str">
            <v>MANILLA ANGOSTA APOLO BLANCO</v>
          </cell>
          <cell r="C991">
            <v>3</v>
          </cell>
          <cell r="D991">
            <v>46084</v>
          </cell>
          <cell r="E991">
            <v>0.12839999999999999</v>
          </cell>
          <cell r="F991" t="str">
            <v>BLANCO</v>
          </cell>
          <cell r="G991" t="str">
            <v>MANILLA</v>
          </cell>
        </row>
        <row r="992">
          <cell r="A992" t="str">
            <v>HL-MLA-AGT-MR</v>
          </cell>
          <cell r="B992" t="str">
            <v>MANILLA ANGOSTA APOLO MARRON</v>
          </cell>
          <cell r="C992">
            <v>0</v>
          </cell>
          <cell r="D992">
            <v>45968</v>
          </cell>
          <cell r="E992">
            <v>0.12839999999999999</v>
          </cell>
          <cell r="F992" t="str">
            <v>MARRON</v>
          </cell>
          <cell r="G992" t="str">
            <v>MANILLA</v>
          </cell>
        </row>
        <row r="993">
          <cell r="A993" t="str">
            <v>HL-MLA-AGT-NE</v>
          </cell>
          <cell r="B993" t="str">
            <v>MANILLA ANGOSTA APOLO NEGRO</v>
          </cell>
          <cell r="C993">
            <v>0</v>
          </cell>
          <cell r="D993">
            <v>46032</v>
          </cell>
          <cell r="E993">
            <v>0.12839999999999999</v>
          </cell>
          <cell r="F993" t="str">
            <v>NEGRO</v>
          </cell>
          <cell r="G993" t="str">
            <v>MANILLA</v>
          </cell>
        </row>
        <row r="994">
          <cell r="A994" t="str">
            <v>HL-MLA-BL-TT</v>
          </cell>
          <cell r="B994" t="str">
            <v>MANILLA VENTANA - BLANCO - T</v>
          </cell>
          <cell r="C994">
            <v>0</v>
          </cell>
          <cell r="D994">
            <v>45661</v>
          </cell>
          <cell r="E994">
            <v>0.13</v>
          </cell>
          <cell r="F994" t="str">
            <v>BLANCO</v>
          </cell>
          <cell r="G994" t="str">
            <v>MANILLA</v>
          </cell>
        </row>
        <row r="995">
          <cell r="A995" t="str">
            <v>HL-MLA-JMB-BL</v>
          </cell>
          <cell r="B995" t="str">
            <v>MANILLA JUMBO BLANCO</v>
          </cell>
          <cell r="C995">
            <v>18</v>
          </cell>
          <cell r="D995">
            <v>45123</v>
          </cell>
          <cell r="E995">
            <v>0.28420000000000001</v>
          </cell>
          <cell r="F995" t="str">
            <v>BLANCO</v>
          </cell>
          <cell r="G995" t="str">
            <v>MANILLA</v>
          </cell>
        </row>
        <row r="996">
          <cell r="A996" t="str">
            <v>HL-MLA-JMB-MR</v>
          </cell>
          <cell r="B996" t="str">
            <v>MANILLA JUMBO MARRON</v>
          </cell>
          <cell r="C996">
            <v>0</v>
          </cell>
          <cell r="D996">
            <v>45966</v>
          </cell>
          <cell r="E996">
            <v>0.28420000000000001</v>
          </cell>
          <cell r="F996" t="str">
            <v>MARRON</v>
          </cell>
          <cell r="G996" t="str">
            <v>MANILLA</v>
          </cell>
        </row>
        <row r="997">
          <cell r="A997" t="str">
            <v>HL-MLA-JMB-NE</v>
          </cell>
          <cell r="B997" t="str">
            <v>MANILLA JUMBO NEGRO</v>
          </cell>
          <cell r="C997">
            <v>0</v>
          </cell>
          <cell r="D997">
            <v>45810</v>
          </cell>
          <cell r="E997">
            <v>0.28420000000000001</v>
          </cell>
          <cell r="F997" t="str">
            <v>NEGRO</v>
          </cell>
          <cell r="G997" t="str">
            <v>MANILLA</v>
          </cell>
        </row>
        <row r="998">
          <cell r="A998" t="str">
            <v>HL-MLA-MLA-BL-FB</v>
          </cell>
          <cell r="B998" t="str">
            <v>MANILLA CONTRA MANILLA BLANCA - FB</v>
          </cell>
          <cell r="C998">
            <v>27</v>
          </cell>
          <cell r="D998">
            <v>46091</v>
          </cell>
          <cell r="E998">
            <v>2.94</v>
          </cell>
          <cell r="F998" t="str">
            <v>BLANCO</v>
          </cell>
          <cell r="G998" t="str">
            <v>MANILLA</v>
          </cell>
        </row>
        <row r="999">
          <cell r="A999" t="str">
            <v>HL-MLA-MLA-MR-FB</v>
          </cell>
          <cell r="B999" t="str">
            <v>MANILLA CONTRA MANILLA MARRON - FB</v>
          </cell>
          <cell r="C999">
            <v>20</v>
          </cell>
          <cell r="D999">
            <v>46091</v>
          </cell>
          <cell r="E999">
            <v>2.94</v>
          </cell>
          <cell r="F999" t="str">
            <v>MARRON</v>
          </cell>
          <cell r="G999" t="str">
            <v>MANILLA</v>
          </cell>
        </row>
        <row r="1000">
          <cell r="A1000" t="str">
            <v>HL-MLA-MR-TT</v>
          </cell>
          <cell r="B1000" t="str">
            <v>MANILLA VENTANA - MARRON - T</v>
          </cell>
          <cell r="C1000">
            <v>0</v>
          </cell>
          <cell r="D1000">
            <v>45677</v>
          </cell>
          <cell r="E1000">
            <v>0.13</v>
          </cell>
          <cell r="F1000" t="str">
            <v>MARRON</v>
          </cell>
          <cell r="G1000" t="str">
            <v>MANILLA</v>
          </cell>
        </row>
        <row r="1001">
          <cell r="A1001" t="str">
            <v>HL-MLA-NE-TT</v>
          </cell>
          <cell r="B1001" t="str">
            <v>MANILLA VENTANA - NEGRO - T</v>
          </cell>
          <cell r="C1001">
            <v>173</v>
          </cell>
          <cell r="D1001">
            <v>46032</v>
          </cell>
          <cell r="E1001">
            <v>0.13</v>
          </cell>
          <cell r="F1001" t="str">
            <v>NEGRO</v>
          </cell>
          <cell r="G1001" t="str">
            <v>MANILLA</v>
          </cell>
        </row>
        <row r="1002">
          <cell r="A1002" t="str">
            <v>HL-MLA-NPT-BL</v>
          </cell>
          <cell r="B1002" t="str">
            <v>MANILLA NEPTUNO BLANCO</v>
          </cell>
          <cell r="C1002">
            <v>4435</v>
          </cell>
          <cell r="D1002">
            <v>46060</v>
          </cell>
          <cell r="E1002">
            <v>0.14660000000000001</v>
          </cell>
          <cell r="F1002" t="str">
            <v>BLANCO</v>
          </cell>
          <cell r="G1002" t="str">
            <v>MANILLA</v>
          </cell>
        </row>
        <row r="1003">
          <cell r="A1003" t="str">
            <v>HL-MLA-PAR-DE-BL</v>
          </cell>
          <cell r="B1003" t="str">
            <v>MANILLA PARCHE ANDES - BLANCO - DER - PNT</v>
          </cell>
          <cell r="C1003">
            <v>0</v>
          </cell>
          <cell r="D1003">
            <v>46136</v>
          </cell>
          <cell r="E1003">
            <v>0</v>
          </cell>
          <cell r="F1003" t="str">
            <v>BLANCO</v>
          </cell>
          <cell r="G1003" t="str">
            <v>MANILLA</v>
          </cell>
        </row>
        <row r="1004">
          <cell r="A1004" t="str">
            <v>HL-MLA-PAR-DE-BL-HQ</v>
          </cell>
          <cell r="B1004" t="str">
            <v>MANILLA PARCHE DERECHA - BLANCO - HQ</v>
          </cell>
          <cell r="C1004">
            <v>0</v>
          </cell>
          <cell r="D1004"/>
          <cell r="E1004">
            <v>0</v>
          </cell>
          <cell r="F1004" t="str">
            <v>BLANCO</v>
          </cell>
          <cell r="G1004" t="str">
            <v>MANILLA</v>
          </cell>
        </row>
        <row r="1005">
          <cell r="A1005" t="str">
            <v>HL-MLA-PAR-DE-BL-HS</v>
          </cell>
          <cell r="B1005" t="str">
            <v>MANILLA PARCHE DERECHA - BLANCO - HS</v>
          </cell>
          <cell r="C1005">
            <v>172</v>
          </cell>
          <cell r="D1005">
            <v>45959</v>
          </cell>
          <cell r="E1005">
            <v>0</v>
          </cell>
          <cell r="F1005" t="str">
            <v>BLANCO</v>
          </cell>
          <cell r="G1005" t="str">
            <v>MANILLA</v>
          </cell>
        </row>
        <row r="1006">
          <cell r="A1006" t="str">
            <v>HL-MLA-PAR-DE-NE-HS</v>
          </cell>
          <cell r="B1006" t="str">
            <v>MANILLA PARCHE DERECHA - NEGRA - HS</v>
          </cell>
          <cell r="C1006">
            <v>84</v>
          </cell>
          <cell r="D1006">
            <v>46167</v>
          </cell>
          <cell r="E1006">
            <v>0</v>
          </cell>
          <cell r="F1006" t="str">
            <v>NEGRO</v>
          </cell>
          <cell r="G1006" t="str">
            <v>MANILLA</v>
          </cell>
        </row>
        <row r="1007">
          <cell r="A1007" t="str">
            <v>HL-MLA-PTA-MR-FS</v>
          </cell>
          <cell r="B1007" t="str">
            <v>MANILLA PUERTA ABATIR 25/92 mm - MARRON - FB</v>
          </cell>
          <cell r="C1007">
            <v>300</v>
          </cell>
          <cell r="D1007">
            <v>45957</v>
          </cell>
          <cell r="E1007">
            <v>0.44919999999999999</v>
          </cell>
          <cell r="F1007" t="str">
            <v>MARRON</v>
          </cell>
          <cell r="G1007" t="str">
            <v>MANILLA</v>
          </cell>
        </row>
        <row r="1008">
          <cell r="A1008" t="str">
            <v>HL-MLA-PTA-NE-FS</v>
          </cell>
          <cell r="B1008" t="str">
            <v>MANILLA PUERTA ABATIR 25/92 mm - NEGRO - FB</v>
          </cell>
          <cell r="C1008">
            <v>244</v>
          </cell>
          <cell r="D1008">
            <v>45957</v>
          </cell>
          <cell r="E1008">
            <v>0.44919999999999999</v>
          </cell>
          <cell r="F1008" t="str">
            <v>NEGRO</v>
          </cell>
          <cell r="G1008" t="str">
            <v>MANILLA</v>
          </cell>
        </row>
        <row r="1009">
          <cell r="A1009" t="str">
            <v>HL-PLA-BIS-3D-AD</v>
          </cell>
          <cell r="B1009" t="str">
            <v>PLANTILLA BISAGRA 3D - AD</v>
          </cell>
          <cell r="C1009">
            <v>0</v>
          </cell>
          <cell r="D1009">
            <v>44946</v>
          </cell>
          <cell r="E1009">
            <v>0.31</v>
          </cell>
          <cell r="F1009" t="str">
            <v>NATURAL</v>
          </cell>
          <cell r="G1009" t="str">
            <v>HERRAMIENTAS</v>
          </cell>
        </row>
        <row r="1010">
          <cell r="A1010" t="str">
            <v>HL-PLA-BIS-3D-FB</v>
          </cell>
          <cell r="B1010" t="str">
            <v>PLANTILLA BISAGRA 3D - FB</v>
          </cell>
          <cell r="C1010">
            <v>0</v>
          </cell>
          <cell r="D1010">
            <v>45264</v>
          </cell>
          <cell r="E1010">
            <v>0</v>
          </cell>
          <cell r="F1010" t="str">
            <v>NATURAL</v>
          </cell>
          <cell r="G1010" t="str">
            <v>HERRAMIENTAS</v>
          </cell>
        </row>
        <row r="1011">
          <cell r="A1011" t="str">
            <v>HL-PLT-ACR-MA</v>
          </cell>
          <cell r="B1011" t="str">
            <v>PALETA DE ACRISTALAR - MA</v>
          </cell>
          <cell r="C1011">
            <v>22</v>
          </cell>
          <cell r="D1011">
            <v>46126</v>
          </cell>
          <cell r="E1011">
            <v>0.14000000000000001</v>
          </cell>
          <cell r="F1011" t="str">
            <v>NEGRO</v>
          </cell>
          <cell r="G1011" t="str">
            <v>HERRAMIENTAS</v>
          </cell>
        </row>
        <row r="1012">
          <cell r="A1012" t="str">
            <v>HL-PV-PTA-DER</v>
          </cell>
          <cell r="B1012" t="str">
            <v>PIVOTE DE PUERTA DERECHO - GU</v>
          </cell>
          <cell r="C1012">
            <v>4</v>
          </cell>
          <cell r="D1012">
            <v>46142</v>
          </cell>
          <cell r="E1012">
            <v>0</v>
          </cell>
          <cell r="F1012" t="str">
            <v>NATURAL</v>
          </cell>
          <cell r="G1012" t="str">
            <v>BISAGRAS</v>
          </cell>
        </row>
        <row r="1013">
          <cell r="A1013" t="str">
            <v>HL-PV-PTA-IZQ</v>
          </cell>
          <cell r="B1013" t="str">
            <v>PIVOTE DE PUERTA IZQUIERDO - GU</v>
          </cell>
          <cell r="C1013">
            <v>3</v>
          </cell>
          <cell r="D1013">
            <v>46142</v>
          </cell>
          <cell r="E1013">
            <v>0</v>
          </cell>
          <cell r="F1013" t="str">
            <v>NATURAL</v>
          </cell>
          <cell r="G1013" t="str">
            <v>BISAGRAS</v>
          </cell>
        </row>
        <row r="1014">
          <cell r="A1014" t="str">
            <v>HL-RCC124-ST</v>
          </cell>
          <cell r="B1014" t="str">
            <v>ROLLO CARTON CORRUGADO</v>
          </cell>
          <cell r="C1014">
            <v>0</v>
          </cell>
          <cell r="D1014">
            <v>45929</v>
          </cell>
          <cell r="E1014">
            <v>0</v>
          </cell>
          <cell r="F1014" t="str">
            <v>TOFFE</v>
          </cell>
        </row>
        <row r="1015">
          <cell r="A1015" t="str">
            <v>HL-RFS18T-ST</v>
          </cell>
          <cell r="B1015" t="str">
            <v>ROLLO FILM STRECH (TRANSPARENTE)</v>
          </cell>
          <cell r="C1015">
            <v>0</v>
          </cell>
          <cell r="D1015">
            <v>45944</v>
          </cell>
          <cell r="E1015">
            <v>0</v>
          </cell>
          <cell r="F1015" t="str">
            <v>NATURAL</v>
          </cell>
        </row>
        <row r="1016">
          <cell r="A1016" t="str">
            <v>HL-SLAD-290-BL-HQ</v>
          </cell>
          <cell r="B1016" t="str">
            <v>SILICONA ADHESIVA SOUDAL 290 gr BLANCO - HQ</v>
          </cell>
          <cell r="C1016">
            <v>0</v>
          </cell>
          <cell r="D1016">
            <v>45978</v>
          </cell>
          <cell r="E1016">
            <v>0</v>
          </cell>
          <cell r="F1016" t="str">
            <v>BLANCO</v>
          </cell>
          <cell r="G1016" t="str">
            <v>SILICONA</v>
          </cell>
        </row>
        <row r="1017">
          <cell r="A1017" t="str">
            <v>HL-SLC-290-AN-FS</v>
          </cell>
          <cell r="B1017" t="str">
            <v>SILICONA NEUTRA 290 gr ANTHR - FS</v>
          </cell>
          <cell r="C1017">
            <v>0</v>
          </cell>
          <cell r="D1017">
            <v>46139</v>
          </cell>
          <cell r="E1017">
            <v>0.49</v>
          </cell>
          <cell r="F1017" t="str">
            <v>GRAFITO</v>
          </cell>
          <cell r="G1017" t="str">
            <v>SILICONA</v>
          </cell>
        </row>
        <row r="1018">
          <cell r="A1018" t="str">
            <v>HL-SLC-290-BL-FS</v>
          </cell>
          <cell r="B1018" t="str">
            <v>SILICONA NEUTRA 290 gr BLANCO - FS</v>
          </cell>
          <cell r="C1018">
            <v>311</v>
          </cell>
          <cell r="D1018">
            <v>46060</v>
          </cell>
          <cell r="E1018">
            <v>0.49</v>
          </cell>
          <cell r="F1018" t="str">
            <v>BLANCO</v>
          </cell>
          <cell r="G1018" t="str">
            <v>SILICONA</v>
          </cell>
        </row>
        <row r="1019">
          <cell r="A1019" t="str">
            <v>HL-SLC-290-MR-FS</v>
          </cell>
          <cell r="B1019" t="str">
            <v>SILICONA NEUTRA 290 gr MARRON - FS</v>
          </cell>
          <cell r="C1019">
            <v>451</v>
          </cell>
          <cell r="D1019">
            <v>45826</v>
          </cell>
          <cell r="E1019">
            <v>0.49</v>
          </cell>
          <cell r="F1019" t="str">
            <v>MARRON</v>
          </cell>
          <cell r="G1019" t="str">
            <v>SILICONA</v>
          </cell>
        </row>
        <row r="1020">
          <cell r="A1020" t="str">
            <v>HL-SLC-290-NE-FS</v>
          </cell>
          <cell r="B1020" t="str">
            <v>SILICONA NEUTRA 290 gr NEGRO - FS</v>
          </cell>
          <cell r="C1020">
            <v>0</v>
          </cell>
          <cell r="D1020">
            <v>45607</v>
          </cell>
          <cell r="E1020">
            <v>0.49</v>
          </cell>
          <cell r="F1020" t="str">
            <v>NEGRO</v>
          </cell>
          <cell r="G1020" t="str">
            <v>SILICONA</v>
          </cell>
        </row>
        <row r="1021">
          <cell r="A1021" t="str">
            <v>HL-SLC-290-TO-FS</v>
          </cell>
          <cell r="B1021" t="str">
            <v>SILICONA NEUTRA 290 gr TOFFE - FS</v>
          </cell>
          <cell r="C1021">
            <v>50</v>
          </cell>
          <cell r="D1021">
            <v>46060</v>
          </cell>
          <cell r="E1021">
            <v>0.49</v>
          </cell>
          <cell r="F1021" t="str">
            <v>TOFFE</v>
          </cell>
          <cell r="G1021" t="str">
            <v>SILICONA</v>
          </cell>
        </row>
        <row r="1022">
          <cell r="A1022" t="str">
            <v>HL-SLC-300-BK-DV</v>
          </cell>
          <cell r="B1022" t="str">
            <v>SILICONA NEUTRA 300 gr - NEGRO- DV</v>
          </cell>
          <cell r="C1022">
            <v>0</v>
          </cell>
          <cell r="D1022"/>
          <cell r="E1022">
            <v>0.36</v>
          </cell>
          <cell r="F1022" t="str">
            <v>NEGRO</v>
          </cell>
          <cell r="G1022" t="str">
            <v>SILICONA</v>
          </cell>
        </row>
        <row r="1023">
          <cell r="A1023" t="str">
            <v>HL-SLC-300-BK-SP</v>
          </cell>
          <cell r="B1023" t="str">
            <v>SILICONA NEUTRA 300 gr - NEGRO- SP</v>
          </cell>
          <cell r="C1023">
            <v>0</v>
          </cell>
          <cell r="D1023">
            <v>45530</v>
          </cell>
          <cell r="E1023">
            <v>0</v>
          </cell>
          <cell r="F1023" t="str">
            <v>NATURAL</v>
          </cell>
          <cell r="G1023" t="str">
            <v>SILICONA</v>
          </cell>
        </row>
        <row r="1024">
          <cell r="A1024" t="str">
            <v>HL-SLC-300-BL-DV</v>
          </cell>
          <cell r="B1024" t="str">
            <v>SILICONA NEUTRA 300 gr - BLANCO- DV</v>
          </cell>
          <cell r="C1024">
            <v>0</v>
          </cell>
          <cell r="D1024"/>
          <cell r="E1024">
            <v>0.36</v>
          </cell>
          <cell r="F1024" t="str">
            <v>BLANCO</v>
          </cell>
          <cell r="G1024" t="str">
            <v>SILICONA</v>
          </cell>
        </row>
        <row r="1025">
          <cell r="A1025" t="str">
            <v>HL-SLC-300-BL-HQ</v>
          </cell>
          <cell r="B1025" t="str">
            <v>SILICONA NEUTRA SOUDAL 300 gr BLANCO - HQ</v>
          </cell>
          <cell r="C1025">
            <v>0</v>
          </cell>
          <cell r="D1025">
            <v>45583</v>
          </cell>
          <cell r="E1025">
            <v>0.36</v>
          </cell>
          <cell r="F1025" t="str">
            <v>BLANCO</v>
          </cell>
          <cell r="G1025" t="str">
            <v>SILICONA</v>
          </cell>
        </row>
        <row r="1026">
          <cell r="A1026" t="str">
            <v>HL-SLC-300-BL-SP</v>
          </cell>
          <cell r="B1026" t="str">
            <v>SILICONA NEUTRA 300 gr - BLANCO- SP</v>
          </cell>
          <cell r="C1026">
            <v>0</v>
          </cell>
          <cell r="D1026">
            <v>45245</v>
          </cell>
          <cell r="E1026">
            <v>0</v>
          </cell>
          <cell r="F1026" t="str">
            <v>NATURAL</v>
          </cell>
          <cell r="G1026" t="str">
            <v>SILICONA</v>
          </cell>
        </row>
        <row r="1027">
          <cell r="A1027" t="str">
            <v>HL-SLC-300-GR-DV</v>
          </cell>
          <cell r="B1027" t="str">
            <v>SILICONA NEUTRA 300 gr - GRAFITO- DV</v>
          </cell>
          <cell r="C1027">
            <v>0</v>
          </cell>
          <cell r="D1027"/>
          <cell r="E1027">
            <v>0.36</v>
          </cell>
          <cell r="F1027" t="str">
            <v>GRAFITO</v>
          </cell>
          <cell r="G1027" t="str">
            <v>SILICONA</v>
          </cell>
        </row>
        <row r="1028">
          <cell r="A1028" t="str">
            <v>HL-SLC-300-GR-HQ</v>
          </cell>
          <cell r="B1028" t="str">
            <v>SILICONA NEUTRA SOUDAL 300 gr GRAFITO - HQ</v>
          </cell>
          <cell r="C1028">
            <v>0</v>
          </cell>
          <cell r="D1028">
            <v>45576</v>
          </cell>
          <cell r="E1028">
            <v>0.36</v>
          </cell>
          <cell r="F1028" t="str">
            <v>GRAFITO</v>
          </cell>
          <cell r="G1028" t="str">
            <v>SILICONA</v>
          </cell>
        </row>
        <row r="1029">
          <cell r="A1029" t="str">
            <v>HL-SLC-300-GR-SP</v>
          </cell>
          <cell r="B1029" t="str">
            <v>SILICONA NEUTRA 300 gr - GRAFITO- SP</v>
          </cell>
          <cell r="C1029">
            <v>0</v>
          </cell>
          <cell r="D1029">
            <v>45224</v>
          </cell>
          <cell r="E1029">
            <v>0</v>
          </cell>
          <cell r="F1029" t="str">
            <v>NATURAL</v>
          </cell>
          <cell r="G1029" t="str">
            <v>SILICONA</v>
          </cell>
        </row>
        <row r="1030">
          <cell r="A1030" t="str">
            <v>HL-SLC-300-MR-DV</v>
          </cell>
          <cell r="B1030" t="str">
            <v>SILICONA NEUTRA 300 gr - MARRON- DV</v>
          </cell>
          <cell r="C1030">
            <v>0</v>
          </cell>
          <cell r="D1030">
            <v>44561</v>
          </cell>
          <cell r="E1030">
            <v>0.36</v>
          </cell>
          <cell r="F1030" t="str">
            <v>MARRON</v>
          </cell>
          <cell r="G1030" t="str">
            <v>SILICONA</v>
          </cell>
        </row>
        <row r="1031">
          <cell r="A1031" t="str">
            <v>HL-SLC-300-MR-HQ</v>
          </cell>
          <cell r="B1031" t="str">
            <v>SILICONA NEUTRA SOUDAL 300 gr MARRON - HQ</v>
          </cell>
          <cell r="C1031">
            <v>0</v>
          </cell>
          <cell r="D1031">
            <v>45761</v>
          </cell>
          <cell r="E1031">
            <v>0.36</v>
          </cell>
          <cell r="F1031" t="str">
            <v>MARRON</v>
          </cell>
          <cell r="G1031" t="str">
            <v>SILICONA</v>
          </cell>
        </row>
        <row r="1032">
          <cell r="A1032" t="str">
            <v>HL-SLC-300-MR-SP</v>
          </cell>
          <cell r="B1032" t="str">
            <v>SILICONA NEUTRA 300 gr - MARRON- SP</v>
          </cell>
          <cell r="C1032">
            <v>0</v>
          </cell>
          <cell r="D1032">
            <v>45394</v>
          </cell>
          <cell r="E1032">
            <v>0</v>
          </cell>
          <cell r="F1032" t="str">
            <v>NATURAL</v>
          </cell>
          <cell r="G1032" t="str">
            <v>SILICONA</v>
          </cell>
        </row>
        <row r="1033">
          <cell r="A1033" t="str">
            <v>HL-SLC-300-NE-HQ</v>
          </cell>
          <cell r="B1033" t="str">
            <v>SILICONA NEUTRA SOUDAL 300 gr NEGRO - HQ</v>
          </cell>
          <cell r="C1033">
            <v>0</v>
          </cell>
          <cell r="D1033">
            <v>45590</v>
          </cell>
          <cell r="E1033">
            <v>0.36</v>
          </cell>
          <cell r="F1033" t="str">
            <v>NEGRO</v>
          </cell>
          <cell r="G1033" t="str">
            <v>SILICONA</v>
          </cell>
        </row>
        <row r="1034">
          <cell r="A1034" t="str">
            <v>HL-SLC-300-TO-DV</v>
          </cell>
          <cell r="B1034" t="str">
            <v>SILICONA NEUTRA 300 gr - TOFFE- DV</v>
          </cell>
          <cell r="C1034">
            <v>0</v>
          </cell>
          <cell r="D1034"/>
          <cell r="E1034">
            <v>0.36</v>
          </cell>
          <cell r="F1034" t="str">
            <v>TOFFE</v>
          </cell>
          <cell r="G1034" t="str">
            <v>SILICONA</v>
          </cell>
        </row>
        <row r="1035">
          <cell r="A1035" t="str">
            <v>HL-SLC-300-TO-HQ</v>
          </cell>
          <cell r="B1035" t="str">
            <v>SILICONA NEUTRA SOUDAL 300 gr TOFFE - HQ</v>
          </cell>
          <cell r="C1035">
            <v>0</v>
          </cell>
          <cell r="D1035">
            <v>45754</v>
          </cell>
          <cell r="E1035">
            <v>0.36</v>
          </cell>
          <cell r="F1035" t="str">
            <v>TOFFE</v>
          </cell>
          <cell r="G1035" t="str">
            <v>SILICONA</v>
          </cell>
        </row>
        <row r="1036">
          <cell r="A1036" t="str">
            <v>HL-SLC-300-TO-SP</v>
          </cell>
          <cell r="B1036" t="str">
            <v>SILICONA NEUTRA 300 gr - TOFFE- SP</v>
          </cell>
          <cell r="C1036">
            <v>0</v>
          </cell>
          <cell r="D1036">
            <v>45530</v>
          </cell>
          <cell r="E1036">
            <v>0</v>
          </cell>
          <cell r="F1036" t="str">
            <v>NATURAL</v>
          </cell>
          <cell r="G1036" t="str">
            <v>SILICONA</v>
          </cell>
        </row>
        <row r="1037">
          <cell r="A1037" t="str">
            <v>HL-SUP-140-280-FB</v>
          </cell>
          <cell r="B1037" t="str">
            <v>SUPLEMENTO CARRO PABOSE 140 KG - 280 KG - FB</v>
          </cell>
          <cell r="C1037">
            <v>225</v>
          </cell>
          <cell r="D1037">
            <v>46032</v>
          </cell>
          <cell r="E1037">
            <v>2.5999999999999999E-3</v>
          </cell>
          <cell r="F1037" t="str">
            <v>NEGRO</v>
          </cell>
          <cell r="G1037" t="str">
            <v>CARRO</v>
          </cell>
        </row>
        <row r="1038">
          <cell r="A1038" t="str">
            <v>HL-SUP-CRR-10-HQ</v>
          </cell>
          <cell r="B1038" t="str">
            <v>SUPLEMENTO CARROS CELSUS 10 mm - HQ</v>
          </cell>
          <cell r="C1038">
            <v>0</v>
          </cell>
          <cell r="D1038"/>
          <cell r="E1038">
            <v>0</v>
          </cell>
          <cell r="F1038" t="str">
            <v>GRIS</v>
          </cell>
          <cell r="G1038" t="str">
            <v>CARRO</v>
          </cell>
        </row>
        <row r="1039">
          <cell r="A1039" t="str">
            <v>HL-SUP-CRR-6-HQ</v>
          </cell>
          <cell r="B1039" t="str">
            <v>SUPLEMENTO CARROS CELSUS 6 mm - HQ</v>
          </cell>
          <cell r="C1039">
            <v>192</v>
          </cell>
          <cell r="D1039">
            <v>46176</v>
          </cell>
          <cell r="E1039">
            <v>3.2000000000000002E-3</v>
          </cell>
          <cell r="F1039" t="str">
            <v>GRIS</v>
          </cell>
          <cell r="G1039" t="str">
            <v>CARRO</v>
          </cell>
        </row>
        <row r="1040">
          <cell r="A1040" t="str">
            <v>HL-SUP-CRR-8-HQ</v>
          </cell>
          <cell r="B1040" t="str">
            <v>SUPLEMENTO CARROS CELSUS 8 mm - HQ</v>
          </cell>
          <cell r="C1040">
            <v>874</v>
          </cell>
          <cell r="D1040">
            <v>46176</v>
          </cell>
          <cell r="E1040">
            <v>4.4000000000000003E-3</v>
          </cell>
          <cell r="F1040" t="str">
            <v>GRIS</v>
          </cell>
          <cell r="G1040" t="str">
            <v>CARRO</v>
          </cell>
        </row>
        <row r="1041">
          <cell r="A1041" t="str">
            <v>HL-SUP-HCF-MA</v>
          </cell>
          <cell r="B1041" t="str">
            <v>SUPLE HOJA CORREDERA A FIJA - MA</v>
          </cell>
          <cell r="C1041">
            <v>2998</v>
          </cell>
          <cell r="D1041">
            <v>46184</v>
          </cell>
          <cell r="E1041">
            <v>0.01</v>
          </cell>
          <cell r="F1041" t="str">
            <v>NEGRO</v>
          </cell>
          <cell r="G1041" t="str">
            <v>CARRO</v>
          </cell>
        </row>
        <row r="1042">
          <cell r="A1042" t="str">
            <v>HL-SUP-PT-BL</v>
          </cell>
          <cell r="B1042" t="str">
            <v>SUPLE POSTE T S60 - BL</v>
          </cell>
          <cell r="C1042">
            <v>1665</v>
          </cell>
          <cell r="D1042">
            <v>45661</v>
          </cell>
          <cell r="E1042">
            <v>1.9E-3</v>
          </cell>
          <cell r="F1042" t="str">
            <v>NEGRO</v>
          </cell>
          <cell r="G1042" t="str">
            <v>ACCESORIOS</v>
          </cell>
        </row>
        <row r="1043">
          <cell r="A1043" t="str">
            <v>HL-TEL-CPTEF-25-MS</v>
          </cell>
          <cell r="B1043" t="str">
            <v>TELA TEFLON C/ PEGAMENTO 0,22 mm MT2 - MS</v>
          </cell>
          <cell r="C1043">
            <v>21</v>
          </cell>
          <cell r="D1043">
            <v>45960</v>
          </cell>
          <cell r="E1043">
            <v>0.15</v>
          </cell>
          <cell r="F1043" t="str">
            <v>NATURAL</v>
          </cell>
          <cell r="G1043" t="str">
            <v>HERRAMIENTAS</v>
          </cell>
        </row>
        <row r="1044">
          <cell r="A1044" t="str">
            <v>HL-TEL-TEF-25-MS</v>
          </cell>
          <cell r="B1044" t="str">
            <v>TELA TEFLON 0,22 mm MT2 - MS</v>
          </cell>
          <cell r="C1044">
            <v>23</v>
          </cell>
          <cell r="D1044">
            <v>45989</v>
          </cell>
          <cell r="E1044">
            <v>0.37619999999999998</v>
          </cell>
          <cell r="F1044" t="str">
            <v>MARRON</v>
          </cell>
          <cell r="G1044" t="str">
            <v>HERRAMIENTAS</v>
          </cell>
        </row>
        <row r="1045">
          <cell r="A1045" t="str">
            <v>HL-TEL-TEF-25-SE</v>
          </cell>
          <cell r="B1045" t="str">
            <v>TELA TEFLON 0,25 mm MT2 - SC</v>
          </cell>
          <cell r="C1045">
            <v>0</v>
          </cell>
          <cell r="D1045">
            <v>44562</v>
          </cell>
          <cell r="E1045">
            <v>0.48</v>
          </cell>
          <cell r="F1045" t="str">
            <v>TOFFE</v>
          </cell>
          <cell r="G1045" t="str">
            <v>HERRAMIENTAS</v>
          </cell>
        </row>
        <row r="1046">
          <cell r="A1046" t="str">
            <v>HL-TIA-BUR-PTA-10MM</v>
          </cell>
          <cell r="B1046" t="str">
            <v>BURLETE PUERTA 10 MM</v>
          </cell>
          <cell r="C1046">
            <v>9</v>
          </cell>
          <cell r="D1046">
            <v>46090</v>
          </cell>
          <cell r="E1046">
            <v>0</v>
          </cell>
          <cell r="F1046" t="str">
            <v>NATURAL</v>
          </cell>
          <cell r="G1046" t="str">
            <v>TIARA - SLIM</v>
          </cell>
        </row>
        <row r="1047">
          <cell r="A1047" t="str">
            <v>HL-TIA-BUR-VV-10MM</v>
          </cell>
          <cell r="B1047" t="str">
            <v>BURLETE VIDRIO/VIDRIO (H) 10 MM</v>
          </cell>
          <cell r="C1047">
            <v>27</v>
          </cell>
          <cell r="D1047">
            <v>46090</v>
          </cell>
          <cell r="E1047">
            <v>0</v>
          </cell>
          <cell r="F1047" t="str">
            <v>NATURAL</v>
          </cell>
          <cell r="G1047" t="str">
            <v>TIARA - SLIM</v>
          </cell>
        </row>
        <row r="1048">
          <cell r="A1048" t="str">
            <v>HL-TIA-FP-48X80</v>
          </cell>
          <cell r="B1048" t="str">
            <v>FELPA 48X80</v>
          </cell>
          <cell r="C1048">
            <v>204</v>
          </cell>
          <cell r="D1048">
            <v>46090</v>
          </cell>
          <cell r="E1048">
            <v>0</v>
          </cell>
          <cell r="F1048" t="str">
            <v>GRIS</v>
          </cell>
          <cell r="G1048" t="str">
            <v>TIARA - SLIM</v>
          </cell>
        </row>
        <row r="1049">
          <cell r="A1049" t="str">
            <v>HL-TIA-FP-INOX</v>
          </cell>
          <cell r="B1049" t="str">
            <v>FIJACIÓN PANELES INOX</v>
          </cell>
          <cell r="C1049">
            <v>18</v>
          </cell>
          <cell r="D1049">
            <v>46090</v>
          </cell>
          <cell r="E1049">
            <v>0</v>
          </cell>
          <cell r="F1049" t="str">
            <v>NEGRO</v>
          </cell>
          <cell r="G1049" t="str">
            <v>TIARA - SLIM</v>
          </cell>
        </row>
        <row r="1050">
          <cell r="A1050" t="str">
            <v>HL-TIA-KIT-ACA-90X30</v>
          </cell>
          <cell r="B1050" t="str">
            <v>KIT ACOPLE ANGULAR 90X30</v>
          </cell>
          <cell r="C1050">
            <v>16</v>
          </cell>
          <cell r="D1050">
            <v>45971</v>
          </cell>
          <cell r="E1050">
            <v>0</v>
          </cell>
          <cell r="F1050" t="str">
            <v>NATURAL</v>
          </cell>
          <cell r="G1050" t="str">
            <v>TIARA - SLIM</v>
          </cell>
        </row>
        <row r="1051">
          <cell r="A1051" t="str">
            <v>HL-TIA-KIT-CA</v>
          </cell>
          <cell r="B1051" t="str">
            <v>KIT COMPENSACION ALTURA</v>
          </cell>
          <cell r="C1051">
            <v>67</v>
          </cell>
          <cell r="D1051">
            <v>46090</v>
          </cell>
          <cell r="E1051">
            <v>0</v>
          </cell>
          <cell r="F1051" t="str">
            <v>NATURAL</v>
          </cell>
          <cell r="G1051" t="str">
            <v>TIARA - SLIM</v>
          </cell>
        </row>
        <row r="1052">
          <cell r="A1052" t="str">
            <v>HL-TIA-KIT-HC</v>
          </cell>
          <cell r="B1052" t="str">
            <v>KIT HOJA CORREDERA TIARA SLIM</v>
          </cell>
          <cell r="C1052">
            <v>54</v>
          </cell>
          <cell r="D1052">
            <v>46090</v>
          </cell>
          <cell r="E1052">
            <v>0</v>
          </cell>
          <cell r="F1052" t="str">
            <v>GRIS</v>
          </cell>
          <cell r="G1052" t="str">
            <v>TIARA - SLIM</v>
          </cell>
        </row>
        <row r="1053">
          <cell r="A1053" t="str">
            <v>HL-TIA-KIT-HP</v>
          </cell>
          <cell r="B1053" t="str">
            <v>KIT HOJA PUERTA TIARA SLIM - TIRADOR</v>
          </cell>
          <cell r="C1053">
            <v>18</v>
          </cell>
          <cell r="D1053">
            <v>46090</v>
          </cell>
          <cell r="E1053">
            <v>0</v>
          </cell>
          <cell r="F1053" t="str">
            <v>NEGRO</v>
          </cell>
          <cell r="G1053" t="str">
            <v>TIARA - SLIM</v>
          </cell>
        </row>
        <row r="1054">
          <cell r="A1054" t="str">
            <v>HL-TIA-KIT-PF-10</v>
          </cell>
          <cell r="B1054" t="str">
            <v>KIT PANELES FIJOS TIARA SLIM 10 MM</v>
          </cell>
          <cell r="C1054">
            <v>10</v>
          </cell>
          <cell r="D1054">
            <v>46006</v>
          </cell>
          <cell r="E1054">
            <v>0</v>
          </cell>
          <cell r="F1054" t="str">
            <v>GRIS</v>
          </cell>
          <cell r="G1054" t="str">
            <v>TIARA - SLIM</v>
          </cell>
        </row>
        <row r="1055">
          <cell r="A1055" t="str">
            <v>HL-TIA-KIT-TP90-54X32</v>
          </cell>
          <cell r="B1055" t="str">
            <v>KIT TAPAS ÁNGULO 90° 54X32</v>
          </cell>
          <cell r="C1055">
            <v>16</v>
          </cell>
          <cell r="D1055">
            <v>46032</v>
          </cell>
          <cell r="E1055">
            <v>0</v>
          </cell>
          <cell r="F1055" t="str">
            <v>NEGRO</v>
          </cell>
          <cell r="G1055" t="str">
            <v>TIARA - SLIM</v>
          </cell>
        </row>
        <row r="1056">
          <cell r="A1056" t="str">
            <v>HL-TIA-SET-PT-AD</v>
          </cell>
          <cell r="B1056" t="str">
            <v>SET TIARA PARA PUNTOS DE SALIDA ADICIONAL</v>
          </cell>
          <cell r="C1056">
            <v>1</v>
          </cell>
          <cell r="D1056">
            <v>46001</v>
          </cell>
          <cell r="E1056">
            <v>0</v>
          </cell>
          <cell r="F1056" t="str">
            <v>NEGRO</v>
          </cell>
          <cell r="G1056" t="str">
            <v>TIARA - SLIM</v>
          </cell>
        </row>
        <row r="1057">
          <cell r="A1057" t="str">
            <v>HL-TOR-AMO-75-100-MA</v>
          </cell>
          <cell r="B1057" t="str">
            <v>TORNILLO AMO III 7,5 x 100 - MA</v>
          </cell>
          <cell r="C1057">
            <v>4050</v>
          </cell>
          <cell r="D1057">
            <v>45123</v>
          </cell>
          <cell r="E1057">
            <v>0.02</v>
          </cell>
          <cell r="F1057" t="str">
            <v>NATURAL</v>
          </cell>
          <cell r="G1057" t="str">
            <v>TORNILLO</v>
          </cell>
        </row>
        <row r="1058">
          <cell r="A1058" t="str">
            <v>HL-TOR-AMO-75-80-MA</v>
          </cell>
          <cell r="B1058" t="str">
            <v>TORNILLO AMO III 7,5 x 80 - MA</v>
          </cell>
          <cell r="C1058">
            <v>0</v>
          </cell>
          <cell r="D1058">
            <v>44825</v>
          </cell>
          <cell r="E1058">
            <v>0.02</v>
          </cell>
          <cell r="F1058" t="str">
            <v>NATURAL</v>
          </cell>
          <cell r="G1058" t="str">
            <v>TORNILLO</v>
          </cell>
        </row>
        <row r="1059">
          <cell r="A1059" t="str">
            <v>HL-TOR-AUT-39-13-MA</v>
          </cell>
          <cell r="B1059" t="str">
            <v>TORNILLO AUTOPERFORANTE 3,9 x 13 - MA</v>
          </cell>
          <cell r="C1059">
            <v>36821</v>
          </cell>
          <cell r="D1059">
            <v>46060</v>
          </cell>
          <cell r="E1059">
            <v>8.0000000000000004E-4</v>
          </cell>
          <cell r="F1059" t="str">
            <v>NATURAL</v>
          </cell>
          <cell r="G1059" t="str">
            <v>TORNILLO</v>
          </cell>
        </row>
        <row r="1060">
          <cell r="A1060" t="str">
            <v>HL-TOR-AUT-39-16-MA</v>
          </cell>
          <cell r="B1060" t="str">
            <v>TORNILLO AUTOPERFORANTE 3,9 x 16 - MA</v>
          </cell>
          <cell r="C1060">
            <v>34862</v>
          </cell>
          <cell r="D1060">
            <v>45661</v>
          </cell>
          <cell r="E1060">
            <v>1E-3</v>
          </cell>
          <cell r="F1060" t="str">
            <v>NATURAL</v>
          </cell>
          <cell r="G1060" t="str">
            <v>TORNILLO</v>
          </cell>
        </row>
        <row r="1061">
          <cell r="A1061" t="str">
            <v>HL-TOR-AUT-39-19-MA</v>
          </cell>
          <cell r="B1061" t="str">
            <v>TORNILLO AUTOPERFORANTE 3,9 x 19 - MA</v>
          </cell>
          <cell r="C1061">
            <v>11000</v>
          </cell>
          <cell r="D1061">
            <v>46060</v>
          </cell>
          <cell r="E1061">
            <v>1.2999999999999999E-3</v>
          </cell>
          <cell r="F1061" t="str">
            <v>NATURAL</v>
          </cell>
          <cell r="G1061" t="str">
            <v>TORNILLO</v>
          </cell>
        </row>
        <row r="1062">
          <cell r="A1062" t="str">
            <v>HL-TOR-AUT-39-25-MA</v>
          </cell>
          <cell r="B1062" t="str">
            <v>TORNILLO AUTOPERFORANTE 3,9 x 25 - MA</v>
          </cell>
          <cell r="C1062">
            <v>4800</v>
          </cell>
          <cell r="D1062">
            <v>46060</v>
          </cell>
          <cell r="E1062">
            <v>1.6000000000000001E-3</v>
          </cell>
          <cell r="F1062" t="str">
            <v>NATURAL</v>
          </cell>
          <cell r="G1062" t="str">
            <v>TORNILLO</v>
          </cell>
        </row>
        <row r="1063">
          <cell r="A1063" t="str">
            <v>HL-TOR-AUT-4-75-MA</v>
          </cell>
          <cell r="B1063" t="str">
            <v>TORNILLO AUTOPERFORANTE 4 x 75- MA</v>
          </cell>
          <cell r="C1063">
            <v>2998</v>
          </cell>
          <cell r="D1063">
            <v>46184</v>
          </cell>
          <cell r="E1063">
            <v>4.7000000000000002E-3</v>
          </cell>
          <cell r="F1063" t="str">
            <v>NATURAL</v>
          </cell>
          <cell r="G1063" t="str">
            <v>TORNILLO</v>
          </cell>
        </row>
        <row r="1064">
          <cell r="A1064" t="str">
            <v>HL-TOR-AUT-42-100-MA</v>
          </cell>
          <cell r="B1064" t="str">
            <v>TORNILLO AUTOPERFORANTE 4,2 x 100 - MA</v>
          </cell>
          <cell r="C1064">
            <v>440</v>
          </cell>
          <cell r="D1064">
            <v>46168</v>
          </cell>
          <cell r="E1064">
            <v>1.2999999999999999E-3</v>
          </cell>
          <cell r="F1064" t="str">
            <v>NATURAL</v>
          </cell>
          <cell r="G1064" t="str">
            <v>TORNILLO</v>
          </cell>
        </row>
        <row r="1065">
          <cell r="A1065" t="str">
            <v>HL-TOR-CDB-4-98-MA</v>
          </cell>
          <cell r="B1065" t="str">
            <v>TORNILLO CABEZA DE BARRIL 4 x 9,8 - MA</v>
          </cell>
          <cell r="C1065">
            <v>1336</v>
          </cell>
          <cell r="D1065">
            <v>46106</v>
          </cell>
          <cell r="E1065">
            <v>2.3999999999999998E-3</v>
          </cell>
          <cell r="F1065" t="str">
            <v>NATURAL</v>
          </cell>
          <cell r="G1065" t="str">
            <v>TORNILLO</v>
          </cell>
        </row>
        <row r="1066">
          <cell r="A1066" t="str">
            <v>HL-TOR-MIL-5-45-MA</v>
          </cell>
          <cell r="B1066" t="str">
            <v>TORNILLO MILIMETRICO 5 x 45 - MA</v>
          </cell>
          <cell r="C1066">
            <v>0</v>
          </cell>
          <cell r="D1066">
            <v>44603</v>
          </cell>
          <cell r="E1066">
            <v>2.3999999999999998E-3</v>
          </cell>
          <cell r="F1066" t="str">
            <v>NATURAL</v>
          </cell>
          <cell r="G1066" t="str">
            <v>TORNILLO</v>
          </cell>
        </row>
        <row r="1067">
          <cell r="A1067" t="str">
            <v>HL-TOR-MIL-5-50</v>
          </cell>
          <cell r="B1067" t="str">
            <v>TORNILLO MILIMETRICO 5 x 50 - MA</v>
          </cell>
          <cell r="C1067">
            <v>0</v>
          </cell>
          <cell r="D1067">
            <v>44926</v>
          </cell>
          <cell r="E1067">
            <v>0.01</v>
          </cell>
          <cell r="F1067" t="str">
            <v>NATURAL</v>
          </cell>
          <cell r="G1067" t="str">
            <v>TORNILLO</v>
          </cell>
        </row>
        <row r="1068">
          <cell r="A1068" t="str">
            <v>HL-TOR-MIL-5-50-MA</v>
          </cell>
          <cell r="B1068" t="str">
            <v>TORNILLO MILIMETRICO M5 x 50 -MA</v>
          </cell>
          <cell r="C1068">
            <v>0</v>
          </cell>
          <cell r="D1068">
            <v>45352</v>
          </cell>
          <cell r="E1068">
            <v>0.01</v>
          </cell>
          <cell r="F1068" t="str">
            <v>NATURAL</v>
          </cell>
          <cell r="G1068" t="str">
            <v>TORNILLO</v>
          </cell>
        </row>
        <row r="1069">
          <cell r="A1069" t="str">
            <v>HL-TOR-MIL-5-55-MA</v>
          </cell>
          <cell r="B1069" t="str">
            <v>TORNILLO MILIMETRICO M5 x 55 -MA</v>
          </cell>
          <cell r="C1069">
            <v>724</v>
          </cell>
          <cell r="D1069">
            <v>46171</v>
          </cell>
          <cell r="E1069">
            <v>6.9999999999999999E-4</v>
          </cell>
          <cell r="F1069" t="str">
            <v>NATURAL</v>
          </cell>
          <cell r="G1069" t="str">
            <v>TORNILLO</v>
          </cell>
        </row>
        <row r="1070">
          <cell r="A1070" t="str">
            <v>HL-TOR-PAU-42-20-MA</v>
          </cell>
          <cell r="B1070" t="str">
            <v>TORNILLO PUNTA AGUJA 4,2 x 20 - MA</v>
          </cell>
          <cell r="C1070">
            <v>19007</v>
          </cell>
          <cell r="D1070">
            <v>46184</v>
          </cell>
          <cell r="E1070">
            <v>1.1000000000000001E-3</v>
          </cell>
          <cell r="F1070" t="str">
            <v>NATURAL</v>
          </cell>
          <cell r="G1070" t="str">
            <v>TORNILLO</v>
          </cell>
        </row>
        <row r="1071">
          <cell r="A1071" t="str">
            <v>HL-TOR-PAU-42-38-MA</v>
          </cell>
          <cell r="B1071" t="str">
            <v>TORNILLO PUNTA AGUJA 4,2 x 38 - MA</v>
          </cell>
          <cell r="C1071">
            <v>100</v>
          </cell>
          <cell r="D1071">
            <v>46032</v>
          </cell>
          <cell r="E1071">
            <v>2.0999999999999999E-3</v>
          </cell>
          <cell r="F1071" t="str">
            <v>NATURAL</v>
          </cell>
          <cell r="G1071" t="str">
            <v>TORNILLO</v>
          </cell>
        </row>
        <row r="1072">
          <cell r="A1072" t="str">
            <v>HL-TOR-PAU-42-75-MA</v>
          </cell>
          <cell r="B1072" t="str">
            <v>TORNILLO PUNTA AGUJA 4,2 x 75 - MA</v>
          </cell>
          <cell r="C1072">
            <v>2294</v>
          </cell>
          <cell r="D1072">
            <v>46184</v>
          </cell>
          <cell r="E1072">
            <v>0.01</v>
          </cell>
          <cell r="F1072" t="str">
            <v>NATURAL</v>
          </cell>
          <cell r="G1072" t="str">
            <v>TORNILLO</v>
          </cell>
        </row>
        <row r="1073">
          <cell r="A1073" t="str">
            <v>HL-TOR-PUA-39-25</v>
          </cell>
          <cell r="B1073" t="str">
            <v>TORNILLO PUNTA AGUJA 3,9 x 25</v>
          </cell>
          <cell r="C1073">
            <v>0</v>
          </cell>
          <cell r="D1073">
            <v>44561</v>
          </cell>
          <cell r="E1073">
            <v>1.6000000000000001E-3</v>
          </cell>
          <cell r="F1073" t="str">
            <v>NATURAL</v>
          </cell>
          <cell r="G1073" t="str">
            <v>TORNILLO</v>
          </cell>
        </row>
        <row r="1074">
          <cell r="A1074" t="str">
            <v>HL-TOR-PUA-42-25-MA</v>
          </cell>
          <cell r="B1074" t="str">
            <v>TORNILLO PUNTA AGUJA 4,2 x 25 - MA</v>
          </cell>
          <cell r="C1074">
            <v>15000</v>
          </cell>
          <cell r="D1074">
            <v>45748</v>
          </cell>
          <cell r="E1074">
            <v>1.6000000000000001E-3</v>
          </cell>
          <cell r="F1074" t="str">
            <v>NATURAL</v>
          </cell>
          <cell r="G1074" t="str">
            <v>TORNILLO</v>
          </cell>
        </row>
        <row r="1075">
          <cell r="A1075" t="str">
            <v>HL-TOR-PUA-42-45</v>
          </cell>
          <cell r="B1075" t="str">
            <v>TORNILLO PUNTA AGUJA 4,2 x 45</v>
          </cell>
          <cell r="C1075">
            <v>0</v>
          </cell>
          <cell r="D1075">
            <v>45526</v>
          </cell>
          <cell r="E1075">
            <v>2.0999999999999999E-3</v>
          </cell>
          <cell r="F1075" t="str">
            <v>NATURAL</v>
          </cell>
          <cell r="G1075" t="str">
            <v>TORNILLO</v>
          </cell>
        </row>
        <row r="1076">
          <cell r="A1076" t="str">
            <v>HL-ZP1220B-ST</v>
          </cell>
          <cell r="B1076" t="str">
            <v>ZUNCHO PP 12 mm 0.80 mm 2000 M BLANCO</v>
          </cell>
          <cell r="C1076">
            <v>0</v>
          </cell>
          <cell r="D1076"/>
          <cell r="E1076">
            <v>0</v>
          </cell>
          <cell r="F1076" t="str">
            <v>BLANCO</v>
          </cell>
        </row>
        <row r="1077">
          <cell r="A1077" t="str">
            <v>KFJ-K2-ADG</v>
          </cell>
          <cell r="B1077" t="str">
            <v>ARANDELAS</v>
          </cell>
          <cell r="C1077">
            <v>0</v>
          </cell>
          <cell r="D1077">
            <v>45309</v>
          </cell>
          <cell r="E1077">
            <v>0</v>
          </cell>
          <cell r="F1077" t="str">
            <v>NATURAL</v>
          </cell>
          <cell r="G1077" t="str">
            <v>HERRAJES - BARANDAS</v>
          </cell>
        </row>
        <row r="1078">
          <cell r="A1078" t="str">
            <v>KFJ-K2-BCV-10</v>
          </cell>
          <cell r="B1078" t="str">
            <v>BURLETE CONTRA VIDRIO 10mm</v>
          </cell>
          <cell r="C1078">
            <v>0</v>
          </cell>
          <cell r="D1078">
            <v>45298</v>
          </cell>
          <cell r="E1078">
            <v>0</v>
          </cell>
          <cell r="F1078" t="str">
            <v>NATURAL</v>
          </cell>
          <cell r="G1078" t="str">
            <v>HERRAJES - BARANDAS</v>
          </cell>
        </row>
        <row r="1079">
          <cell r="A1079" t="str">
            <v>KFJ-K2-BCV-10-B</v>
          </cell>
          <cell r="B1079" t="str">
            <v>BURLETE CONTRA VIDRIO 10mm - B</v>
          </cell>
          <cell r="C1079">
            <v>0</v>
          </cell>
          <cell r="D1079">
            <v>45245</v>
          </cell>
          <cell r="E1079">
            <v>0</v>
          </cell>
          <cell r="F1079" t="str">
            <v>NATURAL</v>
          </cell>
          <cell r="G1079" t="str">
            <v>BARANDAS</v>
          </cell>
        </row>
        <row r="1080">
          <cell r="A1080" t="str">
            <v>KFJ-K2-BCV-12</v>
          </cell>
          <cell r="B1080" t="str">
            <v>BURLETE CONTRA VIDRIO 12mm</v>
          </cell>
          <cell r="C1080">
            <v>0</v>
          </cell>
          <cell r="D1080">
            <v>45298</v>
          </cell>
          <cell r="E1080">
            <v>0</v>
          </cell>
          <cell r="F1080" t="str">
            <v>NATURAL</v>
          </cell>
          <cell r="G1080" t="str">
            <v>HERRAJES - BARANDAS</v>
          </cell>
        </row>
        <row r="1081">
          <cell r="A1081" t="str">
            <v>KFJ-K2-BCV-12-B</v>
          </cell>
          <cell r="B1081" t="str">
            <v>BURLETE CONTRA VIDRIO 12mm - B</v>
          </cell>
          <cell r="C1081">
            <v>0</v>
          </cell>
          <cell r="D1081">
            <v>45308</v>
          </cell>
          <cell r="E1081">
            <v>0</v>
          </cell>
          <cell r="F1081" t="str">
            <v>NATURAL</v>
          </cell>
          <cell r="G1081" t="str">
            <v>BARANDAS</v>
          </cell>
        </row>
        <row r="1082">
          <cell r="A1082" t="str">
            <v>KFJ-K2-BCV-16</v>
          </cell>
          <cell r="B1082" t="str">
            <v>BURLETE CONTRA VIDRIO 16mm</v>
          </cell>
          <cell r="C1082">
            <v>0</v>
          </cell>
          <cell r="D1082">
            <v>44951</v>
          </cell>
          <cell r="E1082">
            <v>0</v>
          </cell>
          <cell r="F1082" t="str">
            <v>NATURAL</v>
          </cell>
          <cell r="G1082" t="str">
            <v>HERRAJES - BARANDAS</v>
          </cell>
        </row>
        <row r="1083">
          <cell r="A1083" t="str">
            <v>KFJ-K2-BCV-16-B</v>
          </cell>
          <cell r="B1083" t="str">
            <v>BURLETE CONTRA VIDRIO 16mm - B</v>
          </cell>
          <cell r="C1083">
            <v>0</v>
          </cell>
          <cell r="E1083">
            <v>0</v>
          </cell>
          <cell r="F1083" t="str">
            <v>NATURAL</v>
          </cell>
          <cell r="G1083" t="str">
            <v>BARANDAS</v>
          </cell>
        </row>
        <row r="1084">
          <cell r="A1084" t="str">
            <v>KFJ-K2-BCV-20</v>
          </cell>
          <cell r="B1084" t="str">
            <v>BURLETE CONTRA VIDRIO 20mm</v>
          </cell>
          <cell r="C1084">
            <v>0</v>
          </cell>
          <cell r="D1084">
            <v>45298</v>
          </cell>
          <cell r="E1084">
            <v>0</v>
          </cell>
          <cell r="F1084" t="str">
            <v>NATURAL</v>
          </cell>
          <cell r="G1084" t="str">
            <v>HERRAJES - BARANDAS</v>
          </cell>
        </row>
        <row r="1085">
          <cell r="A1085" t="str">
            <v>KFJ-K2-BCV-20-B</v>
          </cell>
          <cell r="B1085" t="str">
            <v>BURLETE CONTRA VIDRIO 20mm - B</v>
          </cell>
          <cell r="C1085">
            <v>0</v>
          </cell>
          <cell r="D1085">
            <v>45174</v>
          </cell>
          <cell r="E1085">
            <v>0</v>
          </cell>
          <cell r="F1085" t="str">
            <v>NATURAL</v>
          </cell>
          <cell r="G1085" t="str">
            <v>BARANDAS</v>
          </cell>
        </row>
        <row r="1086">
          <cell r="A1086" t="str">
            <v>KFJ-K2-BRL</v>
          </cell>
          <cell r="B1086" t="str">
            <v>BURLETE RESPALDO L ( INFERIOR )</v>
          </cell>
          <cell r="C1086">
            <v>0</v>
          </cell>
          <cell r="D1086">
            <v>45298</v>
          </cell>
          <cell r="E1086">
            <v>0</v>
          </cell>
          <cell r="F1086" t="str">
            <v>NATURAL</v>
          </cell>
          <cell r="G1086" t="str">
            <v>HERRAJES - BARANDAS</v>
          </cell>
        </row>
        <row r="1087">
          <cell r="A1087" t="str">
            <v>KFJ-K2-BRS</v>
          </cell>
          <cell r="B1087" t="str">
            <v>BURLETE RESPALDO SUPERIOR</v>
          </cell>
          <cell r="C1087">
            <v>0</v>
          </cell>
          <cell r="D1087">
            <v>45298</v>
          </cell>
          <cell r="E1087">
            <v>0</v>
          </cell>
          <cell r="F1087" t="str">
            <v>NATURAL</v>
          </cell>
          <cell r="G1087" t="str">
            <v>HERRAJES - BARANDAS</v>
          </cell>
        </row>
        <row r="1088">
          <cell r="A1088" t="str">
            <v>KFJ-K2-BRS-B2</v>
          </cell>
          <cell r="B1088" t="str">
            <v>BURLETE RESPALDO SUPERIOR - B2</v>
          </cell>
          <cell r="C1088">
            <v>0</v>
          </cell>
          <cell r="D1088"/>
          <cell r="E1088">
            <v>0</v>
          </cell>
          <cell r="F1088" t="str">
            <v>NATURAL</v>
          </cell>
          <cell r="G1088" t="str">
            <v>BARANDAS</v>
          </cell>
        </row>
        <row r="1089">
          <cell r="A1089" t="str">
            <v>KFJ-K2-CZP-10</v>
          </cell>
          <cell r="B1089" t="str">
            <v>CALZOS PLÁSTICOS 10mm</v>
          </cell>
          <cell r="C1089">
            <v>0</v>
          </cell>
          <cell r="D1089">
            <v>45245</v>
          </cell>
          <cell r="E1089">
            <v>0</v>
          </cell>
          <cell r="F1089" t="str">
            <v>NATURAL</v>
          </cell>
          <cell r="G1089" t="str">
            <v>HERRAJES - BARANDAS</v>
          </cell>
        </row>
        <row r="1090">
          <cell r="A1090" t="str">
            <v>KFJ-K2-CZP-12</v>
          </cell>
          <cell r="B1090" t="str">
            <v>CALZOS PLÁSTICOS 12mm</v>
          </cell>
          <cell r="C1090">
            <v>0</v>
          </cell>
          <cell r="D1090">
            <v>45298</v>
          </cell>
          <cell r="E1090">
            <v>0</v>
          </cell>
          <cell r="F1090" t="str">
            <v>NATURAL</v>
          </cell>
          <cell r="G1090" t="str">
            <v>HERRAJES - BARANDAS</v>
          </cell>
        </row>
        <row r="1091">
          <cell r="A1091" t="str">
            <v>KFJ-K2-CZP-16</v>
          </cell>
          <cell r="B1091" t="str">
            <v>CALZOS PLÁSTICOS 16mm</v>
          </cell>
          <cell r="C1091">
            <v>0</v>
          </cell>
          <cell r="D1091">
            <v>44951</v>
          </cell>
          <cell r="E1091">
            <v>0</v>
          </cell>
          <cell r="F1091" t="str">
            <v>NATURAL</v>
          </cell>
          <cell r="G1091" t="str">
            <v>HERRAJES - BARANDAS</v>
          </cell>
        </row>
        <row r="1092">
          <cell r="A1092" t="str">
            <v>KFJ-K2-CZP-20</v>
          </cell>
          <cell r="B1092" t="str">
            <v>CALZOS PLÁSTICOS 20mm</v>
          </cell>
          <cell r="C1092">
            <v>0</v>
          </cell>
          <cell r="D1092">
            <v>45298</v>
          </cell>
          <cell r="E1092">
            <v>0</v>
          </cell>
          <cell r="F1092" t="str">
            <v>NATURAL</v>
          </cell>
          <cell r="G1092" t="str">
            <v>HERRAJES - BARANDAS</v>
          </cell>
        </row>
        <row r="1093">
          <cell r="A1093" t="str">
            <v>KFJ-K2-HERR</v>
          </cell>
          <cell r="B1093" t="str">
            <v>ESPATULA TRABA CALZOS</v>
          </cell>
          <cell r="C1093">
            <v>0</v>
          </cell>
          <cell r="D1093">
            <v>45245</v>
          </cell>
          <cell r="E1093">
            <v>0</v>
          </cell>
          <cell r="F1093" t="str">
            <v>NATURAL</v>
          </cell>
          <cell r="G1093" t="str">
            <v>HERRAJES - BARANDAS</v>
          </cell>
        </row>
        <row r="1094">
          <cell r="A1094" t="str">
            <v>KFJ-K2-PAL</v>
          </cell>
          <cell r="B1094" t="str">
            <v>PERNO ALINEACION</v>
          </cell>
          <cell r="C1094">
            <v>0</v>
          </cell>
          <cell r="D1094"/>
          <cell r="E1094">
            <v>0</v>
          </cell>
          <cell r="F1094" t="str">
            <v>NATURAL</v>
          </cell>
          <cell r="G1094" t="str">
            <v>HERRAJES - BARANDAS</v>
          </cell>
        </row>
        <row r="1095">
          <cell r="A1095" t="str">
            <v>KFJ-K2-TPV</v>
          </cell>
          <cell r="B1095" t="str">
            <v>TUERCAS PARA VARILLAS</v>
          </cell>
          <cell r="C1095">
            <v>0</v>
          </cell>
          <cell r="D1095">
            <v>45245</v>
          </cell>
          <cell r="E1095">
            <v>0</v>
          </cell>
          <cell r="F1095" t="str">
            <v>NATURAL</v>
          </cell>
          <cell r="G1095" t="str">
            <v>HERRAJES - BARANDAS</v>
          </cell>
        </row>
        <row r="1096">
          <cell r="A1096" t="str">
            <v>KFJ-K2-VRA</v>
          </cell>
          <cell r="B1096" t="str">
            <v>VARILLA ROSCADAS 3/8</v>
          </cell>
          <cell r="C1096">
            <v>0</v>
          </cell>
          <cell r="D1096">
            <v>45245</v>
          </cell>
          <cell r="E1096">
            <v>0</v>
          </cell>
          <cell r="F1096" t="str">
            <v>NATURAL</v>
          </cell>
          <cell r="G1096" t="str">
            <v>HERRAJES - BARANDAS</v>
          </cell>
        </row>
        <row r="1097">
          <cell r="A1097" t="str">
            <v>MAN-CAR-S60</v>
          </cell>
          <cell r="B1097" t="str">
            <v>MANUAL CARPINTERIA WINHOUSE - LINEA S60</v>
          </cell>
          <cell r="C1097">
            <v>95</v>
          </cell>
          <cell r="D1097">
            <v>46041</v>
          </cell>
          <cell r="E1097">
            <v>0.57699999999999996</v>
          </cell>
          <cell r="F1097" t="str">
            <v>GRIS</v>
          </cell>
          <cell r="G1097" t="str">
            <v>HERRAMIENTAS</v>
          </cell>
        </row>
        <row r="1098">
          <cell r="A1098" t="str">
            <v>MAN-CAR-SLD</v>
          </cell>
          <cell r="B1098" t="str">
            <v>MANUAL CARPINTERIA WINHOUSE - LINEA SLIDING</v>
          </cell>
          <cell r="C1098">
            <v>99</v>
          </cell>
          <cell r="D1098">
            <v>46041</v>
          </cell>
          <cell r="E1098">
            <v>0.57699999999999996</v>
          </cell>
          <cell r="F1098" t="str">
            <v>GRIS</v>
          </cell>
          <cell r="G1098" t="str">
            <v>HERRAMIENTAS</v>
          </cell>
        </row>
        <row r="1099">
          <cell r="A1099" t="str">
            <v>P-1024-BK</v>
          </cell>
          <cell r="B1099" t="str">
            <v>PERFIL SOBRE LOSA N-50 - BLACK MATTE</v>
          </cell>
          <cell r="C1099">
            <v>0</v>
          </cell>
          <cell r="D1099">
            <v>45442</v>
          </cell>
          <cell r="E1099">
            <v>0</v>
          </cell>
          <cell r="F1099" t="str">
            <v>BLACK</v>
          </cell>
          <cell r="G1099" t="str">
            <v>BARANDAS</v>
          </cell>
        </row>
        <row r="1100">
          <cell r="A1100" t="str">
            <v>PASM-BUR-10</v>
          </cell>
          <cell r="B1100" t="str">
            <v>BURLETE OMEGA 10 MM</v>
          </cell>
          <cell r="C1100">
            <v>0</v>
          </cell>
          <cell r="D1100">
            <v>45545</v>
          </cell>
          <cell r="E1100">
            <v>0</v>
          </cell>
          <cell r="F1100" t="str">
            <v>NATURAL</v>
          </cell>
          <cell r="G1100" t="str">
            <v>HERRAJES - BARANDAS</v>
          </cell>
        </row>
        <row r="1101">
          <cell r="A1101" t="str">
            <v>PASM-BUR-12</v>
          </cell>
          <cell r="B1101" t="str">
            <v>BURLETE OMEGA 12 MM</v>
          </cell>
          <cell r="C1101">
            <v>0</v>
          </cell>
          <cell r="D1101">
            <v>45298</v>
          </cell>
          <cell r="E1101">
            <v>0</v>
          </cell>
          <cell r="F1101" t="str">
            <v>NATURAL</v>
          </cell>
          <cell r="G1101" t="str">
            <v>HERRAJES - BARANDAS</v>
          </cell>
        </row>
        <row r="1102">
          <cell r="A1102" t="str">
            <v>PASM-BUR-16</v>
          </cell>
          <cell r="B1102" t="str">
            <v>BURLETE OMEGA 16 MM</v>
          </cell>
          <cell r="C1102">
            <v>0</v>
          </cell>
          <cell r="D1102">
            <v>44956</v>
          </cell>
          <cell r="E1102">
            <v>0</v>
          </cell>
          <cell r="F1102" t="str">
            <v>NATURAL</v>
          </cell>
          <cell r="G1102" t="str">
            <v>HERRAJES - BARANDAS</v>
          </cell>
        </row>
        <row r="1103">
          <cell r="A1103" t="str">
            <v>PASM-BUR-20</v>
          </cell>
          <cell r="B1103" t="str">
            <v>BURLETE OMEGA 20 MM</v>
          </cell>
          <cell r="C1103">
            <v>0</v>
          </cell>
          <cell r="D1103">
            <v>45298</v>
          </cell>
          <cell r="E1103">
            <v>0</v>
          </cell>
          <cell r="F1103" t="str">
            <v>NATURAL</v>
          </cell>
          <cell r="G1103" t="str">
            <v>HERRAJES - BARANDAS</v>
          </cell>
        </row>
        <row r="1104">
          <cell r="A1104" t="str">
            <v>PASM-K7-10-6MT</v>
          </cell>
          <cell r="B1104" t="str">
            <v>PASAMANO K7 - 10 mm</v>
          </cell>
          <cell r="C1104">
            <v>0</v>
          </cell>
          <cell r="D1104"/>
          <cell r="E1104">
            <v>0</v>
          </cell>
          <cell r="F1104" t="str">
            <v>NATURAL</v>
          </cell>
          <cell r="G1104" t="str">
            <v>KIT - BARANDAS</v>
          </cell>
        </row>
        <row r="1105">
          <cell r="A1105" t="str">
            <v>PASM-K7-12-6MT</v>
          </cell>
          <cell r="B1105" t="str">
            <v>PASAMANO K7 - 12 mm</v>
          </cell>
          <cell r="C1105">
            <v>0</v>
          </cell>
          <cell r="D1105">
            <v>45559</v>
          </cell>
          <cell r="E1105">
            <v>0</v>
          </cell>
          <cell r="F1105" t="str">
            <v>NATURAL</v>
          </cell>
          <cell r="G1105" t="str">
            <v>KIT - BARANDAS</v>
          </cell>
        </row>
        <row r="1106">
          <cell r="A1106" t="str">
            <v>PASM-K7-16-6MT</v>
          </cell>
          <cell r="B1106" t="str">
            <v>PASAMANO K7 - 16 mm</v>
          </cell>
          <cell r="C1106">
            <v>0</v>
          </cell>
          <cell r="D1106"/>
          <cell r="E1106">
            <v>0</v>
          </cell>
          <cell r="F1106" t="str">
            <v>NATURAL</v>
          </cell>
          <cell r="G1106" t="str">
            <v>KIT - BARANDAS</v>
          </cell>
        </row>
        <row r="1107">
          <cell r="A1107" t="str">
            <v>PASM-K7-20-6MT</v>
          </cell>
          <cell r="B1107" t="str">
            <v>PASAMANO K7 - 20 mm</v>
          </cell>
          <cell r="C1107">
            <v>0</v>
          </cell>
          <cell r="D1107"/>
          <cell r="E1107">
            <v>0</v>
          </cell>
          <cell r="F1107" t="str">
            <v>NATURAL</v>
          </cell>
          <cell r="G1107" t="str">
            <v>KIT - BARANDAS</v>
          </cell>
        </row>
        <row r="1108">
          <cell r="A1108" t="str">
            <v>PASM-K7-PM</v>
          </cell>
          <cell r="B1108" t="str">
            <v>PASAMANOS K7 - 6 MT - C/LED</v>
          </cell>
          <cell r="C1108">
            <v>6</v>
          </cell>
          <cell r="D1108">
            <v>45661</v>
          </cell>
          <cell r="E1108">
            <v>0</v>
          </cell>
          <cell r="F1108" t="str">
            <v>NATURAL</v>
          </cell>
          <cell r="G1108" t="str">
            <v>PERFILES - BARANDAS</v>
          </cell>
        </row>
        <row r="1109">
          <cell r="A1109" t="str">
            <v>PASM-K8-10-6MT</v>
          </cell>
          <cell r="B1109" t="str">
            <v>PASAMANO K8  -10 mm</v>
          </cell>
          <cell r="C1109">
            <v>0</v>
          </cell>
          <cell r="D1109">
            <v>45175</v>
          </cell>
          <cell r="E1109">
            <v>0</v>
          </cell>
          <cell r="F1109" t="str">
            <v>NATURAL</v>
          </cell>
          <cell r="G1109" t="str">
            <v>KIT - BARANDAS</v>
          </cell>
        </row>
        <row r="1110">
          <cell r="A1110" t="str">
            <v>PASM-K8-12-6MT</v>
          </cell>
          <cell r="B1110" t="str">
            <v>PASAMANO K8 - 12 mm</v>
          </cell>
          <cell r="C1110">
            <v>0</v>
          </cell>
          <cell r="D1110"/>
          <cell r="E1110">
            <v>0</v>
          </cell>
          <cell r="F1110" t="str">
            <v>NATURAL</v>
          </cell>
          <cell r="G1110" t="str">
            <v>KIT - BARANDAS</v>
          </cell>
        </row>
        <row r="1111">
          <cell r="A1111" t="str">
            <v>PASM-K8-16-6MT</v>
          </cell>
          <cell r="B1111" t="str">
            <v>PASAMANO K8 - 16 mm</v>
          </cell>
          <cell r="C1111">
            <v>0</v>
          </cell>
          <cell r="D1111"/>
          <cell r="E1111">
            <v>0</v>
          </cell>
          <cell r="F1111" t="str">
            <v>NATURAL</v>
          </cell>
          <cell r="G1111" t="str">
            <v>KIT - BARANDAS</v>
          </cell>
        </row>
        <row r="1112">
          <cell r="A1112" t="str">
            <v>PASM-K8-20-6MT</v>
          </cell>
          <cell r="B1112" t="str">
            <v>PASAMANO K8 - 20 mm</v>
          </cell>
          <cell r="C1112">
            <v>0</v>
          </cell>
          <cell r="D1112"/>
          <cell r="E1112">
            <v>0</v>
          </cell>
          <cell r="F1112" t="str">
            <v>NATURAL</v>
          </cell>
          <cell r="G1112" t="str">
            <v>KIT - BARANDAS</v>
          </cell>
        </row>
        <row r="1113">
          <cell r="A1113" t="str">
            <v>PASM-K8-PM</v>
          </cell>
          <cell r="B1113" t="str">
            <v>PASAMANOS K8 - 6 MT</v>
          </cell>
          <cell r="C1113">
            <v>0</v>
          </cell>
          <cell r="D1113">
            <v>45298</v>
          </cell>
          <cell r="E1113">
            <v>0</v>
          </cell>
          <cell r="F1113" t="str">
            <v>NATURAL</v>
          </cell>
          <cell r="G1113" t="str">
            <v>PERFILES - BARANDAS</v>
          </cell>
        </row>
        <row r="1114">
          <cell r="A1114" t="str">
            <v>PASM-K9-10-6MT</v>
          </cell>
          <cell r="B1114" t="str">
            <v>PASAMANO K9 - 10 mm</v>
          </cell>
          <cell r="C1114">
            <v>0</v>
          </cell>
          <cell r="D1114">
            <v>45504</v>
          </cell>
          <cell r="E1114">
            <v>0</v>
          </cell>
          <cell r="F1114" t="str">
            <v>NATURAL</v>
          </cell>
          <cell r="G1114" t="str">
            <v>KIT - BARANDAS</v>
          </cell>
        </row>
        <row r="1115">
          <cell r="A1115" t="str">
            <v>PASM-K9-12-6MT</v>
          </cell>
          <cell r="B1115" t="str">
            <v>PASAMANO K9 - 12 mm</v>
          </cell>
          <cell r="C1115">
            <v>0</v>
          </cell>
          <cell r="D1115">
            <v>45504</v>
          </cell>
          <cell r="E1115">
            <v>0</v>
          </cell>
          <cell r="F1115" t="str">
            <v>NATURAL</v>
          </cell>
          <cell r="G1115" t="str">
            <v>KIT - BARANDAS</v>
          </cell>
        </row>
        <row r="1116">
          <cell r="A1116" t="str">
            <v>PASM-K9-16-6MT</v>
          </cell>
          <cell r="B1116" t="str">
            <v>PASAMANO K9 - 16 mm</v>
          </cell>
          <cell r="C1116">
            <v>0</v>
          </cell>
          <cell r="D1116"/>
          <cell r="E1116">
            <v>0</v>
          </cell>
          <cell r="F1116" t="str">
            <v>NATURAL</v>
          </cell>
          <cell r="G1116" t="str">
            <v>KIT - BARANDAS</v>
          </cell>
        </row>
        <row r="1117">
          <cell r="A1117" t="str">
            <v>PASM-K9-20-6MT</v>
          </cell>
          <cell r="B1117" t="str">
            <v>PASAMANO K9 - 20 mm</v>
          </cell>
          <cell r="C1117">
            <v>0</v>
          </cell>
          <cell r="D1117"/>
          <cell r="E1117">
            <v>0</v>
          </cell>
          <cell r="F1117" t="str">
            <v>NATURAL</v>
          </cell>
          <cell r="G1117" t="str">
            <v>KIT - BARANDAS</v>
          </cell>
        </row>
        <row r="1118">
          <cell r="A1118" t="str">
            <v>PASM-K9-PM</v>
          </cell>
          <cell r="B1118" t="str">
            <v>PASAMANOS K9 - 6 MT</v>
          </cell>
          <cell r="C1118">
            <v>0</v>
          </cell>
          <cell r="D1118">
            <v>45123</v>
          </cell>
          <cell r="E1118">
            <v>0</v>
          </cell>
          <cell r="F1118" t="str">
            <v>NATURAL</v>
          </cell>
          <cell r="G1118" t="str">
            <v>PERFILES - BARANDAS</v>
          </cell>
        </row>
        <row r="1119">
          <cell r="A1119" t="str">
            <v>PI-AME-HCA-BL</v>
          </cell>
          <cell r="B1119" t="str">
            <v>HOJA CORREDERA AMERICANA SILTEK</v>
          </cell>
          <cell r="C1119">
            <v>1703</v>
          </cell>
          <cell r="D1119">
            <v>46183</v>
          </cell>
          <cell r="E1119">
            <v>1.62</v>
          </cell>
          <cell r="F1119" t="str">
            <v>BLANCO</v>
          </cell>
          <cell r="G1119" t="str">
            <v>AMERICANA</v>
          </cell>
        </row>
        <row r="1120">
          <cell r="A1120" t="str">
            <v>PI-AME-JDA-BL</v>
          </cell>
          <cell r="B1120" t="str">
            <v>JUNQUILLO DVH AMERICANA SILTEK</v>
          </cell>
          <cell r="C1120">
            <v>5962</v>
          </cell>
          <cell r="D1120">
            <v>45933</v>
          </cell>
          <cell r="E1120">
            <v>0.35</v>
          </cell>
          <cell r="F1120" t="str">
            <v>BLANCO</v>
          </cell>
          <cell r="G1120" t="str">
            <v>AMERICANA</v>
          </cell>
        </row>
        <row r="1121">
          <cell r="A1121" t="str">
            <v>PI-AME-JSA-BL</v>
          </cell>
          <cell r="B1121" t="str">
            <v>JUNQUILLO SIMPLE AMERICANA SILTEK</v>
          </cell>
          <cell r="C1121">
            <v>2746</v>
          </cell>
          <cell r="D1121">
            <v>46183</v>
          </cell>
          <cell r="E1121">
            <v>0.32</v>
          </cell>
          <cell r="F1121" t="str">
            <v>BLANCO</v>
          </cell>
          <cell r="G1121" t="str">
            <v>AMERICANA</v>
          </cell>
        </row>
        <row r="1122">
          <cell r="A1122" t="str">
            <v>PI-AME-MCA-BL</v>
          </cell>
          <cell r="B1122" t="str">
            <v>MARCO CORREDERA AMERICANA SILTEK</v>
          </cell>
          <cell r="C1122">
            <v>2098</v>
          </cell>
          <cell r="D1122">
            <v>46183</v>
          </cell>
          <cell r="E1122">
            <v>3.89</v>
          </cell>
          <cell r="F1122" t="str">
            <v>BLANCO</v>
          </cell>
          <cell r="G1122" t="str">
            <v>AMERICANA</v>
          </cell>
        </row>
        <row r="1123">
          <cell r="A1123" t="str">
            <v>PI-AME-RAM-BL</v>
          </cell>
          <cell r="B1123" t="str">
            <v>RIEL AMERICANA SILTEK</v>
          </cell>
          <cell r="C1123">
            <v>1784</v>
          </cell>
          <cell r="D1123">
            <v>46183</v>
          </cell>
          <cell r="E1123">
            <v>0.7</v>
          </cell>
          <cell r="F1123" t="str">
            <v>BLANCO</v>
          </cell>
          <cell r="G1123" t="str">
            <v>AMERICANA</v>
          </cell>
        </row>
        <row r="1124">
          <cell r="A1124" t="str">
            <v>PI-AME-TFA-BL</v>
          </cell>
          <cell r="B1124" t="str">
            <v>TRASLAPO FIJO AMERICANA SILTEK</v>
          </cell>
          <cell r="C1124">
            <v>1329</v>
          </cell>
          <cell r="D1124">
            <v>46183</v>
          </cell>
          <cell r="E1124">
            <v>2.61</v>
          </cell>
          <cell r="F1124" t="str">
            <v>BLANCO</v>
          </cell>
          <cell r="G1124" t="str">
            <v>AMERICANA</v>
          </cell>
        </row>
        <row r="1125">
          <cell r="A1125" t="str">
            <v>PI-AME-TMA-BL</v>
          </cell>
          <cell r="B1125" t="str">
            <v>TRASLAPO MOVIL AMERICANA SILTEK</v>
          </cell>
          <cell r="C1125">
            <v>1304</v>
          </cell>
          <cell r="D1125">
            <v>46183</v>
          </cell>
          <cell r="E1125">
            <v>1.86</v>
          </cell>
          <cell r="F1125" t="str">
            <v>BLANCO</v>
          </cell>
          <cell r="G1125" t="str">
            <v>AMERICANA</v>
          </cell>
        </row>
        <row r="1126">
          <cell r="A1126" t="str">
            <v>PI-CMP-50-50-BK</v>
          </cell>
          <cell r="B1126" t="str">
            <v>ANGULO REVESTIMIENTO 50/50 mm - BLACK</v>
          </cell>
          <cell r="C1126">
            <v>0</v>
          </cell>
          <cell r="D1126">
            <v>45298</v>
          </cell>
          <cell r="E1126">
            <v>2.2080000000000002</v>
          </cell>
          <cell r="F1126" t="str">
            <v>BLACK</v>
          </cell>
          <cell r="G1126" t="str">
            <v>COMPLEMENTARIOS</v>
          </cell>
        </row>
        <row r="1127">
          <cell r="A1127" t="str">
            <v>PI-CMP-50-50-BL</v>
          </cell>
          <cell r="B1127" t="str">
            <v>ANGULO REVESTIMIENTO 50/50 mm - BLANCO</v>
          </cell>
          <cell r="C1127">
            <v>1815</v>
          </cell>
          <cell r="D1127">
            <v>46170</v>
          </cell>
          <cell r="E1127">
            <v>2.1720000000000002</v>
          </cell>
          <cell r="F1127" t="str">
            <v>BLANCO</v>
          </cell>
          <cell r="G1127" t="str">
            <v>COMPLEMENTARIOS</v>
          </cell>
        </row>
        <row r="1128">
          <cell r="A1128" t="str">
            <v>PI-CMP-50-50-GR</v>
          </cell>
          <cell r="B1128" t="str">
            <v>ANGULO REVESTIMIENTO 50/50 mm - GRAFITO</v>
          </cell>
          <cell r="C1128">
            <v>1284</v>
          </cell>
          <cell r="D1128">
            <v>46139</v>
          </cell>
          <cell r="E1128">
            <v>2.2080000000000002</v>
          </cell>
          <cell r="F1128" t="str">
            <v>GRAFITO</v>
          </cell>
          <cell r="G1128" t="str">
            <v>COMPLEMENTARIOS</v>
          </cell>
        </row>
        <row r="1129">
          <cell r="A1129" t="str">
            <v>PI-CMP-50-50-NB</v>
          </cell>
          <cell r="B1129" t="str">
            <v>ANGULO REVESTIMIENTO 50/50 mm - NEW BLACK</v>
          </cell>
          <cell r="C1129">
            <v>113</v>
          </cell>
          <cell r="D1129">
            <v>46105</v>
          </cell>
          <cell r="E1129">
            <v>2.2080000000000002</v>
          </cell>
          <cell r="F1129" t="str">
            <v>NEW BLACK</v>
          </cell>
          <cell r="G1129" t="str">
            <v>COMPLEMENTARIOS</v>
          </cell>
        </row>
        <row r="1130">
          <cell r="A1130" t="str">
            <v>PI-CMP-50-50-NO</v>
          </cell>
          <cell r="B1130" t="str">
            <v>ANGULO REVESTIMIENTO 50/50 mm - NOGAL</v>
          </cell>
          <cell r="C1130">
            <v>831</v>
          </cell>
          <cell r="D1130">
            <v>46139</v>
          </cell>
          <cell r="E1130">
            <v>2.2080000000000002</v>
          </cell>
          <cell r="F1130" t="str">
            <v>NOGAL</v>
          </cell>
          <cell r="G1130" t="str">
            <v>COMPLEMENTARIOS</v>
          </cell>
        </row>
        <row r="1131">
          <cell r="A1131" t="str">
            <v>PI-CMP-50-50-RD</v>
          </cell>
          <cell r="B1131" t="str">
            <v>ANGULO REVESTIMIENTO 50/50 mm - ROBLE</v>
          </cell>
          <cell r="C1131">
            <v>978</v>
          </cell>
          <cell r="D1131">
            <v>46170</v>
          </cell>
          <cell r="E1131">
            <v>2.2080000000000002</v>
          </cell>
          <cell r="F1131" t="str">
            <v>ROBLE</v>
          </cell>
          <cell r="G1131" t="str">
            <v>COMPLEMENTARIOS</v>
          </cell>
        </row>
        <row r="1132">
          <cell r="A1132" t="str">
            <v>PI-CMP-75-170-BK</v>
          </cell>
          <cell r="B1132" t="str">
            <v>ANGULO REVESTIMIENTO 75/170 mm - BLACK</v>
          </cell>
          <cell r="C1132">
            <v>0</v>
          </cell>
          <cell r="D1132">
            <v>45071</v>
          </cell>
          <cell r="E1132">
            <v>7.0140000000000002</v>
          </cell>
          <cell r="F1132" t="str">
            <v>BLACK</v>
          </cell>
          <cell r="G1132" t="str">
            <v>COMPLEMENTARIOS</v>
          </cell>
        </row>
        <row r="1133">
          <cell r="A1133" t="str">
            <v>PI-CMP-75-170-BL</v>
          </cell>
          <cell r="B1133" t="str">
            <v>ANGULO REVESTIMIENTO 75/170 mm - BLANCO</v>
          </cell>
          <cell r="C1133">
            <v>471</v>
          </cell>
          <cell r="D1133">
            <v>46086</v>
          </cell>
          <cell r="E1133">
            <v>7.0140000000000002</v>
          </cell>
          <cell r="F1133" t="str">
            <v>BLANCO</v>
          </cell>
          <cell r="G1133" t="str">
            <v>COMPLEMENTARIOS</v>
          </cell>
        </row>
        <row r="1134">
          <cell r="A1134" t="str">
            <v>PI-CMP-75-170-GR</v>
          </cell>
          <cell r="B1134" t="str">
            <v>ANGULO REVESTIMIENTO 75/170 mm - GRAFITO</v>
          </cell>
          <cell r="C1134">
            <v>45</v>
          </cell>
          <cell r="D1134">
            <v>46032</v>
          </cell>
          <cell r="E1134">
            <v>7.0140000000000002</v>
          </cell>
          <cell r="F1134" t="str">
            <v>GRAFITO</v>
          </cell>
          <cell r="G1134" t="str">
            <v>COMPLEMENTARIOS</v>
          </cell>
        </row>
        <row r="1135">
          <cell r="A1135" t="str">
            <v>PI-CMP-75-170-NB</v>
          </cell>
          <cell r="B1135" t="str">
            <v>ANGULO REVESTIMIENTO 75/170 mm - NEW BLACK</v>
          </cell>
          <cell r="C1135">
            <v>136</v>
          </cell>
          <cell r="D1135">
            <v>46032</v>
          </cell>
          <cell r="E1135">
            <v>7.0140000000000002</v>
          </cell>
          <cell r="F1135" t="str">
            <v>NEW BLACK</v>
          </cell>
          <cell r="G1135" t="str">
            <v>COMPLEMENTARIOS</v>
          </cell>
        </row>
        <row r="1136">
          <cell r="A1136" t="str">
            <v>PI-CMP-75-170-NO</v>
          </cell>
          <cell r="B1136" t="str">
            <v>ANGULO REVESTIMIENTO 75/170 mm - NOGAL</v>
          </cell>
          <cell r="C1136">
            <v>491</v>
          </cell>
          <cell r="D1136">
            <v>46170</v>
          </cell>
          <cell r="E1136">
            <v>7.0140000000000002</v>
          </cell>
          <cell r="F1136" t="str">
            <v>NOGAL</v>
          </cell>
          <cell r="G1136" t="str">
            <v>COMPLEMENTARIOS</v>
          </cell>
        </row>
        <row r="1137">
          <cell r="A1137" t="str">
            <v>PI-CMP-75-170-RD</v>
          </cell>
          <cell r="B1137" t="str">
            <v>ANGULO REVESTIMIENTO 75/170 mm - ROBLE</v>
          </cell>
          <cell r="C1137">
            <v>236</v>
          </cell>
          <cell r="D1137">
            <v>46170</v>
          </cell>
          <cell r="E1137">
            <v>7.0140000000000002</v>
          </cell>
          <cell r="F1137" t="str">
            <v>ROBLE</v>
          </cell>
          <cell r="G1137" t="str">
            <v>COMPLEMENTARIOS</v>
          </cell>
        </row>
        <row r="1138">
          <cell r="A1138" t="str">
            <v>PI-CMP-ACM-BK</v>
          </cell>
          <cell r="B1138" t="str">
            <v>ACOPLE MINI - BLACK</v>
          </cell>
          <cell r="C1138">
            <v>0</v>
          </cell>
          <cell r="D1138">
            <v>45123</v>
          </cell>
          <cell r="E1138">
            <v>0.57999999999999996</v>
          </cell>
          <cell r="F1138" t="str">
            <v>BLACK</v>
          </cell>
          <cell r="G1138" t="str">
            <v>COMPLEMENTARIOS</v>
          </cell>
        </row>
        <row r="1139">
          <cell r="A1139" t="str">
            <v>PI-CMP-ACM-BL</v>
          </cell>
          <cell r="B1139" t="str">
            <v>ACOPLE MINI - BLANCO</v>
          </cell>
          <cell r="C1139">
            <v>6914</v>
          </cell>
          <cell r="D1139">
            <v>46191</v>
          </cell>
          <cell r="E1139">
            <v>0.6</v>
          </cell>
          <cell r="F1139" t="str">
            <v>BLANCO</v>
          </cell>
          <cell r="G1139" t="str">
            <v>COMPLEMENTARIOS</v>
          </cell>
        </row>
        <row r="1140">
          <cell r="A1140" t="str">
            <v>PI-CMP-ACM-GR</v>
          </cell>
          <cell r="B1140" t="str">
            <v>ACOPLE MINI - GRAFITO</v>
          </cell>
          <cell r="C1140">
            <v>1850</v>
          </cell>
          <cell r="D1140">
            <v>46191</v>
          </cell>
          <cell r="E1140">
            <v>0.64800000000000002</v>
          </cell>
          <cell r="F1140" t="str">
            <v>GRAFITO</v>
          </cell>
          <cell r="G1140" t="str">
            <v>COMPLEMENTARIOS</v>
          </cell>
        </row>
        <row r="1141">
          <cell r="A1141" t="str">
            <v>PI-CMP-ACM-NB</v>
          </cell>
          <cell r="B1141" t="str">
            <v>ACOPLE MINI - NEW BLACK</v>
          </cell>
          <cell r="C1141">
            <v>1111</v>
          </cell>
          <cell r="D1141">
            <v>46191</v>
          </cell>
          <cell r="E1141">
            <v>0.82799999999999996</v>
          </cell>
          <cell r="F1141" t="str">
            <v>NEW BLACK</v>
          </cell>
          <cell r="G1141" t="str">
            <v>COMPLEMENTARIOS</v>
          </cell>
        </row>
        <row r="1142">
          <cell r="A1142" t="str">
            <v>PI-CMP-ACM-NO</v>
          </cell>
          <cell r="B1142" t="str">
            <v>ACOPLE MINI - NOGAL</v>
          </cell>
          <cell r="C1142">
            <v>1397</v>
          </cell>
          <cell r="D1142">
            <v>46191</v>
          </cell>
          <cell r="E1142">
            <v>0.64800000000000002</v>
          </cell>
          <cell r="F1142" t="str">
            <v>NOGAL</v>
          </cell>
          <cell r="G1142" t="str">
            <v>COMPLEMENTARIOS</v>
          </cell>
        </row>
        <row r="1143">
          <cell r="A1143" t="str">
            <v>PI-CMP-ACM-RD</v>
          </cell>
          <cell r="B1143" t="str">
            <v>ACOPLE MINI - ROBLE</v>
          </cell>
          <cell r="C1143">
            <v>1692</v>
          </cell>
          <cell r="D1143">
            <v>46191</v>
          </cell>
          <cell r="E1143">
            <v>0.64800000000000002</v>
          </cell>
          <cell r="F1143" t="str">
            <v>ROBLE</v>
          </cell>
          <cell r="G1143" t="str">
            <v>COMPLEMENTARIOS</v>
          </cell>
        </row>
        <row r="1144">
          <cell r="A1144" t="str">
            <v>PI-CMP-ALE-BL</v>
          </cell>
          <cell r="B1144" t="str">
            <v>ALETA SIDING - BLANCO</v>
          </cell>
          <cell r="C1144">
            <v>3100</v>
          </cell>
          <cell r="D1144">
            <v>46170</v>
          </cell>
          <cell r="E1144">
            <v>0.78</v>
          </cell>
          <cell r="F1144" t="str">
            <v>BLANCO</v>
          </cell>
          <cell r="G1144" t="str">
            <v>COMPLEMENTARIOS</v>
          </cell>
        </row>
        <row r="1145">
          <cell r="A1145" t="str">
            <v>PI-CMP-ALT-BK</v>
          </cell>
          <cell r="B1145" t="str">
            <v>ALETA SIDING MULTIPLE - BLACK</v>
          </cell>
          <cell r="C1145">
            <v>0</v>
          </cell>
          <cell r="D1145">
            <v>44926</v>
          </cell>
          <cell r="E1145">
            <v>1.71</v>
          </cell>
          <cell r="F1145" t="str">
            <v>BLACK</v>
          </cell>
          <cell r="G1145" t="str">
            <v>COMPLEMENTARIOS</v>
          </cell>
        </row>
        <row r="1146">
          <cell r="A1146" t="str">
            <v>PI-CMP-ALT-BL</v>
          </cell>
          <cell r="B1146" t="str">
            <v>ALETA SIDING MULTIPLE - BLANCO</v>
          </cell>
          <cell r="C1146">
            <v>0</v>
          </cell>
          <cell r="D1146">
            <v>45661</v>
          </cell>
          <cell r="E1146">
            <v>1.71</v>
          </cell>
          <cell r="F1146" t="str">
            <v>BLANCO</v>
          </cell>
          <cell r="G1146" t="str">
            <v>COMPLEMENTARIOS</v>
          </cell>
        </row>
        <row r="1147">
          <cell r="A1147" t="str">
            <v>PI-CMP-ALT-GR</v>
          </cell>
          <cell r="B1147" t="str">
            <v>ALETA SIDING MULTIPLE - GRAFITO</v>
          </cell>
          <cell r="C1147">
            <v>0</v>
          </cell>
          <cell r="D1147">
            <v>45479</v>
          </cell>
          <cell r="E1147">
            <v>1.71</v>
          </cell>
          <cell r="F1147" t="str">
            <v>GRAFITO</v>
          </cell>
          <cell r="G1147" t="str">
            <v>COMPLEMENTARIOS</v>
          </cell>
        </row>
        <row r="1148">
          <cell r="A1148" t="str">
            <v>PI-CMP-ALT-MR</v>
          </cell>
          <cell r="B1148" t="str">
            <v>ALETA SIDING - MARRON</v>
          </cell>
          <cell r="C1148">
            <v>0</v>
          </cell>
          <cell r="E1148">
            <v>0.71</v>
          </cell>
          <cell r="F1148" t="str">
            <v>MARRON</v>
          </cell>
          <cell r="G1148" t="str">
            <v>COMPLEMENTARIOS</v>
          </cell>
        </row>
        <row r="1149">
          <cell r="A1149" t="str">
            <v>PI-CMP-ALT-NB</v>
          </cell>
          <cell r="B1149" t="str">
            <v>ALETA SIDING MULTIPLE - NEW BLACK</v>
          </cell>
          <cell r="C1149">
            <v>0</v>
          </cell>
          <cell r="D1149">
            <v>45479</v>
          </cell>
          <cell r="E1149">
            <v>1.71</v>
          </cell>
          <cell r="F1149" t="str">
            <v>NEW BLACK</v>
          </cell>
          <cell r="G1149" t="str">
            <v>COMPLEMENTARIOS</v>
          </cell>
        </row>
        <row r="1150">
          <cell r="A1150" t="str">
            <v>PI-CMP-ALT-NO</v>
          </cell>
          <cell r="B1150" t="str">
            <v>ALETA SIDING MULTIPLE - NOGAL</v>
          </cell>
          <cell r="C1150">
            <v>0</v>
          </cell>
          <cell r="D1150">
            <v>45661</v>
          </cell>
          <cell r="E1150">
            <v>1.71</v>
          </cell>
          <cell r="F1150" t="str">
            <v>NOGAL</v>
          </cell>
          <cell r="G1150" t="str">
            <v>COMPLEMENTARIOS</v>
          </cell>
        </row>
        <row r="1151">
          <cell r="A1151" t="str">
            <v>PI-CMP-ALT-RD</v>
          </cell>
          <cell r="B1151" t="str">
            <v>ALETA SIDING MULTIPLE - ROBLE</v>
          </cell>
          <cell r="C1151">
            <v>0</v>
          </cell>
          <cell r="D1151">
            <v>45479</v>
          </cell>
          <cell r="E1151">
            <v>1.71</v>
          </cell>
          <cell r="F1151" t="str">
            <v>ROBLE</v>
          </cell>
          <cell r="G1151" t="str">
            <v>COMPLEMENTARIOS</v>
          </cell>
        </row>
        <row r="1152">
          <cell r="A1152" t="str">
            <v>PI-CMP-CMC-BL</v>
          </cell>
          <cell r="B1152" t="str">
            <v>PERFIL CONTRA MARCO - BLANCO</v>
          </cell>
          <cell r="C1152">
            <v>0</v>
          </cell>
          <cell r="D1152">
            <v>44707</v>
          </cell>
          <cell r="E1152">
            <v>1.98</v>
          </cell>
          <cell r="F1152" t="str">
            <v>BLANCO</v>
          </cell>
          <cell r="G1152" t="str">
            <v>COMPLEMENTARIOS</v>
          </cell>
        </row>
        <row r="1153">
          <cell r="A1153" t="str">
            <v>PI-CMP-HS-CTF-2</v>
          </cell>
          <cell r="B1153" t="str">
            <v>REFUERZO CONTRA FLECHA 2mm - HS</v>
          </cell>
          <cell r="C1153">
            <v>0</v>
          </cell>
          <cell r="D1153">
            <v>45479</v>
          </cell>
          <cell r="E1153">
            <v>2</v>
          </cell>
          <cell r="F1153" t="str">
            <v>NATURAL</v>
          </cell>
          <cell r="G1153" t="str">
            <v>HASKAR-REFUERZO</v>
          </cell>
        </row>
        <row r="1154">
          <cell r="A1154" t="str">
            <v>PI-CMP-HS-E45-15</v>
          </cell>
          <cell r="B1154" t="str">
            <v>REFUERZO ESQUINERO 45º  1,5 mm  - HS</v>
          </cell>
          <cell r="C1154">
            <v>1189</v>
          </cell>
          <cell r="D1154">
            <v>45878</v>
          </cell>
          <cell r="E1154">
            <v>3.4</v>
          </cell>
          <cell r="F1154" t="str">
            <v>NATURAL</v>
          </cell>
          <cell r="G1154" t="str">
            <v>HASKAR-REFUERZO</v>
          </cell>
        </row>
        <row r="1155">
          <cell r="A1155" t="str">
            <v>PI-CMP-NALT-BL</v>
          </cell>
          <cell r="B1155" t="str">
            <v>NEW ALETA SIDING MULTIPLE - BLANCO</v>
          </cell>
          <cell r="C1155">
            <v>1863</v>
          </cell>
          <cell r="D1155">
            <v>46170</v>
          </cell>
          <cell r="E1155">
            <v>3</v>
          </cell>
          <cell r="F1155" t="str">
            <v>BLANCO</v>
          </cell>
          <cell r="G1155" t="str">
            <v>COMPLEMENTARIOS</v>
          </cell>
        </row>
        <row r="1156">
          <cell r="A1156" t="str">
            <v>PI-CMP-NALT-GR</v>
          </cell>
          <cell r="B1156" t="str">
            <v>NEW ALETA SIDING MULTIPLE - GRAFITO</v>
          </cell>
          <cell r="C1156">
            <v>841</v>
          </cell>
          <cell r="D1156">
            <v>46170</v>
          </cell>
          <cell r="E1156">
            <v>3.0960000000000001</v>
          </cell>
          <cell r="F1156" t="str">
            <v>GRAFITO</v>
          </cell>
          <cell r="G1156" t="str">
            <v>COMPLEMENTARIOS</v>
          </cell>
        </row>
        <row r="1157">
          <cell r="A1157" t="str">
            <v>PI-CMP-NALT-NB</v>
          </cell>
          <cell r="B1157" t="str">
            <v>NEW ALETA SIDING MULTIPLE - NEW BLACK</v>
          </cell>
          <cell r="C1157">
            <v>801</v>
          </cell>
          <cell r="D1157">
            <v>45733</v>
          </cell>
          <cell r="E1157">
            <v>3</v>
          </cell>
          <cell r="F1157" t="str">
            <v>NEW BLACK</v>
          </cell>
          <cell r="G1157" t="str">
            <v>COMPLEMENTARIOS</v>
          </cell>
        </row>
        <row r="1158">
          <cell r="A1158" t="str">
            <v>PI-CMP-NALT-NO</v>
          </cell>
          <cell r="B1158" t="str">
            <v>NEW ALETA SIDING MULTIPLE - NOGAL</v>
          </cell>
          <cell r="C1158">
            <v>730</v>
          </cell>
          <cell r="D1158">
            <v>46170</v>
          </cell>
          <cell r="E1158">
            <v>3.0960000000000001</v>
          </cell>
          <cell r="F1158" t="str">
            <v>NOGAL</v>
          </cell>
          <cell r="G1158" t="str">
            <v>COMPLEMENTARIOS</v>
          </cell>
        </row>
        <row r="1159">
          <cell r="A1159" t="str">
            <v>PI-CMP-NALT-RD</v>
          </cell>
          <cell r="B1159" t="str">
            <v>NEW ALETA SIDING MULTIPLE - ROBLE</v>
          </cell>
          <cell r="C1159">
            <v>481</v>
          </cell>
          <cell r="D1159">
            <v>46139</v>
          </cell>
          <cell r="E1159">
            <v>3.0960000000000001</v>
          </cell>
          <cell r="F1159" t="str">
            <v>ROBLE</v>
          </cell>
          <cell r="G1159" t="str">
            <v>COMPLEMENTARIOS</v>
          </cell>
        </row>
        <row r="1160">
          <cell r="A1160" t="str">
            <v>PI-MQP-HMA-BK</v>
          </cell>
          <cell r="B1160" t="str">
            <v>HOJA MOSQUITERO PLEGABLE ALUMINIO - BLACK</v>
          </cell>
          <cell r="C1160">
            <v>29</v>
          </cell>
          <cell r="D1160">
            <v>45954</v>
          </cell>
          <cell r="E1160">
            <v>1.95</v>
          </cell>
          <cell r="F1160" t="str">
            <v>BLACK</v>
          </cell>
          <cell r="G1160" t="str">
            <v>MOSQUITERO PLEGABLE</v>
          </cell>
        </row>
        <row r="1161">
          <cell r="A1161" t="str">
            <v>PI-MQP-HMA-BL</v>
          </cell>
          <cell r="B1161" t="str">
            <v>HOJA MOSQUITERO PLEGABLE ALUMINIO - BLANCO</v>
          </cell>
          <cell r="C1161">
            <v>25</v>
          </cell>
          <cell r="D1161">
            <v>45954</v>
          </cell>
          <cell r="E1161">
            <v>1.95</v>
          </cell>
          <cell r="F1161" t="str">
            <v>BLANCO</v>
          </cell>
          <cell r="G1161" t="str">
            <v>MOSQUITERO PLEGABLE</v>
          </cell>
        </row>
        <row r="1162">
          <cell r="A1162" t="str">
            <v>PI-MQP-HMA-GR</v>
          </cell>
          <cell r="B1162" t="str">
            <v>HOJA MOSQUITERO PLEGABLE ALUMINIO - GRAFITO</v>
          </cell>
          <cell r="C1162">
            <v>22</v>
          </cell>
          <cell r="D1162">
            <v>45954</v>
          </cell>
          <cell r="E1162">
            <v>1.95</v>
          </cell>
          <cell r="F1162" t="str">
            <v>GRAFITO</v>
          </cell>
          <cell r="G1162" t="str">
            <v>MOSQUITERO PLEGABLE</v>
          </cell>
        </row>
        <row r="1163">
          <cell r="A1163" t="str">
            <v>PI-MQP-HMA-NB</v>
          </cell>
          <cell r="B1163" t="str">
            <v>HOJA MOSQUITERO PLEGABLE ALUMINIO - NEW BLACK</v>
          </cell>
          <cell r="C1163">
            <v>0</v>
          </cell>
          <cell r="D1163"/>
          <cell r="E1163">
            <v>1.95</v>
          </cell>
          <cell r="F1163" t="str">
            <v>NEW BLACK</v>
          </cell>
          <cell r="G1163" t="str">
            <v>MOSQUITERO PLEGABLE</v>
          </cell>
        </row>
        <row r="1164">
          <cell r="A1164" t="str">
            <v>PI-MQP-HMA-NO</v>
          </cell>
          <cell r="B1164" t="str">
            <v>HOJA MOSQUITERO PLEGABLE ALUMINIO - NOGAL</v>
          </cell>
          <cell r="C1164">
            <v>24</v>
          </cell>
          <cell r="D1164">
            <v>45954</v>
          </cell>
          <cell r="E1164">
            <v>1.95</v>
          </cell>
          <cell r="F1164" t="str">
            <v>NOGAL</v>
          </cell>
          <cell r="G1164" t="str">
            <v>MOSQUITERO PLEGABLE</v>
          </cell>
        </row>
        <row r="1165">
          <cell r="A1165" t="str">
            <v>PI-MQP-HMA-RD</v>
          </cell>
          <cell r="B1165" t="str">
            <v>HOJA MOSQUITERO PLEGABLE ALUMINIO - ROBLE</v>
          </cell>
          <cell r="C1165">
            <v>16</v>
          </cell>
          <cell r="D1165">
            <v>45954</v>
          </cell>
          <cell r="E1165">
            <v>1.95</v>
          </cell>
          <cell r="F1165" t="str">
            <v>ROBLE</v>
          </cell>
          <cell r="G1165" t="str">
            <v>MOSQUITERO PLEGABLE</v>
          </cell>
        </row>
        <row r="1166">
          <cell r="A1166" t="str">
            <v>PI-MQP-HMP-BK</v>
          </cell>
          <cell r="B1166" t="str">
            <v>HOJA MOSQUITERO PLEGABLE - BLACK</v>
          </cell>
          <cell r="C1166">
            <v>91</v>
          </cell>
          <cell r="D1166">
            <v>45954</v>
          </cell>
          <cell r="E1166">
            <v>2.5499999999999998</v>
          </cell>
          <cell r="F1166" t="str">
            <v>BLACK</v>
          </cell>
          <cell r="G1166" t="str">
            <v>MOSQUITERO PLEGABLE</v>
          </cell>
        </row>
        <row r="1167">
          <cell r="A1167" t="str">
            <v>PI-MQP-HMP-BL</v>
          </cell>
          <cell r="B1167" t="str">
            <v>HOJA MOSQUITERO PLEGABLE - BLANCO</v>
          </cell>
          <cell r="C1167">
            <v>75</v>
          </cell>
          <cell r="D1167">
            <v>46100</v>
          </cell>
          <cell r="E1167">
            <v>2.5</v>
          </cell>
          <cell r="F1167" t="str">
            <v>BLANCO</v>
          </cell>
          <cell r="G1167" t="str">
            <v>MOSQUITERO PLEGABLE</v>
          </cell>
        </row>
        <row r="1168">
          <cell r="A1168" t="str">
            <v>PI-MQP-HMP-GR</v>
          </cell>
          <cell r="B1168" t="str">
            <v>HOJA MOSQUITERO PLEGABLE - GRAFITO</v>
          </cell>
          <cell r="C1168">
            <v>93</v>
          </cell>
          <cell r="D1168">
            <v>46100</v>
          </cell>
          <cell r="E1168">
            <v>2.5499999999999998</v>
          </cell>
          <cell r="F1168" t="str">
            <v>GRAFITO</v>
          </cell>
          <cell r="G1168" t="str">
            <v>MOSQUITERO PLEGABLE</v>
          </cell>
        </row>
        <row r="1169">
          <cell r="A1169" t="str">
            <v>PI-MQP-HMP-NB</v>
          </cell>
          <cell r="B1169" t="str">
            <v>HOJA MOSQUITERO PLEGABLE - NEW BLACK</v>
          </cell>
          <cell r="C1169">
            <v>0</v>
          </cell>
          <cell r="D1169"/>
          <cell r="E1169">
            <v>2.5499999999999998</v>
          </cell>
          <cell r="F1169" t="str">
            <v>NEW BLACK</v>
          </cell>
          <cell r="G1169" t="str">
            <v>MOSQUITERO PLEGABLE</v>
          </cell>
        </row>
        <row r="1170">
          <cell r="A1170" t="str">
            <v>PI-MQP-HMP-NO</v>
          </cell>
          <cell r="B1170" t="str">
            <v>HOJA MOSQUITERO PLEGABLE - NOGAL</v>
          </cell>
          <cell r="C1170">
            <v>74</v>
          </cell>
          <cell r="D1170">
            <v>46100</v>
          </cell>
          <cell r="E1170">
            <v>2.5499999999999998</v>
          </cell>
          <cell r="F1170" t="str">
            <v>NOGAL</v>
          </cell>
          <cell r="G1170" t="str">
            <v>MOSQUITERO PLEGABLE</v>
          </cell>
        </row>
        <row r="1171">
          <cell r="A1171" t="str">
            <v>PI-MQP-HMP-RD</v>
          </cell>
          <cell r="B1171" t="str">
            <v>HOJA MOSQUITERO PLEGABLE - ROBLE</v>
          </cell>
          <cell r="C1171">
            <v>74</v>
          </cell>
          <cell r="D1171">
            <v>46100</v>
          </cell>
          <cell r="E1171">
            <v>2.5499999999999998</v>
          </cell>
          <cell r="F1171" t="str">
            <v>ROBLE</v>
          </cell>
          <cell r="G1171" t="str">
            <v>MOSQUITERO PLEGABLE</v>
          </cell>
        </row>
        <row r="1172">
          <cell r="A1172" t="str">
            <v>PI-MQP-MMP-BK</v>
          </cell>
          <cell r="B1172" t="str">
            <v>MARCO MOSQUITERO PLEGABLE - BLACK</v>
          </cell>
          <cell r="C1172">
            <v>276</v>
          </cell>
          <cell r="D1172">
            <v>45954</v>
          </cell>
          <cell r="E1172">
            <v>2.8</v>
          </cell>
          <cell r="F1172" t="str">
            <v>BLACK</v>
          </cell>
          <cell r="G1172" t="str">
            <v>MOSQUITERO PLEGABLE</v>
          </cell>
        </row>
        <row r="1173">
          <cell r="A1173" t="str">
            <v>PI-MQP-MMP-BL</v>
          </cell>
          <cell r="B1173" t="str">
            <v>MARCO MOSQUITERO PLEGABLE - BLANCO</v>
          </cell>
          <cell r="C1173">
            <v>154</v>
          </cell>
          <cell r="D1173">
            <v>46100</v>
          </cell>
          <cell r="E1173">
            <v>2.4</v>
          </cell>
          <cell r="F1173" t="str">
            <v>BLANCO</v>
          </cell>
          <cell r="G1173" t="str">
            <v>MOSQUITERO PLEGABLE</v>
          </cell>
        </row>
        <row r="1174">
          <cell r="A1174" t="str">
            <v>PI-MQP-MMP-GR</v>
          </cell>
          <cell r="B1174" t="str">
            <v>MARCO MOSQUITERO PLEGABLE - GRAFITO</v>
          </cell>
          <cell r="C1174">
            <v>423</v>
          </cell>
          <cell r="D1174">
            <v>46100</v>
          </cell>
          <cell r="E1174">
            <v>2.8</v>
          </cell>
          <cell r="F1174" t="str">
            <v>GRAFITO</v>
          </cell>
          <cell r="G1174" t="str">
            <v>MOSQUITERO PLEGABLE</v>
          </cell>
        </row>
        <row r="1175">
          <cell r="A1175" t="str">
            <v>PI-MQP-MMP-NB</v>
          </cell>
          <cell r="B1175" t="str">
            <v>MARCO MOSQUITERO PLEGABLE - NEW BLACK</v>
          </cell>
          <cell r="C1175">
            <v>0</v>
          </cell>
          <cell r="D1175"/>
          <cell r="E1175">
            <v>2.8</v>
          </cell>
          <cell r="F1175" t="str">
            <v>NEW BLACK</v>
          </cell>
          <cell r="G1175" t="str">
            <v>MOSQUITERO PLEGABLE</v>
          </cell>
        </row>
        <row r="1176">
          <cell r="A1176" t="str">
            <v>PI-MQP-MMP-NO</v>
          </cell>
          <cell r="B1176" t="str">
            <v>MARCO MOSQUITERO PLEGABLE - NOGAL</v>
          </cell>
          <cell r="C1176">
            <v>371</v>
          </cell>
          <cell r="D1176">
            <v>46100</v>
          </cell>
          <cell r="E1176">
            <v>2.8</v>
          </cell>
          <cell r="F1176" t="str">
            <v>NOGAL</v>
          </cell>
          <cell r="G1176" t="str">
            <v>MOSQUITERO PLEGABLE</v>
          </cell>
        </row>
        <row r="1177">
          <cell r="A1177" t="str">
            <v>PI-MQP-MMP-RD</v>
          </cell>
          <cell r="B1177" t="str">
            <v>MARCO MOSQUITERO PLEGABLE - ROBLE</v>
          </cell>
          <cell r="C1177">
            <v>363</v>
          </cell>
          <cell r="D1177">
            <v>46100</v>
          </cell>
          <cell r="E1177">
            <v>2.8</v>
          </cell>
          <cell r="F1177" t="str">
            <v>ROBLE</v>
          </cell>
          <cell r="G1177" t="str">
            <v>MOSQUITERO PLEGABLE</v>
          </cell>
        </row>
        <row r="1178">
          <cell r="A1178" t="str">
            <v>PI-MQT-HCM-BL</v>
          </cell>
          <cell r="B1178" t="str">
            <v>HOJA CORREDERA MOSQUITERO - BLANCO</v>
          </cell>
          <cell r="C1178">
            <v>225</v>
          </cell>
          <cell r="D1178">
            <v>46189</v>
          </cell>
          <cell r="E1178">
            <v>4.9619999999999997</v>
          </cell>
          <cell r="F1178" t="str">
            <v>BLANCO</v>
          </cell>
          <cell r="G1178" t="str">
            <v>MOSQUITERO CORREDERA</v>
          </cell>
        </row>
        <row r="1179">
          <cell r="A1179" t="str">
            <v>PI-MQT-HCM-GR</v>
          </cell>
          <cell r="B1179" t="str">
            <v>HOJA CORREDERA MOSQUITERO - GRAFITO</v>
          </cell>
          <cell r="C1179">
            <v>146</v>
          </cell>
          <cell r="D1179">
            <v>46167</v>
          </cell>
          <cell r="E1179">
            <v>4.9619999999999997</v>
          </cell>
          <cell r="F1179" t="str">
            <v>GRAFITO</v>
          </cell>
          <cell r="G1179" t="str">
            <v>MOSQUITERO CORREDERA</v>
          </cell>
        </row>
        <row r="1180">
          <cell r="A1180" t="str">
            <v>PI-MQT-HCM-NB</v>
          </cell>
          <cell r="B1180" t="str">
            <v>HOJA CORREDERA MOSQUITERO - NEW BLACK</v>
          </cell>
          <cell r="C1180">
            <v>255</v>
          </cell>
          <cell r="D1180">
            <v>46190</v>
          </cell>
          <cell r="E1180">
            <v>4.9619999999999997</v>
          </cell>
          <cell r="F1180" t="str">
            <v>NEW BLACK</v>
          </cell>
          <cell r="G1180" t="str">
            <v>MOSQUITERO CORREDERA</v>
          </cell>
        </row>
        <row r="1181">
          <cell r="A1181" t="str">
            <v>PI-MQT-HCM-NO</v>
          </cell>
          <cell r="B1181" t="str">
            <v>HOJA CORREDERA MOSQUITERO - NOGAL</v>
          </cell>
          <cell r="C1181">
            <v>404</v>
          </cell>
          <cell r="D1181">
            <v>46150</v>
          </cell>
          <cell r="E1181">
            <v>4.9619999999999997</v>
          </cell>
          <cell r="F1181" t="str">
            <v>NOGAL</v>
          </cell>
          <cell r="G1181" t="str">
            <v>MOSQUITERO CORREDERA</v>
          </cell>
        </row>
        <row r="1182">
          <cell r="A1182" t="str">
            <v>PI-MQT-HCM-RD</v>
          </cell>
          <cell r="B1182" t="str">
            <v>HOJA CORREDERA MOSQUITERO - ROBLE</v>
          </cell>
          <cell r="C1182">
            <v>264</v>
          </cell>
          <cell r="D1182">
            <v>46167</v>
          </cell>
          <cell r="E1182">
            <v>4.9619999999999997</v>
          </cell>
          <cell r="F1182" t="str">
            <v>ROBLE</v>
          </cell>
          <cell r="G1182" t="str">
            <v>MOSQUITERO CORREDERA</v>
          </cell>
        </row>
        <row r="1183">
          <cell r="A1183" t="str">
            <v>PI-MQT-MCM-BL</v>
          </cell>
          <cell r="B1183" t="str">
            <v>MARCO CORREDERA MOSQUITERO - BLANCO</v>
          </cell>
          <cell r="C1183">
            <v>232</v>
          </cell>
          <cell r="D1183">
            <v>46164</v>
          </cell>
          <cell r="E1183">
            <v>2.85</v>
          </cell>
          <cell r="F1183" t="str">
            <v>BLANCO</v>
          </cell>
          <cell r="G1183" t="str">
            <v>MOSQUITERO CORREDERA</v>
          </cell>
        </row>
        <row r="1184">
          <cell r="A1184" t="str">
            <v>PI-MQT-MCM-GR</v>
          </cell>
          <cell r="B1184" t="str">
            <v>MARCO CORREDERA MOSQUITERO - GRAFITO</v>
          </cell>
          <cell r="C1184">
            <v>198</v>
          </cell>
          <cell r="D1184">
            <v>46167</v>
          </cell>
          <cell r="E1184">
            <v>2.85</v>
          </cell>
          <cell r="F1184" t="str">
            <v>GRAFITO</v>
          </cell>
          <cell r="G1184" t="str">
            <v>MOSQUITERO CORREDERA</v>
          </cell>
        </row>
        <row r="1185">
          <cell r="A1185" t="str">
            <v>PI-MQT-MCM-NB</v>
          </cell>
          <cell r="B1185" t="str">
            <v>MARCO CORREDERA MOSQUITERO - NEW BLACK</v>
          </cell>
          <cell r="C1185">
            <v>306</v>
          </cell>
          <cell r="D1185">
            <v>46190</v>
          </cell>
          <cell r="E1185">
            <v>2.85</v>
          </cell>
          <cell r="F1185" t="str">
            <v>NEW BLACK</v>
          </cell>
          <cell r="G1185" t="str">
            <v>MOSQUITERO CORREDERA</v>
          </cell>
        </row>
        <row r="1186">
          <cell r="A1186" t="str">
            <v>PI-MQT-MCM-NO</v>
          </cell>
          <cell r="B1186" t="str">
            <v>MARCO CORREDERA MOSQUITERO - NOGAL</v>
          </cell>
          <cell r="C1186">
            <v>351</v>
          </cell>
          <cell r="D1186">
            <v>46150</v>
          </cell>
          <cell r="E1186">
            <v>2.85</v>
          </cell>
          <cell r="F1186" t="str">
            <v>NOGAL</v>
          </cell>
          <cell r="G1186" t="str">
            <v>MOSQUITERO CORREDERA</v>
          </cell>
        </row>
        <row r="1187">
          <cell r="A1187" t="str">
            <v>PI-MQT-MCM-RD</v>
          </cell>
          <cell r="B1187" t="str">
            <v>MARCO CORREDERA MOSQUITERO - ROBLE</v>
          </cell>
          <cell r="C1187">
            <v>307</v>
          </cell>
          <cell r="D1187">
            <v>46167</v>
          </cell>
          <cell r="E1187">
            <v>2.85</v>
          </cell>
          <cell r="F1187" t="str">
            <v>ROBLE</v>
          </cell>
          <cell r="G1187" t="str">
            <v>MOSQUITERO CORREDERA</v>
          </cell>
        </row>
        <row r="1188">
          <cell r="A1188" t="str">
            <v>PI-MQT-PTM-BL</v>
          </cell>
          <cell r="B1188" t="str">
            <v>POSTE T MOSQUITERO - BLANCO</v>
          </cell>
          <cell r="C1188">
            <v>165</v>
          </cell>
          <cell r="D1188">
            <v>45878</v>
          </cell>
          <cell r="E1188">
            <v>1.5</v>
          </cell>
          <cell r="F1188" t="str">
            <v>BLANCO</v>
          </cell>
          <cell r="G1188" t="str">
            <v>MOSQUITERO CORREDERA</v>
          </cell>
        </row>
        <row r="1189">
          <cell r="A1189" t="str">
            <v>PI-MQT-PTM-GR</v>
          </cell>
          <cell r="B1189" t="str">
            <v>POSTE T MOSQUITERO - GRAFITO</v>
          </cell>
          <cell r="C1189">
            <v>94</v>
          </cell>
          <cell r="D1189">
            <v>45878</v>
          </cell>
          <cell r="E1189">
            <v>2.4239999999999999</v>
          </cell>
          <cell r="F1189" t="str">
            <v>GRAFITO</v>
          </cell>
          <cell r="G1189" t="str">
            <v>MOSQUITERO CORREDERA</v>
          </cell>
        </row>
        <row r="1190">
          <cell r="A1190" t="str">
            <v>PI-MQT-PTM-NB</v>
          </cell>
          <cell r="B1190" t="str">
            <v>POSTE T MOSQUITERO - NEW BLACK</v>
          </cell>
          <cell r="C1190">
            <v>77</v>
          </cell>
          <cell r="D1190">
            <v>45539</v>
          </cell>
          <cell r="E1190">
            <v>2.25</v>
          </cell>
          <cell r="F1190" t="str">
            <v>NEW BLACK</v>
          </cell>
          <cell r="G1190" t="str">
            <v>MOSQUITERO CORREDERA</v>
          </cell>
        </row>
        <row r="1191">
          <cell r="A1191" t="str">
            <v>PI-MQT-PTM-NO</v>
          </cell>
          <cell r="B1191" t="str">
            <v>POSTE T MOSQUITERO - NOGAL</v>
          </cell>
          <cell r="C1191">
            <v>122</v>
          </cell>
          <cell r="D1191">
            <v>45298</v>
          </cell>
          <cell r="E1191">
            <v>1.5</v>
          </cell>
          <cell r="F1191" t="str">
            <v>NOGAL</v>
          </cell>
          <cell r="G1191" t="str">
            <v>MOSQUITERO CORREDERA</v>
          </cell>
        </row>
        <row r="1192">
          <cell r="A1192" t="str">
            <v>PI-MQT-PTM-RD</v>
          </cell>
          <cell r="B1192" t="str">
            <v>POSTE T MOSQUITERO - ROBLE</v>
          </cell>
          <cell r="C1192">
            <v>120</v>
          </cell>
          <cell r="D1192">
            <v>45479</v>
          </cell>
          <cell r="E1192">
            <v>1.5</v>
          </cell>
          <cell r="F1192" t="str">
            <v>ROBLE</v>
          </cell>
          <cell r="G1192" t="str">
            <v>MOSQUITERO CORREDERA</v>
          </cell>
        </row>
        <row r="1193">
          <cell r="A1193" t="str">
            <v>PI-REF-BHP-NA</v>
          </cell>
          <cell r="B1193" t="str">
            <v>REFUERZO BISAGRA HOJA PUERTA S60 1.2 mm</v>
          </cell>
          <cell r="C1193">
            <v>336</v>
          </cell>
          <cell r="D1193">
            <v>46032</v>
          </cell>
          <cell r="E1193">
            <v>1.3380000000000001</v>
          </cell>
          <cell r="F1193" t="str">
            <v>NATURAL</v>
          </cell>
          <cell r="G1193" t="str">
            <v>REFUERZO</v>
          </cell>
        </row>
        <row r="1194">
          <cell r="A1194" t="str">
            <v>PI-REF-HS-MLT-12</v>
          </cell>
          <cell r="B1194" t="str">
            <v>REFUERZO NEW MULTIPLE 1,2 mm - HS</v>
          </cell>
          <cell r="C1194">
            <v>81</v>
          </cell>
          <cell r="D1194">
            <v>45479</v>
          </cell>
          <cell r="E1194">
            <v>4.4000000000000004</v>
          </cell>
          <cell r="F1194" t="str">
            <v>NATURAL</v>
          </cell>
          <cell r="G1194" t="str">
            <v>HASKAR-REFUERZO</v>
          </cell>
        </row>
        <row r="1195">
          <cell r="A1195" t="str">
            <v>PI-REF-ZAL-60</v>
          </cell>
          <cell r="B1195" t="str">
            <v>ZAPATA PUERTA ALUMINIO 60mm - 3MT</v>
          </cell>
          <cell r="C1195">
            <v>252</v>
          </cell>
          <cell r="D1195">
            <v>46076</v>
          </cell>
          <cell r="E1195">
            <v>3</v>
          </cell>
          <cell r="F1195" t="str">
            <v>NATURAL</v>
          </cell>
          <cell r="G1195" t="str">
            <v>S60</v>
          </cell>
        </row>
        <row r="1196">
          <cell r="A1196" t="str">
            <v>PI-REF-ZAL-70</v>
          </cell>
          <cell r="B1196" t="str">
            <v>ZAPATA PUERTA ALUMINIO 70 mm - 3MT</v>
          </cell>
          <cell r="C1196">
            <v>282</v>
          </cell>
          <cell r="D1196">
            <v>45298</v>
          </cell>
          <cell r="E1196">
            <v>3</v>
          </cell>
          <cell r="F1196" t="str">
            <v>NATURAL</v>
          </cell>
          <cell r="G1196" t="str">
            <v>REFUERZO - WH</v>
          </cell>
        </row>
        <row r="1197">
          <cell r="A1197" t="str">
            <v>PI-S38-ALT-BL</v>
          </cell>
          <cell r="B1197" t="str">
            <v>ALETA SIDING MARCO FIJO ANDES - BLANCO</v>
          </cell>
          <cell r="C1197">
            <v>1152</v>
          </cell>
          <cell r="D1197">
            <v>45896</v>
          </cell>
          <cell r="E1197">
            <v>1.98</v>
          </cell>
          <cell r="F1197" t="str">
            <v>BLANCO</v>
          </cell>
          <cell r="G1197" t="str">
            <v>S38 - ANDES</v>
          </cell>
        </row>
        <row r="1198">
          <cell r="A1198" t="str">
            <v>PI-S38-ART-BL</v>
          </cell>
          <cell r="B1198" t="str">
            <v>ADAPTADOR ROTULA ANDES 38 - BLANCO</v>
          </cell>
          <cell r="C1198">
            <v>158</v>
          </cell>
          <cell r="D1198">
            <v>46060</v>
          </cell>
          <cell r="E1198">
            <v>1.3080000000000001</v>
          </cell>
          <cell r="F1198" t="str">
            <v>BLANCO</v>
          </cell>
          <cell r="G1198" t="str">
            <v>S38 - ANDES</v>
          </cell>
        </row>
        <row r="1199">
          <cell r="A1199" t="str">
            <v>PI-S38-ART-NO</v>
          </cell>
          <cell r="B1199" t="str">
            <v>ADAPTADOR ROTULA ANDES 38 - NOGAL</v>
          </cell>
          <cell r="C1199">
            <v>72</v>
          </cell>
          <cell r="D1199">
            <v>46032</v>
          </cell>
          <cell r="E1199">
            <v>1.3080000000000001</v>
          </cell>
          <cell r="F1199" t="str">
            <v>NOGAL</v>
          </cell>
          <cell r="G1199" t="str">
            <v>S38 - ANDES</v>
          </cell>
        </row>
        <row r="1200">
          <cell r="A1200" t="str">
            <v>PI-S38-ART-RD</v>
          </cell>
          <cell r="B1200" t="str">
            <v>ADAPTADOR ROTULA ANDES 38 - ROBLE</v>
          </cell>
          <cell r="C1200">
            <v>45</v>
          </cell>
          <cell r="D1200">
            <v>45661</v>
          </cell>
          <cell r="E1200">
            <v>1.3080000000000001</v>
          </cell>
          <cell r="F1200" t="str">
            <v>ROBLE</v>
          </cell>
          <cell r="G1200" t="str">
            <v>S38 - ANDES</v>
          </cell>
        </row>
        <row r="1201">
          <cell r="A1201" t="str">
            <v>PI-S38-MF-BL</v>
          </cell>
          <cell r="B1201" t="str">
            <v>MARCO FIJO ANDES S38 - BLANCO</v>
          </cell>
          <cell r="C1201">
            <v>4025</v>
          </cell>
          <cell r="D1201">
            <v>46191</v>
          </cell>
          <cell r="E1201">
            <v>4.0019999999999998</v>
          </cell>
          <cell r="F1201" t="str">
            <v>BLANCO</v>
          </cell>
          <cell r="G1201" t="str">
            <v>S38 - ANDES</v>
          </cell>
        </row>
        <row r="1202">
          <cell r="A1202" t="str">
            <v>PI-S38-MF-GR</v>
          </cell>
          <cell r="B1202" t="str">
            <v>MARCO FIJO ANDES S38 - GRAFITO</v>
          </cell>
          <cell r="C1202">
            <v>260</v>
          </cell>
          <cell r="D1202">
            <v>46191</v>
          </cell>
          <cell r="E1202">
            <v>4.0019999999999998</v>
          </cell>
          <cell r="F1202" t="str">
            <v>GRAFITO</v>
          </cell>
          <cell r="G1202" t="str">
            <v>S38 - ANDES</v>
          </cell>
        </row>
        <row r="1203">
          <cell r="A1203" t="str">
            <v>PI-S38-MF-NB</v>
          </cell>
          <cell r="B1203" t="str">
            <v>MARCO FIJO ANDES S38 - NEW BLACK</v>
          </cell>
          <cell r="C1203">
            <v>345</v>
          </cell>
          <cell r="D1203">
            <v>46191</v>
          </cell>
          <cell r="E1203">
            <v>4.1760000000000002</v>
          </cell>
          <cell r="F1203" t="str">
            <v>NEW BLACK</v>
          </cell>
          <cell r="G1203" t="str">
            <v>S38 - ANDES</v>
          </cell>
        </row>
        <row r="1204">
          <cell r="A1204" t="str">
            <v>PI-S38-MF-NO</v>
          </cell>
          <cell r="B1204" t="str">
            <v>MARCO FIJO ANDES S38 - NOGAL</v>
          </cell>
          <cell r="C1204">
            <v>429</v>
          </cell>
          <cell r="D1204">
            <v>46191</v>
          </cell>
          <cell r="E1204">
            <v>4.0019999999999998</v>
          </cell>
          <cell r="F1204" t="str">
            <v>NOGAL</v>
          </cell>
          <cell r="G1204" t="str">
            <v>S38 - ANDES</v>
          </cell>
        </row>
        <row r="1205">
          <cell r="A1205" t="str">
            <v>PI-S38-MF-RD</v>
          </cell>
          <cell r="B1205" t="str">
            <v>MARCO FIJO ANDES S38 - ROBLE</v>
          </cell>
          <cell r="C1205">
            <v>470</v>
          </cell>
          <cell r="D1205">
            <v>46191</v>
          </cell>
          <cell r="E1205">
            <v>4.0019999999999998</v>
          </cell>
          <cell r="F1205" t="str">
            <v>ROBLE</v>
          </cell>
          <cell r="G1205" t="str">
            <v>S38 - ANDES</v>
          </cell>
        </row>
        <row r="1206">
          <cell r="A1206" t="str">
            <v>PI-S38-PT-BL</v>
          </cell>
          <cell r="B1206" t="str">
            <v>POSTE T &amp; HOJA EXTERIOR ANDES S38 - BLANCO</v>
          </cell>
          <cell r="C1206">
            <v>3016</v>
          </cell>
          <cell r="D1206">
            <v>46195</v>
          </cell>
          <cell r="E1206">
            <v>4.5540000000000003</v>
          </cell>
          <cell r="F1206" t="str">
            <v>BLANCO</v>
          </cell>
          <cell r="G1206" t="str">
            <v>S38 - ANDES</v>
          </cell>
        </row>
        <row r="1207">
          <cell r="A1207" t="str">
            <v>PI-S38-PT-GR</v>
          </cell>
          <cell r="B1207" t="str">
            <v>POSTE T &amp; HOJA EXTERIOR ANDES S38 - GRAFITO</v>
          </cell>
          <cell r="C1207">
            <v>418</v>
          </cell>
          <cell r="D1207">
            <v>46191</v>
          </cell>
          <cell r="E1207">
            <v>4.5540000000000003</v>
          </cell>
          <cell r="F1207" t="str">
            <v>GRAFITO</v>
          </cell>
          <cell r="G1207" t="str">
            <v>S38 - ANDES</v>
          </cell>
        </row>
        <row r="1208">
          <cell r="A1208" t="str">
            <v>PI-S38-PT-NB</v>
          </cell>
          <cell r="B1208" t="str">
            <v>POSTE T &amp; HOJA EXTERIOR ANDES S38 - NEW BLACK</v>
          </cell>
          <cell r="C1208">
            <v>238</v>
          </cell>
          <cell r="D1208">
            <v>46191</v>
          </cell>
          <cell r="E1208">
            <v>4.782</v>
          </cell>
          <cell r="F1208" t="str">
            <v>NEW BLACK</v>
          </cell>
          <cell r="G1208" t="str">
            <v>S38 - ANDES</v>
          </cell>
        </row>
        <row r="1209">
          <cell r="A1209" t="str">
            <v>PI-S38-PT-NO</v>
          </cell>
          <cell r="B1209" t="str">
            <v>POSTE T &amp; HOJA EXTERIOR ANDES S38 - NOGAL</v>
          </cell>
          <cell r="C1209">
            <v>196</v>
          </cell>
          <cell r="D1209">
            <v>46191</v>
          </cell>
          <cell r="E1209">
            <v>4.5540000000000003</v>
          </cell>
          <cell r="F1209" t="str">
            <v>NOGAL</v>
          </cell>
          <cell r="G1209" t="str">
            <v>S38 - ANDES</v>
          </cell>
        </row>
        <row r="1210">
          <cell r="A1210" t="str">
            <v>PI-S38-PT-RD</v>
          </cell>
          <cell r="B1210" t="str">
            <v>POSTE T &amp; HOJA EXTERIOR ANDES S38 - ROBLE</v>
          </cell>
          <cell r="C1210">
            <v>276</v>
          </cell>
          <cell r="D1210">
            <v>46191</v>
          </cell>
          <cell r="E1210">
            <v>4.5540000000000003</v>
          </cell>
          <cell r="F1210" t="str">
            <v>ROBLE</v>
          </cell>
          <cell r="G1210" t="str">
            <v>S38 - ANDES</v>
          </cell>
        </row>
        <row r="1211">
          <cell r="A1211" t="str">
            <v>PI-S38-RTA-BL</v>
          </cell>
          <cell r="B1211" t="str">
            <v>ROTULA ANDES 38 - BLANCO</v>
          </cell>
          <cell r="C1211">
            <v>107</v>
          </cell>
          <cell r="D1211">
            <v>46060</v>
          </cell>
          <cell r="E1211">
            <v>1.716</v>
          </cell>
          <cell r="F1211" t="str">
            <v>BLANCO</v>
          </cell>
          <cell r="G1211" t="str">
            <v>S38 - ANDES</v>
          </cell>
        </row>
        <row r="1212">
          <cell r="A1212" t="str">
            <v>PI-S38-RTA-NO</v>
          </cell>
          <cell r="B1212" t="str">
            <v>ROTULA ANDES 38 - NOGAL</v>
          </cell>
          <cell r="C1212">
            <v>68</v>
          </cell>
          <cell r="D1212">
            <v>46060</v>
          </cell>
          <cell r="E1212">
            <v>1.716</v>
          </cell>
          <cell r="F1212" t="str">
            <v>NOGAL</v>
          </cell>
          <cell r="G1212" t="str">
            <v>S38 - ANDES</v>
          </cell>
        </row>
        <row r="1213">
          <cell r="A1213" t="str">
            <v>PI-S38-RTA-RD</v>
          </cell>
          <cell r="B1213" t="str">
            <v>ROTULA ANDES 38 - ROBLE</v>
          </cell>
          <cell r="C1213">
            <v>37</v>
          </cell>
          <cell r="D1213">
            <v>45479</v>
          </cell>
          <cell r="E1213">
            <v>1.716</v>
          </cell>
          <cell r="F1213" t="str">
            <v>ROBLE</v>
          </cell>
          <cell r="G1213" t="str">
            <v>S38 - ANDES</v>
          </cell>
        </row>
        <row r="1214">
          <cell r="A1214" t="str">
            <v>PI-S60-ART-BK</v>
          </cell>
          <cell r="B1214" t="str">
            <v>ADAPTADOR ROTULA S60 - BLACK</v>
          </cell>
          <cell r="C1214">
            <v>0</v>
          </cell>
          <cell r="D1214">
            <v>45071</v>
          </cell>
          <cell r="E1214">
            <v>1.6619999999999999</v>
          </cell>
          <cell r="F1214" t="str">
            <v>BLACK</v>
          </cell>
          <cell r="G1214" t="str">
            <v>S60</v>
          </cell>
        </row>
        <row r="1215">
          <cell r="A1215" t="str">
            <v>PI-S60-ART-BL</v>
          </cell>
          <cell r="B1215" t="str">
            <v>ADAPTADOR ROTULA S60 - BLANCO</v>
          </cell>
          <cell r="C1215">
            <v>253</v>
          </cell>
          <cell r="D1215">
            <v>46189</v>
          </cell>
          <cell r="E1215">
            <v>1.6619999999999999</v>
          </cell>
          <cell r="F1215" t="str">
            <v>BLANCO</v>
          </cell>
          <cell r="G1215" t="str">
            <v>S60</v>
          </cell>
        </row>
        <row r="1216">
          <cell r="A1216" t="str">
            <v>PI-S60-ART-GR</v>
          </cell>
          <cell r="B1216" t="str">
            <v>ADAPTADOR ROTULA S60 - GRAFITO</v>
          </cell>
          <cell r="C1216">
            <v>175</v>
          </cell>
          <cell r="D1216">
            <v>45661</v>
          </cell>
          <cell r="E1216">
            <v>1.6619999999999999</v>
          </cell>
          <cell r="F1216" t="str">
            <v>GRAFITO</v>
          </cell>
          <cell r="G1216" t="str">
            <v>S60</v>
          </cell>
        </row>
        <row r="1217">
          <cell r="A1217" t="str">
            <v>PI-S60-ART-NB</v>
          </cell>
          <cell r="B1217" t="str">
            <v>ADAPTADOR ROTULA S60 - NEW BLACK</v>
          </cell>
          <cell r="C1217">
            <v>52</v>
          </cell>
          <cell r="D1217">
            <v>46032</v>
          </cell>
          <cell r="E1217">
            <v>1.6619999999999999</v>
          </cell>
          <cell r="F1217" t="str">
            <v>NEW BLACK</v>
          </cell>
          <cell r="G1217" t="str">
            <v>S60</v>
          </cell>
        </row>
        <row r="1218">
          <cell r="A1218" t="str">
            <v>PI-S60-ART-NO</v>
          </cell>
          <cell r="B1218" t="str">
            <v>ADAPTADOR ROTULA S60 - NOGAL</v>
          </cell>
          <cell r="C1218">
            <v>195</v>
          </cell>
          <cell r="D1218">
            <v>46032</v>
          </cell>
          <cell r="E1218">
            <v>1.6619999999999999</v>
          </cell>
          <cell r="F1218" t="str">
            <v>NOGAL</v>
          </cell>
          <cell r="G1218" t="str">
            <v>S60</v>
          </cell>
        </row>
        <row r="1219">
          <cell r="A1219" t="str">
            <v>PI-S60-ART-RD</v>
          </cell>
          <cell r="B1219" t="str">
            <v>ADAPTADOR ROTULA S60 - ROBLE</v>
          </cell>
          <cell r="C1219">
            <v>92</v>
          </cell>
          <cell r="D1219">
            <v>46170</v>
          </cell>
          <cell r="E1219">
            <v>2.5920000000000001</v>
          </cell>
          <cell r="F1219" t="str">
            <v>ROBLE</v>
          </cell>
          <cell r="G1219" t="str">
            <v>S60</v>
          </cell>
        </row>
        <row r="1220">
          <cell r="A1220" t="str">
            <v>PI-S60-BTE-BK</v>
          </cell>
          <cell r="B1220" t="str">
            <v>POSTE INVERSOR O BATIENTE S60 - BLACK</v>
          </cell>
          <cell r="C1220">
            <v>0</v>
          </cell>
          <cell r="D1220">
            <v>45071</v>
          </cell>
          <cell r="E1220">
            <v>6.4020000000000001</v>
          </cell>
          <cell r="F1220" t="str">
            <v>BLACK</v>
          </cell>
          <cell r="G1220" t="str">
            <v>S60</v>
          </cell>
        </row>
        <row r="1221">
          <cell r="A1221" t="str">
            <v>PI-S60-BTE-BL</v>
          </cell>
          <cell r="B1221" t="str">
            <v>POSTE INVERSOR O BATIENTE S60 - BLANCO</v>
          </cell>
          <cell r="C1221">
            <v>369</v>
          </cell>
          <cell r="D1221">
            <v>46191</v>
          </cell>
          <cell r="E1221">
            <v>5.8920000000000003</v>
          </cell>
          <cell r="F1221" t="str">
            <v>BLANCO</v>
          </cell>
          <cell r="G1221" t="str">
            <v>S60</v>
          </cell>
        </row>
        <row r="1222">
          <cell r="A1222" t="str">
            <v>PI-S60-BTE-GR</v>
          </cell>
          <cell r="B1222" t="str">
            <v>POSTE INVERSOR O BATIENTE S60 - GRAFITO</v>
          </cell>
          <cell r="C1222">
            <v>195</v>
          </cell>
          <cell r="D1222">
            <v>46170</v>
          </cell>
          <cell r="E1222">
            <v>6.4379999999999997</v>
          </cell>
          <cell r="F1222" t="str">
            <v>GRAFITO</v>
          </cell>
          <cell r="G1222" t="str">
            <v>S60</v>
          </cell>
        </row>
        <row r="1223">
          <cell r="A1223" t="str">
            <v>PI-S60-BTE-NB</v>
          </cell>
          <cell r="B1223" t="str">
            <v>POSTE INVERSOR O BATIENTE S60 - NEW BLACK</v>
          </cell>
          <cell r="C1223">
            <v>314</v>
          </cell>
          <cell r="D1223">
            <v>46191</v>
          </cell>
          <cell r="E1223">
            <v>6.4379999999999997</v>
          </cell>
          <cell r="F1223" t="str">
            <v>NEW BLACK</v>
          </cell>
          <cell r="G1223" t="str">
            <v>S60</v>
          </cell>
        </row>
        <row r="1224">
          <cell r="A1224" t="str">
            <v>PI-S60-BTE-NO</v>
          </cell>
          <cell r="B1224" t="str">
            <v>POSTE INVERSOR O BATIENTE S60 - NOGAL</v>
          </cell>
          <cell r="C1224">
            <v>142</v>
          </cell>
          <cell r="D1224">
            <v>46191</v>
          </cell>
          <cell r="E1224">
            <v>6.4379999999999997</v>
          </cell>
          <cell r="F1224" t="str">
            <v>NOGAL</v>
          </cell>
          <cell r="G1224" t="str">
            <v>S60</v>
          </cell>
        </row>
        <row r="1225">
          <cell r="A1225" t="str">
            <v>PI-S60-BTE-RD</v>
          </cell>
          <cell r="B1225" t="str">
            <v>POSTE INVERSOR O BATIENTE S60 - ROBLE</v>
          </cell>
          <cell r="C1225">
            <v>195</v>
          </cell>
          <cell r="D1225">
            <v>46191</v>
          </cell>
          <cell r="E1225">
            <v>6.4379999999999997</v>
          </cell>
          <cell r="F1225" t="str">
            <v>ROBLE</v>
          </cell>
          <cell r="G1225" t="str">
            <v>S60</v>
          </cell>
        </row>
        <row r="1226">
          <cell r="A1226" t="str">
            <v>PI-S60-E45-BL</v>
          </cell>
          <cell r="B1226" t="str">
            <v>ESQUINERO 45° S60 - BLANCO</v>
          </cell>
          <cell r="C1226">
            <v>100</v>
          </cell>
          <cell r="D1226">
            <v>46101</v>
          </cell>
          <cell r="E1226">
            <v>3.87</v>
          </cell>
          <cell r="F1226" t="str">
            <v>BLANCO</v>
          </cell>
          <cell r="G1226" t="str">
            <v>S60</v>
          </cell>
        </row>
        <row r="1227">
          <cell r="A1227" t="str">
            <v>PI-S60-E45-GR</v>
          </cell>
          <cell r="B1227" t="str">
            <v>ESQUINERO 45° S60 - GRAFITO</v>
          </cell>
          <cell r="C1227">
            <v>158</v>
          </cell>
          <cell r="D1227">
            <v>45878</v>
          </cell>
          <cell r="E1227">
            <v>3.87</v>
          </cell>
          <cell r="F1227" t="str">
            <v>GRAFITO</v>
          </cell>
          <cell r="G1227" t="str">
            <v>S60</v>
          </cell>
        </row>
        <row r="1228">
          <cell r="A1228" t="str">
            <v>PI-S60-E45-NO</v>
          </cell>
          <cell r="B1228" t="str">
            <v>ESQUINERO 45° S60 - NOGAL</v>
          </cell>
          <cell r="C1228">
            <v>125</v>
          </cell>
          <cell r="D1228">
            <v>45944</v>
          </cell>
          <cell r="E1228">
            <v>3.87</v>
          </cell>
          <cell r="F1228" t="str">
            <v>NOGAL</v>
          </cell>
          <cell r="G1228" t="str">
            <v>S60</v>
          </cell>
        </row>
        <row r="1229">
          <cell r="A1229" t="str">
            <v>PI-S60-E45-RD</v>
          </cell>
          <cell r="B1229" t="str">
            <v>ESQUINERO 45° S60 - ROBLE</v>
          </cell>
          <cell r="C1229">
            <v>117</v>
          </cell>
          <cell r="D1229">
            <v>46060</v>
          </cell>
          <cell r="E1229">
            <v>3.87</v>
          </cell>
          <cell r="F1229" t="str">
            <v>ROBLE</v>
          </cell>
          <cell r="G1229" t="str">
            <v>S60</v>
          </cell>
        </row>
        <row r="1230">
          <cell r="A1230" t="str">
            <v>PI-S60-EQF-BK</v>
          </cell>
          <cell r="B1230" t="str">
            <v>ESQUINERO 90° - 60 mm S60 - BLACK</v>
          </cell>
          <cell r="C1230">
            <v>0</v>
          </cell>
          <cell r="D1230">
            <v>44926</v>
          </cell>
          <cell r="E1230">
            <v>5.0880000000000001</v>
          </cell>
          <cell r="F1230" t="str">
            <v>BLACK</v>
          </cell>
          <cell r="G1230" t="str">
            <v>S60</v>
          </cell>
        </row>
        <row r="1231">
          <cell r="A1231" t="str">
            <v>PI-S60-EQF-BL</v>
          </cell>
          <cell r="B1231" t="str">
            <v>ESQUINERO 90° - 60 mm S60 - BLANCO</v>
          </cell>
          <cell r="C1231">
            <v>407</v>
          </cell>
          <cell r="D1231">
            <v>46189</v>
          </cell>
          <cell r="E1231">
            <v>4.8</v>
          </cell>
          <cell r="F1231" t="str">
            <v>BLANCO</v>
          </cell>
          <cell r="G1231" t="str">
            <v>S60</v>
          </cell>
        </row>
        <row r="1232">
          <cell r="A1232" t="str">
            <v>PI-S60-EQF-GR</v>
          </cell>
          <cell r="B1232" t="str">
            <v>ESQUINERO 90° - 60 mm S60 - GRAFITO</v>
          </cell>
          <cell r="C1232">
            <v>15</v>
          </cell>
          <cell r="D1232">
            <v>45892</v>
          </cell>
          <cell r="E1232">
            <v>5.2140000000000004</v>
          </cell>
          <cell r="F1232" t="str">
            <v>GRAFITO</v>
          </cell>
          <cell r="G1232" t="str">
            <v>S60</v>
          </cell>
        </row>
        <row r="1233">
          <cell r="A1233" t="str">
            <v>PI-S60-EQF-NB</v>
          </cell>
          <cell r="B1233" t="str">
            <v>ESQUINERO 90° - 60 mm S60 - NEW BLACK</v>
          </cell>
          <cell r="C1233">
            <v>146</v>
          </cell>
          <cell r="D1233">
            <v>46139</v>
          </cell>
          <cell r="E1233">
            <v>5.0880000000000001</v>
          </cell>
          <cell r="F1233" t="str">
            <v>NEW BLACK</v>
          </cell>
          <cell r="G1233" t="str">
            <v>S60</v>
          </cell>
        </row>
        <row r="1234">
          <cell r="A1234" t="str">
            <v>PI-S60-EQF-NO</v>
          </cell>
          <cell r="B1234" t="str">
            <v>ESQUINERO 90° - 60 mm S60 - NOGAL</v>
          </cell>
          <cell r="C1234">
            <v>238</v>
          </cell>
          <cell r="D1234">
            <v>46170</v>
          </cell>
          <cell r="E1234">
            <v>5.2140000000000004</v>
          </cell>
          <cell r="F1234" t="str">
            <v>NOGAL</v>
          </cell>
          <cell r="G1234" t="str">
            <v>S60</v>
          </cell>
        </row>
        <row r="1235">
          <cell r="A1235" t="str">
            <v>PI-S60-EQF-RD</v>
          </cell>
          <cell r="B1235" t="str">
            <v>ESQUINERO 90° - 60 mm S60 - ROBLE</v>
          </cell>
          <cell r="C1235">
            <v>97</v>
          </cell>
          <cell r="D1235">
            <v>46028</v>
          </cell>
          <cell r="E1235">
            <v>5.0880000000000001</v>
          </cell>
          <cell r="F1235" t="str">
            <v>ROBLE</v>
          </cell>
          <cell r="G1235" t="str">
            <v>S60</v>
          </cell>
        </row>
        <row r="1236">
          <cell r="A1236" t="str">
            <v>PI-S60-HPE-BK</v>
          </cell>
          <cell r="B1236" t="str">
            <v>HOJA PUERTA EXTERIOR S60 - BLACK</v>
          </cell>
          <cell r="C1236">
            <v>0</v>
          </cell>
          <cell r="D1236">
            <v>45070</v>
          </cell>
          <cell r="E1236">
            <v>10.632</v>
          </cell>
          <cell r="F1236" t="str">
            <v>BLACK</v>
          </cell>
          <cell r="G1236" t="str">
            <v>S60</v>
          </cell>
        </row>
        <row r="1237">
          <cell r="A1237" t="str">
            <v>PI-S60-HPE-BL</v>
          </cell>
          <cell r="B1237" t="str">
            <v>HOJA PUERTA EXTERIOR S60 - BLANCO</v>
          </cell>
          <cell r="C1237">
            <v>1406</v>
          </cell>
          <cell r="D1237">
            <v>46191</v>
          </cell>
          <cell r="E1237">
            <v>10.632</v>
          </cell>
          <cell r="F1237" t="str">
            <v>BLANCO</v>
          </cell>
          <cell r="G1237" t="str">
            <v>S60</v>
          </cell>
        </row>
        <row r="1238">
          <cell r="A1238" t="str">
            <v>PI-S60-HPE-GR</v>
          </cell>
          <cell r="B1238" t="str">
            <v>HOJA PUERTA EXTERIOR S60 - GRAFITO</v>
          </cell>
          <cell r="C1238">
            <v>636</v>
          </cell>
          <cell r="D1238">
            <v>46191</v>
          </cell>
          <cell r="E1238">
            <v>10.632</v>
          </cell>
          <cell r="F1238" t="str">
            <v>GRAFITO</v>
          </cell>
          <cell r="G1238" t="str">
            <v>S60</v>
          </cell>
        </row>
        <row r="1239">
          <cell r="A1239" t="str">
            <v>PI-S60-HPE-NB</v>
          </cell>
          <cell r="B1239" t="str">
            <v>HOJA PUERTA EXTERIOR S60 - NEW BLACK</v>
          </cell>
          <cell r="C1239">
            <v>610</v>
          </cell>
          <cell r="D1239">
            <v>46191</v>
          </cell>
          <cell r="E1239">
            <v>10.704000000000001</v>
          </cell>
          <cell r="F1239" t="str">
            <v>NEW BLACK</v>
          </cell>
          <cell r="G1239" t="str">
            <v>S60</v>
          </cell>
        </row>
        <row r="1240">
          <cell r="A1240" t="str">
            <v>PI-S60-HPE-NO</v>
          </cell>
          <cell r="B1240" t="str">
            <v>HOJA PUERTA EXTERIOR S60 - NOGAL</v>
          </cell>
          <cell r="C1240">
            <v>716</v>
          </cell>
          <cell r="D1240">
            <v>46191</v>
          </cell>
          <cell r="E1240">
            <v>10.704000000000001</v>
          </cell>
          <cell r="F1240" t="str">
            <v>NOGAL</v>
          </cell>
          <cell r="G1240" t="str">
            <v>S60</v>
          </cell>
        </row>
        <row r="1241">
          <cell r="A1241" t="str">
            <v>PI-S60-HPE-RD</v>
          </cell>
          <cell r="B1241" t="str">
            <v>HOJA PUERTA EXTERIOR S60 - ROBLE</v>
          </cell>
          <cell r="C1241">
            <v>575</v>
          </cell>
          <cell r="D1241">
            <v>46191</v>
          </cell>
          <cell r="E1241">
            <v>10.632</v>
          </cell>
          <cell r="F1241" t="str">
            <v>ROBLE</v>
          </cell>
          <cell r="G1241" t="str">
            <v>S60</v>
          </cell>
        </row>
        <row r="1242">
          <cell r="A1242" t="str">
            <v>PI-S60-HPI-BK</v>
          </cell>
          <cell r="B1242" t="str">
            <v>HOJA PUERTA INTERIOR S60 - BLACK</v>
          </cell>
          <cell r="C1242">
            <v>0</v>
          </cell>
          <cell r="D1242">
            <v>45298</v>
          </cell>
          <cell r="E1242">
            <v>10.866</v>
          </cell>
          <cell r="F1242" t="str">
            <v>BLACK</v>
          </cell>
          <cell r="G1242" t="str">
            <v>S60</v>
          </cell>
        </row>
        <row r="1243">
          <cell r="A1243" t="str">
            <v>PI-S60-HPI-BL</v>
          </cell>
          <cell r="B1243" t="str">
            <v>HOJA PUERTA INTERIOR S60 - BLANCO</v>
          </cell>
          <cell r="C1243">
            <v>387</v>
          </cell>
          <cell r="D1243">
            <v>46161</v>
          </cell>
          <cell r="E1243">
            <v>10.866</v>
          </cell>
          <cell r="F1243" t="str">
            <v>BLANCO</v>
          </cell>
          <cell r="G1243" t="str">
            <v>S60</v>
          </cell>
        </row>
        <row r="1244">
          <cell r="A1244" t="str">
            <v>PI-S60-HPI-GR</v>
          </cell>
          <cell r="B1244" t="str">
            <v>HOJA PUERTA INTERIOR S60 - GRAFITO</v>
          </cell>
          <cell r="C1244">
            <v>249</v>
          </cell>
          <cell r="D1244">
            <v>46191</v>
          </cell>
          <cell r="E1244">
            <v>10.938000000000001</v>
          </cell>
          <cell r="F1244" t="str">
            <v>GRAFITO</v>
          </cell>
          <cell r="G1244" t="str">
            <v>S60</v>
          </cell>
        </row>
        <row r="1245">
          <cell r="A1245" t="str">
            <v>PI-S60-HPI-NB</v>
          </cell>
          <cell r="B1245" t="str">
            <v>HOJA PUERTA INTERIOR S60 - NEW BLACK</v>
          </cell>
          <cell r="C1245">
            <v>391</v>
          </cell>
          <cell r="D1245">
            <v>46191</v>
          </cell>
          <cell r="E1245">
            <v>10.938000000000001</v>
          </cell>
          <cell r="F1245" t="str">
            <v>NEW BLACK</v>
          </cell>
          <cell r="G1245" t="str">
            <v>S60</v>
          </cell>
        </row>
        <row r="1246">
          <cell r="A1246" t="str">
            <v>PI-S60-HPI-NO</v>
          </cell>
          <cell r="B1246" t="str">
            <v>HOJA PUERTA INTERIOR S60 - NOGAL</v>
          </cell>
          <cell r="C1246">
            <v>392</v>
          </cell>
          <cell r="D1246">
            <v>46191</v>
          </cell>
          <cell r="E1246">
            <v>10.938000000000001</v>
          </cell>
          <cell r="F1246" t="str">
            <v>NOGAL</v>
          </cell>
          <cell r="G1246" t="str">
            <v>S60</v>
          </cell>
        </row>
        <row r="1247">
          <cell r="A1247" t="str">
            <v>PI-S60-HPI-RD</v>
          </cell>
          <cell r="B1247" t="str">
            <v>HOJA PUERTA INTERIOR S60 - ROBLE</v>
          </cell>
          <cell r="C1247">
            <v>418</v>
          </cell>
          <cell r="D1247">
            <v>46191</v>
          </cell>
          <cell r="E1247">
            <v>10.938000000000001</v>
          </cell>
          <cell r="F1247" t="str">
            <v>ROBLE</v>
          </cell>
          <cell r="G1247" t="str">
            <v>S60</v>
          </cell>
        </row>
        <row r="1248">
          <cell r="A1248" t="str">
            <v>PI-S60-HS-BMF-12</v>
          </cell>
          <cell r="B1248" t="str">
            <v>REFUERZO BOX MARCO FIJO S60 1,2 mm - HS</v>
          </cell>
          <cell r="C1248">
            <v>0</v>
          </cell>
          <cell r="D1248">
            <v>45479</v>
          </cell>
          <cell r="E1248">
            <v>6.1</v>
          </cell>
          <cell r="F1248" t="str">
            <v>NATURAL</v>
          </cell>
          <cell r="G1248" t="str">
            <v>HASKAR-REFUERZO</v>
          </cell>
        </row>
        <row r="1249">
          <cell r="A1249" t="str">
            <v>PI-S60-HVE-BK</v>
          </cell>
          <cell r="B1249" t="str">
            <v>HOJA VENTANA EXTERIOR S60 - BLACK</v>
          </cell>
          <cell r="C1249">
            <v>0</v>
          </cell>
          <cell r="D1249">
            <v>45071</v>
          </cell>
          <cell r="E1249">
            <v>7.86</v>
          </cell>
          <cell r="F1249" t="str">
            <v>BLACK</v>
          </cell>
          <cell r="G1249" t="str">
            <v>S60</v>
          </cell>
        </row>
        <row r="1250">
          <cell r="A1250" t="str">
            <v>PI-S60-HVE-BL</v>
          </cell>
          <cell r="B1250" t="str">
            <v>HOJA VENTANA EXTERIOR S60 - BLANCO</v>
          </cell>
          <cell r="C1250">
            <v>8270</v>
          </cell>
          <cell r="D1250">
            <v>46195</v>
          </cell>
          <cell r="E1250">
            <v>7.86</v>
          </cell>
          <cell r="F1250" t="str">
            <v>BLANCO</v>
          </cell>
          <cell r="G1250" t="str">
            <v>S60</v>
          </cell>
        </row>
        <row r="1251">
          <cell r="A1251" t="str">
            <v>PI-S60-HVE-GR</v>
          </cell>
          <cell r="B1251" t="str">
            <v>HOJA VENTANA EXTERIOR S60 - GRAFITO</v>
          </cell>
          <cell r="C1251">
            <v>1228</v>
          </cell>
          <cell r="D1251">
            <v>46191</v>
          </cell>
          <cell r="E1251">
            <v>8.6880000000000006</v>
          </cell>
          <cell r="F1251" t="str">
            <v>GRAFITO</v>
          </cell>
          <cell r="G1251" t="str">
            <v>S60</v>
          </cell>
        </row>
        <row r="1252">
          <cell r="A1252" t="str">
            <v>PI-S60-HVE-NB</v>
          </cell>
          <cell r="B1252" t="str">
            <v>HOJA VENTANA EXTERIOR S60 - NEW BLACK</v>
          </cell>
          <cell r="C1252">
            <v>1662</v>
          </cell>
          <cell r="D1252">
            <v>46191</v>
          </cell>
          <cell r="E1252">
            <v>7.9320000000000004</v>
          </cell>
          <cell r="F1252" t="str">
            <v>NEW BLACK</v>
          </cell>
          <cell r="G1252" t="str">
            <v>S60</v>
          </cell>
        </row>
        <row r="1253">
          <cell r="A1253" t="str">
            <v>PI-S60-HVE-NO</v>
          </cell>
          <cell r="B1253" t="str">
            <v>HOJA VENTANA EXTERIOR S60 - NOGAL</v>
          </cell>
          <cell r="C1253">
            <v>1913</v>
          </cell>
          <cell r="D1253">
            <v>46191</v>
          </cell>
          <cell r="E1253">
            <v>7.9320000000000004</v>
          </cell>
          <cell r="F1253" t="str">
            <v>NOGAL</v>
          </cell>
          <cell r="G1253" t="str">
            <v>S60</v>
          </cell>
        </row>
        <row r="1254">
          <cell r="A1254" t="str">
            <v>PI-S60-HVE-RD</v>
          </cell>
          <cell r="B1254" t="str">
            <v>HOJA VENTANA EXTERIOR S60 - ROBLE</v>
          </cell>
          <cell r="C1254">
            <v>1473</v>
          </cell>
          <cell r="D1254">
            <v>46191</v>
          </cell>
          <cell r="E1254">
            <v>8.6880000000000006</v>
          </cell>
          <cell r="F1254" t="str">
            <v>ROBLE</v>
          </cell>
          <cell r="G1254" t="str">
            <v>S60</v>
          </cell>
        </row>
        <row r="1255">
          <cell r="A1255" t="str">
            <v>PI-S60-HVI-BK</v>
          </cell>
          <cell r="B1255" t="str">
            <v>HOJA VENTANA INTERIOR S60 - BLACK</v>
          </cell>
          <cell r="C1255">
            <v>0</v>
          </cell>
          <cell r="D1255">
            <v>44926</v>
          </cell>
          <cell r="E1255">
            <v>7.944</v>
          </cell>
          <cell r="F1255" t="str">
            <v>BLACK</v>
          </cell>
          <cell r="G1255" t="str">
            <v>S60</v>
          </cell>
        </row>
        <row r="1256">
          <cell r="A1256" t="str">
            <v>PI-S60-HVI-BL</v>
          </cell>
          <cell r="B1256" t="str">
            <v>HOJA VENTANA INTERIOR S60 - BLANCO</v>
          </cell>
          <cell r="C1256">
            <v>829</v>
          </cell>
          <cell r="D1256">
            <v>46170</v>
          </cell>
          <cell r="E1256">
            <v>7.944</v>
          </cell>
          <cell r="F1256" t="str">
            <v>BLANCO</v>
          </cell>
          <cell r="G1256" t="str">
            <v>S60</v>
          </cell>
        </row>
        <row r="1257">
          <cell r="A1257" t="str">
            <v>PI-S60-HVI-GR</v>
          </cell>
          <cell r="B1257" t="str">
            <v>HOJA VENTANA INTERIOR S60 - GRAFITO</v>
          </cell>
          <cell r="C1257">
            <v>327</v>
          </cell>
          <cell r="D1257">
            <v>46133</v>
          </cell>
          <cell r="E1257">
            <v>8.016</v>
          </cell>
          <cell r="F1257" t="str">
            <v>GRAFITO</v>
          </cell>
          <cell r="G1257" t="str">
            <v>S60</v>
          </cell>
        </row>
        <row r="1258">
          <cell r="A1258" t="str">
            <v>PI-S60-HVI-NB</v>
          </cell>
          <cell r="B1258" t="str">
            <v>HOJA VENTANA INTERIOR S60 - NEW BLACK</v>
          </cell>
          <cell r="C1258">
            <v>301</v>
          </cell>
          <cell r="D1258">
            <v>46148</v>
          </cell>
          <cell r="E1258">
            <v>8.016</v>
          </cell>
          <cell r="F1258" t="str">
            <v>NEW BLACK</v>
          </cell>
          <cell r="G1258" t="str">
            <v>S60</v>
          </cell>
        </row>
        <row r="1259">
          <cell r="A1259" t="str">
            <v>PI-S60-HVI-NO</v>
          </cell>
          <cell r="B1259" t="str">
            <v>HOJA VENTANA INTERIOR S60 - NOGAL</v>
          </cell>
          <cell r="C1259">
            <v>515</v>
          </cell>
          <cell r="D1259">
            <v>46191</v>
          </cell>
          <cell r="E1259">
            <v>8.016</v>
          </cell>
          <cell r="F1259" t="str">
            <v>NOGAL</v>
          </cell>
          <cell r="G1259" t="str">
            <v>S60</v>
          </cell>
        </row>
        <row r="1260">
          <cell r="A1260" t="str">
            <v>PI-S60-HVI-RD</v>
          </cell>
          <cell r="B1260" t="str">
            <v>HOJA VENTANA INTERIOR S60 - ROBLE</v>
          </cell>
          <cell r="C1260">
            <v>431</v>
          </cell>
          <cell r="D1260">
            <v>46178</v>
          </cell>
          <cell r="E1260">
            <v>8.016</v>
          </cell>
          <cell r="F1260" t="str">
            <v>ROBLE</v>
          </cell>
          <cell r="G1260" t="str">
            <v>S60</v>
          </cell>
        </row>
        <row r="1261">
          <cell r="A1261" t="str">
            <v>PI-S60-INT-BK</v>
          </cell>
          <cell r="B1261" t="str">
            <v>INERCIA T - BLACK</v>
          </cell>
          <cell r="C1261">
            <v>0</v>
          </cell>
          <cell r="D1261">
            <v>44926</v>
          </cell>
          <cell r="E1261">
            <v>5.2140000000000004</v>
          </cell>
          <cell r="F1261" t="str">
            <v>BLACK</v>
          </cell>
          <cell r="G1261" t="str">
            <v>S60</v>
          </cell>
        </row>
        <row r="1262">
          <cell r="A1262" t="str">
            <v>PI-S60-INT-BL</v>
          </cell>
          <cell r="B1262" t="str">
            <v>INERCIA T - BLANCO</v>
          </cell>
          <cell r="C1262">
            <v>180</v>
          </cell>
          <cell r="D1262">
            <v>46032</v>
          </cell>
          <cell r="E1262">
            <v>4.8</v>
          </cell>
          <cell r="F1262" t="str">
            <v>BLANCO</v>
          </cell>
          <cell r="G1262" t="str">
            <v>S60</v>
          </cell>
        </row>
        <row r="1263">
          <cell r="A1263" t="str">
            <v>PI-S60-INT-GR</v>
          </cell>
          <cell r="B1263" t="str">
            <v>INERCIA T - GRAFITO</v>
          </cell>
          <cell r="C1263">
            <v>175</v>
          </cell>
          <cell r="D1263">
            <v>46139</v>
          </cell>
          <cell r="E1263">
            <v>5.2140000000000004</v>
          </cell>
          <cell r="F1263" t="str">
            <v>GRAFITO</v>
          </cell>
          <cell r="G1263" t="str">
            <v>S60</v>
          </cell>
        </row>
        <row r="1264">
          <cell r="A1264" t="str">
            <v>PI-S60-INT-NB</v>
          </cell>
          <cell r="B1264" t="str">
            <v>INERCIA T - NEW BLACK</v>
          </cell>
          <cell r="C1264">
            <v>54</v>
          </cell>
          <cell r="D1264">
            <v>45985</v>
          </cell>
          <cell r="E1264">
            <v>5.2140000000000004</v>
          </cell>
          <cell r="F1264" t="str">
            <v>NEW BLACK</v>
          </cell>
          <cell r="G1264" t="str">
            <v>S60</v>
          </cell>
        </row>
        <row r="1265">
          <cell r="A1265" t="str">
            <v>PI-S60-INT-NO</v>
          </cell>
          <cell r="B1265" t="str">
            <v>INERCIA T - NOGAL</v>
          </cell>
          <cell r="C1265">
            <v>209</v>
          </cell>
          <cell r="D1265">
            <v>45892</v>
          </cell>
          <cell r="E1265">
            <v>5.2140000000000004</v>
          </cell>
          <cell r="F1265" t="str">
            <v>NOGAL</v>
          </cell>
          <cell r="G1265" t="str">
            <v>S60</v>
          </cell>
        </row>
        <row r="1266">
          <cell r="A1266" t="str">
            <v>PI-S60-INT-RD</v>
          </cell>
          <cell r="B1266" t="str">
            <v>INERCIA T - ROBLE</v>
          </cell>
          <cell r="C1266">
            <v>110</v>
          </cell>
          <cell r="D1266">
            <v>46032</v>
          </cell>
          <cell r="E1266">
            <v>5.2140000000000004</v>
          </cell>
          <cell r="F1266" t="str">
            <v>ROBLE</v>
          </cell>
          <cell r="G1266" t="str">
            <v>S60</v>
          </cell>
        </row>
        <row r="1267">
          <cell r="A1267" t="str">
            <v>PI-S60-J17-20-BK</v>
          </cell>
          <cell r="B1267" t="str">
            <v>JUNQUILLO 17-20 mm S60 - BLACK</v>
          </cell>
          <cell r="C1267">
            <v>0</v>
          </cell>
          <cell r="D1267">
            <v>45123</v>
          </cell>
          <cell r="E1267">
            <v>1.254</v>
          </cell>
          <cell r="F1267" t="str">
            <v>BLACK</v>
          </cell>
          <cell r="G1267" t="str">
            <v>S60</v>
          </cell>
        </row>
        <row r="1268">
          <cell r="A1268" t="str">
            <v>PI-S60-J17-20-BL</v>
          </cell>
          <cell r="B1268" t="str">
            <v>JUNQUILLO 17-20 mm S60 - BLANCO</v>
          </cell>
          <cell r="C1268">
            <v>12755</v>
          </cell>
          <cell r="D1268">
            <v>46191</v>
          </cell>
          <cell r="E1268">
            <v>1.254</v>
          </cell>
          <cell r="F1268" t="str">
            <v>BLANCO</v>
          </cell>
          <cell r="G1268" t="str">
            <v>S60</v>
          </cell>
        </row>
        <row r="1269">
          <cell r="A1269" t="str">
            <v>PI-S60-J17-20-GR</v>
          </cell>
          <cell r="B1269" t="str">
            <v>JUNQUILLO 17-20 mm S60 - GRAFITO</v>
          </cell>
          <cell r="C1269">
            <v>2807</v>
          </cell>
          <cell r="D1269">
            <v>46191</v>
          </cell>
          <cell r="E1269">
            <v>1.254</v>
          </cell>
          <cell r="F1269" t="str">
            <v>GRAFITO</v>
          </cell>
          <cell r="G1269" t="str">
            <v>S60</v>
          </cell>
        </row>
        <row r="1270">
          <cell r="A1270" t="str">
            <v>PI-S60-J17-20-NB</v>
          </cell>
          <cell r="B1270" t="str">
            <v>JUNQUILLO 17-20 mm S60 - NEW BLACK</v>
          </cell>
          <cell r="C1270">
            <v>3054</v>
          </cell>
          <cell r="D1270">
            <v>46191</v>
          </cell>
          <cell r="E1270">
            <v>1.254</v>
          </cell>
          <cell r="F1270" t="str">
            <v>NEW BLACK</v>
          </cell>
          <cell r="G1270" t="str">
            <v>S60</v>
          </cell>
        </row>
        <row r="1271">
          <cell r="A1271" t="str">
            <v>PI-S60-J17-20-NO</v>
          </cell>
          <cell r="B1271" t="str">
            <v>JUNQUILLO 17-20 mm S60 - NOGAL</v>
          </cell>
          <cell r="C1271">
            <v>4705</v>
          </cell>
          <cell r="D1271">
            <v>46191</v>
          </cell>
          <cell r="E1271">
            <v>1.254</v>
          </cell>
          <cell r="F1271" t="str">
            <v>NOGAL</v>
          </cell>
          <cell r="G1271" t="str">
            <v>S60</v>
          </cell>
        </row>
        <row r="1272">
          <cell r="A1272" t="str">
            <v>PI-S60-J17-20-RD</v>
          </cell>
          <cell r="B1272" t="str">
            <v>JUNQUILLO 17-20 mm S60 - ROBLE</v>
          </cell>
          <cell r="C1272">
            <v>4102</v>
          </cell>
          <cell r="D1272">
            <v>46191</v>
          </cell>
          <cell r="E1272">
            <v>1.254</v>
          </cell>
          <cell r="F1272" t="str">
            <v>ROBLE</v>
          </cell>
          <cell r="G1272" t="str">
            <v>S60</v>
          </cell>
        </row>
        <row r="1273">
          <cell r="A1273" t="str">
            <v>PI-S60-J22-24-BK</v>
          </cell>
          <cell r="B1273" t="str">
            <v>JUNQUILLO 22-24 mm S60 - BLACK</v>
          </cell>
          <cell r="C1273">
            <v>0</v>
          </cell>
          <cell r="D1273">
            <v>45479</v>
          </cell>
          <cell r="E1273">
            <v>1.026</v>
          </cell>
          <cell r="F1273" t="str">
            <v>BLACK</v>
          </cell>
          <cell r="G1273" t="str">
            <v>S60</v>
          </cell>
        </row>
        <row r="1274">
          <cell r="A1274" t="str">
            <v>PI-S60-J22-24-BL</v>
          </cell>
          <cell r="B1274" t="str">
            <v>JUNQUILLO 22-24 mm S60 - BLANCO</v>
          </cell>
          <cell r="C1274">
            <v>7305</v>
          </cell>
          <cell r="D1274">
            <v>46195</v>
          </cell>
          <cell r="E1274">
            <v>1.026</v>
          </cell>
          <cell r="F1274" t="str">
            <v>BLANCO</v>
          </cell>
          <cell r="G1274" t="str">
            <v>S60</v>
          </cell>
        </row>
        <row r="1275">
          <cell r="A1275" t="str">
            <v>PI-S60-J22-24-GR</v>
          </cell>
          <cell r="B1275" t="str">
            <v>JUNQUILLO 22-24 mm S60 - GRAFITO</v>
          </cell>
          <cell r="C1275">
            <v>2462</v>
          </cell>
          <cell r="D1275">
            <v>46191</v>
          </cell>
          <cell r="E1275">
            <v>1.1819999999999999</v>
          </cell>
          <cell r="F1275" t="str">
            <v>GRAFITO</v>
          </cell>
          <cell r="G1275" t="str">
            <v>S60</v>
          </cell>
        </row>
        <row r="1276">
          <cell r="A1276" t="str">
            <v>PI-S60-J22-24-NB</v>
          </cell>
          <cell r="B1276" t="str">
            <v>JUNQUILLO 22-24 mm S60 - NEW BLACK</v>
          </cell>
          <cell r="C1276">
            <v>1051</v>
          </cell>
          <cell r="D1276">
            <v>46191</v>
          </cell>
          <cell r="E1276">
            <v>1.1819999999999999</v>
          </cell>
          <cell r="F1276" t="str">
            <v>NEW BLACK</v>
          </cell>
          <cell r="G1276" t="str">
            <v>S60</v>
          </cell>
        </row>
        <row r="1277">
          <cell r="A1277" t="str">
            <v>PI-S60-J22-24-NO</v>
          </cell>
          <cell r="B1277" t="str">
            <v>JUNQUILLO 22-24 mm S60 - NOGAL</v>
          </cell>
          <cell r="C1277">
            <v>1286</v>
          </cell>
          <cell r="D1277">
            <v>46191</v>
          </cell>
          <cell r="E1277">
            <v>1.1819999999999999</v>
          </cell>
          <cell r="F1277" t="str">
            <v>NOGAL</v>
          </cell>
          <cell r="G1277" t="str">
            <v>S60</v>
          </cell>
        </row>
        <row r="1278">
          <cell r="A1278" t="str">
            <v>PI-S60-J22-24-RD</v>
          </cell>
          <cell r="B1278" t="str">
            <v>JUNQUILLO 22-24 mm S60 - ROBLE</v>
          </cell>
          <cell r="C1278">
            <v>1020</v>
          </cell>
          <cell r="D1278">
            <v>46191</v>
          </cell>
          <cell r="E1278">
            <v>1.1819999999999999</v>
          </cell>
          <cell r="F1278" t="str">
            <v>ROBLE</v>
          </cell>
          <cell r="G1278" t="str">
            <v>S60</v>
          </cell>
        </row>
        <row r="1279">
          <cell r="A1279" t="str">
            <v>PI-S60-J3-5-BK</v>
          </cell>
          <cell r="B1279" t="str">
            <v>JUNQUILLO 4-5 mm S60 - BLACK</v>
          </cell>
          <cell r="C1279">
            <v>0</v>
          </cell>
          <cell r="D1279">
            <v>45298</v>
          </cell>
          <cell r="E1279">
            <v>1.6919999999999999</v>
          </cell>
          <cell r="F1279" t="str">
            <v>BLACK</v>
          </cell>
          <cell r="G1279" t="str">
            <v>S60</v>
          </cell>
        </row>
        <row r="1280">
          <cell r="A1280" t="str">
            <v>PI-S60-J3-5-BL</v>
          </cell>
          <cell r="B1280" t="str">
            <v>JUNQUILLO 4-5 mm S60 - BLANCO</v>
          </cell>
          <cell r="C1280">
            <v>1987</v>
          </cell>
          <cell r="D1280">
            <v>46191</v>
          </cell>
          <cell r="E1280">
            <v>1.6919999999999999</v>
          </cell>
          <cell r="F1280" t="str">
            <v>BLANCO</v>
          </cell>
          <cell r="G1280" t="str">
            <v>S60</v>
          </cell>
        </row>
        <row r="1281">
          <cell r="A1281" t="str">
            <v>PI-S60-J3-5-GR</v>
          </cell>
          <cell r="B1281" t="str">
            <v>JUNQUILLO 4-5 mm S60 - GRAFITO</v>
          </cell>
          <cell r="C1281">
            <v>459</v>
          </cell>
          <cell r="D1281">
            <v>46060</v>
          </cell>
          <cell r="E1281">
            <v>1.6919999999999999</v>
          </cell>
          <cell r="F1281" t="str">
            <v>GRAFITO</v>
          </cell>
          <cell r="G1281" t="str">
            <v>S60</v>
          </cell>
        </row>
        <row r="1282">
          <cell r="A1282" t="str">
            <v>PI-S60-J3-5-NB</v>
          </cell>
          <cell r="B1282" t="str">
            <v>JUNQUILLO 4-5 mm S60 - NEW BLACK</v>
          </cell>
          <cell r="C1282">
            <v>847</v>
          </cell>
          <cell r="D1282">
            <v>46191</v>
          </cell>
          <cell r="E1282">
            <v>1.6919999999999999</v>
          </cell>
          <cell r="F1282" t="str">
            <v>NEW BLACK</v>
          </cell>
          <cell r="G1282" t="str">
            <v>S60</v>
          </cell>
        </row>
        <row r="1283">
          <cell r="A1283" t="str">
            <v>PI-S60-J3-5-NO</v>
          </cell>
          <cell r="B1283" t="str">
            <v>JUNQUILLO 4-5 mm S60 - NOGAL</v>
          </cell>
          <cell r="C1283">
            <v>946</v>
          </cell>
          <cell r="D1283">
            <v>46191</v>
          </cell>
          <cell r="E1283">
            <v>1.758</v>
          </cell>
          <cell r="F1283" t="str">
            <v>NOGAL</v>
          </cell>
          <cell r="G1283" t="str">
            <v>S60</v>
          </cell>
        </row>
        <row r="1284">
          <cell r="A1284" t="str">
            <v>PI-S60-J3-5-RD</v>
          </cell>
          <cell r="B1284" t="str">
            <v>JUNQUILLO 4-5 mm S60 - ROBLE</v>
          </cell>
          <cell r="C1284">
            <v>803</v>
          </cell>
          <cell r="D1284">
            <v>46191</v>
          </cell>
          <cell r="E1284">
            <v>1.6919999999999999</v>
          </cell>
          <cell r="F1284" t="str">
            <v>ROBLE</v>
          </cell>
          <cell r="G1284" t="str">
            <v>S60</v>
          </cell>
        </row>
        <row r="1285">
          <cell r="A1285" t="str">
            <v>PI-S60-MF-BK</v>
          </cell>
          <cell r="B1285" t="str">
            <v>MARCO FIJO S60 - BLACK</v>
          </cell>
          <cell r="C1285">
            <v>0</v>
          </cell>
          <cell r="D1285">
            <v>45071</v>
          </cell>
          <cell r="E1285">
            <v>7.2</v>
          </cell>
          <cell r="F1285" t="str">
            <v>BLACK</v>
          </cell>
          <cell r="G1285" t="str">
            <v>S60</v>
          </cell>
        </row>
        <row r="1286">
          <cell r="A1286" t="str">
            <v>PI-S60-MF-BL</v>
          </cell>
          <cell r="B1286" t="str">
            <v>MARCO FIJO S60 - BLANCO</v>
          </cell>
          <cell r="C1286">
            <v>18951</v>
          </cell>
          <cell r="D1286">
            <v>46191</v>
          </cell>
          <cell r="E1286">
            <v>7.2</v>
          </cell>
          <cell r="F1286" t="str">
            <v>BLANCO</v>
          </cell>
          <cell r="G1286" t="str">
            <v>S60</v>
          </cell>
        </row>
        <row r="1287">
          <cell r="A1287" t="str">
            <v>PI-S60-MF-GR</v>
          </cell>
          <cell r="B1287" t="str">
            <v>MARCO FIJO S60 - GRAFITO</v>
          </cell>
          <cell r="C1287">
            <v>4163</v>
          </cell>
          <cell r="D1287">
            <v>46191</v>
          </cell>
          <cell r="E1287">
            <v>7.2359999999999998</v>
          </cell>
          <cell r="F1287" t="str">
            <v>GRAFITO</v>
          </cell>
          <cell r="G1287" t="str">
            <v>S60</v>
          </cell>
        </row>
        <row r="1288">
          <cell r="A1288" t="str">
            <v>PI-S60-MF-NB</v>
          </cell>
          <cell r="B1288" t="str">
            <v>MARCO FIJO S60 - NEW BLACK</v>
          </cell>
          <cell r="C1288">
            <v>4340</v>
          </cell>
          <cell r="D1288">
            <v>46191</v>
          </cell>
          <cell r="E1288">
            <v>7.2359999999999998</v>
          </cell>
          <cell r="F1288" t="str">
            <v>NEW BLACK</v>
          </cell>
          <cell r="G1288" t="str">
            <v>S60</v>
          </cell>
        </row>
        <row r="1289">
          <cell r="A1289" t="str">
            <v>PI-S60-MF-NO</v>
          </cell>
          <cell r="B1289" t="str">
            <v>MARCO FIJO S60 - NOGAL</v>
          </cell>
          <cell r="C1289">
            <v>4839</v>
          </cell>
          <cell r="D1289">
            <v>46191</v>
          </cell>
          <cell r="E1289">
            <v>7.2359999999999998</v>
          </cell>
          <cell r="F1289" t="str">
            <v>NOGAL</v>
          </cell>
          <cell r="G1289" t="str">
            <v>S60</v>
          </cell>
        </row>
        <row r="1290">
          <cell r="A1290" t="str">
            <v>PI-S60-MF-RD</v>
          </cell>
          <cell r="B1290" t="str">
            <v>MARCO FIJO S60 - ROBLE</v>
          </cell>
          <cell r="C1290">
            <v>4435</v>
          </cell>
          <cell r="D1290">
            <v>46191</v>
          </cell>
          <cell r="E1290">
            <v>7.2359999999999998</v>
          </cell>
          <cell r="F1290" t="str">
            <v>ROBLE</v>
          </cell>
          <cell r="G1290" t="str">
            <v>S60</v>
          </cell>
        </row>
        <row r="1291">
          <cell r="A1291" t="str">
            <v>PI-S60-P30-BK</v>
          </cell>
          <cell r="B1291" t="str">
            <v>PERFIL ELEVACION S60 30 mm - BLACK</v>
          </cell>
          <cell r="C1291">
            <v>0</v>
          </cell>
          <cell r="D1291">
            <v>44926</v>
          </cell>
          <cell r="E1291">
            <v>1.0840000000000001</v>
          </cell>
          <cell r="F1291" t="str">
            <v>BLACK</v>
          </cell>
          <cell r="G1291" t="str">
            <v>S60</v>
          </cell>
        </row>
        <row r="1292">
          <cell r="A1292" t="str">
            <v>PI-S60-P30-BL</v>
          </cell>
          <cell r="B1292" t="str">
            <v>PERFIL ELEVACION S60 30 mm - BLANCO</v>
          </cell>
          <cell r="C1292">
            <v>1278</v>
          </cell>
          <cell r="D1292">
            <v>46191</v>
          </cell>
          <cell r="E1292">
            <v>4.4400000000000004</v>
          </cell>
          <cell r="F1292" t="str">
            <v>BLANCO</v>
          </cell>
          <cell r="G1292" t="str">
            <v>S60</v>
          </cell>
        </row>
        <row r="1293">
          <cell r="A1293" t="str">
            <v>PI-S60-P30-GR</v>
          </cell>
          <cell r="B1293" t="str">
            <v>PERFIL ELEVACION S60 30 mm - GRAFITO</v>
          </cell>
          <cell r="C1293">
            <v>170</v>
          </cell>
          <cell r="D1293">
            <v>46170</v>
          </cell>
          <cell r="E1293">
            <v>6.51</v>
          </cell>
          <cell r="F1293" t="str">
            <v>GRAFITO</v>
          </cell>
          <cell r="G1293" t="str">
            <v>S60</v>
          </cell>
        </row>
        <row r="1294">
          <cell r="A1294" t="str">
            <v>PI-S60-P30-NB</v>
          </cell>
          <cell r="B1294" t="str">
            <v>PERFIL ELEVACION S60 30 mm - NEW BLACK</v>
          </cell>
          <cell r="C1294">
            <v>201</v>
          </cell>
          <cell r="D1294">
            <v>46170</v>
          </cell>
          <cell r="E1294">
            <v>6.51</v>
          </cell>
          <cell r="F1294" t="str">
            <v>NEW BLACK</v>
          </cell>
          <cell r="G1294" t="str">
            <v>S60</v>
          </cell>
        </row>
        <row r="1295">
          <cell r="A1295" t="str">
            <v>PI-S60-P30-NO</v>
          </cell>
          <cell r="B1295" t="str">
            <v>PERFIL ELEVACION S60 30 mm - NOGAL</v>
          </cell>
          <cell r="C1295">
            <v>166</v>
          </cell>
          <cell r="D1295">
            <v>46170</v>
          </cell>
          <cell r="E1295">
            <v>6.51</v>
          </cell>
          <cell r="F1295" t="str">
            <v>NOGAL</v>
          </cell>
          <cell r="G1295" t="str">
            <v>S60</v>
          </cell>
        </row>
        <row r="1296">
          <cell r="A1296" t="str">
            <v>PI-S60-P30-RD</v>
          </cell>
          <cell r="B1296" t="str">
            <v>PERFIL ELEVACION S60 30 mm - ROBLE</v>
          </cell>
          <cell r="C1296">
            <v>230</v>
          </cell>
          <cell r="D1296">
            <v>46170</v>
          </cell>
          <cell r="E1296">
            <v>6.51</v>
          </cell>
          <cell r="F1296" t="str">
            <v>ROBLE</v>
          </cell>
          <cell r="G1296" t="str">
            <v>S60</v>
          </cell>
        </row>
        <row r="1297">
          <cell r="A1297" t="str">
            <v>PI-S60-P60-BK</v>
          </cell>
          <cell r="B1297" t="str">
            <v>PERFIL ELEVACION S60 60 mm - BLACK</v>
          </cell>
          <cell r="C1297">
            <v>0</v>
          </cell>
          <cell r="D1297">
            <v>44737</v>
          </cell>
          <cell r="E1297">
            <v>1.0840000000000001</v>
          </cell>
          <cell r="F1297" t="str">
            <v>BLACK</v>
          </cell>
          <cell r="G1297" t="str">
            <v>S60</v>
          </cell>
        </row>
        <row r="1298">
          <cell r="A1298" t="str">
            <v>PI-S60-P60-BL</v>
          </cell>
          <cell r="B1298" t="str">
            <v>PERFIL ELEVACION S60 60 mm - BLANCO</v>
          </cell>
          <cell r="C1298">
            <v>1254</v>
          </cell>
          <cell r="D1298">
            <v>46170</v>
          </cell>
          <cell r="E1298">
            <v>6.3</v>
          </cell>
          <cell r="F1298" t="str">
            <v>BLANCO</v>
          </cell>
          <cell r="G1298" t="str">
            <v>S60</v>
          </cell>
        </row>
        <row r="1299">
          <cell r="A1299" t="str">
            <v>PI-S60-P60-GR</v>
          </cell>
          <cell r="B1299" t="str">
            <v>PERFIL ELEVACION S60 60 mm - GRAFITO</v>
          </cell>
          <cell r="C1299">
            <v>419</v>
          </cell>
          <cell r="D1299">
            <v>46170</v>
          </cell>
          <cell r="E1299">
            <v>6.5039999999999996</v>
          </cell>
          <cell r="F1299" t="str">
            <v>GRAFITO</v>
          </cell>
          <cell r="G1299" t="str">
            <v>S60</v>
          </cell>
        </row>
        <row r="1300">
          <cell r="A1300" t="str">
            <v>PI-S60-P60-NB</v>
          </cell>
          <cell r="B1300" t="str">
            <v>PERFIL ELEVACION S60 60 mm - NEW BLACK</v>
          </cell>
          <cell r="C1300">
            <v>77</v>
          </cell>
          <cell r="D1300">
            <v>46170</v>
          </cell>
          <cell r="E1300">
            <v>6.5039999999999996</v>
          </cell>
          <cell r="F1300" t="str">
            <v>NEW BLACK</v>
          </cell>
          <cell r="G1300" t="str">
            <v>S60</v>
          </cell>
        </row>
        <row r="1301">
          <cell r="A1301" t="str">
            <v>PI-S60-P60-NO</v>
          </cell>
          <cell r="B1301" t="str">
            <v>PERFIL ELEVACION S60 60 mm - NOGAL</v>
          </cell>
          <cell r="C1301">
            <v>192</v>
          </cell>
          <cell r="D1301">
            <v>45892</v>
          </cell>
          <cell r="E1301">
            <v>6.5039999999999996</v>
          </cell>
          <cell r="F1301" t="str">
            <v>NOGAL</v>
          </cell>
          <cell r="G1301" t="str">
            <v>S60</v>
          </cell>
        </row>
        <row r="1302">
          <cell r="A1302" t="str">
            <v>PI-S60-P60-RD</v>
          </cell>
          <cell r="B1302" t="str">
            <v>PERFIL ELEVACION S60 60 mm - ROBLE</v>
          </cell>
          <cell r="C1302">
            <v>228</v>
          </cell>
          <cell r="D1302">
            <v>45684</v>
          </cell>
          <cell r="E1302">
            <v>6.5039999999999996</v>
          </cell>
          <cell r="F1302" t="str">
            <v>ROBLE</v>
          </cell>
          <cell r="G1302" t="str">
            <v>S60</v>
          </cell>
        </row>
        <row r="1303">
          <cell r="A1303" t="str">
            <v>PI-S60-PME-BK</v>
          </cell>
          <cell r="B1303" t="str">
            <v>PLACA MACHIEMBRE 18 mm - BLACK</v>
          </cell>
          <cell r="C1303">
            <v>0</v>
          </cell>
          <cell r="D1303">
            <v>45123</v>
          </cell>
          <cell r="E1303">
            <v>3.0779999999999998</v>
          </cell>
          <cell r="F1303" t="str">
            <v>BLACK</v>
          </cell>
          <cell r="G1303" t="str">
            <v>S60</v>
          </cell>
        </row>
        <row r="1304">
          <cell r="A1304" t="str">
            <v>PI-S60-PME-BL</v>
          </cell>
          <cell r="B1304" t="str">
            <v>PLACA MACHIEMBRE 18 mm - BLANCO</v>
          </cell>
          <cell r="C1304">
            <v>1108</v>
          </cell>
          <cell r="D1304">
            <v>46191</v>
          </cell>
          <cell r="E1304">
            <v>2.85</v>
          </cell>
          <cell r="F1304" t="str">
            <v>BLANCO</v>
          </cell>
          <cell r="G1304" t="str">
            <v>S60</v>
          </cell>
        </row>
        <row r="1305">
          <cell r="A1305" t="str">
            <v>PI-S60-PME-GR</v>
          </cell>
          <cell r="B1305" t="str">
            <v>PLACA MACHIEMBRE 18 mm - GRAFITO</v>
          </cell>
          <cell r="C1305">
            <v>558</v>
          </cell>
          <cell r="D1305">
            <v>46191</v>
          </cell>
          <cell r="E1305">
            <v>3.0779999999999998</v>
          </cell>
          <cell r="F1305" t="str">
            <v>GRAFITO</v>
          </cell>
          <cell r="G1305" t="str">
            <v>S60</v>
          </cell>
        </row>
        <row r="1306">
          <cell r="A1306" t="str">
            <v>PI-S60-PME-NB</v>
          </cell>
          <cell r="B1306" t="str">
            <v>PLACA MACHIEMBRE 18 mm - NEW BLACK</v>
          </cell>
          <cell r="C1306">
            <v>432</v>
          </cell>
          <cell r="D1306">
            <v>46191</v>
          </cell>
          <cell r="E1306">
            <v>3.0779999999999998</v>
          </cell>
          <cell r="F1306" t="str">
            <v>NEW BLACK</v>
          </cell>
          <cell r="G1306" t="str">
            <v>S60</v>
          </cell>
        </row>
        <row r="1307">
          <cell r="A1307" t="str">
            <v>PI-S60-PME-NO</v>
          </cell>
          <cell r="B1307" t="str">
            <v>PLACA MACHIEMBRE 18 mm - NOGAL</v>
          </cell>
          <cell r="C1307">
            <v>910</v>
          </cell>
          <cell r="D1307">
            <v>46191</v>
          </cell>
          <cell r="E1307">
            <v>3.0779999999999998</v>
          </cell>
          <cell r="F1307" t="str">
            <v>NOGAL</v>
          </cell>
          <cell r="G1307" t="str">
            <v>S60</v>
          </cell>
        </row>
        <row r="1308">
          <cell r="A1308" t="str">
            <v>PI-S60-PME-RD</v>
          </cell>
          <cell r="B1308" t="str">
            <v>PLACA MACHIEMBRE 18 mm - ROBLE</v>
          </cell>
          <cell r="C1308">
            <v>736</v>
          </cell>
          <cell r="D1308">
            <v>46191</v>
          </cell>
          <cell r="E1308">
            <v>3.0779999999999998</v>
          </cell>
          <cell r="F1308" t="str">
            <v>ROBLE</v>
          </cell>
          <cell r="G1308" t="str">
            <v>S60</v>
          </cell>
        </row>
        <row r="1309">
          <cell r="A1309" t="str">
            <v>PI-S60-PT-BK</v>
          </cell>
          <cell r="B1309" t="str">
            <v>POSTE T S60 - BLACK</v>
          </cell>
          <cell r="C1309">
            <v>0</v>
          </cell>
          <cell r="D1309">
            <v>44926</v>
          </cell>
          <cell r="E1309">
            <v>7.8120000000000003</v>
          </cell>
          <cell r="F1309" t="str">
            <v>BLACK</v>
          </cell>
          <cell r="G1309" t="str">
            <v>S60</v>
          </cell>
        </row>
        <row r="1310">
          <cell r="A1310" t="str">
            <v>PI-S60-PT-BL</v>
          </cell>
          <cell r="B1310" t="str">
            <v>POSTE T S60 - BLANCO</v>
          </cell>
          <cell r="C1310">
            <v>1735</v>
          </cell>
          <cell r="D1310">
            <v>46191</v>
          </cell>
          <cell r="E1310">
            <v>7.8120000000000003</v>
          </cell>
          <cell r="F1310" t="str">
            <v>BLANCO</v>
          </cell>
          <cell r="G1310" t="str">
            <v>S60</v>
          </cell>
        </row>
        <row r="1311">
          <cell r="A1311" t="str">
            <v>PI-S60-PT-GR</v>
          </cell>
          <cell r="B1311" t="str">
            <v>POSTE T S60 - GRAFITO</v>
          </cell>
          <cell r="C1311">
            <v>327</v>
          </cell>
          <cell r="D1311">
            <v>46191</v>
          </cell>
          <cell r="E1311">
            <v>7.8840000000000003</v>
          </cell>
          <cell r="F1311" t="str">
            <v>GRAFITO</v>
          </cell>
          <cell r="G1311" t="str">
            <v>S60</v>
          </cell>
        </row>
        <row r="1312">
          <cell r="A1312" t="str">
            <v>PI-S60-PT-NB</v>
          </cell>
          <cell r="B1312" t="str">
            <v>POSTE T S60 - NEW BLACK</v>
          </cell>
          <cell r="C1312">
            <v>546</v>
          </cell>
          <cell r="D1312">
            <v>46191</v>
          </cell>
          <cell r="E1312">
            <v>7.8840000000000003</v>
          </cell>
          <cell r="F1312" t="str">
            <v>NEW BLACK</v>
          </cell>
          <cell r="G1312" t="str">
            <v>S60</v>
          </cell>
        </row>
        <row r="1313">
          <cell r="A1313" t="str">
            <v>PI-S60-PT-NO</v>
          </cell>
          <cell r="B1313" t="str">
            <v>POSTE T S60 - NOGAL</v>
          </cell>
          <cell r="C1313">
            <v>685</v>
          </cell>
          <cell r="D1313">
            <v>46191</v>
          </cell>
          <cell r="E1313">
            <v>7.8840000000000003</v>
          </cell>
          <cell r="F1313" t="str">
            <v>NOGAL</v>
          </cell>
          <cell r="G1313" t="str">
            <v>S60</v>
          </cell>
        </row>
        <row r="1314">
          <cell r="A1314" t="str">
            <v>PI-S60-PT-RD</v>
          </cell>
          <cell r="B1314" t="str">
            <v>POSTE T S60 - ROBLE</v>
          </cell>
          <cell r="C1314">
            <v>469</v>
          </cell>
          <cell r="D1314">
            <v>46191</v>
          </cell>
          <cell r="E1314">
            <v>7.8840000000000003</v>
          </cell>
          <cell r="F1314" t="str">
            <v>ROBLE</v>
          </cell>
          <cell r="G1314" t="str">
            <v>S60</v>
          </cell>
        </row>
        <row r="1315">
          <cell r="A1315" t="str">
            <v>PI-S60-RTA-BK</v>
          </cell>
          <cell r="B1315" t="str">
            <v>ROTULA S60 - BLACK</v>
          </cell>
          <cell r="C1315">
            <v>0</v>
          </cell>
          <cell r="D1315">
            <v>45123</v>
          </cell>
          <cell r="E1315">
            <v>3</v>
          </cell>
          <cell r="F1315" t="str">
            <v>BLACK</v>
          </cell>
          <cell r="G1315" t="str">
            <v>S60</v>
          </cell>
        </row>
        <row r="1316">
          <cell r="A1316" t="str">
            <v>PI-S60-RTA-BL</v>
          </cell>
          <cell r="B1316" t="str">
            <v>ROTULA S60 - BLANCO</v>
          </cell>
          <cell r="C1316">
            <v>155</v>
          </cell>
          <cell r="D1316">
            <v>46164</v>
          </cell>
          <cell r="E1316">
            <v>3</v>
          </cell>
          <cell r="F1316" t="str">
            <v>BLANCO</v>
          </cell>
          <cell r="G1316" t="str">
            <v>S60</v>
          </cell>
        </row>
        <row r="1317">
          <cell r="A1317" t="str">
            <v>PI-S60-RTA-GR</v>
          </cell>
          <cell r="B1317" t="str">
            <v>ROTULA S60 - GRAFITO</v>
          </cell>
          <cell r="C1317">
            <v>119</v>
          </cell>
          <cell r="D1317">
            <v>45878</v>
          </cell>
          <cell r="E1317">
            <v>3</v>
          </cell>
          <cell r="F1317" t="str">
            <v>GRAFITO</v>
          </cell>
          <cell r="G1317" t="str">
            <v>S60</v>
          </cell>
        </row>
        <row r="1318">
          <cell r="A1318" t="str">
            <v>PI-S60-RTA-NB</v>
          </cell>
          <cell r="B1318" t="str">
            <v>ROTULA S60 - NEW BLACK</v>
          </cell>
          <cell r="C1318">
            <v>72</v>
          </cell>
          <cell r="D1318">
            <v>46031</v>
          </cell>
          <cell r="E1318">
            <v>3.1</v>
          </cell>
          <cell r="F1318" t="str">
            <v>NEW BLACK</v>
          </cell>
          <cell r="G1318" t="str">
            <v>S60</v>
          </cell>
        </row>
        <row r="1319">
          <cell r="A1319" t="str">
            <v>PI-S60-RTA-NO</v>
          </cell>
          <cell r="B1319" t="str">
            <v>ROTULA S60 - NOGAL</v>
          </cell>
          <cell r="C1319">
            <v>63</v>
          </cell>
          <cell r="D1319">
            <v>46010</v>
          </cell>
          <cell r="E1319">
            <v>3</v>
          </cell>
          <cell r="F1319" t="str">
            <v>NOGAL</v>
          </cell>
          <cell r="G1319" t="str">
            <v>S60</v>
          </cell>
        </row>
        <row r="1320">
          <cell r="A1320" t="str">
            <v>PI-S60-RTA-RD</v>
          </cell>
          <cell r="B1320" t="str">
            <v>ROTULA S60 - ROBLE</v>
          </cell>
          <cell r="C1320">
            <v>121</v>
          </cell>
          <cell r="D1320">
            <v>46060</v>
          </cell>
          <cell r="E1320">
            <v>3</v>
          </cell>
          <cell r="F1320" t="str">
            <v>ROBLE</v>
          </cell>
          <cell r="G1320" t="str">
            <v>S60</v>
          </cell>
        </row>
        <row r="1321">
          <cell r="A1321" t="str">
            <v>PI-S60-TUB-BK</v>
          </cell>
          <cell r="B1321" t="str">
            <v>TUBULAR 60 x 100 - BLACK</v>
          </cell>
          <cell r="C1321">
            <v>0</v>
          </cell>
          <cell r="D1321">
            <v>45479</v>
          </cell>
          <cell r="E1321">
            <v>6.0780000000000003</v>
          </cell>
          <cell r="F1321" t="str">
            <v>BLACK</v>
          </cell>
          <cell r="G1321" t="str">
            <v>S60</v>
          </cell>
        </row>
        <row r="1322">
          <cell r="A1322" t="str">
            <v>PI-S60-TUB-BL</v>
          </cell>
          <cell r="B1322" t="str">
            <v>TUBULAR 60 x 100 - BLANCO</v>
          </cell>
          <cell r="C1322">
            <v>571</v>
          </cell>
          <cell r="D1322">
            <v>46170</v>
          </cell>
          <cell r="E1322">
            <v>5.88</v>
          </cell>
          <cell r="F1322" t="str">
            <v>BLANCO</v>
          </cell>
          <cell r="G1322" t="str">
            <v>S60</v>
          </cell>
        </row>
        <row r="1323">
          <cell r="A1323" t="str">
            <v>PI-S60-TUB-GR</v>
          </cell>
          <cell r="B1323" t="str">
            <v>TUBULAR 60 x 100 - GRAFITO</v>
          </cell>
          <cell r="C1323">
            <v>287</v>
          </cell>
          <cell r="D1323">
            <v>46139</v>
          </cell>
          <cell r="E1323">
            <v>5.67</v>
          </cell>
          <cell r="F1323" t="str">
            <v>GRAFITO</v>
          </cell>
          <cell r="G1323" t="str">
            <v>S60</v>
          </cell>
        </row>
        <row r="1324">
          <cell r="A1324" t="str">
            <v>PI-S60-TUB-NB</v>
          </cell>
          <cell r="B1324" t="str">
            <v>TUBULAR 60 x 100 - NEW BLACK</v>
          </cell>
          <cell r="C1324">
            <v>140</v>
          </cell>
          <cell r="D1324">
            <v>46139</v>
          </cell>
          <cell r="E1324">
            <v>6.0780000000000003</v>
          </cell>
          <cell r="F1324" t="str">
            <v>NEW BLACK</v>
          </cell>
          <cell r="G1324" t="str">
            <v>S60</v>
          </cell>
        </row>
        <row r="1325">
          <cell r="A1325" t="str">
            <v>PI-S60-TUB-NO</v>
          </cell>
          <cell r="B1325" t="str">
            <v>TUBULAR 60 x 100 - NOGAL</v>
          </cell>
          <cell r="C1325">
            <v>207</v>
          </cell>
          <cell r="D1325">
            <v>46170</v>
          </cell>
          <cell r="E1325">
            <v>5.67</v>
          </cell>
          <cell r="F1325" t="str">
            <v>NOGAL</v>
          </cell>
          <cell r="G1325" t="str">
            <v>S60</v>
          </cell>
        </row>
        <row r="1326">
          <cell r="A1326" t="str">
            <v>PI-S60-TUB-RD</v>
          </cell>
          <cell r="B1326" t="str">
            <v>TUBULAR 60 x 100 - ROBLE</v>
          </cell>
          <cell r="C1326">
            <v>140</v>
          </cell>
          <cell r="D1326">
            <v>46139</v>
          </cell>
          <cell r="E1326">
            <v>6.0780000000000003</v>
          </cell>
          <cell r="F1326" t="str">
            <v>ROBLE</v>
          </cell>
          <cell r="G1326" t="str">
            <v>S60</v>
          </cell>
        </row>
        <row r="1327">
          <cell r="A1327" t="str">
            <v>PI-SLA-4TA-BL</v>
          </cell>
          <cell r="B1327" t="str">
            <v>ADAPTADOR CUARTA HOJA ANDES - BLANCO</v>
          </cell>
          <cell r="C1327">
            <v>125</v>
          </cell>
          <cell r="D1327">
            <v>46170</v>
          </cell>
          <cell r="E1327">
            <v>1.752</v>
          </cell>
          <cell r="F1327" t="str">
            <v>BLANCO</v>
          </cell>
          <cell r="G1327" t="str">
            <v>SLIDING - ANDES</v>
          </cell>
        </row>
        <row r="1328">
          <cell r="A1328" t="str">
            <v>PI-SLA-4TA-GS</v>
          </cell>
          <cell r="B1328" t="str">
            <v>ADAPTADOR CUARTA HOJA ANDES - GRIS</v>
          </cell>
          <cell r="C1328">
            <v>126</v>
          </cell>
          <cell r="D1328">
            <v>46032</v>
          </cell>
          <cell r="E1328">
            <v>0.71</v>
          </cell>
          <cell r="F1328" t="str">
            <v>GRIS</v>
          </cell>
          <cell r="G1328" t="str">
            <v>SLIDING - ANDES</v>
          </cell>
        </row>
        <row r="1329">
          <cell r="A1329" t="str">
            <v>PI-SLA-4TA-NO</v>
          </cell>
          <cell r="B1329" t="str">
            <v>ADAPTADOR CUARTA HOJA ANDES - CAFE</v>
          </cell>
          <cell r="C1329">
            <v>103</v>
          </cell>
          <cell r="D1329">
            <v>46090</v>
          </cell>
          <cell r="E1329">
            <v>0.71</v>
          </cell>
          <cell r="F1329" t="str">
            <v>NOGAL</v>
          </cell>
          <cell r="G1329" t="str">
            <v>SLIDING - ANDES</v>
          </cell>
        </row>
        <row r="1330">
          <cell r="A1330" t="str">
            <v>PI-SLA-A54-BL</v>
          </cell>
          <cell r="B1330" t="str">
            <v>HOJA ANDES 54 - BLANCO</v>
          </cell>
          <cell r="C1330">
            <v>985</v>
          </cell>
          <cell r="D1330">
            <v>46191</v>
          </cell>
          <cell r="E1330">
            <v>4.9260000000000002</v>
          </cell>
          <cell r="F1330" t="str">
            <v>BLANCO</v>
          </cell>
          <cell r="G1330" t="str">
            <v>SLIDING - ANDES</v>
          </cell>
        </row>
        <row r="1331">
          <cell r="A1331" t="str">
            <v>PI-SLA-A66-BL</v>
          </cell>
          <cell r="B1331" t="str">
            <v>HOJA CORREDERA ANDES 66 - BLANCO</v>
          </cell>
          <cell r="C1331">
            <v>12138</v>
          </cell>
          <cell r="D1331">
            <v>46195</v>
          </cell>
          <cell r="E1331">
            <v>6.0359999999999996</v>
          </cell>
          <cell r="F1331" t="str">
            <v>BLANCO</v>
          </cell>
          <cell r="G1331" t="str">
            <v>SLIDING - ANDES</v>
          </cell>
        </row>
        <row r="1332">
          <cell r="A1332" t="str">
            <v>PI-SLA-A66-GR</v>
          </cell>
          <cell r="B1332" t="str">
            <v>HOJA CORREDERA ANDES 66 - GRAFITO</v>
          </cell>
          <cell r="C1332">
            <v>1003</v>
          </cell>
          <cell r="D1332">
            <v>46191</v>
          </cell>
          <cell r="E1332">
            <v>6.0839999999999996</v>
          </cell>
          <cell r="F1332" t="str">
            <v>GRAFITO</v>
          </cell>
          <cell r="G1332" t="str">
            <v>SLIDING - ANDES</v>
          </cell>
        </row>
        <row r="1333">
          <cell r="A1333" t="str">
            <v>PI-SLA-A66-NB</v>
          </cell>
          <cell r="B1333" t="str">
            <v>HOJA CORREDERA ANDES 66 - NEW BLACK</v>
          </cell>
          <cell r="C1333">
            <v>893</v>
          </cell>
          <cell r="D1333">
            <v>46191</v>
          </cell>
          <cell r="E1333">
            <v>6.0839999999999996</v>
          </cell>
          <cell r="F1333" t="str">
            <v>NEW BLACK</v>
          </cell>
          <cell r="G1333" t="str">
            <v>SLIDING - ANDES</v>
          </cell>
        </row>
        <row r="1334">
          <cell r="A1334" t="str">
            <v>PI-SLA-A66-NO</v>
          </cell>
          <cell r="B1334" t="str">
            <v>HOJA CORREDERA ANDES 66 - NOGAL</v>
          </cell>
          <cell r="C1334">
            <v>3358</v>
          </cell>
          <cell r="D1334">
            <v>46191</v>
          </cell>
          <cell r="E1334">
            <v>6.0839999999999996</v>
          </cell>
          <cell r="F1334" t="str">
            <v>NOGAL</v>
          </cell>
          <cell r="G1334" t="str">
            <v>SLIDING - ANDES</v>
          </cell>
        </row>
        <row r="1335">
          <cell r="A1335" t="str">
            <v>PI-SLA-A66-RD</v>
          </cell>
          <cell r="B1335" t="str">
            <v>HOJA CORREDERA ANDES 66 - ROBLE</v>
          </cell>
          <cell r="C1335">
            <v>1170</v>
          </cell>
          <cell r="D1335">
            <v>46191</v>
          </cell>
          <cell r="E1335">
            <v>6.0839999999999996</v>
          </cell>
          <cell r="F1335" t="str">
            <v>ROBLE</v>
          </cell>
          <cell r="G1335" t="str">
            <v>SLIDING - ANDES</v>
          </cell>
        </row>
        <row r="1336">
          <cell r="A1336" t="str">
            <v>PI-SLA-DVS-BL</v>
          </cell>
          <cell r="B1336" t="str">
            <v>DIVISOR VERTICAL MONORRIEL SLIDING - BLANCO</v>
          </cell>
          <cell r="C1336">
            <v>0</v>
          </cell>
          <cell r="D1336">
            <v>45280</v>
          </cell>
          <cell r="E1336">
            <v>7.5720000000000001</v>
          </cell>
          <cell r="F1336" t="str">
            <v>BLANCO</v>
          </cell>
          <cell r="G1336" t="str">
            <v>SLIDING</v>
          </cell>
        </row>
        <row r="1337">
          <cell r="A1337" t="str">
            <v>PI-SLA-HS-H54-12</v>
          </cell>
          <cell r="B1337" t="str">
            <v>REFUERZO HOJA ANDES 54 2 mm - HS</v>
          </cell>
          <cell r="C1337">
            <v>601</v>
          </cell>
          <cell r="D1337">
            <v>45479</v>
          </cell>
          <cell r="E1337">
            <v>3</v>
          </cell>
          <cell r="F1337" t="str">
            <v>NATURAL</v>
          </cell>
          <cell r="G1337" t="str">
            <v>HASKAR-REFUERZO</v>
          </cell>
        </row>
        <row r="1338">
          <cell r="A1338" t="str">
            <v>PI-SLA-HS-H66-12</v>
          </cell>
          <cell r="B1338" t="str">
            <v>REFUERZO HOJA ANDES 66 1,2mm - HS</v>
          </cell>
          <cell r="C1338">
            <v>884</v>
          </cell>
          <cell r="D1338">
            <v>45661</v>
          </cell>
          <cell r="E1338">
            <v>3.3</v>
          </cell>
          <cell r="F1338" t="str">
            <v>NATURAL</v>
          </cell>
          <cell r="G1338" t="str">
            <v>HASKAR-REFUERZO</v>
          </cell>
        </row>
        <row r="1339">
          <cell r="A1339" t="str">
            <v>PI-SLA-HS-MCA-12</v>
          </cell>
          <cell r="B1339" t="str">
            <v>REFUERZO MARCO CORREDERA ANDES 1,2 mm - HS</v>
          </cell>
          <cell r="C1339">
            <v>103</v>
          </cell>
          <cell r="D1339">
            <v>46032</v>
          </cell>
          <cell r="E1339">
            <v>1.9</v>
          </cell>
          <cell r="F1339" t="str">
            <v>NATURAL</v>
          </cell>
          <cell r="G1339" t="str">
            <v>HASKAR-REFUERZO</v>
          </cell>
        </row>
        <row r="1340">
          <cell r="A1340" t="str">
            <v>PI-SLA-JM5-BL</v>
          </cell>
          <cell r="B1340" t="str">
            <v>JUNQUILLO MONOLITICO 5 mm ANDES - BLANCO</v>
          </cell>
          <cell r="C1340">
            <v>3902</v>
          </cell>
          <cell r="D1340">
            <v>46195</v>
          </cell>
          <cell r="E1340">
            <v>1.05</v>
          </cell>
          <cell r="F1340" t="str">
            <v>BLANCO</v>
          </cell>
          <cell r="G1340" t="str">
            <v>SLIDING - ANDES</v>
          </cell>
        </row>
        <row r="1341">
          <cell r="A1341" t="str">
            <v>PI-SLA-JM5-GR</v>
          </cell>
          <cell r="B1341" t="str">
            <v>JUNQUILLO MONOLITICO 5 mm ANDES - GRAFITO</v>
          </cell>
          <cell r="C1341">
            <v>460</v>
          </cell>
          <cell r="D1341">
            <v>46191</v>
          </cell>
          <cell r="E1341">
            <v>1.0980000000000001</v>
          </cell>
          <cell r="F1341" t="str">
            <v>GRAFITO</v>
          </cell>
          <cell r="G1341" t="str">
            <v>SLIDING - ANDES</v>
          </cell>
        </row>
        <row r="1342">
          <cell r="A1342" t="str">
            <v>PI-SLA-JM5-NB</v>
          </cell>
          <cell r="B1342" t="str">
            <v>JUNQUILLO MONOLITICO 5 mm ANDES - NEW BLACK</v>
          </cell>
          <cell r="C1342">
            <v>344</v>
          </cell>
          <cell r="D1342">
            <v>46191</v>
          </cell>
          <cell r="E1342">
            <v>1.3320000000000001</v>
          </cell>
          <cell r="F1342" t="str">
            <v>NEW BLACK</v>
          </cell>
          <cell r="G1342" t="str">
            <v>SLIDING - ANDES</v>
          </cell>
        </row>
        <row r="1343">
          <cell r="A1343" t="str">
            <v>PI-SLA-JM5-NO</v>
          </cell>
          <cell r="B1343" t="str">
            <v>JUNQUILLO MONOLITICO 5 mm ANDES - NOGAL</v>
          </cell>
          <cell r="C1343">
            <v>603</v>
          </cell>
          <cell r="D1343">
            <v>46191</v>
          </cell>
          <cell r="E1343">
            <v>1.0980000000000001</v>
          </cell>
          <cell r="F1343" t="str">
            <v>NOGAL</v>
          </cell>
          <cell r="G1343" t="str">
            <v>SLIDING - ANDES</v>
          </cell>
        </row>
        <row r="1344">
          <cell r="A1344" t="str">
            <v>PI-SLA-JM5-RD</v>
          </cell>
          <cell r="B1344" t="str">
            <v>JUNQUILLO MONOLITICO 5 mm ANDES - ROBLE</v>
          </cell>
          <cell r="C1344">
            <v>608</v>
          </cell>
          <cell r="D1344">
            <v>46191</v>
          </cell>
          <cell r="E1344">
            <v>1.0980000000000001</v>
          </cell>
          <cell r="F1344" t="str">
            <v>ROBLE</v>
          </cell>
          <cell r="G1344" t="str">
            <v>SLIDING - ANDES</v>
          </cell>
        </row>
        <row r="1345">
          <cell r="A1345" t="str">
            <v>PI-SLA-JT19-BL</v>
          </cell>
          <cell r="B1345" t="str">
            <v>JUNQUILLO TERMOPANEL 19 mm ANDES - BLANCO</v>
          </cell>
          <cell r="C1345">
            <v>13421</v>
          </cell>
          <cell r="D1345">
            <v>46192</v>
          </cell>
          <cell r="E1345">
            <v>0.73</v>
          </cell>
          <cell r="F1345" t="str">
            <v>BLANCO</v>
          </cell>
          <cell r="G1345" t="str">
            <v>SLIDING - ANDES</v>
          </cell>
        </row>
        <row r="1346">
          <cell r="A1346" t="str">
            <v>PI-SLA-JT19-GR</v>
          </cell>
          <cell r="B1346" t="str">
            <v>JUNQUILLO TERMOPANEL 19 mm ANDES - GRAFITO</v>
          </cell>
          <cell r="C1346">
            <v>776</v>
          </cell>
          <cell r="D1346">
            <v>46191</v>
          </cell>
          <cell r="E1346">
            <v>0.73</v>
          </cell>
          <cell r="F1346" t="str">
            <v>GRAFITO</v>
          </cell>
          <cell r="G1346" t="str">
            <v>SLIDING - ANDES</v>
          </cell>
        </row>
        <row r="1347">
          <cell r="A1347" t="str">
            <v>PI-SLA-JT19-NB</v>
          </cell>
          <cell r="B1347" t="str">
            <v>JUNQUILLO TERMOPANEL 19 mm ANDES - NEW BLACK</v>
          </cell>
          <cell r="C1347">
            <v>1167</v>
          </cell>
          <cell r="D1347">
            <v>46191</v>
          </cell>
          <cell r="E1347">
            <v>0.90600000000000003</v>
          </cell>
          <cell r="F1347" t="str">
            <v>NEW BLACK</v>
          </cell>
          <cell r="G1347" t="str">
            <v>SLIDING - ANDES</v>
          </cell>
        </row>
        <row r="1348">
          <cell r="A1348" t="str">
            <v>PI-SLA-JT19-NO</v>
          </cell>
          <cell r="B1348" t="str">
            <v>JUNQUILLO TERMOPANEL 19 mm ANDES - NOGAL</v>
          </cell>
          <cell r="C1348">
            <v>3200</v>
          </cell>
          <cell r="D1348">
            <v>46191</v>
          </cell>
          <cell r="E1348">
            <v>0.73199999999999998</v>
          </cell>
          <cell r="F1348" t="str">
            <v>NOGAL</v>
          </cell>
          <cell r="G1348" t="str">
            <v>SLIDING - ANDES</v>
          </cell>
        </row>
        <row r="1349">
          <cell r="A1349" t="str">
            <v>PI-SLA-JT19-RD</v>
          </cell>
          <cell r="B1349" t="str">
            <v>JUNQUILLO TERMOPANEL 19 mm ANDES - ROBLE</v>
          </cell>
          <cell r="C1349">
            <v>1377</v>
          </cell>
          <cell r="D1349">
            <v>46191</v>
          </cell>
          <cell r="E1349">
            <v>0.73199999999999998</v>
          </cell>
          <cell r="F1349" t="str">
            <v>ROBLE</v>
          </cell>
          <cell r="G1349" t="str">
            <v>SLIDING - ANDES</v>
          </cell>
        </row>
        <row r="1350">
          <cell r="A1350" t="str">
            <v>PI-SLA-MDM-BL</v>
          </cell>
          <cell r="B1350" t="str">
            <v>MARCO DIVISOR MONORRIEL ANDES - BLANCO</v>
          </cell>
          <cell r="C1350">
            <v>890</v>
          </cell>
          <cell r="D1350">
            <v>46032</v>
          </cell>
          <cell r="E1350">
            <v>7.4640000000000004</v>
          </cell>
          <cell r="F1350" t="str">
            <v>BLANCO</v>
          </cell>
          <cell r="G1350" t="str">
            <v>SLIDING - ANDES</v>
          </cell>
        </row>
        <row r="1351">
          <cell r="A1351" t="str">
            <v>PI-SLA-MDM-NO</v>
          </cell>
          <cell r="B1351" t="str">
            <v>MARCO DIVISOR MONORRIEL ANDES - NOGAL</v>
          </cell>
          <cell r="C1351">
            <v>278</v>
          </cell>
          <cell r="D1351">
            <v>46032</v>
          </cell>
          <cell r="E1351">
            <v>7.4640000000000004</v>
          </cell>
          <cell r="F1351" t="str">
            <v>NOGAL</v>
          </cell>
          <cell r="G1351" t="str">
            <v>SLIDING - ANDES</v>
          </cell>
        </row>
        <row r="1352">
          <cell r="A1352" t="str">
            <v>PI-SLA-MDM-RD</v>
          </cell>
          <cell r="B1352" t="str">
            <v>MARCO DIVISOR MONORRIEL ANDES - ROBLE</v>
          </cell>
          <cell r="C1352">
            <v>355</v>
          </cell>
          <cell r="D1352">
            <v>46032</v>
          </cell>
          <cell r="E1352">
            <v>7.4640000000000004</v>
          </cell>
          <cell r="F1352" t="str">
            <v>ROBLE</v>
          </cell>
          <cell r="G1352" t="str">
            <v>SLIDING - ANDES</v>
          </cell>
        </row>
        <row r="1353">
          <cell r="A1353" t="str">
            <v>PI-SLA-MDR-BL</v>
          </cell>
          <cell r="B1353" t="str">
            <v>MARCO DOBLE RIEL CORREDERA ANDES - BLANCO</v>
          </cell>
          <cell r="C1353">
            <v>9372</v>
          </cell>
          <cell r="D1353">
            <v>46195</v>
          </cell>
          <cell r="E1353">
            <v>5.88</v>
          </cell>
          <cell r="F1353" t="str">
            <v>BLANCO</v>
          </cell>
          <cell r="G1353" t="str">
            <v>SLIDING - ANDES</v>
          </cell>
        </row>
        <row r="1354">
          <cell r="A1354" t="str">
            <v>PI-SLA-MDR-GR</v>
          </cell>
          <cell r="B1354" t="str">
            <v>MARCO DOBLE RIEL CORREDERA ANDES - GRAFITO</v>
          </cell>
          <cell r="C1354">
            <v>774</v>
          </cell>
          <cell r="D1354">
            <v>46191</v>
          </cell>
          <cell r="E1354">
            <v>6.0119999999999996</v>
          </cell>
          <cell r="F1354" t="str">
            <v>GRAFITO</v>
          </cell>
          <cell r="G1354" t="str">
            <v>SLIDING - ANDES</v>
          </cell>
        </row>
        <row r="1355">
          <cell r="A1355" t="str">
            <v>PI-SLA-MDR-NB</v>
          </cell>
          <cell r="B1355" t="str">
            <v>MARCO DOBLE RIEL CORREDERA ANDES - NEW BLACK</v>
          </cell>
          <cell r="C1355">
            <v>580</v>
          </cell>
          <cell r="D1355">
            <v>46191</v>
          </cell>
          <cell r="E1355">
            <v>6.0119999999999996</v>
          </cell>
          <cell r="F1355" t="str">
            <v>NEW BLACK</v>
          </cell>
          <cell r="G1355" t="str">
            <v>SLIDING - ANDES</v>
          </cell>
        </row>
        <row r="1356">
          <cell r="A1356" t="str">
            <v>PI-SLA-MDR-NO</v>
          </cell>
          <cell r="B1356" t="str">
            <v>MARCO DOBLE RIEL CORREDERA ANDES - NOGAL</v>
          </cell>
          <cell r="C1356">
            <v>2660</v>
          </cell>
          <cell r="D1356">
            <v>46191</v>
          </cell>
          <cell r="E1356">
            <v>6.0119999999999996</v>
          </cell>
          <cell r="F1356" t="str">
            <v>NOGAL</v>
          </cell>
          <cell r="G1356" t="str">
            <v>SLIDING - ANDES</v>
          </cell>
        </row>
        <row r="1357">
          <cell r="A1357" t="str">
            <v>PI-SLA-MDR-RD</v>
          </cell>
          <cell r="B1357" t="str">
            <v>MARCO DOBLE RIEL CORREDERA ANDES - ROBLE</v>
          </cell>
          <cell r="C1357">
            <v>945</v>
          </cell>
          <cell r="D1357">
            <v>46191</v>
          </cell>
          <cell r="E1357">
            <v>6.0119999999999996</v>
          </cell>
          <cell r="F1357" t="str">
            <v>ROBLE</v>
          </cell>
          <cell r="G1357" t="str">
            <v>SLIDING - ANDES</v>
          </cell>
        </row>
        <row r="1358">
          <cell r="A1358" t="str">
            <v>PI-SLA-MMC-BL</v>
          </cell>
          <cell r="B1358" t="str">
            <v>MARCO MONORRIEL CORREDERA ANDES - BLANCO</v>
          </cell>
          <cell r="C1358">
            <v>3494</v>
          </cell>
          <cell r="D1358">
            <v>46195</v>
          </cell>
          <cell r="E1358">
            <v>6.9119999999999999</v>
          </cell>
          <cell r="F1358" t="str">
            <v>BLANCO</v>
          </cell>
          <cell r="G1358" t="str">
            <v>SLIDING - ANDES</v>
          </cell>
        </row>
        <row r="1359">
          <cell r="A1359" t="str">
            <v>PI-SLA-MMC-GR</v>
          </cell>
          <cell r="B1359" t="str">
            <v>MARCO MONORRIEL CORREDERA ANDES - GRAFITO</v>
          </cell>
          <cell r="C1359">
            <v>144</v>
          </cell>
          <cell r="D1359">
            <v>46060</v>
          </cell>
          <cell r="E1359">
            <v>7.1520000000000001</v>
          </cell>
          <cell r="F1359" t="str">
            <v>GRAFITO</v>
          </cell>
          <cell r="G1359" t="str">
            <v>SLIDING - ANDES</v>
          </cell>
        </row>
        <row r="1360">
          <cell r="A1360" t="str">
            <v>PI-SLA-MMC-NB</v>
          </cell>
          <cell r="B1360" t="str">
            <v>MARCO MONORRIEL CORREDERA ANDES - NEW BLACK</v>
          </cell>
          <cell r="C1360">
            <v>153</v>
          </cell>
          <cell r="D1360">
            <v>46119</v>
          </cell>
          <cell r="E1360">
            <v>7.1520000000000001</v>
          </cell>
          <cell r="F1360" t="str">
            <v>NEW BLACK</v>
          </cell>
          <cell r="G1360" t="str">
            <v>SLIDING - ANDES</v>
          </cell>
        </row>
        <row r="1361">
          <cell r="A1361" t="str">
            <v>PI-SLA-MMC-NO</v>
          </cell>
          <cell r="B1361" t="str">
            <v>MARCO MONORRIEL CORREDERA ANDES - NOGAL</v>
          </cell>
          <cell r="C1361">
            <v>423</v>
          </cell>
          <cell r="D1361">
            <v>46191</v>
          </cell>
          <cell r="E1361">
            <v>7.1520000000000001</v>
          </cell>
          <cell r="F1361" t="str">
            <v>NOGAL</v>
          </cell>
          <cell r="G1361" t="str">
            <v>SLIDING - ANDES</v>
          </cell>
        </row>
        <row r="1362">
          <cell r="A1362" t="str">
            <v>PI-SLA-MMC-RD</v>
          </cell>
          <cell r="B1362" t="str">
            <v>MARCO MONORRIEL CORREDERA ANDES - ROBLE</v>
          </cell>
          <cell r="C1362">
            <v>228</v>
          </cell>
          <cell r="D1362">
            <v>46178</v>
          </cell>
          <cell r="E1362">
            <v>7.1520000000000001</v>
          </cell>
          <cell r="F1362" t="str">
            <v>ROBLE</v>
          </cell>
          <cell r="G1362" t="str">
            <v>SLIDING - ANDES</v>
          </cell>
        </row>
        <row r="1363">
          <cell r="A1363" t="str">
            <v>PI-SLA-MMS-BL</v>
          </cell>
          <cell r="B1363" t="str">
            <v>MARCO CORREDERA MONORRIEL SLIDING - BLANCO</v>
          </cell>
          <cell r="C1363">
            <v>0</v>
          </cell>
          <cell r="D1363">
            <v>45280</v>
          </cell>
          <cell r="E1363">
            <v>9.1920000000000002</v>
          </cell>
          <cell r="F1363" t="str">
            <v>BLANCO</v>
          </cell>
          <cell r="G1363" t="str">
            <v>SLIDING</v>
          </cell>
        </row>
        <row r="1364">
          <cell r="A1364" t="str">
            <v>PI-SLA-TA54-BL</v>
          </cell>
          <cell r="B1364" t="str">
            <v>TRASLAPO ANDES 54 - BLANCO</v>
          </cell>
          <cell r="C1364">
            <v>1619</v>
          </cell>
          <cell r="D1364">
            <v>46132</v>
          </cell>
          <cell r="E1364">
            <v>1.9079999999999999</v>
          </cell>
          <cell r="F1364" t="str">
            <v>BLANCO</v>
          </cell>
          <cell r="G1364" t="str">
            <v>SLIDING - ANDES</v>
          </cell>
        </row>
        <row r="1365">
          <cell r="A1365" t="str">
            <v>PI-SLA-TA66-BL</v>
          </cell>
          <cell r="B1365" t="str">
            <v>TRASLAPO ANDES 66 - BLANCO</v>
          </cell>
          <cell r="C1365">
            <v>4750</v>
          </cell>
          <cell r="D1365">
            <v>46191</v>
          </cell>
          <cell r="E1365">
            <v>1.9079999999999999</v>
          </cell>
          <cell r="F1365" t="str">
            <v>BLANCO</v>
          </cell>
          <cell r="G1365" t="str">
            <v>SLIDING - ANDES</v>
          </cell>
        </row>
        <row r="1366">
          <cell r="A1366" t="str">
            <v>PI-SLA-TA66-GR</v>
          </cell>
          <cell r="B1366" t="str">
            <v>TRASLAPO ANDES 66 - GRAFITO</v>
          </cell>
          <cell r="C1366">
            <v>468</v>
          </cell>
          <cell r="D1366">
            <v>46191</v>
          </cell>
          <cell r="E1366">
            <v>1.9379999999999999</v>
          </cell>
          <cell r="F1366" t="str">
            <v>GRAFITO</v>
          </cell>
          <cell r="G1366" t="str">
            <v>SLIDING - ANDES</v>
          </cell>
        </row>
        <row r="1367">
          <cell r="A1367" t="str">
            <v>PI-SLA-TA66-NB</v>
          </cell>
          <cell r="B1367" t="str">
            <v>TRASLAPO ANDES 66 - NEW BLACK</v>
          </cell>
          <cell r="C1367">
            <v>523</v>
          </cell>
          <cell r="D1367">
            <v>46191</v>
          </cell>
          <cell r="E1367">
            <v>2.6880000000000002</v>
          </cell>
          <cell r="F1367" t="str">
            <v>NEW BLACK</v>
          </cell>
          <cell r="G1367" t="str">
            <v>SLIDING - ANDES</v>
          </cell>
        </row>
        <row r="1368">
          <cell r="A1368" t="str">
            <v>PI-SLA-TA66-NO</v>
          </cell>
          <cell r="B1368" t="str">
            <v>TRASLAPO ANDES 66 - NOGAL</v>
          </cell>
          <cell r="C1368">
            <v>1047</v>
          </cell>
          <cell r="D1368">
            <v>46191</v>
          </cell>
          <cell r="E1368">
            <v>1.9379999999999999</v>
          </cell>
          <cell r="F1368" t="str">
            <v>NOGAL</v>
          </cell>
          <cell r="G1368" t="str">
            <v>SLIDING - ANDES</v>
          </cell>
        </row>
        <row r="1369">
          <cell r="A1369" t="str">
            <v>PI-SLA-TA66-RD</v>
          </cell>
          <cell r="B1369" t="str">
            <v>TRASLAPO ANDES 66 - ROBLE</v>
          </cell>
          <cell r="C1369">
            <v>618</v>
          </cell>
          <cell r="D1369">
            <v>46191</v>
          </cell>
          <cell r="E1369">
            <v>1.9379999999999999</v>
          </cell>
          <cell r="F1369" t="str">
            <v>ROBLE</v>
          </cell>
          <cell r="G1369" t="str">
            <v>SLIDING - ANDES</v>
          </cell>
        </row>
        <row r="1370">
          <cell r="A1370" t="str">
            <v>PI-SLA-TMM-BL</v>
          </cell>
          <cell r="B1370" t="str">
            <v>TAPA MARCO MONORRIEL ANDES - BLANCO</v>
          </cell>
          <cell r="C1370">
            <v>1619</v>
          </cell>
          <cell r="D1370">
            <v>46191</v>
          </cell>
          <cell r="E1370">
            <v>1.86</v>
          </cell>
          <cell r="F1370" t="str">
            <v>BLANCO</v>
          </cell>
          <cell r="G1370" t="str">
            <v>SLIDING - ANDES</v>
          </cell>
        </row>
        <row r="1371">
          <cell r="A1371" t="str">
            <v>PI-SLA-TMM-GR</v>
          </cell>
          <cell r="B1371" t="str">
            <v>TAPA MARCO MONORRIEL ANDES - GRAFITO</v>
          </cell>
          <cell r="C1371">
            <v>157</v>
          </cell>
          <cell r="D1371">
            <v>46060</v>
          </cell>
          <cell r="E1371">
            <v>1.944</v>
          </cell>
          <cell r="F1371" t="str">
            <v>GRAFITO</v>
          </cell>
          <cell r="G1371" t="str">
            <v>SLIDING - ANDES</v>
          </cell>
        </row>
        <row r="1372">
          <cell r="A1372" t="str">
            <v>PI-SLA-TMM-NB</v>
          </cell>
          <cell r="B1372" t="str">
            <v>TAPA MARCO MONORRIEL ANDES - NEW BLACK</v>
          </cell>
          <cell r="C1372">
            <v>242</v>
          </cell>
          <cell r="D1372">
            <v>45878</v>
          </cell>
          <cell r="E1372">
            <v>1.944</v>
          </cell>
          <cell r="F1372" t="str">
            <v>NEW BLACK</v>
          </cell>
          <cell r="G1372" t="str">
            <v>SLIDING - ANDES</v>
          </cell>
        </row>
        <row r="1373">
          <cell r="A1373" t="str">
            <v>PI-SLA-TMM-NO</v>
          </cell>
          <cell r="B1373" t="str">
            <v>TAPA MARCO MONORRIEL ANDES - NOGAL</v>
          </cell>
          <cell r="C1373">
            <v>199</v>
          </cell>
          <cell r="D1373">
            <v>46191</v>
          </cell>
          <cell r="E1373">
            <v>1.944</v>
          </cell>
          <cell r="F1373" t="str">
            <v>NOGAL</v>
          </cell>
          <cell r="G1373" t="str">
            <v>SLIDING - ANDES</v>
          </cell>
        </row>
        <row r="1374">
          <cell r="A1374" t="str">
            <v>PI-SLA-TMM-RD</v>
          </cell>
          <cell r="B1374" t="str">
            <v>TAPA MARCO MONORRIEL ANDES - ROBLE</v>
          </cell>
          <cell r="C1374">
            <v>259</v>
          </cell>
          <cell r="D1374">
            <v>46191</v>
          </cell>
          <cell r="E1374">
            <v>1.944</v>
          </cell>
          <cell r="F1374" t="str">
            <v>ROBLE</v>
          </cell>
          <cell r="G1374" t="str">
            <v>SLIDING - ANDES</v>
          </cell>
        </row>
        <row r="1375">
          <cell r="A1375" t="str">
            <v>PI-SLA-TMS-BL</v>
          </cell>
          <cell r="B1375" t="str">
            <v>TAPA MARCO MONORRIEL SLIDING - BLANCO</v>
          </cell>
          <cell r="C1375">
            <v>0</v>
          </cell>
          <cell r="D1375">
            <v>45298</v>
          </cell>
          <cell r="E1375">
            <v>2.34</v>
          </cell>
          <cell r="F1375" t="str">
            <v>BLANCO</v>
          </cell>
          <cell r="G1375" t="str">
            <v>SLIDING</v>
          </cell>
        </row>
        <row r="1376">
          <cell r="A1376" t="str">
            <v>PI-SLD-4FL-BL</v>
          </cell>
          <cell r="B1376" t="str">
            <v>ADAPTADOR CUARTA HOJA BLANCO - C/ FELPA</v>
          </cell>
          <cell r="C1376">
            <v>141</v>
          </cell>
          <cell r="D1376">
            <v>46104</v>
          </cell>
          <cell r="E1376">
            <v>2.9340000000000002</v>
          </cell>
          <cell r="F1376" t="str">
            <v>BLANCO</v>
          </cell>
          <cell r="G1376" t="str">
            <v>SLIDING</v>
          </cell>
        </row>
        <row r="1377">
          <cell r="A1377" t="str">
            <v>PI-SLD-4FL-GR</v>
          </cell>
          <cell r="B1377" t="str">
            <v>ADAPTADOR CUARTA HOJA GRAFITO - C/ FELPA</v>
          </cell>
          <cell r="C1377">
            <v>70</v>
          </cell>
          <cell r="D1377">
            <v>46139</v>
          </cell>
          <cell r="E1377">
            <v>2.9340000000000002</v>
          </cell>
          <cell r="F1377" t="str">
            <v>GRAFITO</v>
          </cell>
          <cell r="G1377" t="str">
            <v>SLIDING</v>
          </cell>
        </row>
        <row r="1378">
          <cell r="A1378" t="str">
            <v>PI-SLD-4FL-NB</v>
          </cell>
          <cell r="B1378" t="str">
            <v>ADAPTADOR CUARTA HOJA NEW BLACK - C/ FELPA</v>
          </cell>
          <cell r="C1378">
            <v>119</v>
          </cell>
          <cell r="D1378">
            <v>46139</v>
          </cell>
          <cell r="E1378">
            <v>3.03</v>
          </cell>
          <cell r="F1378" t="str">
            <v>NEW BLACK</v>
          </cell>
          <cell r="G1378" t="str">
            <v>SLIDING</v>
          </cell>
        </row>
        <row r="1379">
          <cell r="A1379" t="str">
            <v>PI-SLD-4FL-NO</v>
          </cell>
          <cell r="B1379" t="str">
            <v>ADAPTADOR CUARTA HOJA NOGAL - C/ FELPA</v>
          </cell>
          <cell r="C1379">
            <v>72</v>
          </cell>
          <cell r="D1379">
            <v>46139</v>
          </cell>
          <cell r="E1379">
            <v>3.03</v>
          </cell>
          <cell r="F1379" t="str">
            <v>NOGAL</v>
          </cell>
          <cell r="G1379" t="str">
            <v>SLIDING</v>
          </cell>
        </row>
        <row r="1380">
          <cell r="A1380" t="str">
            <v>PI-SLD-4FL-RD</v>
          </cell>
          <cell r="B1380" t="str">
            <v>ADAPTADOR CUARTA HOJA ROBLE - C/ FELPA</v>
          </cell>
          <cell r="C1380">
            <v>91</v>
          </cell>
          <cell r="D1380">
            <v>45960</v>
          </cell>
          <cell r="E1380">
            <v>2.0099999999999998</v>
          </cell>
          <cell r="F1380" t="str">
            <v>ROBLE</v>
          </cell>
          <cell r="G1380" t="str">
            <v>SLIDING</v>
          </cell>
        </row>
        <row r="1381">
          <cell r="A1381" t="str">
            <v>PI-SLD-4TA-BK</v>
          </cell>
          <cell r="B1381" t="str">
            <v>ADAPTADOR CUARTA HOJA - BLACK</v>
          </cell>
          <cell r="C1381">
            <v>0</v>
          </cell>
          <cell r="D1381">
            <v>45001</v>
          </cell>
          <cell r="E1381">
            <v>1.92</v>
          </cell>
          <cell r="F1381" t="str">
            <v>BLACK</v>
          </cell>
          <cell r="G1381" t="str">
            <v>SLIDING</v>
          </cell>
        </row>
        <row r="1382">
          <cell r="A1382" t="str">
            <v>PI-SLD-4TA-BL</v>
          </cell>
          <cell r="B1382" t="str">
            <v>ADAPTADOR CUARTA HOJA - BLANCO</v>
          </cell>
          <cell r="C1382">
            <v>0</v>
          </cell>
          <cell r="D1382">
            <v>44636</v>
          </cell>
          <cell r="E1382">
            <v>1.92</v>
          </cell>
          <cell r="F1382" t="str">
            <v>BLANCO</v>
          </cell>
          <cell r="G1382" t="str">
            <v>SLIDING</v>
          </cell>
        </row>
        <row r="1383">
          <cell r="A1383" t="str">
            <v>PI-SLD-4TA-GR</v>
          </cell>
          <cell r="B1383" t="str">
            <v>ADAPTADOR CUARTA HOJA - GRAFITO</v>
          </cell>
          <cell r="C1383">
            <v>0</v>
          </cell>
          <cell r="D1383">
            <v>45479</v>
          </cell>
          <cell r="E1383">
            <v>1.92</v>
          </cell>
          <cell r="F1383" t="str">
            <v>GRAFITO</v>
          </cell>
          <cell r="G1383" t="str">
            <v>SLIDING</v>
          </cell>
        </row>
        <row r="1384">
          <cell r="A1384" t="str">
            <v>PI-SLD-4TA-NB</v>
          </cell>
          <cell r="B1384" t="str">
            <v>ADAPTADOR CUARTA HOJA - NEW BLACK</v>
          </cell>
          <cell r="C1384">
            <v>0</v>
          </cell>
          <cell r="D1384">
            <v>44778</v>
          </cell>
          <cell r="E1384">
            <v>1.92</v>
          </cell>
          <cell r="F1384" t="str">
            <v>NEW BLACK</v>
          </cell>
          <cell r="G1384" t="str">
            <v>SLIDING</v>
          </cell>
        </row>
        <row r="1385">
          <cell r="A1385" t="str">
            <v>PI-SLD-4TA-NO</v>
          </cell>
          <cell r="B1385" t="str">
            <v>ADAPTADOR CUARTA HOJA - NOGAL</v>
          </cell>
          <cell r="C1385">
            <v>0</v>
          </cell>
          <cell r="D1385">
            <v>44946</v>
          </cell>
          <cell r="E1385">
            <v>1.92</v>
          </cell>
          <cell r="F1385" t="str">
            <v>NOGAL</v>
          </cell>
          <cell r="G1385" t="str">
            <v>SLIDING</v>
          </cell>
        </row>
        <row r="1386">
          <cell r="A1386" t="str">
            <v>PI-SLD-4TA-RD</v>
          </cell>
          <cell r="B1386" t="str">
            <v>ADAPTADOR CUARTA HOJA - ROBLE</v>
          </cell>
          <cell r="C1386">
            <v>0</v>
          </cell>
          <cell r="D1386">
            <v>44586</v>
          </cell>
          <cell r="E1386">
            <v>1.92</v>
          </cell>
          <cell r="F1386" t="str">
            <v>ROBLE</v>
          </cell>
          <cell r="G1386" t="str">
            <v>SLIDING</v>
          </cell>
        </row>
        <row r="1387">
          <cell r="A1387" t="str">
            <v>PI-SLD-EQC-BK</v>
          </cell>
          <cell r="B1387" t="str">
            <v>ESQUINERO 90° - 70 mm CORREDERA - BLACK</v>
          </cell>
          <cell r="C1387">
            <v>0</v>
          </cell>
          <cell r="D1387">
            <v>44586</v>
          </cell>
          <cell r="E1387">
            <v>8.1059999999999999</v>
          </cell>
          <cell r="F1387" t="str">
            <v>BLACK</v>
          </cell>
          <cell r="G1387" t="str">
            <v>SLIDING</v>
          </cell>
        </row>
        <row r="1388">
          <cell r="A1388" t="str">
            <v>PI-SLD-EQC-BL</v>
          </cell>
          <cell r="B1388" t="str">
            <v>ESQUINERO 90° - 70 mm CORREDERA - BLANCO</v>
          </cell>
          <cell r="C1388">
            <v>66</v>
          </cell>
          <cell r="D1388">
            <v>46060</v>
          </cell>
          <cell r="E1388">
            <v>8.1059999999999999</v>
          </cell>
          <cell r="F1388" t="str">
            <v>BLANCO</v>
          </cell>
          <cell r="G1388" t="str">
            <v>SLIDING</v>
          </cell>
        </row>
        <row r="1389">
          <cell r="A1389" t="str">
            <v>PI-SLD-EQC-GR</v>
          </cell>
          <cell r="B1389" t="str">
            <v>ESQUINERO 90° - 70 mm CORREDERA - GRAFITO</v>
          </cell>
          <cell r="C1389">
            <v>94</v>
          </cell>
          <cell r="D1389">
            <v>46060</v>
          </cell>
          <cell r="E1389">
            <v>8.1059999999999999</v>
          </cell>
          <cell r="F1389" t="str">
            <v>GRAFITO</v>
          </cell>
          <cell r="G1389" t="str">
            <v>SLIDING</v>
          </cell>
        </row>
        <row r="1390">
          <cell r="A1390" t="str">
            <v>PI-SLD-EQC-NB</v>
          </cell>
          <cell r="B1390" t="str">
            <v>ESQUINERO 90° - 70 mm CORREDERA - NEW BLACK</v>
          </cell>
          <cell r="C1390">
            <v>142</v>
          </cell>
          <cell r="D1390">
            <v>45940</v>
          </cell>
          <cell r="E1390">
            <v>8.1059999999999999</v>
          </cell>
          <cell r="F1390" t="str">
            <v>NEW BLACK</v>
          </cell>
          <cell r="G1390" t="str">
            <v>SLIDING</v>
          </cell>
        </row>
        <row r="1391">
          <cell r="A1391" t="str">
            <v>PI-SLD-EQC-NO</v>
          </cell>
          <cell r="B1391" t="str">
            <v>ESQUINERO 90° - 70 mm CORREDERA - NOGAL</v>
          </cell>
          <cell r="C1391">
            <v>17</v>
          </cell>
          <cell r="D1391">
            <v>46032</v>
          </cell>
          <cell r="E1391">
            <v>8.1059999999999999</v>
          </cell>
          <cell r="F1391" t="str">
            <v>NOGAL</v>
          </cell>
          <cell r="G1391" t="str">
            <v>SLIDING</v>
          </cell>
        </row>
        <row r="1392">
          <cell r="A1392" t="str">
            <v>PI-SLD-EQC-RD</v>
          </cell>
          <cell r="B1392" t="str">
            <v>ESQUINERO 90° - 70 mm CORREDERA - ROBLE</v>
          </cell>
          <cell r="C1392">
            <v>56</v>
          </cell>
          <cell r="D1392">
            <v>46032</v>
          </cell>
          <cell r="E1392">
            <v>8.1059999999999999</v>
          </cell>
          <cell r="F1392" t="str">
            <v>ROBLE</v>
          </cell>
          <cell r="G1392" t="str">
            <v>SLIDING</v>
          </cell>
        </row>
        <row r="1393">
          <cell r="A1393" t="str">
            <v>PI-SLD-EQC-S75-BL</v>
          </cell>
          <cell r="B1393" t="str">
            <v>ESQUINERO 90° - 75 mm CORREDERA - BLANCO</v>
          </cell>
          <cell r="C1393">
            <v>57</v>
          </cell>
          <cell r="D1393">
            <v>46139</v>
          </cell>
          <cell r="E1393">
            <v>5.4720000000000004</v>
          </cell>
          <cell r="F1393" t="str">
            <v>BLANCO</v>
          </cell>
          <cell r="G1393" t="str">
            <v>SLIDING</v>
          </cell>
        </row>
        <row r="1394">
          <cell r="A1394" t="str">
            <v>PI-SLD-EQC-S75-GR</v>
          </cell>
          <cell r="B1394" t="str">
            <v>ESQUINERO 90° - 75 mm CORREDERA - GRAFITO</v>
          </cell>
          <cell r="C1394">
            <v>88</v>
          </cell>
          <cell r="D1394">
            <v>46139</v>
          </cell>
          <cell r="E1394">
            <v>5.73</v>
          </cell>
          <cell r="F1394" t="str">
            <v>GRAFITO</v>
          </cell>
          <cell r="G1394" t="str">
            <v>SLIDING</v>
          </cell>
        </row>
        <row r="1395">
          <cell r="A1395" t="str">
            <v>PI-SLD-EQC-S75-NB</v>
          </cell>
          <cell r="B1395" t="str">
            <v>ESQUINERO 90° - 75 mm CORREDERA - NEW BLACK</v>
          </cell>
          <cell r="C1395">
            <v>44</v>
          </cell>
          <cell r="D1395">
            <v>46139</v>
          </cell>
          <cell r="E1395">
            <v>5.73</v>
          </cell>
          <cell r="F1395" t="str">
            <v>NEW BLACK</v>
          </cell>
          <cell r="G1395" t="str">
            <v>SLIDING</v>
          </cell>
        </row>
        <row r="1396">
          <cell r="A1396" t="str">
            <v>PI-SLD-EQC-S75-NO</v>
          </cell>
          <cell r="B1396" t="str">
            <v>ESQUINERO 90° - 75 mm CORREDERA - NOGAL</v>
          </cell>
          <cell r="C1396">
            <v>62</v>
          </cell>
          <cell r="D1396">
            <v>46139</v>
          </cell>
          <cell r="E1396">
            <v>5.73</v>
          </cell>
          <cell r="F1396" t="str">
            <v>NOGAL</v>
          </cell>
          <cell r="G1396" t="str">
            <v>SLIDING</v>
          </cell>
        </row>
        <row r="1397">
          <cell r="A1397" t="str">
            <v>PI-SLD-EQC-S75-RD</v>
          </cell>
          <cell r="B1397" t="str">
            <v>ESQUINERO 90° - 75 mm CORREDERA - ROBLE</v>
          </cell>
          <cell r="C1397">
            <v>83</v>
          </cell>
          <cell r="D1397">
            <v>46139</v>
          </cell>
          <cell r="E1397">
            <v>5.73</v>
          </cell>
          <cell r="F1397" t="str">
            <v>ROBLE</v>
          </cell>
          <cell r="G1397" t="str">
            <v>SLIDING</v>
          </cell>
        </row>
        <row r="1398">
          <cell r="A1398" t="str">
            <v>PI-SLD-H80-BK</v>
          </cell>
          <cell r="B1398" t="str">
            <v>HOJA CORREDERA 80 - BLACK</v>
          </cell>
          <cell r="C1398">
            <v>0</v>
          </cell>
          <cell r="D1398">
            <v>45070</v>
          </cell>
          <cell r="E1398">
            <v>8.2260000000000009</v>
          </cell>
          <cell r="F1398" t="str">
            <v>BLACK</v>
          </cell>
          <cell r="G1398" t="str">
            <v>SLIDING</v>
          </cell>
        </row>
        <row r="1399">
          <cell r="A1399" t="str">
            <v>PI-SLD-H80-BL</v>
          </cell>
          <cell r="B1399" t="str">
            <v>HOJA CORREDERA 80 - BLANCO</v>
          </cell>
          <cell r="C1399">
            <v>8265</v>
          </cell>
          <cell r="D1399">
            <v>46195</v>
          </cell>
          <cell r="E1399">
            <v>8.2260000000000009</v>
          </cell>
          <cell r="F1399" t="str">
            <v>BLANCO</v>
          </cell>
          <cell r="G1399" t="str">
            <v>SLIDING</v>
          </cell>
        </row>
        <row r="1400">
          <cell r="A1400" t="str">
            <v>PI-SLD-H80-GR</v>
          </cell>
          <cell r="B1400" t="str">
            <v>HOJA CORREDERA 80 - GRAFITO</v>
          </cell>
          <cell r="C1400">
            <v>1824</v>
          </cell>
          <cell r="D1400">
            <v>46191</v>
          </cell>
          <cell r="E1400">
            <v>8.2260000000000009</v>
          </cell>
          <cell r="F1400" t="str">
            <v>GRAFITO</v>
          </cell>
          <cell r="G1400" t="str">
            <v>SLIDING</v>
          </cell>
        </row>
        <row r="1401">
          <cell r="A1401" t="str">
            <v>PI-SLD-H80-NB</v>
          </cell>
          <cell r="B1401" t="str">
            <v>HOJA CORREDERA 80 - NEW BLACK</v>
          </cell>
          <cell r="C1401">
            <v>2528</v>
          </cell>
          <cell r="D1401">
            <v>46191</v>
          </cell>
          <cell r="E1401">
            <v>8.2260000000000009</v>
          </cell>
          <cell r="F1401" t="str">
            <v>NEW BLACK</v>
          </cell>
          <cell r="G1401" t="str">
            <v>SLIDING</v>
          </cell>
        </row>
        <row r="1402">
          <cell r="A1402" t="str">
            <v>PI-SLD-H80-NO</v>
          </cell>
          <cell r="B1402" t="str">
            <v>HOJA CORREDERA 80 - NOGAL</v>
          </cell>
          <cell r="C1402">
            <v>5341</v>
          </cell>
          <cell r="D1402">
            <v>46191</v>
          </cell>
          <cell r="E1402">
            <v>8.2260000000000009</v>
          </cell>
          <cell r="F1402" t="str">
            <v>NOGAL</v>
          </cell>
          <cell r="G1402" t="str">
            <v>SLIDING</v>
          </cell>
        </row>
        <row r="1403">
          <cell r="A1403" t="str">
            <v>PI-SLD-H80-RD</v>
          </cell>
          <cell r="B1403" t="str">
            <v>HOJA CORREDERA 80 - ROBLE</v>
          </cell>
          <cell r="C1403">
            <v>3444</v>
          </cell>
          <cell r="D1403">
            <v>46191</v>
          </cell>
          <cell r="E1403">
            <v>8.2260000000000009</v>
          </cell>
          <cell r="F1403" t="str">
            <v>ROBLE</v>
          </cell>
          <cell r="G1403" t="str">
            <v>SLIDING</v>
          </cell>
        </row>
        <row r="1404">
          <cell r="A1404" t="str">
            <v>PI-SLD-H98-BK</v>
          </cell>
          <cell r="B1404" t="str">
            <v>HOJA CORREDERA 98 - BLACK</v>
          </cell>
          <cell r="C1404">
            <v>0</v>
          </cell>
          <cell r="D1404">
            <v>45036</v>
          </cell>
          <cell r="E1404">
            <v>9.1679999999999993</v>
          </cell>
          <cell r="F1404" t="str">
            <v>BLACK</v>
          </cell>
          <cell r="G1404" t="str">
            <v>SLIDING</v>
          </cell>
        </row>
        <row r="1405">
          <cell r="A1405" t="str">
            <v>PI-SLD-H98-BL</v>
          </cell>
          <cell r="B1405" t="str">
            <v>HOJA CORREDERA 98 - BLANCO</v>
          </cell>
          <cell r="C1405">
            <v>1656</v>
          </cell>
          <cell r="D1405">
            <v>46195</v>
          </cell>
          <cell r="E1405">
            <v>9.1679999999999993</v>
          </cell>
          <cell r="F1405" t="str">
            <v>BLANCO</v>
          </cell>
          <cell r="G1405" t="str">
            <v>SLIDING</v>
          </cell>
        </row>
        <row r="1406">
          <cell r="A1406" t="str">
            <v>PI-SLD-H98-GR</v>
          </cell>
          <cell r="B1406" t="str">
            <v>HOJA CORREDERA 98 - GRAFITO</v>
          </cell>
          <cell r="C1406">
            <v>783</v>
          </cell>
          <cell r="D1406">
            <v>46191</v>
          </cell>
          <cell r="E1406">
            <v>9.2040000000000006</v>
          </cell>
          <cell r="F1406" t="str">
            <v>GRAFITO</v>
          </cell>
          <cell r="G1406" t="str">
            <v>SLIDING</v>
          </cell>
        </row>
        <row r="1407">
          <cell r="A1407" t="str">
            <v>PI-SLD-H98-NB</v>
          </cell>
          <cell r="B1407" t="str">
            <v>HOJA CORREDERA 98 - NEW BLACK</v>
          </cell>
          <cell r="C1407">
            <v>1128</v>
          </cell>
          <cell r="D1407">
            <v>46191</v>
          </cell>
          <cell r="E1407">
            <v>9.2040000000000006</v>
          </cell>
          <cell r="F1407" t="str">
            <v>NEW BLACK</v>
          </cell>
          <cell r="G1407" t="str">
            <v>SLIDING</v>
          </cell>
        </row>
        <row r="1408">
          <cell r="A1408" t="str">
            <v>PI-SLD-H98-NO</v>
          </cell>
          <cell r="B1408" t="str">
            <v>HOJA CORREDERA 98 - NOGAL</v>
          </cell>
          <cell r="C1408">
            <v>940</v>
          </cell>
          <cell r="D1408">
            <v>46191</v>
          </cell>
          <cell r="E1408">
            <v>9.1679999999999993</v>
          </cell>
          <cell r="F1408" t="str">
            <v>NOGAL</v>
          </cell>
          <cell r="G1408" t="str">
            <v>SLIDING</v>
          </cell>
        </row>
        <row r="1409">
          <cell r="A1409" t="str">
            <v>PI-SLD-H98-RD</v>
          </cell>
          <cell r="B1409" t="str">
            <v>HOJA CORREDERA 98 - ROBLE</v>
          </cell>
          <cell r="C1409">
            <v>557</v>
          </cell>
          <cell r="D1409">
            <v>46191</v>
          </cell>
          <cell r="E1409">
            <v>9.2040000000000006</v>
          </cell>
          <cell r="F1409" t="str">
            <v>ROBLE</v>
          </cell>
          <cell r="G1409" t="str">
            <v>SLIDING</v>
          </cell>
        </row>
        <row r="1410">
          <cell r="A1410" t="str">
            <v>PI-SLD-HS-MC-12</v>
          </cell>
          <cell r="B1410" t="str">
            <v>REFUERZO MARCO CORREDERA S70 1.2 mm - HS</v>
          </cell>
          <cell r="C1410">
            <v>4</v>
          </cell>
          <cell r="D1410">
            <v>46060</v>
          </cell>
          <cell r="E1410">
            <v>3.72</v>
          </cell>
          <cell r="F1410" t="str">
            <v>NATURAL</v>
          </cell>
          <cell r="G1410" t="str">
            <v>HASKAR-REFUERZO</v>
          </cell>
        </row>
        <row r="1411">
          <cell r="A1411" t="str">
            <v>PI-SLD-J17-20-BK</v>
          </cell>
          <cell r="B1411" t="str">
            <v>JUNQUILLO 17-20 mm SLIDING - BLACK</v>
          </cell>
          <cell r="C1411">
            <v>0</v>
          </cell>
          <cell r="D1411">
            <v>45123</v>
          </cell>
          <cell r="E1411">
            <v>1.1040000000000001</v>
          </cell>
          <cell r="F1411" t="str">
            <v>BLACK</v>
          </cell>
          <cell r="G1411" t="str">
            <v>SLIDING</v>
          </cell>
        </row>
        <row r="1412">
          <cell r="A1412" t="str">
            <v>PI-SLD-J17-20-BL</v>
          </cell>
          <cell r="B1412" t="str">
            <v>JUNQUILLO 17-20 mm SLIDING - BLANCO</v>
          </cell>
          <cell r="C1412">
            <v>5526</v>
          </cell>
          <cell r="D1412">
            <v>46195</v>
          </cell>
          <cell r="E1412">
            <v>1.1040000000000001</v>
          </cell>
          <cell r="F1412" t="str">
            <v>BLANCO</v>
          </cell>
          <cell r="G1412" t="str">
            <v>SLIDING</v>
          </cell>
        </row>
        <row r="1413">
          <cell r="A1413" t="str">
            <v>PI-SLD-J17-20-GR</v>
          </cell>
          <cell r="B1413" t="str">
            <v>JUNQUILLO 17-20 mm SLIDING - GRAFITO</v>
          </cell>
          <cell r="C1413">
            <v>2132</v>
          </cell>
          <cell r="D1413">
            <v>46191</v>
          </cell>
          <cell r="E1413">
            <v>1.1040000000000001</v>
          </cell>
          <cell r="F1413" t="str">
            <v>GRAFITO</v>
          </cell>
          <cell r="G1413" t="str">
            <v>SLIDING</v>
          </cell>
        </row>
        <row r="1414">
          <cell r="A1414" t="str">
            <v>PI-SLD-J17-20-NB</v>
          </cell>
          <cell r="B1414" t="str">
            <v>JUNQUILLO 17-20 mm SLIDING - NEW BLACK</v>
          </cell>
          <cell r="C1414">
            <v>2289</v>
          </cell>
          <cell r="D1414">
            <v>46191</v>
          </cell>
          <cell r="E1414">
            <v>1.3620000000000001</v>
          </cell>
          <cell r="F1414" t="str">
            <v>NEW BLACK</v>
          </cell>
          <cell r="G1414" t="str">
            <v>SLIDING</v>
          </cell>
        </row>
        <row r="1415">
          <cell r="A1415" t="str">
            <v>PI-SLD-J17-20-NO</v>
          </cell>
          <cell r="B1415" t="str">
            <v>JUNQUILLO 17-20 mm SLIDING - NOGAL</v>
          </cell>
          <cell r="C1415">
            <v>4929</v>
          </cell>
          <cell r="D1415">
            <v>46191</v>
          </cell>
          <cell r="E1415">
            <v>1.1040000000000001</v>
          </cell>
          <cell r="F1415" t="str">
            <v>NOGAL</v>
          </cell>
          <cell r="G1415" t="str">
            <v>SLIDING</v>
          </cell>
        </row>
        <row r="1416">
          <cell r="A1416" t="str">
            <v>PI-SLD-J17-20-RD</v>
          </cell>
          <cell r="B1416" t="str">
            <v>JUNQUILLO 17-20 mm SLIDING - ROBLE</v>
          </cell>
          <cell r="C1416">
            <v>3496</v>
          </cell>
          <cell r="D1416">
            <v>46191</v>
          </cell>
          <cell r="E1416">
            <v>1.1040000000000001</v>
          </cell>
          <cell r="F1416" t="str">
            <v>ROBLE</v>
          </cell>
          <cell r="G1416" t="str">
            <v>SLIDING</v>
          </cell>
        </row>
        <row r="1417">
          <cell r="A1417" t="str">
            <v>PI-SLD-J20-22-BK</v>
          </cell>
          <cell r="B1417" t="str">
            <v>JUNQUILLO 20-22 mm SLIDING - BLACK</v>
          </cell>
          <cell r="C1417">
            <v>0</v>
          </cell>
          <cell r="D1417">
            <v>45223</v>
          </cell>
          <cell r="E1417">
            <v>1.026</v>
          </cell>
          <cell r="F1417" t="str">
            <v>BLACK</v>
          </cell>
          <cell r="G1417" t="str">
            <v>SLIDING</v>
          </cell>
        </row>
        <row r="1418">
          <cell r="A1418" t="str">
            <v>PI-SLD-J20-22-BL</v>
          </cell>
          <cell r="B1418" t="str">
            <v>JUNQUILLO 20-22 mm SLIDING - BLANCO</v>
          </cell>
          <cell r="C1418">
            <v>6882</v>
          </cell>
          <cell r="D1418">
            <v>46192</v>
          </cell>
          <cell r="E1418">
            <v>1.026</v>
          </cell>
          <cell r="F1418" t="str">
            <v>BLANCO</v>
          </cell>
          <cell r="G1418" t="str">
            <v>SLIDING</v>
          </cell>
        </row>
        <row r="1419">
          <cell r="A1419" t="str">
            <v>PI-SLD-J20-22-GR</v>
          </cell>
          <cell r="B1419" t="str">
            <v>JUNQUILLO 20-22 mm SLIDING - GRAFITO</v>
          </cell>
          <cell r="C1419">
            <v>858</v>
          </cell>
          <cell r="D1419">
            <v>46191</v>
          </cell>
          <cell r="E1419">
            <v>1.026</v>
          </cell>
          <cell r="F1419" t="str">
            <v>GRAFITO</v>
          </cell>
          <cell r="G1419" t="str">
            <v>SLIDING</v>
          </cell>
        </row>
        <row r="1420">
          <cell r="A1420" t="str">
            <v>PI-SLD-J20-22-NB</v>
          </cell>
          <cell r="B1420" t="str">
            <v>JUNQUILLO 20-22 mm SLIDING - NEW BLACK</v>
          </cell>
          <cell r="C1420">
            <v>1063</v>
          </cell>
          <cell r="D1420">
            <v>46191</v>
          </cell>
          <cell r="E1420">
            <v>1.026</v>
          </cell>
          <cell r="F1420" t="str">
            <v>NEW BLACK</v>
          </cell>
          <cell r="G1420" t="str">
            <v>SLIDING</v>
          </cell>
        </row>
        <row r="1421">
          <cell r="A1421" t="str">
            <v>PI-SLD-J20-22-NO</v>
          </cell>
          <cell r="B1421" t="str">
            <v>JUNQUILLO 20-22 mm SLIDING - NOGAL</v>
          </cell>
          <cell r="C1421">
            <v>1060</v>
          </cell>
          <cell r="D1421">
            <v>46191</v>
          </cell>
          <cell r="E1421">
            <v>1.026</v>
          </cell>
          <cell r="F1421" t="str">
            <v>NOGAL</v>
          </cell>
          <cell r="G1421" t="str">
            <v>SLIDING</v>
          </cell>
        </row>
        <row r="1422">
          <cell r="A1422" t="str">
            <v>PI-SLD-J20-22-RD</v>
          </cell>
          <cell r="B1422" t="str">
            <v>JUNQUILLO 20-22 mm SLIDING - ROBLE</v>
          </cell>
          <cell r="C1422">
            <v>1046</v>
          </cell>
          <cell r="D1422">
            <v>46191</v>
          </cell>
          <cell r="E1422">
            <v>1.026</v>
          </cell>
          <cell r="F1422" t="str">
            <v>ROBLE</v>
          </cell>
          <cell r="G1422" t="str">
            <v>SLIDING</v>
          </cell>
        </row>
        <row r="1423">
          <cell r="A1423" t="str">
            <v>PI-SLD-J3-5-BK</v>
          </cell>
          <cell r="B1423" t="str">
            <v>JUNQUILLO 4-5 mm SLIDING - BLACK</v>
          </cell>
          <cell r="C1423">
            <v>0</v>
          </cell>
          <cell r="D1423">
            <v>45123</v>
          </cell>
          <cell r="E1423">
            <v>1.542</v>
          </cell>
          <cell r="F1423" t="str">
            <v>BLACK</v>
          </cell>
          <cell r="G1423" t="str">
            <v>SLIDING</v>
          </cell>
        </row>
        <row r="1424">
          <cell r="A1424" t="str">
            <v>PI-SLD-J3-5-BL</v>
          </cell>
          <cell r="B1424" t="str">
            <v>JUNQUILLO 4-5 mm SLIDING - BLANCO</v>
          </cell>
          <cell r="C1424">
            <v>2227</v>
          </cell>
          <cell r="D1424">
            <v>46192</v>
          </cell>
          <cell r="E1424">
            <v>1.542</v>
          </cell>
          <cell r="F1424" t="str">
            <v>BLANCO</v>
          </cell>
          <cell r="G1424" t="str">
            <v>SLIDING</v>
          </cell>
        </row>
        <row r="1425">
          <cell r="A1425" t="str">
            <v>PI-SLD-J3-5-GR</v>
          </cell>
          <cell r="B1425" t="str">
            <v>JUNQUILLO 4-5 mm SLIDING - GRAFITO</v>
          </cell>
          <cell r="C1425">
            <v>680</v>
          </cell>
          <cell r="D1425">
            <v>46191</v>
          </cell>
          <cell r="E1425">
            <v>1.542</v>
          </cell>
          <cell r="F1425" t="str">
            <v>GRAFITO</v>
          </cell>
          <cell r="G1425" t="str">
            <v>SLIDING</v>
          </cell>
        </row>
        <row r="1426">
          <cell r="A1426" t="str">
            <v>PI-SLD-J3-5-NB</v>
          </cell>
          <cell r="B1426" t="str">
            <v>JUNQUILLO 4-5 mm SLIDING - NEW BLACK</v>
          </cell>
          <cell r="C1426">
            <v>771</v>
          </cell>
          <cell r="D1426">
            <v>46191</v>
          </cell>
          <cell r="E1426">
            <v>1.542</v>
          </cell>
          <cell r="F1426" t="str">
            <v>NEW BLACK</v>
          </cell>
          <cell r="G1426" t="str">
            <v>SLIDING</v>
          </cell>
        </row>
        <row r="1427">
          <cell r="A1427" t="str">
            <v>PI-SLD-J3-5-NO</v>
          </cell>
          <cell r="B1427" t="str">
            <v>JUNQUILLO 4-5 mm SLIDING - NOGAL</v>
          </cell>
          <cell r="C1427">
            <v>577</v>
          </cell>
          <cell r="D1427">
            <v>46191</v>
          </cell>
          <cell r="E1427">
            <v>1.542</v>
          </cell>
          <cell r="F1427" t="str">
            <v>NOGAL</v>
          </cell>
          <cell r="G1427" t="str">
            <v>SLIDING</v>
          </cell>
        </row>
        <row r="1428">
          <cell r="A1428" t="str">
            <v>PI-SLD-J3-5-RD</v>
          </cell>
          <cell r="B1428" t="str">
            <v>JUNQUILLO 4-5 mm SLIDING - ROBLE</v>
          </cell>
          <cell r="C1428">
            <v>618</v>
          </cell>
          <cell r="D1428">
            <v>46191</v>
          </cell>
          <cell r="E1428">
            <v>1.542</v>
          </cell>
          <cell r="F1428" t="str">
            <v>ROBLE</v>
          </cell>
          <cell r="G1428" t="str">
            <v>SLIDING</v>
          </cell>
        </row>
        <row r="1429">
          <cell r="A1429" t="str">
            <v>PI-SLD-MDR-BK</v>
          </cell>
          <cell r="B1429" t="str">
            <v>MARCO DOBLE RIEL CORREDERA S70 - BLACK</v>
          </cell>
          <cell r="C1429">
            <v>0</v>
          </cell>
          <cell r="D1429">
            <v>45070</v>
          </cell>
          <cell r="E1429">
            <v>7.68</v>
          </cell>
          <cell r="F1429" t="str">
            <v>BLACK</v>
          </cell>
          <cell r="G1429" t="str">
            <v>SLIDING</v>
          </cell>
        </row>
        <row r="1430">
          <cell r="A1430" t="str">
            <v>PI-SLD-MDR-BL</v>
          </cell>
          <cell r="B1430" t="str">
            <v>MARCO DOBLE RIEL CORREDERA S70 - BLANCO</v>
          </cell>
          <cell r="C1430">
            <v>3796</v>
          </cell>
          <cell r="D1430">
            <v>46156</v>
          </cell>
          <cell r="E1430">
            <v>7.68</v>
          </cell>
          <cell r="F1430" t="str">
            <v>BLANCO</v>
          </cell>
          <cell r="G1430" t="str">
            <v>SLIDING</v>
          </cell>
        </row>
        <row r="1431">
          <cell r="A1431" t="str">
            <v>PI-SLD-MDR-CM-GR</v>
          </cell>
          <cell r="B1431" t="str">
            <v>MARCO DOBLE RIEL CON MOSQUITERO - GRAFITO</v>
          </cell>
          <cell r="C1431">
            <v>98</v>
          </cell>
          <cell r="D1431">
            <v>45123</v>
          </cell>
          <cell r="E1431">
            <v>10.75</v>
          </cell>
          <cell r="F1431" t="str">
            <v>GRAFITO</v>
          </cell>
          <cell r="G1431" t="str">
            <v>SLIDING</v>
          </cell>
        </row>
        <row r="1432">
          <cell r="A1432" t="str">
            <v>PI-SLD-MDR-CM-NO</v>
          </cell>
          <cell r="B1432" t="str">
            <v>MARCO DOBLE RIEL CON MOSQUITERO - NOGAL</v>
          </cell>
          <cell r="C1432">
            <v>0</v>
          </cell>
          <cell r="D1432">
            <v>45661</v>
          </cell>
          <cell r="E1432">
            <v>10.362</v>
          </cell>
          <cell r="F1432" t="str">
            <v>NOGAL</v>
          </cell>
          <cell r="G1432" t="str">
            <v>SLIDING</v>
          </cell>
        </row>
        <row r="1433">
          <cell r="A1433" t="str">
            <v>PI-SLD-MDR-GR</v>
          </cell>
          <cell r="B1433" t="str">
            <v>MARCO DOBLE RIEL CORREDERA S70 - GRAFITO</v>
          </cell>
          <cell r="C1433">
            <v>1507</v>
          </cell>
          <cell r="D1433">
            <v>46157</v>
          </cell>
          <cell r="E1433">
            <v>7.68</v>
          </cell>
          <cell r="F1433" t="str">
            <v>GRAFITO</v>
          </cell>
          <cell r="G1433" t="str">
            <v>SLIDING</v>
          </cell>
        </row>
        <row r="1434">
          <cell r="A1434" t="str">
            <v>PI-SLD-MDR-NB</v>
          </cell>
          <cell r="B1434" t="str">
            <v>MARCO DOBLE RIEL CORREDERA S70 - NEW BLACK</v>
          </cell>
          <cell r="C1434">
            <v>1284</v>
          </cell>
          <cell r="D1434">
            <v>46162</v>
          </cell>
          <cell r="E1434">
            <v>7.68</v>
          </cell>
          <cell r="F1434" t="str">
            <v>NEW BLACK</v>
          </cell>
          <cell r="G1434" t="str">
            <v>SLIDING</v>
          </cell>
        </row>
        <row r="1435">
          <cell r="A1435" t="str">
            <v>PI-SLD-MDR-NO</v>
          </cell>
          <cell r="B1435" t="str">
            <v>MARCO DOBLE RIEL CORREDERA S70 - NOGAL</v>
          </cell>
          <cell r="C1435">
            <v>3356</v>
          </cell>
          <cell r="D1435">
            <v>46164</v>
          </cell>
          <cell r="E1435">
            <v>7.68</v>
          </cell>
          <cell r="F1435" t="str">
            <v>NOGAL</v>
          </cell>
          <cell r="G1435" t="str">
            <v>SLIDING</v>
          </cell>
        </row>
        <row r="1436">
          <cell r="A1436" t="str">
            <v>PI-SLD-MDR-RD</v>
          </cell>
          <cell r="B1436" t="str">
            <v>MARCO DOBLE RIEL CORREDERA S70 - ROBLE</v>
          </cell>
          <cell r="C1436">
            <v>1758</v>
          </cell>
          <cell r="D1436">
            <v>46168</v>
          </cell>
          <cell r="E1436">
            <v>7.68</v>
          </cell>
          <cell r="F1436" t="str">
            <v>ROBLE</v>
          </cell>
          <cell r="G1436" t="str">
            <v>SLIDING</v>
          </cell>
        </row>
        <row r="1437">
          <cell r="A1437" t="str">
            <v>PI-SLD-MDR-RF-NA</v>
          </cell>
          <cell r="B1437" t="str">
            <v>MARCO CORREDERA SLIDING REFORZADO</v>
          </cell>
          <cell r="C1437">
            <v>0</v>
          </cell>
          <cell r="D1437">
            <v>46139</v>
          </cell>
          <cell r="E1437">
            <v>5.61</v>
          </cell>
          <cell r="F1437" t="str">
            <v>NATURAL</v>
          </cell>
          <cell r="G1437" t="str">
            <v>SLIDING</v>
          </cell>
        </row>
        <row r="1438">
          <cell r="A1438" t="str">
            <v>PI-SLD-MDR-S75-BL</v>
          </cell>
          <cell r="B1438" t="str">
            <v>MARCO DOBLE RIEL CORREDERA S75 - BLANCO</v>
          </cell>
          <cell r="C1438">
            <v>51</v>
          </cell>
          <cell r="D1438">
            <v>46032</v>
          </cell>
          <cell r="E1438">
            <v>7.05</v>
          </cell>
          <cell r="F1438" t="str">
            <v>BLANCO</v>
          </cell>
          <cell r="G1438" t="str">
            <v>SLIDING</v>
          </cell>
        </row>
        <row r="1439">
          <cell r="A1439" t="str">
            <v>PI-SLD-MDR-S75-GR</v>
          </cell>
          <cell r="B1439" t="str">
            <v>MARCO DOBLE RIEL CORREDERA S75 - GRAFITO</v>
          </cell>
          <cell r="C1439">
            <v>4</v>
          </cell>
          <cell r="D1439">
            <v>46032</v>
          </cell>
          <cell r="E1439">
            <v>7.218</v>
          </cell>
          <cell r="F1439" t="str">
            <v>GRAFITO</v>
          </cell>
          <cell r="G1439" t="str">
            <v>SLIDING</v>
          </cell>
        </row>
        <row r="1440">
          <cell r="A1440" t="str">
            <v>PI-SLD-MDR-S75-NB</v>
          </cell>
          <cell r="B1440" t="str">
            <v>MARCO DOBLE RIEL CORREDERA S75 - NEW BLACK</v>
          </cell>
          <cell r="C1440">
            <v>185</v>
          </cell>
          <cell r="D1440">
            <v>45967</v>
          </cell>
          <cell r="E1440">
            <v>7.218</v>
          </cell>
          <cell r="F1440" t="str">
            <v>NEW BLACK</v>
          </cell>
          <cell r="G1440" t="str">
            <v>SLIDING</v>
          </cell>
        </row>
        <row r="1441">
          <cell r="A1441" t="str">
            <v>PI-SLD-MDR-S75-NO</v>
          </cell>
          <cell r="B1441" t="str">
            <v>MARCO DOBLE RIEL CORREDERA S75 - NOGAL</v>
          </cell>
          <cell r="C1441">
            <v>50</v>
          </cell>
          <cell r="D1441">
            <v>46032</v>
          </cell>
          <cell r="E1441">
            <v>7.218</v>
          </cell>
          <cell r="F1441" t="str">
            <v>NOGAL</v>
          </cell>
          <cell r="G1441" t="str">
            <v>SLIDING</v>
          </cell>
        </row>
        <row r="1442">
          <cell r="A1442" t="str">
            <v>PI-SLD-MDR-S75-RD</v>
          </cell>
          <cell r="B1442" t="str">
            <v>MARCO DOBLE RIEL CORREDERA S75 - ROBLE</v>
          </cell>
          <cell r="C1442">
            <v>26</v>
          </cell>
          <cell r="D1442">
            <v>45905</v>
          </cell>
          <cell r="E1442">
            <v>7.218</v>
          </cell>
          <cell r="F1442" t="str">
            <v>ROBLE</v>
          </cell>
          <cell r="G1442" t="str">
            <v>SLIDING</v>
          </cell>
        </row>
        <row r="1443">
          <cell r="A1443" t="str">
            <v>PI-SLD-MTR-BK</v>
          </cell>
          <cell r="B1443" t="str">
            <v>MARCO TRIPLE RIEL CORREDERA S70 - BLACK</v>
          </cell>
          <cell r="C1443">
            <v>0</v>
          </cell>
          <cell r="D1443">
            <v>45071</v>
          </cell>
          <cell r="E1443">
            <v>12.09</v>
          </cell>
          <cell r="F1443" t="str">
            <v>BLACK</v>
          </cell>
          <cell r="G1443" t="str">
            <v>SLIDING</v>
          </cell>
        </row>
        <row r="1444">
          <cell r="A1444" t="str">
            <v>PI-SLD-MTR-BL</v>
          </cell>
          <cell r="B1444" t="str">
            <v>MARCO TRIPLE RIEL CORREDERA S70 - BLANCO</v>
          </cell>
          <cell r="C1444">
            <v>2</v>
          </cell>
          <cell r="D1444">
            <v>46032</v>
          </cell>
          <cell r="E1444">
            <v>12.09</v>
          </cell>
          <cell r="F1444" t="str">
            <v>BLANCO</v>
          </cell>
          <cell r="G1444" t="str">
            <v>SLIDING</v>
          </cell>
        </row>
        <row r="1445">
          <cell r="A1445" t="str">
            <v>PI-SLD-MTR-GR</v>
          </cell>
          <cell r="B1445" t="str">
            <v>MARCO TRIPLE RIEL CORREDERA S70 - GRAFITO</v>
          </cell>
          <cell r="C1445">
            <v>8</v>
          </cell>
          <cell r="D1445">
            <v>46032</v>
          </cell>
          <cell r="E1445">
            <v>12.09</v>
          </cell>
          <cell r="F1445" t="str">
            <v>GRAFITO</v>
          </cell>
          <cell r="G1445" t="str">
            <v>SLIDING</v>
          </cell>
        </row>
        <row r="1446">
          <cell r="A1446" t="str">
            <v>PI-SLD-MTR-NB</v>
          </cell>
          <cell r="B1446" t="str">
            <v>MARCO TRIPLE RIEL CORREDERA S70 - NEW BLACK</v>
          </cell>
          <cell r="C1446">
            <v>80</v>
          </cell>
          <cell r="D1446">
            <v>46032</v>
          </cell>
          <cell r="E1446">
            <v>12.09</v>
          </cell>
          <cell r="F1446" t="str">
            <v>NEW BLACK</v>
          </cell>
          <cell r="G1446" t="str">
            <v>SLIDING</v>
          </cell>
        </row>
        <row r="1447">
          <cell r="A1447" t="str">
            <v>PI-SLD-MTR-NO</v>
          </cell>
          <cell r="B1447" t="str">
            <v>MARCO TRIPLE RIEL CORREDERA S70 - NOGAL</v>
          </cell>
          <cell r="C1447">
            <v>0</v>
          </cell>
          <cell r="D1447">
            <v>46011</v>
          </cell>
          <cell r="E1447">
            <v>12.09</v>
          </cell>
          <cell r="F1447" t="str">
            <v>NOGAL</v>
          </cell>
          <cell r="G1447" t="str">
            <v>SLIDING</v>
          </cell>
        </row>
        <row r="1448">
          <cell r="A1448" t="str">
            <v>PI-SLD-MTR-RD</v>
          </cell>
          <cell r="B1448" t="str">
            <v>MARCO TRIPLE RIEL CORREDERA S70 - ROBLE</v>
          </cell>
          <cell r="C1448">
            <v>9</v>
          </cell>
          <cell r="D1448">
            <v>46032</v>
          </cell>
          <cell r="E1448">
            <v>12.09</v>
          </cell>
          <cell r="F1448" t="str">
            <v>ROBLE</v>
          </cell>
          <cell r="G1448" t="str">
            <v>SLIDING</v>
          </cell>
        </row>
        <row r="1449">
          <cell r="A1449" t="str">
            <v>PI-SLD-MTR-S75-BL</v>
          </cell>
          <cell r="B1449" t="str">
            <v>MARCO TRIPLE RIEL CORREDERA S75 - BLANCO</v>
          </cell>
          <cell r="C1449">
            <v>165</v>
          </cell>
          <cell r="D1449">
            <v>46032</v>
          </cell>
          <cell r="E1449">
            <v>11.526</v>
          </cell>
          <cell r="F1449" t="str">
            <v>BLANCO</v>
          </cell>
          <cell r="G1449" t="str">
            <v>SLIDING</v>
          </cell>
        </row>
        <row r="1450">
          <cell r="A1450" t="str">
            <v>PI-SLD-MTR-S75-GR</v>
          </cell>
          <cell r="B1450" t="str">
            <v>MARCO TRIPLE RIEL CORREDERA S75 - GRAFITO</v>
          </cell>
          <cell r="C1450">
            <v>318</v>
          </cell>
          <cell r="D1450">
            <v>46032</v>
          </cell>
          <cell r="E1450">
            <v>11.526</v>
          </cell>
          <cell r="F1450" t="str">
            <v>GRAFITO</v>
          </cell>
          <cell r="G1450" t="str">
            <v>SLIDING</v>
          </cell>
        </row>
        <row r="1451">
          <cell r="A1451" t="str">
            <v>PI-SLD-MTR-S75-NB</v>
          </cell>
          <cell r="B1451" t="str">
            <v>MARCO TRIPLE RIEL CORREDERA S75 - NEW BLACK</v>
          </cell>
          <cell r="C1451">
            <v>425</v>
          </cell>
          <cell r="D1451">
            <v>46032</v>
          </cell>
          <cell r="E1451">
            <v>11.526</v>
          </cell>
          <cell r="F1451" t="str">
            <v>NEW BLACK</v>
          </cell>
          <cell r="G1451" t="str">
            <v>SLIDING</v>
          </cell>
        </row>
        <row r="1452">
          <cell r="A1452" t="str">
            <v>PI-SLD-MTR-S75-NO</v>
          </cell>
          <cell r="B1452" t="str">
            <v>MARCO TRIPLE RIEL CORREDERA S75 - NOGAL</v>
          </cell>
          <cell r="C1452">
            <v>336</v>
          </cell>
          <cell r="D1452">
            <v>45950</v>
          </cell>
          <cell r="E1452">
            <v>11.526</v>
          </cell>
          <cell r="F1452" t="str">
            <v>NOGAL</v>
          </cell>
          <cell r="G1452" t="str">
            <v>SLIDING</v>
          </cell>
        </row>
        <row r="1453">
          <cell r="A1453" t="str">
            <v>PI-SLD-MTR-S75-RD</v>
          </cell>
          <cell r="B1453" t="str">
            <v>MARCO TRIPLE RIEL CORREDERA S75 - ROBLE</v>
          </cell>
          <cell r="C1453">
            <v>276</v>
          </cell>
          <cell r="D1453">
            <v>46032</v>
          </cell>
          <cell r="E1453">
            <v>11.526</v>
          </cell>
          <cell r="F1453" t="str">
            <v>ROBLE</v>
          </cell>
          <cell r="G1453" t="str">
            <v>SLIDING</v>
          </cell>
        </row>
        <row r="1454">
          <cell r="A1454" t="str">
            <v>PI-SLD-NW-MDR-RF-NA</v>
          </cell>
          <cell r="B1454" t="str">
            <v>MARCO CORREDERA SLIDING S75 REFORZADO - NATURAL</v>
          </cell>
          <cell r="C1454">
            <v>68</v>
          </cell>
          <cell r="D1454">
            <v>46192</v>
          </cell>
          <cell r="E1454">
            <v>8.1959999999999997</v>
          </cell>
          <cell r="F1454" t="str">
            <v>NATURAL</v>
          </cell>
          <cell r="G1454" t="str">
            <v>SLIDING - S75</v>
          </cell>
        </row>
        <row r="1455">
          <cell r="A1455" t="str">
            <v>PI-SLD-NW-MDR-S75-BL</v>
          </cell>
          <cell r="B1455" t="str">
            <v>NEW MARCO DOBLE RIEL CORREDERA S75 - BLANCO</v>
          </cell>
          <cell r="C1455">
            <v>7443</v>
          </cell>
          <cell r="D1455">
            <v>46192</v>
          </cell>
          <cell r="E1455">
            <v>6.9240000000000004</v>
          </cell>
          <cell r="F1455" t="str">
            <v>BLANCO</v>
          </cell>
          <cell r="G1455" t="str">
            <v>SLIDING - S75</v>
          </cell>
        </row>
        <row r="1456">
          <cell r="A1456" t="str">
            <v>PI-SLD-NW-MDR-S75-GR</v>
          </cell>
          <cell r="B1456" t="str">
            <v>NEW MARCO DOBLE RIEL CORREDERA S75 - GRAFITO</v>
          </cell>
          <cell r="C1456">
            <v>3233</v>
          </cell>
          <cell r="D1456">
            <v>46191</v>
          </cell>
          <cell r="E1456">
            <v>6.9240000000000004</v>
          </cell>
          <cell r="F1456" t="str">
            <v>GRAFITO</v>
          </cell>
          <cell r="G1456" t="str">
            <v>SLIDING - S75</v>
          </cell>
        </row>
        <row r="1457">
          <cell r="A1457" t="str">
            <v>PI-SLD-NW-MDR-S75-NB</v>
          </cell>
          <cell r="B1457" t="str">
            <v>NEW MARCO DOBLE RIEL CORREDERA S75 - NEW BLACK</v>
          </cell>
          <cell r="C1457">
            <v>2735</v>
          </cell>
          <cell r="D1457">
            <v>46191</v>
          </cell>
          <cell r="E1457">
            <v>6.9240000000000004</v>
          </cell>
          <cell r="F1457" t="str">
            <v>NEW BLACK</v>
          </cell>
          <cell r="G1457" t="str">
            <v>SLIDING - S75</v>
          </cell>
        </row>
        <row r="1458">
          <cell r="A1458" t="str">
            <v>PI-SLD-NW-MDR-S75-NO</v>
          </cell>
          <cell r="B1458" t="str">
            <v>NEW MARCO DOBLE RIEL CORREDERA S75 - NOGAL</v>
          </cell>
          <cell r="C1458">
            <v>3667</v>
          </cell>
          <cell r="D1458">
            <v>46191</v>
          </cell>
          <cell r="E1458">
            <v>6.9240000000000004</v>
          </cell>
          <cell r="F1458" t="str">
            <v>NOGAL</v>
          </cell>
          <cell r="G1458" t="str">
            <v>SLIDING - S75</v>
          </cell>
        </row>
        <row r="1459">
          <cell r="A1459" t="str">
            <v>PI-SLD-NW-MDR-S75-RD</v>
          </cell>
          <cell r="B1459" t="str">
            <v>NEW MARCO DOBLE RIEL CORREDERA S75 - ROBLE</v>
          </cell>
          <cell r="C1459">
            <v>2815</v>
          </cell>
          <cell r="D1459">
            <v>46191</v>
          </cell>
          <cell r="E1459">
            <v>6.9240000000000004</v>
          </cell>
          <cell r="F1459" t="str">
            <v>ROBLE</v>
          </cell>
          <cell r="G1459" t="str">
            <v>SLIDING - S75</v>
          </cell>
        </row>
        <row r="1460">
          <cell r="A1460" t="str">
            <v>PI-SLD-NW-MTR-S75-BL</v>
          </cell>
          <cell r="B1460" t="str">
            <v>NEW MARCO TRIPLE RIEL CORREDERA S75 - BLANCO</v>
          </cell>
          <cell r="C1460">
            <v>262</v>
          </cell>
          <cell r="D1460">
            <v>46192</v>
          </cell>
          <cell r="E1460">
            <v>11.25</v>
          </cell>
          <cell r="F1460" t="str">
            <v>BLANCO</v>
          </cell>
          <cell r="G1460" t="str">
            <v>SLIDING - S75</v>
          </cell>
        </row>
        <row r="1461">
          <cell r="A1461" t="str">
            <v>PI-SLD-NW-MTR-S75-GR</v>
          </cell>
          <cell r="B1461" t="str">
            <v>NEW MARCO TRIPLE RIEL CORREDERA S75 - GRAFITO</v>
          </cell>
          <cell r="C1461">
            <v>110</v>
          </cell>
          <cell r="D1461">
            <v>46191</v>
          </cell>
          <cell r="E1461">
            <v>11.526</v>
          </cell>
          <cell r="F1461" t="str">
            <v>GRAFITO</v>
          </cell>
          <cell r="G1461" t="str">
            <v>SLIDING - S75</v>
          </cell>
        </row>
        <row r="1462">
          <cell r="A1462" t="str">
            <v>PI-SLD-NW-MTR-S75-NB</v>
          </cell>
          <cell r="B1462" t="str">
            <v>NEW MARCO TRIPLE RIEL CORREDERA S75 - NEW BLACK</v>
          </cell>
          <cell r="C1462">
            <v>35</v>
          </cell>
          <cell r="D1462">
            <v>46191</v>
          </cell>
          <cell r="E1462">
            <v>11.526</v>
          </cell>
          <cell r="F1462" t="str">
            <v>NEW BLACK</v>
          </cell>
          <cell r="G1462" t="str">
            <v>SLIDING - S75</v>
          </cell>
        </row>
        <row r="1463">
          <cell r="A1463" t="str">
            <v>PI-SLD-NW-MTR-S75-NO</v>
          </cell>
          <cell r="B1463" t="str">
            <v>NEW MARCO TRIPLE RIEL CORREDERA S75 - NOGAL</v>
          </cell>
          <cell r="C1463">
            <v>132</v>
          </cell>
          <cell r="D1463">
            <v>46191</v>
          </cell>
          <cell r="E1463">
            <v>11.526</v>
          </cell>
          <cell r="F1463" t="str">
            <v>NOGAL</v>
          </cell>
          <cell r="G1463" t="str">
            <v>SLIDING - S75</v>
          </cell>
        </row>
        <row r="1464">
          <cell r="A1464" t="str">
            <v>PI-SLD-NW-MTR-S75-RD</v>
          </cell>
          <cell r="B1464" t="str">
            <v>NEW MARCO TRIPLE RIEL CORREDERA S75 - ROBLE</v>
          </cell>
          <cell r="C1464">
            <v>111</v>
          </cell>
          <cell r="D1464">
            <v>46191</v>
          </cell>
          <cell r="E1464">
            <v>11.526</v>
          </cell>
          <cell r="F1464" t="str">
            <v>ROBLE</v>
          </cell>
          <cell r="G1464" t="str">
            <v>SLIDING - S75</v>
          </cell>
        </row>
        <row r="1465">
          <cell r="A1465" t="str">
            <v>PI-SLD-PTC-BK</v>
          </cell>
          <cell r="B1465" t="str">
            <v>POSTE T CORREDERA - BLACK</v>
          </cell>
          <cell r="C1465">
            <v>0</v>
          </cell>
          <cell r="D1465">
            <v>44561</v>
          </cell>
          <cell r="E1465">
            <v>6.8460000000000001</v>
          </cell>
          <cell r="F1465" t="str">
            <v>BLACK</v>
          </cell>
          <cell r="G1465" t="str">
            <v>SLIDING</v>
          </cell>
        </row>
        <row r="1466">
          <cell r="A1466" t="str">
            <v>PI-SLD-PTC-BL</v>
          </cell>
          <cell r="B1466" t="str">
            <v>POSTE T CORREDERA - BLANCO</v>
          </cell>
          <cell r="C1466">
            <v>160</v>
          </cell>
          <cell r="D1466">
            <v>46032</v>
          </cell>
          <cell r="E1466">
            <v>6.8460000000000001</v>
          </cell>
          <cell r="F1466" t="str">
            <v>BLANCO</v>
          </cell>
          <cell r="G1466" t="str">
            <v>SLIDING</v>
          </cell>
        </row>
        <row r="1467">
          <cell r="A1467" t="str">
            <v>PI-SLD-PTC-GR</v>
          </cell>
          <cell r="B1467" t="str">
            <v>POSTE T CORREDERA - GRAFITO</v>
          </cell>
          <cell r="C1467">
            <v>99</v>
          </cell>
          <cell r="D1467">
            <v>46032</v>
          </cell>
          <cell r="E1467">
            <v>6.8460000000000001</v>
          </cell>
          <cell r="F1467" t="str">
            <v>GRAFITO</v>
          </cell>
          <cell r="G1467" t="str">
            <v>SLIDING</v>
          </cell>
        </row>
        <row r="1468">
          <cell r="A1468" t="str">
            <v>PI-SLD-PTC-NB</v>
          </cell>
          <cell r="B1468" t="str">
            <v>POSTE T CORREDERA - NEW BLACK</v>
          </cell>
          <cell r="C1468">
            <v>95</v>
          </cell>
          <cell r="D1468">
            <v>46032</v>
          </cell>
          <cell r="E1468">
            <v>6.8460000000000001</v>
          </cell>
          <cell r="F1468" t="str">
            <v>NEW BLACK</v>
          </cell>
          <cell r="G1468" t="str">
            <v>SLIDING</v>
          </cell>
        </row>
        <row r="1469">
          <cell r="A1469" t="str">
            <v>PI-SLD-PTC-NO</v>
          </cell>
          <cell r="B1469" t="str">
            <v>POSTE T CORREDERA - NOGAL</v>
          </cell>
          <cell r="C1469">
            <v>157</v>
          </cell>
          <cell r="D1469">
            <v>46169</v>
          </cell>
          <cell r="E1469">
            <v>6.8460000000000001</v>
          </cell>
          <cell r="F1469" t="str">
            <v>NOGAL</v>
          </cell>
          <cell r="G1469" t="str">
            <v>SLIDING</v>
          </cell>
        </row>
        <row r="1470">
          <cell r="A1470" t="str">
            <v>PI-SLD-PTC-RD</v>
          </cell>
          <cell r="B1470" t="str">
            <v>POSTE T CORREDERA - ROBLE</v>
          </cell>
          <cell r="C1470">
            <v>105</v>
          </cell>
          <cell r="D1470">
            <v>46032</v>
          </cell>
          <cell r="E1470">
            <v>6.8460000000000001</v>
          </cell>
          <cell r="F1470" t="str">
            <v>ROBLE</v>
          </cell>
          <cell r="G1470" t="str">
            <v>SLIDING</v>
          </cell>
        </row>
        <row r="1471">
          <cell r="A1471" t="str">
            <v>PI-SLD-RDA-NA</v>
          </cell>
          <cell r="B1471" t="str">
            <v>RIEL ALUMINIO SLIDING-ANDES</v>
          </cell>
          <cell r="C1471">
            <v>50</v>
          </cell>
          <cell r="D1471">
            <v>46139</v>
          </cell>
          <cell r="E1471">
            <v>0.3</v>
          </cell>
          <cell r="F1471" t="str">
            <v>NATURAL</v>
          </cell>
          <cell r="G1471" t="str">
            <v>SLIDING</v>
          </cell>
        </row>
        <row r="1472">
          <cell r="A1472" t="str">
            <v>PI-SLD-T80-BK</v>
          </cell>
          <cell r="B1472" t="str">
            <v>TRASLAPO CORREDERA 80 S70 - BLACK</v>
          </cell>
          <cell r="C1472">
            <v>0</v>
          </cell>
          <cell r="D1472">
            <v>45123</v>
          </cell>
          <cell r="E1472">
            <v>1.9079999999999999</v>
          </cell>
          <cell r="F1472" t="str">
            <v>BLACK</v>
          </cell>
          <cell r="G1472" t="str">
            <v>SLIDING</v>
          </cell>
        </row>
        <row r="1473">
          <cell r="A1473" t="str">
            <v>PI-SLD-T80-BL</v>
          </cell>
          <cell r="B1473" t="str">
            <v>TRASLAPO CORREDERA 80 S70 - BLANCO</v>
          </cell>
          <cell r="C1473">
            <v>1686</v>
          </cell>
          <cell r="D1473">
            <v>46156</v>
          </cell>
          <cell r="E1473">
            <v>1.9079999999999999</v>
          </cell>
          <cell r="F1473" t="str">
            <v>BLANCO</v>
          </cell>
          <cell r="G1473" t="str">
            <v>SLIDING</v>
          </cell>
        </row>
        <row r="1474">
          <cell r="A1474" t="str">
            <v>PI-SLD-T80-GR</v>
          </cell>
          <cell r="B1474" t="str">
            <v>TRASLAPO CORREDERA 80 S70 - GRAFITO</v>
          </cell>
          <cell r="C1474">
            <v>556</v>
          </cell>
          <cell r="D1474">
            <v>46167</v>
          </cell>
          <cell r="E1474">
            <v>1.9079999999999999</v>
          </cell>
          <cell r="F1474" t="str">
            <v>GRAFITO</v>
          </cell>
          <cell r="G1474" t="str">
            <v>SLIDING</v>
          </cell>
        </row>
        <row r="1475">
          <cell r="A1475" t="str">
            <v>PI-SLD-T80-NB</v>
          </cell>
          <cell r="B1475" t="str">
            <v>TRASLAPO CORREDERA 80 S70 - NEW BLACK</v>
          </cell>
          <cell r="C1475">
            <v>732</v>
          </cell>
          <cell r="D1475">
            <v>46162</v>
          </cell>
          <cell r="E1475">
            <v>1.9079999999999999</v>
          </cell>
          <cell r="F1475" t="str">
            <v>NEW BLACK</v>
          </cell>
          <cell r="G1475" t="str">
            <v>SLIDING</v>
          </cell>
        </row>
        <row r="1476">
          <cell r="A1476" t="str">
            <v>PI-SLD-T80-NO</v>
          </cell>
          <cell r="B1476" t="str">
            <v>TRASLAPO CORREDERA 80 S70 - NOGAL</v>
          </cell>
          <cell r="C1476">
            <v>1585</v>
          </cell>
          <cell r="D1476">
            <v>46164</v>
          </cell>
          <cell r="E1476">
            <v>1.9079999999999999</v>
          </cell>
          <cell r="F1476" t="str">
            <v>NOGAL</v>
          </cell>
          <cell r="G1476" t="str">
            <v>SLIDING</v>
          </cell>
        </row>
        <row r="1477">
          <cell r="A1477" t="str">
            <v>PI-SLD-T80-RD</v>
          </cell>
          <cell r="B1477" t="str">
            <v>TRASLAPO CORREDERA 80 S70 - ROBLE</v>
          </cell>
          <cell r="C1477">
            <v>804</v>
          </cell>
          <cell r="D1477">
            <v>46168</v>
          </cell>
          <cell r="E1477">
            <v>1.9079999999999999</v>
          </cell>
          <cell r="F1477" t="str">
            <v>ROBLE</v>
          </cell>
          <cell r="G1477" t="str">
            <v>SLIDING</v>
          </cell>
        </row>
        <row r="1478">
          <cell r="A1478" t="str">
            <v>PI-SLD-T80-S75-BL</v>
          </cell>
          <cell r="B1478" t="str">
            <v>TRASLAPO CORREDERA 80 S75 - BLANCO</v>
          </cell>
          <cell r="C1478">
            <v>3737</v>
          </cell>
          <cell r="D1478">
            <v>46195</v>
          </cell>
          <cell r="E1478">
            <v>2.58</v>
          </cell>
          <cell r="F1478" t="str">
            <v>BLANCO</v>
          </cell>
          <cell r="G1478" t="str">
            <v>SLIDING</v>
          </cell>
        </row>
        <row r="1479">
          <cell r="A1479" t="str">
            <v>PI-SLD-T80-S75-GR</v>
          </cell>
          <cell r="B1479" t="str">
            <v>TRASLAPO CORREDERA 80 S75 - GRAFITO</v>
          </cell>
          <cell r="C1479">
            <v>1778</v>
          </cell>
          <cell r="D1479">
            <v>46191</v>
          </cell>
          <cell r="E1479">
            <v>3.012</v>
          </cell>
          <cell r="F1479" t="str">
            <v>GRAFITO</v>
          </cell>
          <cell r="G1479" t="str">
            <v>SLIDING</v>
          </cell>
        </row>
        <row r="1480">
          <cell r="A1480" t="str">
            <v>PI-SLD-T80-S75-NB</v>
          </cell>
          <cell r="B1480" t="str">
            <v>TRASLAPO CORREDERA 80 S75 - NEW BLACK</v>
          </cell>
          <cell r="C1480">
            <v>1917</v>
          </cell>
          <cell r="D1480">
            <v>46191</v>
          </cell>
          <cell r="E1480">
            <v>3.012</v>
          </cell>
          <cell r="F1480" t="str">
            <v>NEW BLACK</v>
          </cell>
          <cell r="G1480" t="str">
            <v>SLIDING</v>
          </cell>
        </row>
        <row r="1481">
          <cell r="A1481" t="str">
            <v>PI-SLD-T80-S75-NO</v>
          </cell>
          <cell r="B1481" t="str">
            <v>TRASLAPO CORREDERA 80 S75 - NOGAL</v>
          </cell>
          <cell r="C1481">
            <v>1179</v>
          </cell>
          <cell r="D1481">
            <v>46191</v>
          </cell>
          <cell r="E1481">
            <v>3.012</v>
          </cell>
          <cell r="F1481" t="str">
            <v>NOGAL</v>
          </cell>
          <cell r="G1481" t="str">
            <v>SLIDING</v>
          </cell>
        </row>
        <row r="1482">
          <cell r="A1482" t="str">
            <v>PI-SLD-T80-S75-RD</v>
          </cell>
          <cell r="B1482" t="str">
            <v>TRASLAPO CORREDERA 80 S75 - ROBLE</v>
          </cell>
          <cell r="C1482">
            <v>1790</v>
          </cell>
          <cell r="D1482">
            <v>46191</v>
          </cell>
          <cell r="E1482">
            <v>3.012</v>
          </cell>
          <cell r="F1482" t="str">
            <v>ROBLE</v>
          </cell>
          <cell r="G1482" t="str">
            <v>SLIDING</v>
          </cell>
        </row>
        <row r="1483">
          <cell r="A1483" t="str">
            <v>PI-SLD-T98-BK</v>
          </cell>
          <cell r="B1483" t="str">
            <v>TRASLAPO CORREDERA 98 S70 - BLACK</v>
          </cell>
          <cell r="C1483">
            <v>0</v>
          </cell>
          <cell r="D1483">
            <v>45071</v>
          </cell>
          <cell r="E1483">
            <v>2.1059999999999999</v>
          </cell>
          <cell r="F1483" t="str">
            <v>BLACK</v>
          </cell>
          <cell r="G1483" t="str">
            <v>SLIDING</v>
          </cell>
        </row>
        <row r="1484">
          <cell r="A1484" t="str">
            <v>PI-SLD-T98-BL</v>
          </cell>
          <cell r="B1484" t="str">
            <v>TRASLAPO CORREDERA 98 S70 - BLANCO</v>
          </cell>
          <cell r="C1484">
            <v>693</v>
          </cell>
          <cell r="D1484">
            <v>46154</v>
          </cell>
          <cell r="E1484">
            <v>2.1059999999999999</v>
          </cell>
          <cell r="F1484" t="str">
            <v>BLANCO</v>
          </cell>
          <cell r="G1484" t="str">
            <v>SLIDING</v>
          </cell>
        </row>
        <row r="1485">
          <cell r="A1485" t="str">
            <v>PI-SLD-T98-GR</v>
          </cell>
          <cell r="B1485" t="str">
            <v>TRASLAPO CORREDERA 98 S70 - GRAFITO</v>
          </cell>
          <cell r="C1485">
            <v>509</v>
          </cell>
          <cell r="D1485">
            <v>46135</v>
          </cell>
          <cell r="E1485">
            <v>2.1059999999999999</v>
          </cell>
          <cell r="F1485" t="str">
            <v>GRAFITO</v>
          </cell>
          <cell r="G1485" t="str">
            <v>SLIDING</v>
          </cell>
        </row>
        <row r="1486">
          <cell r="A1486" t="str">
            <v>PI-SLD-T98-NB</v>
          </cell>
          <cell r="B1486" t="str">
            <v>TRASLAPO CORREDERA 98 S70 - NEW BLACK</v>
          </cell>
          <cell r="C1486">
            <v>359</v>
          </cell>
          <cell r="D1486">
            <v>46195</v>
          </cell>
          <cell r="E1486">
            <v>2.1059999999999999</v>
          </cell>
          <cell r="F1486" t="str">
            <v>NEW BLACK</v>
          </cell>
          <cell r="G1486" t="str">
            <v>SLIDING</v>
          </cell>
        </row>
        <row r="1487">
          <cell r="A1487" t="str">
            <v>PI-SLD-T98-NO</v>
          </cell>
          <cell r="B1487" t="str">
            <v>TRASLAPO CORREDERA 98 S70 - NOGAL</v>
          </cell>
          <cell r="C1487">
            <v>379</v>
          </cell>
          <cell r="D1487">
            <v>46060</v>
          </cell>
          <cell r="E1487">
            <v>2.1059999999999999</v>
          </cell>
          <cell r="F1487" t="str">
            <v>NOGAL</v>
          </cell>
          <cell r="G1487" t="str">
            <v>SLIDING</v>
          </cell>
        </row>
        <row r="1488">
          <cell r="A1488" t="str">
            <v>PI-SLD-T98-RD</v>
          </cell>
          <cell r="B1488" t="str">
            <v>TRASLAPO CORREDERA 98 S70 - ROBLE</v>
          </cell>
          <cell r="C1488">
            <v>189</v>
          </cell>
          <cell r="D1488">
            <v>46122</v>
          </cell>
          <cell r="E1488">
            <v>2.1059999999999999</v>
          </cell>
          <cell r="F1488" t="str">
            <v>ROBLE</v>
          </cell>
          <cell r="G1488" t="str">
            <v>SLIDING</v>
          </cell>
        </row>
        <row r="1489">
          <cell r="A1489" t="str">
            <v>PI-SLD-T98-S75-BL</v>
          </cell>
          <cell r="B1489" t="str">
            <v>TRASLAPO CORREDERA 98 S75 - BLANCO</v>
          </cell>
          <cell r="C1489">
            <v>1275</v>
          </cell>
          <cell r="D1489">
            <v>46195</v>
          </cell>
          <cell r="E1489">
            <v>2.88</v>
          </cell>
          <cell r="F1489" t="str">
            <v>BLANCO</v>
          </cell>
          <cell r="G1489" t="str">
            <v>SLIDING</v>
          </cell>
        </row>
        <row r="1490">
          <cell r="A1490" t="str">
            <v>PI-SLD-T98-S75-GR</v>
          </cell>
          <cell r="B1490" t="str">
            <v>TRASLAPO CORREDERA 98 S75 - GRAFITO</v>
          </cell>
          <cell r="C1490">
            <v>675</v>
          </cell>
          <cell r="D1490">
            <v>46191</v>
          </cell>
          <cell r="E1490">
            <v>3.3239999999999998</v>
          </cell>
          <cell r="F1490" t="str">
            <v>GRAFITO</v>
          </cell>
          <cell r="G1490" t="str">
            <v>SLIDING</v>
          </cell>
        </row>
        <row r="1491">
          <cell r="A1491" t="str">
            <v>PI-SLD-T98-S75-NB</v>
          </cell>
          <cell r="B1491" t="str">
            <v>TRASLAPO CORREDERA 98 S75 - NEW BLACK</v>
          </cell>
          <cell r="C1491">
            <v>655</v>
          </cell>
          <cell r="D1491">
            <v>46191</v>
          </cell>
          <cell r="E1491">
            <v>3.3239999999999998</v>
          </cell>
          <cell r="F1491" t="str">
            <v>NEW BLACK</v>
          </cell>
          <cell r="G1491" t="str">
            <v>SLIDING</v>
          </cell>
        </row>
        <row r="1492">
          <cell r="A1492" t="str">
            <v>PI-SLD-T98-S75-NO</v>
          </cell>
          <cell r="B1492" t="str">
            <v>TRASLAPO CORREDERA 98 S75 - NOGAL</v>
          </cell>
          <cell r="C1492">
            <v>972</v>
          </cell>
          <cell r="D1492">
            <v>46191</v>
          </cell>
          <cell r="E1492">
            <v>3.3239999999999998</v>
          </cell>
          <cell r="F1492" t="str">
            <v>NOGAL</v>
          </cell>
          <cell r="G1492" t="str">
            <v>SLIDING</v>
          </cell>
        </row>
        <row r="1493">
          <cell r="A1493" t="str">
            <v>PI-SLD-T98-S75-RD</v>
          </cell>
          <cell r="B1493" t="str">
            <v>TRASLAPO CORREDERA 98 S75 - ROBLE</v>
          </cell>
          <cell r="C1493">
            <v>1036</v>
          </cell>
          <cell r="D1493">
            <v>46191</v>
          </cell>
          <cell r="E1493">
            <v>3.3239999999999998</v>
          </cell>
          <cell r="F1493" t="str">
            <v>ROBLE</v>
          </cell>
          <cell r="G1493" t="str">
            <v>SLIDING</v>
          </cell>
        </row>
        <row r="1494">
          <cell r="A1494" t="str">
            <v>PI-SLD-TI80-S75-NA</v>
          </cell>
          <cell r="B1494" t="str">
            <v>TRASLAPO ALTA INERCIA 80 S75 - NATURAL</v>
          </cell>
          <cell r="C1494">
            <v>41</v>
          </cell>
          <cell r="D1494">
            <v>45923</v>
          </cell>
          <cell r="E1494">
            <v>8.44</v>
          </cell>
          <cell r="F1494" t="str">
            <v>NATURAL</v>
          </cell>
          <cell r="G1494" t="str">
            <v>SLIDING</v>
          </cell>
        </row>
        <row r="1495">
          <cell r="A1495" t="str">
            <v>PI-SLD-TI98-S75-NA</v>
          </cell>
          <cell r="B1495" t="str">
            <v>TRASLAPO ALTA INERCIA 98 S75 - NATURAL</v>
          </cell>
          <cell r="C1495">
            <v>0</v>
          </cell>
          <cell r="D1495">
            <v>45670</v>
          </cell>
          <cell r="E1495">
            <v>8.44</v>
          </cell>
          <cell r="F1495" t="str">
            <v>NATURAL</v>
          </cell>
          <cell r="G1495" t="str">
            <v>SLIDING</v>
          </cell>
        </row>
        <row r="1496">
          <cell r="A1496" t="str">
            <v>PI-SLZ-4TA-BL</v>
          </cell>
          <cell r="B1496" t="str">
            <v>ADAPTADOR CUARTA HOJA ZENIA - BLANCO</v>
          </cell>
          <cell r="C1496">
            <v>89</v>
          </cell>
          <cell r="D1496">
            <v>46032</v>
          </cell>
          <cell r="E1496">
            <v>0.42</v>
          </cell>
          <cell r="F1496" t="str">
            <v>BLANCO</v>
          </cell>
          <cell r="G1496" t="str">
            <v>SLIDING - ZENIA</v>
          </cell>
        </row>
        <row r="1497">
          <cell r="A1497" t="str">
            <v>PI-SLZ-4TA-CF</v>
          </cell>
          <cell r="B1497" t="str">
            <v>ADAPTADOR CUARTA HOJA ZENIA - CAFE</v>
          </cell>
          <cell r="C1497">
            <v>27</v>
          </cell>
          <cell r="D1497">
            <v>45479</v>
          </cell>
          <cell r="E1497">
            <v>0.42</v>
          </cell>
          <cell r="F1497" t="str">
            <v>CAFE</v>
          </cell>
          <cell r="G1497" t="str">
            <v>SLIDING - ZENIA</v>
          </cell>
        </row>
        <row r="1498">
          <cell r="A1498" t="str">
            <v>PI-SLZ-4TA-MR</v>
          </cell>
          <cell r="B1498" t="str">
            <v>ADAPTADOR CUARTA HOJA ZENIA - MARRON</v>
          </cell>
          <cell r="C1498">
            <v>175</v>
          </cell>
          <cell r="D1498">
            <v>45878</v>
          </cell>
          <cell r="E1498">
            <v>0.42</v>
          </cell>
          <cell r="F1498" t="str">
            <v>MARRON</v>
          </cell>
          <cell r="G1498" t="str">
            <v>SLIDING - ZENIA</v>
          </cell>
        </row>
        <row r="1499">
          <cell r="A1499" t="str">
            <v>PI-SLZ-AMZ-BK</v>
          </cell>
          <cell r="B1499" t="str">
            <v>ADAPTADOR MARCO DOBLE RIEL ZENIA - MARRON OSCURO</v>
          </cell>
          <cell r="C1499">
            <v>92</v>
          </cell>
          <cell r="D1499">
            <v>46177</v>
          </cell>
          <cell r="E1499">
            <v>5.7359999999999998</v>
          </cell>
          <cell r="F1499" t="str">
            <v>MARRON OSCURO</v>
          </cell>
          <cell r="G1499" t="str">
            <v>SLIDING - ZENIA</v>
          </cell>
        </row>
        <row r="1500">
          <cell r="A1500" t="str">
            <v>PI-SLZ-AMZ-MR</v>
          </cell>
          <cell r="B1500" t="str">
            <v>ADAPTADOR MARCO DOBLE RIEL ZENIA - MARRON</v>
          </cell>
          <cell r="C1500">
            <v>19</v>
          </cell>
          <cell r="D1500">
            <v>45878</v>
          </cell>
          <cell r="E1500">
            <v>5.61</v>
          </cell>
          <cell r="F1500" t="str">
            <v>MARRON</v>
          </cell>
          <cell r="G1500" t="str">
            <v>SLIDING - ZENIA</v>
          </cell>
        </row>
        <row r="1501">
          <cell r="A1501" t="str">
            <v>PI-SLZ-AMZ-NA</v>
          </cell>
          <cell r="B1501" t="str">
            <v>ADAPTADOR MARCO DOBLE RIEL ZENIA - NATURAL</v>
          </cell>
          <cell r="C1501">
            <v>83</v>
          </cell>
          <cell r="D1501">
            <v>45892</v>
          </cell>
          <cell r="E1501">
            <v>5.61</v>
          </cell>
          <cell r="F1501" t="str">
            <v>NATURAL</v>
          </cell>
          <cell r="G1501" t="str">
            <v>SLIDING - ZENIA</v>
          </cell>
        </row>
        <row r="1502">
          <cell r="A1502" t="str">
            <v>PI-SLZ-HCZ-BK</v>
          </cell>
          <cell r="B1502" t="str">
            <v>HOJA CORREDERA ZENIA - BLACK</v>
          </cell>
          <cell r="C1502">
            <v>0</v>
          </cell>
          <cell r="D1502">
            <v>45070</v>
          </cell>
          <cell r="E1502">
            <v>9.5220000000000002</v>
          </cell>
          <cell r="F1502" t="str">
            <v>BLACK</v>
          </cell>
          <cell r="G1502" t="str">
            <v>SLIDING - ZENIA</v>
          </cell>
        </row>
        <row r="1503">
          <cell r="A1503" t="str">
            <v>PI-SLZ-HCZ-BL</v>
          </cell>
          <cell r="B1503" t="str">
            <v>HOJA CORREDERA ZENIA - BLANCO</v>
          </cell>
          <cell r="C1503">
            <v>59</v>
          </cell>
          <cell r="D1503">
            <v>44586</v>
          </cell>
          <cell r="E1503">
            <v>9.5220000000000002</v>
          </cell>
          <cell r="F1503" t="str">
            <v>BLANCO</v>
          </cell>
          <cell r="G1503" t="str">
            <v>SLIDING - ZENIA</v>
          </cell>
        </row>
        <row r="1504">
          <cell r="A1504" t="str">
            <v>PI-SLZ-HCZ-GR</v>
          </cell>
          <cell r="B1504" t="str">
            <v>HOJA CORREDERA ZENIA - GRAFITO</v>
          </cell>
          <cell r="C1504">
            <v>147</v>
          </cell>
          <cell r="D1504">
            <v>45600</v>
          </cell>
          <cell r="E1504">
            <v>9.5220000000000002</v>
          </cell>
          <cell r="F1504" t="str">
            <v>GRAFITO</v>
          </cell>
          <cell r="G1504" t="str">
            <v>SLIDING - ZENIA</v>
          </cell>
        </row>
        <row r="1505">
          <cell r="A1505" t="str">
            <v>PI-SLZ-HCZ-NB</v>
          </cell>
          <cell r="B1505" t="str">
            <v>HOJA CORREDERA ZENIA - NEW BLACK</v>
          </cell>
          <cell r="C1505">
            <v>275</v>
          </cell>
          <cell r="D1505">
            <v>46167</v>
          </cell>
          <cell r="E1505">
            <v>9.5220000000000002</v>
          </cell>
          <cell r="F1505" t="str">
            <v>NEW BLACK</v>
          </cell>
          <cell r="G1505" t="str">
            <v>SLIDING - ZENIA</v>
          </cell>
        </row>
        <row r="1506">
          <cell r="A1506" t="str">
            <v>PI-SLZ-HCZ-NO</v>
          </cell>
          <cell r="B1506" t="str">
            <v>HOJA CORREDERA ZENIA - NOGAL</v>
          </cell>
          <cell r="C1506">
            <v>76</v>
          </cell>
          <cell r="D1506">
            <v>45878</v>
          </cell>
          <cell r="E1506">
            <v>9.5220000000000002</v>
          </cell>
          <cell r="F1506" t="str">
            <v>NOGAL</v>
          </cell>
          <cell r="G1506" t="str">
            <v>SLIDING - ZENIA</v>
          </cell>
        </row>
        <row r="1507">
          <cell r="A1507" t="str">
            <v>PI-SLZ-HCZ-RD</v>
          </cell>
          <cell r="B1507" t="str">
            <v>HOJA CORREDERA ZENIA - ROBLE</v>
          </cell>
          <cell r="C1507">
            <v>55</v>
          </cell>
          <cell r="D1507">
            <v>45878</v>
          </cell>
          <cell r="E1507">
            <v>9.5220000000000002</v>
          </cell>
          <cell r="F1507" t="str">
            <v>ROBLE</v>
          </cell>
          <cell r="G1507" t="str">
            <v>SLIDING - ZENIA</v>
          </cell>
        </row>
        <row r="1508">
          <cell r="A1508" t="str">
            <v>PI-SLZ-J24-BK</v>
          </cell>
          <cell r="B1508" t="str">
            <v>JUNQUILLO 24 mm ZENIA - BLACK</v>
          </cell>
          <cell r="C1508">
            <v>0</v>
          </cell>
          <cell r="D1508">
            <v>45071</v>
          </cell>
          <cell r="E1508">
            <v>0.88</v>
          </cell>
          <cell r="F1508" t="str">
            <v>BLACK</v>
          </cell>
          <cell r="G1508" t="str">
            <v>SLIDING - ZENIA</v>
          </cell>
        </row>
        <row r="1509">
          <cell r="A1509" t="str">
            <v>PI-SLZ-J24-BL</v>
          </cell>
          <cell r="B1509" t="str">
            <v>JUNQUILLO 24 mm ZENIA - BLANCO</v>
          </cell>
          <cell r="C1509">
            <v>174</v>
          </cell>
          <cell r="D1509">
            <v>46032</v>
          </cell>
          <cell r="E1509">
            <v>0.88</v>
          </cell>
          <cell r="F1509" t="str">
            <v>BLANCO</v>
          </cell>
          <cell r="G1509" t="str">
            <v>SLIDING - ZENIA</v>
          </cell>
        </row>
        <row r="1510">
          <cell r="A1510" t="str">
            <v>PI-SLZ-J24-GR</v>
          </cell>
          <cell r="B1510" t="str">
            <v>JUNQUILLO 24 mm ZENIA - GRAFITO</v>
          </cell>
          <cell r="C1510">
            <v>184</v>
          </cell>
          <cell r="D1510">
            <v>45878</v>
          </cell>
          <cell r="E1510">
            <v>0.88</v>
          </cell>
          <cell r="F1510" t="str">
            <v>GRAFITO</v>
          </cell>
          <cell r="G1510" t="str">
            <v>SLIDING - ZENIA</v>
          </cell>
        </row>
        <row r="1511">
          <cell r="A1511" t="str">
            <v>PI-SLZ-J24-NB</v>
          </cell>
          <cell r="B1511" t="str">
            <v>JUNQUILLO 24 mm ZENIA - NEW BLACK</v>
          </cell>
          <cell r="C1511">
            <v>349</v>
          </cell>
          <cell r="D1511">
            <v>46167</v>
          </cell>
          <cell r="E1511">
            <v>0.88</v>
          </cell>
          <cell r="F1511" t="str">
            <v>NEW BLACK</v>
          </cell>
          <cell r="G1511" t="str">
            <v>SLIDING - ZENIA</v>
          </cell>
        </row>
        <row r="1512">
          <cell r="A1512" t="str">
            <v>PI-SLZ-J24-NO</v>
          </cell>
          <cell r="B1512" t="str">
            <v>JUNQUILLO 24 mm ZENIA - NOGAL</v>
          </cell>
          <cell r="C1512">
            <v>365</v>
          </cell>
          <cell r="D1512">
            <v>46011</v>
          </cell>
          <cell r="E1512">
            <v>0.88</v>
          </cell>
          <cell r="F1512" t="str">
            <v>NOGAL</v>
          </cell>
          <cell r="G1512" t="str">
            <v>SLIDING - ZENIA</v>
          </cell>
        </row>
        <row r="1513">
          <cell r="A1513" t="str">
            <v>PI-SLZ-J24-RD</v>
          </cell>
          <cell r="B1513" t="str">
            <v>JUNQUILLO 24 mm ZENIA - ROBLE</v>
          </cell>
          <cell r="C1513">
            <v>163</v>
          </cell>
          <cell r="D1513">
            <v>46032</v>
          </cell>
          <cell r="E1513">
            <v>0.88</v>
          </cell>
          <cell r="F1513" t="str">
            <v>ROBLE</v>
          </cell>
          <cell r="G1513" t="str">
            <v>SLIDING - ZENIA</v>
          </cell>
        </row>
        <row r="1514">
          <cell r="A1514" t="str">
            <v>PI-SLZ-MCZ-BK</v>
          </cell>
          <cell r="B1514" t="str">
            <v>MARCO CORREDERA ZENIA - BLACK</v>
          </cell>
          <cell r="C1514">
            <v>0</v>
          </cell>
          <cell r="D1514">
            <v>44926</v>
          </cell>
          <cell r="E1514">
            <v>9.6479999999999997</v>
          </cell>
          <cell r="F1514" t="str">
            <v>BLACK</v>
          </cell>
          <cell r="G1514" t="str">
            <v>SLIDING - ZENIA</v>
          </cell>
        </row>
        <row r="1515">
          <cell r="A1515" t="str">
            <v>PI-SLZ-MCZ-BL</v>
          </cell>
          <cell r="B1515" t="str">
            <v>MARCO CORREDERA ZENIA - BLANCO</v>
          </cell>
          <cell r="C1515">
            <v>94</v>
          </cell>
          <cell r="D1515">
            <v>46032</v>
          </cell>
          <cell r="E1515">
            <v>9.6479999999999997</v>
          </cell>
          <cell r="F1515" t="str">
            <v>BLANCO</v>
          </cell>
          <cell r="G1515" t="str">
            <v>SLIDING - ZENIA</v>
          </cell>
        </row>
        <row r="1516">
          <cell r="A1516" t="str">
            <v>PI-SLZ-MCZ-GR</v>
          </cell>
          <cell r="B1516" t="str">
            <v>MARCO CORREDERA ZENIA - GRAFITO</v>
          </cell>
          <cell r="C1516">
            <v>114</v>
          </cell>
          <cell r="D1516">
            <v>45685</v>
          </cell>
          <cell r="E1516">
            <v>9.6479999999999997</v>
          </cell>
          <cell r="F1516" t="str">
            <v>GRAFITO</v>
          </cell>
          <cell r="G1516" t="str">
            <v>SLIDING - ZENIA</v>
          </cell>
        </row>
        <row r="1517">
          <cell r="A1517" t="str">
            <v>PI-SLZ-MCZ-NB</v>
          </cell>
          <cell r="B1517" t="str">
            <v>MARCO CORREDERA ZENIA - NEW BLACK</v>
          </cell>
          <cell r="C1517">
            <v>257</v>
          </cell>
          <cell r="D1517">
            <v>46190</v>
          </cell>
          <cell r="E1517">
            <v>9.6479999999999997</v>
          </cell>
          <cell r="F1517" t="str">
            <v>NEW BLACK</v>
          </cell>
          <cell r="G1517" t="str">
            <v>SLIDING - ZENIA</v>
          </cell>
        </row>
        <row r="1518">
          <cell r="A1518" t="str">
            <v>PI-SLZ-MCZ-NO</v>
          </cell>
          <cell r="B1518" t="str">
            <v>MARCO CORREDERA ZENIA - NOGAL</v>
          </cell>
          <cell r="C1518">
            <v>32</v>
          </cell>
          <cell r="D1518">
            <v>45661</v>
          </cell>
          <cell r="E1518">
            <v>9.6479999999999997</v>
          </cell>
          <cell r="F1518" t="str">
            <v>NOGAL</v>
          </cell>
          <cell r="G1518" t="str">
            <v>SLIDING - ZENIA</v>
          </cell>
        </row>
        <row r="1519">
          <cell r="A1519" t="str">
            <v>PI-SLZ-MCZ-RD</v>
          </cell>
          <cell r="B1519" t="str">
            <v>MARCO CORREDERA ZENIA - ROBLE</v>
          </cell>
          <cell r="C1519">
            <v>68</v>
          </cell>
          <cell r="D1519">
            <v>44737</v>
          </cell>
          <cell r="E1519">
            <v>9.6479999999999997</v>
          </cell>
          <cell r="F1519" t="str">
            <v>ROBLE</v>
          </cell>
          <cell r="G1519" t="str">
            <v>SLIDING - ZENIA</v>
          </cell>
        </row>
        <row r="1520">
          <cell r="A1520" t="str">
            <v>PI-SLZ-MIR-BK</v>
          </cell>
          <cell r="B1520" t="str">
            <v>MARCO INFERIOR REFORZADO ZENIA - MARRON OSCURO</v>
          </cell>
          <cell r="C1520">
            <v>90</v>
          </cell>
          <cell r="D1520">
            <v>46150</v>
          </cell>
          <cell r="E1520">
            <v>14.448</v>
          </cell>
          <cell r="F1520" t="str">
            <v>MARRON OSCURO</v>
          </cell>
          <cell r="G1520" t="str">
            <v>SLIDING - ZENIA</v>
          </cell>
        </row>
        <row r="1521">
          <cell r="A1521" t="str">
            <v>PI-SLZ-MIR-MR</v>
          </cell>
          <cell r="B1521" t="str">
            <v>MARCO INFERIOR REFORZADO ZENIA - MARRON</v>
          </cell>
          <cell r="C1521">
            <v>39</v>
          </cell>
          <cell r="D1521">
            <v>45944</v>
          </cell>
          <cell r="E1521">
            <v>14.448</v>
          </cell>
          <cell r="F1521" t="str">
            <v>MARRON</v>
          </cell>
          <cell r="G1521" t="str">
            <v>SLIDING - ZENIA</v>
          </cell>
        </row>
        <row r="1522">
          <cell r="A1522" t="str">
            <v>PI-SLZ-MIR-NA</v>
          </cell>
          <cell r="B1522" t="str">
            <v>MARCO INFERIOR REFORZADO ZENIA - NATURAL</v>
          </cell>
          <cell r="C1522">
            <v>121</v>
          </cell>
          <cell r="D1522">
            <v>45839</v>
          </cell>
          <cell r="E1522">
            <v>14.448</v>
          </cell>
          <cell r="F1522" t="str">
            <v>NATURAL</v>
          </cell>
          <cell r="G1522" t="str">
            <v>SLIDING - ZENIA</v>
          </cell>
        </row>
        <row r="1523">
          <cell r="A1523" t="str">
            <v>PI-SLZ-RAL-NA</v>
          </cell>
          <cell r="B1523" t="str">
            <v>RIEL ALUMINIO ZENIA - NATURAL</v>
          </cell>
          <cell r="C1523">
            <v>111</v>
          </cell>
          <cell r="D1523">
            <v>46189</v>
          </cell>
          <cell r="E1523">
            <v>1.1399999999999999</v>
          </cell>
          <cell r="F1523" t="str">
            <v>NATURAL</v>
          </cell>
          <cell r="G1523" t="str">
            <v>SLIDING - ZENIA</v>
          </cell>
        </row>
        <row r="1524">
          <cell r="A1524" t="str">
            <v>PI-SLZ-RIZ-BK</v>
          </cell>
          <cell r="B1524" t="str">
            <v>RIEL INFERIOR ZENIA - BLACK</v>
          </cell>
          <cell r="C1524">
            <v>0</v>
          </cell>
          <cell r="D1524">
            <v>45071</v>
          </cell>
          <cell r="E1524">
            <v>1.6020000000000001</v>
          </cell>
          <cell r="F1524" t="str">
            <v>BLACK</v>
          </cell>
          <cell r="G1524" t="str">
            <v>SLIDING - ZENIA</v>
          </cell>
        </row>
        <row r="1525">
          <cell r="A1525" t="str">
            <v>PI-SLZ-RIZ-BL</v>
          </cell>
          <cell r="B1525" t="str">
            <v>RIEL INFERIOR ZENIA - BLANCO</v>
          </cell>
          <cell r="C1525">
            <v>92</v>
          </cell>
          <cell r="D1525">
            <v>45601</v>
          </cell>
          <cell r="E1525">
            <v>1.6020000000000001</v>
          </cell>
          <cell r="F1525" t="str">
            <v>BLANCO</v>
          </cell>
          <cell r="G1525" t="str">
            <v>SLIDING - ZENIA</v>
          </cell>
        </row>
        <row r="1526">
          <cell r="A1526" t="str">
            <v>PI-SLZ-RIZ-GR</v>
          </cell>
          <cell r="B1526" t="str">
            <v>RIEL INFERIOR ZENIA - GRAFITO</v>
          </cell>
          <cell r="C1526">
            <v>166</v>
          </cell>
          <cell r="D1526">
            <v>46167</v>
          </cell>
          <cell r="E1526">
            <v>1.6020000000000001</v>
          </cell>
          <cell r="F1526" t="str">
            <v>GRAFITO</v>
          </cell>
          <cell r="G1526" t="str">
            <v>SLIDING - ZENIA</v>
          </cell>
        </row>
        <row r="1527">
          <cell r="A1527" t="str">
            <v>PI-SLZ-RIZ-NB</v>
          </cell>
          <cell r="B1527" t="str">
            <v>RIEL INFERIOR ZENIA - NEW BLACK</v>
          </cell>
          <cell r="C1527">
            <v>127</v>
          </cell>
          <cell r="D1527">
            <v>46122</v>
          </cell>
          <cell r="E1527">
            <v>1.6020000000000001</v>
          </cell>
          <cell r="F1527" t="str">
            <v>NEW BLACK</v>
          </cell>
          <cell r="G1527" t="str">
            <v>SLIDING - ZENIA</v>
          </cell>
        </row>
        <row r="1528">
          <cell r="A1528" t="str">
            <v>PI-SLZ-RIZ-NO</v>
          </cell>
          <cell r="B1528" t="str">
            <v>RIEL INFERIOR ZENIA - NOGAL</v>
          </cell>
          <cell r="C1528">
            <v>65</v>
          </cell>
          <cell r="D1528">
            <v>45661</v>
          </cell>
          <cell r="E1528">
            <v>1.6020000000000001</v>
          </cell>
          <cell r="F1528" t="str">
            <v>NOGAL</v>
          </cell>
          <cell r="G1528" t="str">
            <v>SLIDING - ZENIA</v>
          </cell>
        </row>
        <row r="1529">
          <cell r="A1529" t="str">
            <v>PI-SLZ-RIZ-RD</v>
          </cell>
          <cell r="B1529" t="str">
            <v>RIEL INFERIOR ZENIA - ROBLE</v>
          </cell>
          <cell r="C1529">
            <v>82</v>
          </cell>
          <cell r="D1529">
            <v>45624</v>
          </cell>
          <cell r="E1529">
            <v>1.6020000000000001</v>
          </cell>
          <cell r="F1529" t="str">
            <v>ROBLE</v>
          </cell>
          <cell r="G1529" t="str">
            <v>SLIDING - ZENIA</v>
          </cell>
        </row>
        <row r="1530">
          <cell r="A1530" t="str">
            <v>PI-SLZ-RLA-BK</v>
          </cell>
          <cell r="B1530" t="str">
            <v>RIEL ALUMINIO ZENIA - NEGRO</v>
          </cell>
          <cell r="C1530">
            <v>0</v>
          </cell>
          <cell r="D1530">
            <v>45526</v>
          </cell>
          <cell r="E1530">
            <v>1.1399999999999999</v>
          </cell>
          <cell r="F1530" t="str">
            <v>BLACK</v>
          </cell>
          <cell r="G1530" t="str">
            <v>SLIDING - ZENIA</v>
          </cell>
        </row>
        <row r="1531">
          <cell r="A1531" t="str">
            <v>PI-SLZ-RLA-MR</v>
          </cell>
          <cell r="B1531" t="str">
            <v>RIEL ALUMINIO ZENIA - MARRON</v>
          </cell>
          <cell r="C1531">
            <v>338</v>
          </cell>
          <cell r="D1531">
            <v>45931</v>
          </cell>
          <cell r="E1531">
            <v>1.1399999999999999</v>
          </cell>
          <cell r="F1531" t="str">
            <v>MARRON</v>
          </cell>
          <cell r="G1531" t="str">
            <v>SLIDING - ZENIA</v>
          </cell>
        </row>
        <row r="1532">
          <cell r="A1532" t="str">
            <v>PI-SLZ-RLA-RD</v>
          </cell>
          <cell r="B1532" t="str">
            <v>RIEL ALUMINIO ZENIA - ROBLE</v>
          </cell>
          <cell r="C1532">
            <v>139</v>
          </cell>
          <cell r="D1532">
            <v>46060</v>
          </cell>
          <cell r="E1532">
            <v>1.1399999999999999</v>
          </cell>
          <cell r="F1532" t="str">
            <v>ROBLE</v>
          </cell>
          <cell r="G1532" t="str">
            <v>SLIDING - ZENIA</v>
          </cell>
        </row>
        <row r="1533">
          <cell r="A1533" t="str">
            <v>PI-SLZ-RSZ-BK</v>
          </cell>
          <cell r="B1533" t="str">
            <v>RIEL SUPERIOR ZENIA - BLACK</v>
          </cell>
          <cell r="C1533">
            <v>0</v>
          </cell>
          <cell r="D1533"/>
          <cell r="E1533">
            <v>2.2080000000000002</v>
          </cell>
          <cell r="F1533" t="str">
            <v>BLACK</v>
          </cell>
          <cell r="G1533" t="str">
            <v>SLIDING - ZENIA</v>
          </cell>
        </row>
        <row r="1534">
          <cell r="A1534" t="str">
            <v>PI-SLZ-RSZ-BL</v>
          </cell>
          <cell r="B1534" t="str">
            <v>RIEL SUPERIOR ZENIA - BLANCO</v>
          </cell>
          <cell r="C1534">
            <v>63</v>
          </cell>
          <cell r="D1534">
            <v>45123</v>
          </cell>
          <cell r="E1534">
            <v>2.2080000000000002</v>
          </cell>
          <cell r="F1534" t="str">
            <v>BLANCO</v>
          </cell>
          <cell r="G1534" t="str">
            <v>SLIDING - ZENIA</v>
          </cell>
        </row>
        <row r="1535">
          <cell r="A1535" t="str">
            <v>PI-SLZ-RSZ-GR</v>
          </cell>
          <cell r="B1535" t="str">
            <v>RIEL SUPERIOR ZENIA - GRAFITO</v>
          </cell>
          <cell r="C1535">
            <v>96</v>
          </cell>
          <cell r="D1535">
            <v>45600</v>
          </cell>
          <cell r="E1535">
            <v>2.2080000000000002</v>
          </cell>
          <cell r="F1535" t="str">
            <v>GRAFITO</v>
          </cell>
          <cell r="G1535" t="str">
            <v>SLIDING - ZENIA</v>
          </cell>
        </row>
        <row r="1536">
          <cell r="A1536" t="str">
            <v>PI-SLZ-RSZ-NB</v>
          </cell>
          <cell r="B1536" t="str">
            <v>RIEL SUPERIOR ZENIA - NEW BLACK</v>
          </cell>
          <cell r="C1536">
            <v>198</v>
          </cell>
          <cell r="D1536">
            <v>46167</v>
          </cell>
          <cell r="E1536">
            <v>2.2080000000000002</v>
          </cell>
          <cell r="F1536" t="str">
            <v>NEW BLACK</v>
          </cell>
          <cell r="G1536" t="str">
            <v>SLIDING - ZENIA</v>
          </cell>
        </row>
        <row r="1537">
          <cell r="A1537" t="str">
            <v>PI-SLZ-RSZ-NO</v>
          </cell>
          <cell r="B1537" t="str">
            <v>RIEL SUPERIOR ZENIA - NOGAL</v>
          </cell>
          <cell r="C1537">
            <v>45</v>
          </cell>
          <cell r="D1537">
            <v>45878</v>
          </cell>
          <cell r="E1537">
            <v>2.2080000000000002</v>
          </cell>
          <cell r="F1537" t="str">
            <v>NOGAL</v>
          </cell>
          <cell r="G1537" t="str">
            <v>SLIDING - ZENIA</v>
          </cell>
        </row>
        <row r="1538">
          <cell r="A1538" t="str">
            <v>PI-SLZ-RSZ-RD</v>
          </cell>
          <cell r="B1538" t="str">
            <v>RIEL SUPERIOR ZENIA - ROBLE</v>
          </cell>
          <cell r="C1538">
            <v>86</v>
          </cell>
          <cell r="D1538">
            <v>45661</v>
          </cell>
          <cell r="E1538">
            <v>2.2080000000000002</v>
          </cell>
          <cell r="F1538" t="str">
            <v>ROBLE</v>
          </cell>
          <cell r="G1538" t="str">
            <v>SLIDING - ZENIA</v>
          </cell>
        </row>
        <row r="1539">
          <cell r="A1539" t="str">
            <v>PI-SLZ-SIZ-BK</v>
          </cell>
          <cell r="B1539" t="str">
            <v>SELLO INTERMEDIO ZENIA - BLACK</v>
          </cell>
          <cell r="C1539">
            <v>0</v>
          </cell>
          <cell r="D1539">
            <v>45071</v>
          </cell>
          <cell r="E1539">
            <v>2.13</v>
          </cell>
          <cell r="F1539" t="str">
            <v>BLACK</v>
          </cell>
          <cell r="G1539" t="str">
            <v>SLIDING - ZENIA</v>
          </cell>
        </row>
        <row r="1540">
          <cell r="A1540" t="str">
            <v>PI-SLZ-SIZ-BL</v>
          </cell>
          <cell r="B1540" t="str">
            <v>SELLO INTERMEDIO ZENIA - BLANCO</v>
          </cell>
          <cell r="C1540">
            <v>185</v>
          </cell>
          <cell r="D1540">
            <v>46032</v>
          </cell>
          <cell r="E1540">
            <v>2.13</v>
          </cell>
          <cell r="F1540" t="str">
            <v>BLANCO</v>
          </cell>
          <cell r="G1540" t="str">
            <v>SLIDING - ZENIA</v>
          </cell>
        </row>
        <row r="1541">
          <cell r="A1541" t="str">
            <v>PI-SLZ-SIZ-GR</v>
          </cell>
          <cell r="B1541" t="str">
            <v>SELLO INTERMEDIO ZENIA - GRAFITO</v>
          </cell>
          <cell r="C1541">
            <v>201</v>
          </cell>
          <cell r="D1541">
            <v>46032</v>
          </cell>
          <cell r="E1541">
            <v>2.13</v>
          </cell>
          <cell r="F1541" t="str">
            <v>GRAFITO</v>
          </cell>
          <cell r="G1541" t="str">
            <v>SLIDING - ZENIA</v>
          </cell>
        </row>
        <row r="1542">
          <cell r="A1542" t="str">
            <v>PI-SLZ-SIZ-NB</v>
          </cell>
          <cell r="B1542" t="str">
            <v>SELLO INTERMEDIO ZENIA - NEW BLACK</v>
          </cell>
          <cell r="C1542">
            <v>81</v>
          </cell>
          <cell r="D1542">
            <v>46122</v>
          </cell>
          <cell r="E1542">
            <v>2.13</v>
          </cell>
          <cell r="F1542" t="str">
            <v>NEW BLACK</v>
          </cell>
          <cell r="G1542" t="str">
            <v>SLIDING - ZENIA</v>
          </cell>
        </row>
        <row r="1543">
          <cell r="A1543" t="str">
            <v>PI-SLZ-SIZ-NO</v>
          </cell>
          <cell r="B1543" t="str">
            <v>SELLO INTERMEDIO ZENIA - NOGAL</v>
          </cell>
          <cell r="C1543">
            <v>52</v>
          </cell>
          <cell r="D1543">
            <v>46032</v>
          </cell>
          <cell r="E1543">
            <v>2.13</v>
          </cell>
          <cell r="F1543" t="str">
            <v>NOGAL</v>
          </cell>
          <cell r="G1543" t="str">
            <v>SLIDING - ZENIA</v>
          </cell>
        </row>
        <row r="1544">
          <cell r="A1544" t="str">
            <v>PI-SLZ-SIZ-RD</v>
          </cell>
          <cell r="B1544" t="str">
            <v>SELLO INTERMEDIO ZENIA - ROBLE</v>
          </cell>
          <cell r="C1544">
            <v>136</v>
          </cell>
          <cell r="D1544">
            <v>45878</v>
          </cell>
          <cell r="E1544">
            <v>2.13</v>
          </cell>
          <cell r="F1544" t="str">
            <v>ROBLE</v>
          </cell>
          <cell r="G1544" t="str">
            <v>SLIDING - ZENIA</v>
          </cell>
        </row>
        <row r="1545">
          <cell r="A1545" t="str">
            <v>PI-SLZ-TCZ-BK</v>
          </cell>
          <cell r="B1545" t="str">
            <v>TAPA CANAL ZENIA - BLACK</v>
          </cell>
          <cell r="C1545">
            <v>0</v>
          </cell>
          <cell r="D1545">
            <v>45123</v>
          </cell>
          <cell r="E1545">
            <v>0.42</v>
          </cell>
          <cell r="F1545" t="str">
            <v>BLACK</v>
          </cell>
          <cell r="G1545" t="str">
            <v>SLIDING - ZENIA</v>
          </cell>
        </row>
        <row r="1546">
          <cell r="A1546" t="str">
            <v>PI-SLZ-TCZ-BL</v>
          </cell>
          <cell r="B1546" t="str">
            <v>TAPA CANAL ZENIA - BLANCO</v>
          </cell>
          <cell r="C1546">
            <v>131</v>
          </cell>
          <cell r="D1546">
            <v>46032</v>
          </cell>
          <cell r="E1546">
            <v>0.42</v>
          </cell>
          <cell r="F1546" t="str">
            <v>BLANCO</v>
          </cell>
          <cell r="G1546" t="str">
            <v>SLIDING - ZENIA</v>
          </cell>
        </row>
        <row r="1547">
          <cell r="A1547" t="str">
            <v>PI-SLZ-TCZ-GR</v>
          </cell>
          <cell r="B1547" t="str">
            <v>TAPA CANAL ZENIA - GRAFITO</v>
          </cell>
          <cell r="C1547">
            <v>277</v>
          </cell>
          <cell r="D1547">
            <v>45479</v>
          </cell>
          <cell r="E1547">
            <v>0.42</v>
          </cell>
          <cell r="F1547" t="str">
            <v>GRAFITO</v>
          </cell>
          <cell r="G1547" t="str">
            <v>SLIDING - ZENIA</v>
          </cell>
        </row>
        <row r="1548">
          <cell r="A1548" t="str">
            <v>PI-SLZ-TCZ-GS</v>
          </cell>
          <cell r="B1548" t="str">
            <v>TAPA CANAL ZENIA - GRIS</v>
          </cell>
          <cell r="C1548">
            <v>0</v>
          </cell>
          <cell r="D1548">
            <v>44679</v>
          </cell>
          <cell r="E1548">
            <v>0.42</v>
          </cell>
          <cell r="F1548" t="str">
            <v>GRIS</v>
          </cell>
          <cell r="G1548" t="str">
            <v>SLIDING - ZENIA</v>
          </cell>
        </row>
        <row r="1549">
          <cell r="A1549" t="str">
            <v>PI-SLZ-TCZ-MR</v>
          </cell>
          <cell r="B1549" t="str">
            <v>TAPA CANAL ZENIA - CAFE</v>
          </cell>
          <cell r="C1549">
            <v>0</v>
          </cell>
          <cell r="D1549"/>
          <cell r="E1549">
            <v>0.42</v>
          </cell>
          <cell r="F1549" t="str">
            <v>MARRON</v>
          </cell>
          <cell r="G1549" t="str">
            <v>SLIDING - ZENIA</v>
          </cell>
        </row>
        <row r="1550">
          <cell r="A1550" t="str">
            <v>PI-SLZ-TCZ-NB</v>
          </cell>
          <cell r="B1550" t="str">
            <v>TAPA CANAL ZENIA - NEW BLACK</v>
          </cell>
          <cell r="C1550">
            <v>161</v>
          </cell>
          <cell r="D1550">
            <v>46167</v>
          </cell>
          <cell r="E1550">
            <v>0.42</v>
          </cell>
          <cell r="F1550" t="str">
            <v>NEW BLACK</v>
          </cell>
          <cell r="G1550" t="str">
            <v>SLIDING - ZENIA</v>
          </cell>
        </row>
        <row r="1551">
          <cell r="A1551" t="str">
            <v>PI-SLZ-TCZ-NO</v>
          </cell>
          <cell r="B1551" t="str">
            <v>TAPA CANAL ZENIA - NOGAL</v>
          </cell>
          <cell r="C1551">
            <v>107</v>
          </cell>
          <cell r="D1551">
            <v>45601</v>
          </cell>
          <cell r="E1551">
            <v>0.42</v>
          </cell>
          <cell r="F1551" t="str">
            <v>NOGAL</v>
          </cell>
          <cell r="G1551" t="str">
            <v>SLIDING - ZENIA</v>
          </cell>
        </row>
        <row r="1552">
          <cell r="A1552" t="str">
            <v>PI-SLZ-TCZ-RD</v>
          </cell>
          <cell r="B1552" t="str">
            <v>TAPA CANAL ZENIA - ROBLE</v>
          </cell>
          <cell r="C1552">
            <v>305</v>
          </cell>
          <cell r="D1552">
            <v>45661</v>
          </cell>
          <cell r="E1552">
            <v>0.42</v>
          </cell>
          <cell r="F1552" t="str">
            <v>ROBLE</v>
          </cell>
          <cell r="G1552" t="str">
            <v>SLIDING - ZENIA</v>
          </cell>
        </row>
        <row r="1553">
          <cell r="A1553" t="str">
            <v>PI-SLZ-TPZ-BK</v>
          </cell>
          <cell r="B1553" t="str">
            <v>TRASLAPO ZENIA - BLACK</v>
          </cell>
          <cell r="C1553">
            <v>0</v>
          </cell>
          <cell r="D1553">
            <v>45071</v>
          </cell>
          <cell r="E1553">
            <v>2.3940000000000001</v>
          </cell>
          <cell r="F1553" t="str">
            <v>BLACK</v>
          </cell>
          <cell r="G1553" t="str">
            <v>SLIDING - ZENIA</v>
          </cell>
        </row>
        <row r="1554">
          <cell r="A1554" t="str">
            <v>PI-SLZ-TPZ-BL</v>
          </cell>
          <cell r="B1554" t="str">
            <v>TRASLAPO ZENIA - BLANCO</v>
          </cell>
          <cell r="C1554">
            <v>56</v>
          </cell>
          <cell r="D1554">
            <v>45661</v>
          </cell>
          <cell r="E1554">
            <v>2.3940000000000001</v>
          </cell>
          <cell r="F1554" t="str">
            <v>BLANCO</v>
          </cell>
          <cell r="G1554" t="str">
            <v>SLIDING - ZENIA</v>
          </cell>
        </row>
        <row r="1555">
          <cell r="A1555" t="str">
            <v>PI-SLZ-TPZ-GR</v>
          </cell>
          <cell r="B1555" t="str">
            <v>TRASLAPO ZENIA - GRAFITO</v>
          </cell>
          <cell r="C1555">
            <v>256</v>
          </cell>
          <cell r="D1555">
            <v>45681</v>
          </cell>
          <cell r="E1555">
            <v>2.3940000000000001</v>
          </cell>
          <cell r="F1555" t="str">
            <v>GRAFITO</v>
          </cell>
          <cell r="G1555" t="str">
            <v>SLIDING - ZENIA</v>
          </cell>
        </row>
        <row r="1556">
          <cell r="A1556" t="str">
            <v>PI-SLZ-TPZ-NB</v>
          </cell>
          <cell r="B1556" t="str">
            <v>TRASLAPO ZENIA - NEW BLACK</v>
          </cell>
          <cell r="C1556">
            <v>117</v>
          </cell>
          <cell r="D1556">
            <v>46167</v>
          </cell>
          <cell r="E1556">
            <v>2.3940000000000001</v>
          </cell>
          <cell r="F1556" t="str">
            <v>NEW BLACK</v>
          </cell>
          <cell r="G1556" t="str">
            <v>SLIDING - ZENIA</v>
          </cell>
        </row>
        <row r="1557">
          <cell r="A1557" t="str">
            <v>PI-SLZ-TPZ-NO</v>
          </cell>
          <cell r="B1557" t="str">
            <v>TRASLAPO ZENIA - NOGAL</v>
          </cell>
          <cell r="C1557">
            <v>59</v>
          </cell>
          <cell r="D1557">
            <v>46032</v>
          </cell>
          <cell r="E1557">
            <v>2.3940000000000001</v>
          </cell>
          <cell r="F1557" t="str">
            <v>NOGAL</v>
          </cell>
          <cell r="G1557" t="str">
            <v>SLIDING - ZENIA</v>
          </cell>
        </row>
        <row r="1558">
          <cell r="A1558" t="str">
            <v>PI-SLZ-TPZ-RD</v>
          </cell>
          <cell r="B1558" t="str">
            <v>TRASLAPO ZENIA - ROBLE</v>
          </cell>
          <cell r="C1558">
            <v>124</v>
          </cell>
          <cell r="D1558">
            <v>45479</v>
          </cell>
          <cell r="E1558">
            <v>2.3940000000000001</v>
          </cell>
          <cell r="F1558" t="str">
            <v>ROBLE</v>
          </cell>
          <cell r="G1558" t="str">
            <v>SLIDING - ZENIA</v>
          </cell>
        </row>
        <row r="1559">
          <cell r="A1559" t="str">
            <v>PI-SLZ-TRS-BK</v>
          </cell>
          <cell r="B1559" t="str">
            <v>TAPA RIEL SUPERIOR ZENIA - BLACK</v>
          </cell>
          <cell r="C1559">
            <v>0</v>
          </cell>
          <cell r="D1559">
            <v>45071</v>
          </cell>
          <cell r="E1559">
            <v>1.89</v>
          </cell>
          <cell r="F1559" t="str">
            <v>BLACK</v>
          </cell>
          <cell r="G1559" t="str">
            <v>SLIDING - ZENIA</v>
          </cell>
        </row>
        <row r="1560">
          <cell r="A1560" t="str">
            <v>PI-SLZ-TRS-BL</v>
          </cell>
          <cell r="B1560" t="str">
            <v>TAPA RIEL SUPERIOR ZENIA - BLANCO</v>
          </cell>
          <cell r="C1560">
            <v>70</v>
          </cell>
          <cell r="D1560">
            <v>45601</v>
          </cell>
          <cell r="E1560">
            <v>1.89</v>
          </cell>
          <cell r="F1560" t="str">
            <v>BLANCO</v>
          </cell>
          <cell r="G1560" t="str">
            <v>SLIDING - ZENIA</v>
          </cell>
        </row>
        <row r="1561">
          <cell r="A1561" t="str">
            <v>PI-SLZ-TRS-GR</v>
          </cell>
          <cell r="B1561" t="str">
            <v>TAPA RIEL SUPERIOR ZENIA - GRAFITO</v>
          </cell>
          <cell r="C1561">
            <v>90</v>
          </cell>
          <cell r="D1561">
            <v>46032</v>
          </cell>
          <cell r="E1561">
            <v>1.89</v>
          </cell>
          <cell r="F1561" t="str">
            <v>GRAFITO</v>
          </cell>
          <cell r="G1561" t="str">
            <v>SLIDING - ZENIA</v>
          </cell>
        </row>
        <row r="1562">
          <cell r="A1562" t="str">
            <v>PI-SLZ-TRS-NB</v>
          </cell>
          <cell r="B1562" t="str">
            <v>TAPA RIEL SUPERIOR ZENIA - NEW BLACK</v>
          </cell>
          <cell r="C1562">
            <v>196</v>
          </cell>
          <cell r="D1562">
            <v>46167</v>
          </cell>
          <cell r="E1562">
            <v>1.89</v>
          </cell>
          <cell r="F1562" t="str">
            <v>NEW BLACK</v>
          </cell>
          <cell r="G1562" t="str">
            <v>SLIDING - ZENIA</v>
          </cell>
        </row>
        <row r="1563">
          <cell r="A1563" t="str">
            <v>PI-SLZ-TRS-NO</v>
          </cell>
          <cell r="B1563" t="str">
            <v>TAPA RIEL SUPERIOR ZENIA - NOGAL</v>
          </cell>
          <cell r="C1563">
            <v>44</v>
          </cell>
          <cell r="D1563">
            <v>45661</v>
          </cell>
          <cell r="E1563">
            <v>1.89</v>
          </cell>
          <cell r="F1563" t="str">
            <v>NOGAL</v>
          </cell>
          <cell r="G1563" t="str">
            <v>SLIDING - ZENIA</v>
          </cell>
        </row>
        <row r="1564">
          <cell r="A1564" t="str">
            <v>PI-SLZ-TRS-RD</v>
          </cell>
          <cell r="B1564" t="str">
            <v>TAPA RIEL SUPERIOR ZENIA - ROBLE</v>
          </cell>
          <cell r="C1564">
            <v>79</v>
          </cell>
          <cell r="D1564">
            <v>46032</v>
          </cell>
          <cell r="E1564">
            <v>1.89</v>
          </cell>
          <cell r="F1564" t="str">
            <v>ROBLE</v>
          </cell>
          <cell r="G1564" t="str">
            <v>SLIDING - ZENIA</v>
          </cell>
        </row>
        <row r="1565">
          <cell r="A1565" t="str">
            <v>PI-SLZ-TTZ-BK</v>
          </cell>
          <cell r="B1565" t="str">
            <v>TAPA TRASLAPO ZENIA - BLACK</v>
          </cell>
          <cell r="C1565">
            <v>0</v>
          </cell>
          <cell r="D1565">
            <v>44561</v>
          </cell>
          <cell r="E1565">
            <v>1.026</v>
          </cell>
          <cell r="F1565" t="str">
            <v>BLACK</v>
          </cell>
          <cell r="G1565" t="str">
            <v>SLIDING - ZENIA</v>
          </cell>
        </row>
        <row r="1566">
          <cell r="A1566" t="str">
            <v>PI-SLZ-TTZ-BL</v>
          </cell>
          <cell r="B1566" t="str">
            <v>TAPA TRASLAPO ZENIA - BLANCO</v>
          </cell>
          <cell r="C1566">
            <v>93</v>
          </cell>
          <cell r="D1566">
            <v>45685</v>
          </cell>
          <cell r="E1566">
            <v>1.026</v>
          </cell>
          <cell r="F1566" t="str">
            <v>BLANCO</v>
          </cell>
          <cell r="G1566" t="str">
            <v>SLIDING - ZENIA</v>
          </cell>
        </row>
        <row r="1567">
          <cell r="A1567" t="str">
            <v>PI-SLZ-TTZ-GR</v>
          </cell>
          <cell r="B1567" t="str">
            <v>TAPA TRASLAPO ZENIA - GRAFITO</v>
          </cell>
          <cell r="C1567">
            <v>157</v>
          </cell>
          <cell r="D1567">
            <v>46032</v>
          </cell>
          <cell r="E1567">
            <v>1.026</v>
          </cell>
          <cell r="F1567" t="str">
            <v>GRAFITO</v>
          </cell>
          <cell r="G1567" t="str">
            <v>SLIDING - ZENIA</v>
          </cell>
        </row>
        <row r="1568">
          <cell r="A1568" t="str">
            <v>PI-SLZ-TTZ-NB</v>
          </cell>
          <cell r="B1568" t="str">
            <v>TAPA TRASLAPO ZENIA - NEW BLACK</v>
          </cell>
          <cell r="C1568">
            <v>154</v>
          </cell>
          <cell r="D1568">
            <v>46167</v>
          </cell>
          <cell r="E1568">
            <v>1.026</v>
          </cell>
          <cell r="F1568" t="str">
            <v>NEW BLACK</v>
          </cell>
          <cell r="G1568" t="str">
            <v>SLIDING - ZENIA</v>
          </cell>
        </row>
        <row r="1569">
          <cell r="A1569" t="str">
            <v>PI-SLZ-TTZ-NO</v>
          </cell>
          <cell r="B1569" t="str">
            <v>TAPA TRASLAPO ZENIA - NOGAL</v>
          </cell>
          <cell r="C1569">
            <v>130</v>
          </cell>
          <cell r="D1569">
            <v>46032</v>
          </cell>
          <cell r="E1569">
            <v>1.026</v>
          </cell>
          <cell r="F1569" t="str">
            <v>NOGAL</v>
          </cell>
          <cell r="G1569" t="str">
            <v>SLIDING - ZENIA</v>
          </cell>
        </row>
        <row r="1570">
          <cell r="A1570" t="str">
            <v>PI-SLZ-TTZ-RD</v>
          </cell>
          <cell r="B1570" t="str">
            <v>TAPA TRASLAPO ZENIA - ROBLE</v>
          </cell>
          <cell r="C1570">
            <v>93</v>
          </cell>
          <cell r="D1570">
            <v>45601</v>
          </cell>
          <cell r="E1570">
            <v>1.026</v>
          </cell>
          <cell r="F1570" t="str">
            <v>ROBLE</v>
          </cell>
          <cell r="G1570" t="str">
            <v>SLIDING - ZENIA</v>
          </cell>
        </row>
        <row r="1571">
          <cell r="A1571" t="str">
            <v>PL-ALT-RFHC-NA</v>
          </cell>
          <cell r="B1571" t="str">
            <v>REFUERZO HOJA CORREDERA - DCK</v>
          </cell>
          <cell r="C1571">
            <v>0</v>
          </cell>
          <cell r="D1571">
            <v>44561</v>
          </cell>
          <cell r="E1571">
            <v>4.4000000000000004</v>
          </cell>
          <cell r="F1571" t="str">
            <v>NATURAL</v>
          </cell>
          <cell r="G1571" t="str">
            <v>REFUERZO - DECEUNINCK</v>
          </cell>
        </row>
        <row r="1572">
          <cell r="A1572" t="str">
            <v>PL-AME-RF-TFA</v>
          </cell>
          <cell r="B1572" t="str">
            <v>REFUERZO TRASLAPO FIJO AMERICANA - TC</v>
          </cell>
          <cell r="C1572">
            <v>216</v>
          </cell>
          <cell r="D1572">
            <v>46169</v>
          </cell>
          <cell r="E1572">
            <v>2.5</v>
          </cell>
          <cell r="F1572" t="str">
            <v>NATURAL</v>
          </cell>
          <cell r="G1572" t="str">
            <v>AMERICANA</v>
          </cell>
        </row>
        <row r="1573">
          <cell r="A1573" t="str">
            <v>PL-AME-RF-TMA</v>
          </cell>
          <cell r="B1573" t="str">
            <v>REFUERZO TRASLAPO MOVIL AMERICANA - TC</v>
          </cell>
          <cell r="C1573">
            <v>243</v>
          </cell>
          <cell r="D1573">
            <v>46169</v>
          </cell>
          <cell r="E1573">
            <v>2.35</v>
          </cell>
          <cell r="F1573" t="str">
            <v>NATURAL</v>
          </cell>
          <cell r="G1573" t="str">
            <v>AMERICANA</v>
          </cell>
        </row>
        <row r="1574">
          <cell r="A1574" t="str">
            <v>PL-CMP-AC-MLT-12</v>
          </cell>
          <cell r="B1574" t="str">
            <v>REFUERZO NEW MULTIPLE 1,2 MM - AC</v>
          </cell>
          <cell r="C1574">
            <v>0</v>
          </cell>
          <cell r="D1574">
            <v>44648</v>
          </cell>
          <cell r="E1574">
            <v>4.4000000000000004</v>
          </cell>
          <cell r="F1574" t="str">
            <v>NATURAL</v>
          </cell>
          <cell r="G1574" t="str">
            <v>ACONCAGUA-REFUERZO</v>
          </cell>
        </row>
        <row r="1575">
          <cell r="A1575" t="str">
            <v>PL-CMP-TC-CTF-2</v>
          </cell>
          <cell r="B1575" t="str">
            <v>REFUERZO CONTRA FLECHA 2mm - TC</v>
          </cell>
          <cell r="C1575">
            <v>331</v>
          </cell>
          <cell r="D1575">
            <v>46174</v>
          </cell>
          <cell r="E1575">
            <v>2</v>
          </cell>
          <cell r="F1575" t="str">
            <v>NATURAL</v>
          </cell>
          <cell r="G1575" t="str">
            <v>REFUERZO - WH</v>
          </cell>
        </row>
        <row r="1576">
          <cell r="A1576" t="str">
            <v>PL-CMP-TC-E45-15</v>
          </cell>
          <cell r="B1576" t="str">
            <v>REFUERZO BOX ESQ 45º S60 1.5 mm - TC</v>
          </cell>
          <cell r="C1576">
            <v>0</v>
          </cell>
          <cell r="D1576"/>
          <cell r="E1576">
            <v>3.4</v>
          </cell>
          <cell r="F1576" t="str">
            <v>NATURAL</v>
          </cell>
          <cell r="G1576" t="str">
            <v>REFUERZO - WH</v>
          </cell>
        </row>
        <row r="1577">
          <cell r="A1577" t="str">
            <v>PL-CMP-TC-INT-2</v>
          </cell>
          <cell r="B1577" t="str">
            <v>REFUERZO INERCIA T 2 mm - TC</v>
          </cell>
          <cell r="C1577">
            <v>201</v>
          </cell>
          <cell r="D1577">
            <v>46099</v>
          </cell>
          <cell r="E1577">
            <v>4.4000000000000004</v>
          </cell>
          <cell r="F1577" t="str">
            <v>NATURAL</v>
          </cell>
          <cell r="G1577" t="str">
            <v>REFUERZO - WH</v>
          </cell>
        </row>
        <row r="1578">
          <cell r="A1578" t="str">
            <v>PL-CMP-TC-MLT-12</v>
          </cell>
          <cell r="B1578" t="str">
            <v>REFUERZO NEW MULTIPLE 1.2 mm - TC</v>
          </cell>
          <cell r="C1578">
            <v>5783</v>
          </cell>
          <cell r="D1578">
            <v>46184</v>
          </cell>
          <cell r="E1578">
            <v>4.4000000000000004</v>
          </cell>
          <cell r="F1578" t="str">
            <v>NATURAL</v>
          </cell>
          <cell r="G1578" t="str">
            <v>REFUERZO - WH</v>
          </cell>
        </row>
        <row r="1579">
          <cell r="A1579" t="str">
            <v>PL-CMP-TC-MLT-2</v>
          </cell>
          <cell r="B1579" t="str">
            <v>REFUERZO NEW MULTIPLE 2 mm - TC</v>
          </cell>
          <cell r="C1579">
            <v>152</v>
          </cell>
          <cell r="D1579">
            <v>46174</v>
          </cell>
          <cell r="E1579">
            <v>6.1</v>
          </cell>
          <cell r="F1579" t="str">
            <v>NATURAL</v>
          </cell>
          <cell r="G1579" t="str">
            <v>REFUERZO - WH</v>
          </cell>
        </row>
        <row r="1580">
          <cell r="A1580" t="str">
            <v>PL-DCK-HC-NO</v>
          </cell>
          <cell r="B1580" t="str">
            <v>HOJA CORREDERA NOGAL - DCK</v>
          </cell>
          <cell r="C1580">
            <v>0</v>
          </cell>
          <cell r="D1580">
            <v>44561</v>
          </cell>
          <cell r="E1580">
            <v>8.2260000000000009</v>
          </cell>
          <cell r="F1580" t="str">
            <v>NOGAL</v>
          </cell>
          <cell r="G1580" t="str">
            <v>SLIDING - DECEUNINCK</v>
          </cell>
        </row>
        <row r="1581">
          <cell r="A1581" t="str">
            <v>PL-DCK-HC-RD</v>
          </cell>
          <cell r="B1581" t="str">
            <v>HOJA CORREDERA ROBLE - DCK</v>
          </cell>
          <cell r="C1581">
            <v>0</v>
          </cell>
          <cell r="D1581"/>
          <cell r="E1581">
            <v>8.2260000000000009</v>
          </cell>
          <cell r="F1581" t="str">
            <v>ROBLE</v>
          </cell>
          <cell r="G1581" t="str">
            <v>SLIDING - DECEUNINCK</v>
          </cell>
        </row>
        <row r="1582">
          <cell r="A1582" t="str">
            <v>PL-DCK-TPA-BL</v>
          </cell>
          <cell r="B1582" t="str">
            <v>TRASLAPO ANDES - DCK</v>
          </cell>
          <cell r="C1582">
            <v>0</v>
          </cell>
          <cell r="D1582">
            <v>44586</v>
          </cell>
          <cell r="E1582">
            <v>1.9079999999999999</v>
          </cell>
          <cell r="F1582" t="str">
            <v>BLANCO</v>
          </cell>
          <cell r="G1582" t="str">
            <v>SLIDING - DECEUNINCK</v>
          </cell>
        </row>
        <row r="1583">
          <cell r="A1583" t="str">
            <v>PL-MQS-TC-HMQ-12</v>
          </cell>
          <cell r="B1583" t="str">
            <v>REFUERZO HOJA CORREDERA MOSQUITERO 1.2 mm - TC</v>
          </cell>
          <cell r="C1583">
            <v>165</v>
          </cell>
          <cell r="D1583">
            <v>46099</v>
          </cell>
          <cell r="E1583">
            <v>4.4000000000000004</v>
          </cell>
          <cell r="F1583" t="str">
            <v>NATURAL</v>
          </cell>
          <cell r="G1583" t="str">
            <v>REFUERZO</v>
          </cell>
        </row>
        <row r="1584">
          <cell r="A1584" t="str">
            <v>PL-MQS-TC-MMQ-12</v>
          </cell>
          <cell r="B1584" t="str">
            <v>REFUERZO MARCO MOSQUITERO 1.2 mm - TC</v>
          </cell>
          <cell r="C1584">
            <v>136</v>
          </cell>
          <cell r="D1584">
            <v>46113</v>
          </cell>
          <cell r="E1584">
            <v>3.3</v>
          </cell>
          <cell r="F1584" t="str">
            <v>NATURAL</v>
          </cell>
          <cell r="G1584" t="str">
            <v>REFUERZO</v>
          </cell>
        </row>
        <row r="1585">
          <cell r="A1585" t="str">
            <v>PL-MQS-TC-PMQ-12</v>
          </cell>
          <cell r="B1585" t="str">
            <v>REFUERZO POSTE T  MOSQUITERO 1.2 mm - TC</v>
          </cell>
          <cell r="C1585">
            <v>250</v>
          </cell>
          <cell r="D1585">
            <v>46037</v>
          </cell>
          <cell r="E1585">
            <v>1.6</v>
          </cell>
          <cell r="F1585" t="str">
            <v>NATURAL</v>
          </cell>
          <cell r="G1585" t="str">
            <v>REFUERZO</v>
          </cell>
        </row>
        <row r="1586">
          <cell r="A1586" t="str">
            <v>PL-REF-TC-PLE-12</v>
          </cell>
          <cell r="B1586" t="str">
            <v>REFUERZO PLEGABLE 1.2 mm - TC</v>
          </cell>
          <cell r="C1586">
            <v>0</v>
          </cell>
          <cell r="D1586">
            <v>44586</v>
          </cell>
          <cell r="E1586">
            <v>6.83</v>
          </cell>
          <cell r="F1586" t="str">
            <v>NATURAL</v>
          </cell>
          <cell r="G1586" t="str">
            <v>REFUERZO - WH</v>
          </cell>
        </row>
        <row r="1587">
          <cell r="A1587" t="str">
            <v>PL-REF-TC-TUB-2</v>
          </cell>
          <cell r="B1587" t="str">
            <v>REFUERZO TUBULAR 60 x 100 - 2mm - TC</v>
          </cell>
          <cell r="C1587">
            <v>70</v>
          </cell>
          <cell r="D1587">
            <v>46174</v>
          </cell>
          <cell r="E1587">
            <v>9.6</v>
          </cell>
          <cell r="F1587" t="str">
            <v>NATURAL</v>
          </cell>
          <cell r="G1587" t="str">
            <v>REFUERZO - WH</v>
          </cell>
        </row>
        <row r="1588">
          <cell r="A1588" t="str">
            <v>PL-S60-AC-BMF-12</v>
          </cell>
          <cell r="B1588" t="str">
            <v>REFUERZO BOX MARCO FIJO S60 1,2 mm - AC</v>
          </cell>
          <cell r="C1588">
            <v>0</v>
          </cell>
          <cell r="D1588">
            <v>44798</v>
          </cell>
          <cell r="E1588">
            <v>6.1</v>
          </cell>
          <cell r="F1588" t="str">
            <v>NATURAL</v>
          </cell>
          <cell r="G1588" t="str">
            <v>REFUERZO - WH</v>
          </cell>
        </row>
        <row r="1589">
          <cell r="A1589" t="str">
            <v>PL-S60-GR-BMF-12</v>
          </cell>
          <cell r="B1589" t="str">
            <v>REFUERZO BOX MARCO FIJO 1.2 mm - GR</v>
          </cell>
          <cell r="C1589">
            <v>0</v>
          </cell>
          <cell r="D1589">
            <v>45839</v>
          </cell>
          <cell r="E1589">
            <v>6.1</v>
          </cell>
          <cell r="F1589" t="str">
            <v>NATURAL</v>
          </cell>
          <cell r="G1589" t="str">
            <v>REFUERZO</v>
          </cell>
        </row>
        <row r="1590">
          <cell r="A1590" t="str">
            <v>PL-S60-P30-BL-NC</v>
          </cell>
          <cell r="B1590" t="str">
            <v>PERFIL ELEVACION S60 30 mm - BLANCO - ALTERNATIVO</v>
          </cell>
          <cell r="C1590">
            <v>0</v>
          </cell>
          <cell r="D1590">
            <v>45330</v>
          </cell>
          <cell r="E1590">
            <v>0</v>
          </cell>
          <cell r="F1590" t="str">
            <v>BLANCO</v>
          </cell>
          <cell r="G1590" t="str">
            <v>S60</v>
          </cell>
        </row>
        <row r="1591">
          <cell r="A1591" t="str">
            <v>PL-S60-TC-BMF-12</v>
          </cell>
          <cell r="B1591" t="str">
            <v>REFUERZO BOX MARCO FIJO S60 1.2 mm - TC</v>
          </cell>
          <cell r="C1591">
            <v>918</v>
          </cell>
          <cell r="D1591">
            <v>46184</v>
          </cell>
          <cell r="E1591">
            <v>6.1</v>
          </cell>
          <cell r="F1591" t="str">
            <v>NATURAL</v>
          </cell>
          <cell r="G1591" t="str">
            <v>REFUERZO - WH</v>
          </cell>
        </row>
        <row r="1592">
          <cell r="A1592" t="str">
            <v>PL-S60-TC-EQF-15</v>
          </cell>
          <cell r="B1592" t="str">
            <v>REFUERZO BOX ESQ. 90° S60 1.5 mm - TC</v>
          </cell>
          <cell r="C1592">
            <v>130</v>
          </cell>
          <cell r="D1592">
            <v>46176</v>
          </cell>
          <cell r="E1592">
            <v>10</v>
          </cell>
          <cell r="F1592" t="str">
            <v>NATURAL</v>
          </cell>
          <cell r="G1592" t="str">
            <v>REFUERZO - WH</v>
          </cell>
        </row>
        <row r="1593">
          <cell r="A1593" t="str">
            <v>PL-S60-TC-H98-2</v>
          </cell>
          <cell r="B1593" t="str">
            <v>REFUERZO HOJA CORREDERA 98 2 mm - TC</v>
          </cell>
          <cell r="C1593">
            <v>839</v>
          </cell>
          <cell r="D1593">
            <v>46176</v>
          </cell>
          <cell r="E1593">
            <v>8.25</v>
          </cell>
          <cell r="F1593" t="str">
            <v>NATURAL</v>
          </cell>
          <cell r="G1593" t="str">
            <v>REFUERZO - WH</v>
          </cell>
        </row>
        <row r="1594">
          <cell r="A1594" t="str">
            <v>PL-S60-TC-HPF-15</v>
          </cell>
          <cell r="B1594" t="str">
            <v>REFUERZO HOJA PUERTA S60 1.5mm - TC</v>
          </cell>
          <cell r="C1594">
            <v>360</v>
          </cell>
          <cell r="D1594">
            <v>46174</v>
          </cell>
          <cell r="E1594">
            <v>9.6</v>
          </cell>
          <cell r="F1594" t="str">
            <v>NATURAL</v>
          </cell>
          <cell r="G1594" t="str">
            <v>REFUERZO - WH</v>
          </cell>
        </row>
        <row r="1595">
          <cell r="A1595" t="str">
            <v>PL-S60-TC-MLT-2</v>
          </cell>
          <cell r="B1595" t="str">
            <v>REFUERZO PLEGABLE 2 mm - TC</v>
          </cell>
          <cell r="C1595">
            <v>584</v>
          </cell>
          <cell r="D1595">
            <v>45123</v>
          </cell>
          <cell r="E1595">
            <v>6.83</v>
          </cell>
          <cell r="F1595" t="str">
            <v>NATURAL</v>
          </cell>
          <cell r="G1595" t="str">
            <v>REFUERZO - WH</v>
          </cell>
        </row>
        <row r="1596">
          <cell r="A1596" t="str">
            <v>PL-S60-TC-PST-12</v>
          </cell>
          <cell r="B1596" t="str">
            <v>REFUERZO POSTE T S60 1.2 mm - TC</v>
          </cell>
          <cell r="C1596">
            <v>874</v>
          </cell>
          <cell r="D1596">
            <v>46195</v>
          </cell>
          <cell r="E1596">
            <v>4.5</v>
          </cell>
          <cell r="F1596" t="str">
            <v>NATURAL</v>
          </cell>
          <cell r="G1596" t="str">
            <v>REFUERZO - WH</v>
          </cell>
        </row>
        <row r="1597">
          <cell r="A1597" t="str">
            <v>PL-SLA-AC-H66-12</v>
          </cell>
          <cell r="B1597" t="str">
            <v>REFUERZO HOJA ANDES 66 1,2mm - AC</v>
          </cell>
          <cell r="C1597">
            <v>132</v>
          </cell>
          <cell r="D1597">
            <v>46032</v>
          </cell>
          <cell r="E1597">
            <v>3.3</v>
          </cell>
          <cell r="F1597" t="str">
            <v>NATURAL</v>
          </cell>
          <cell r="G1597" t="str">
            <v>ACONCAGUA-REFUERZO</v>
          </cell>
        </row>
        <row r="1598">
          <cell r="A1598" t="str">
            <v>PL-SLA-AC-MCA-12</v>
          </cell>
          <cell r="B1598" t="str">
            <v>REFUERZO MARCO CORREDERA ANDES 1,2 mm - AC</v>
          </cell>
          <cell r="C1598">
            <v>0</v>
          </cell>
          <cell r="D1598">
            <v>45298</v>
          </cell>
          <cell r="E1598">
            <v>1.9</v>
          </cell>
          <cell r="F1598" t="str">
            <v>NATURAL</v>
          </cell>
          <cell r="G1598" t="str">
            <v>ACONCAGUA-REFUERZO</v>
          </cell>
        </row>
        <row r="1599">
          <cell r="A1599" t="str">
            <v>PL-SLA-GR-H66-12</v>
          </cell>
          <cell r="B1599" t="str">
            <v>REFUERZO HOJA ANDES 66 1.2mm - GR</v>
          </cell>
          <cell r="C1599">
            <v>0</v>
          </cell>
          <cell r="D1599">
            <v>44926</v>
          </cell>
          <cell r="E1599">
            <v>3.3</v>
          </cell>
          <cell r="F1599" t="str">
            <v>NATURAL</v>
          </cell>
          <cell r="G1599" t="str">
            <v>ACONCAGUA-REFUERZO</v>
          </cell>
        </row>
        <row r="1600">
          <cell r="A1600" t="str">
            <v>PL-SLA-GR-MCA-12</v>
          </cell>
          <cell r="B1600" t="str">
            <v>REFUERZO MARCO CORREDERA ANDES 1.2 mm - GR</v>
          </cell>
          <cell r="C1600">
            <v>73</v>
          </cell>
          <cell r="D1600">
            <v>46032</v>
          </cell>
          <cell r="E1600">
            <v>1.9</v>
          </cell>
          <cell r="F1600" t="str">
            <v>NATURAL</v>
          </cell>
          <cell r="G1600" t="str">
            <v>REFUERZO - ANDES</v>
          </cell>
        </row>
        <row r="1601">
          <cell r="A1601" t="str">
            <v>PL-SLA-TC-H54-12</v>
          </cell>
          <cell r="B1601" t="str">
            <v>REFUERZO HOJA ANDES 54 1,2 mm - TC</v>
          </cell>
          <cell r="C1601">
            <v>620</v>
          </cell>
          <cell r="D1601">
            <v>45878</v>
          </cell>
          <cell r="E1601">
            <v>3</v>
          </cell>
          <cell r="F1601" t="str">
            <v>NATURAL</v>
          </cell>
          <cell r="G1601" t="str">
            <v>REFUERZO - ANDES</v>
          </cell>
        </row>
        <row r="1602">
          <cell r="A1602" t="str">
            <v>PL-SLA-TC-H66-12</v>
          </cell>
          <cell r="B1602" t="str">
            <v>REFUERZO HOJA ANDES 66 1.2mm - TC</v>
          </cell>
          <cell r="C1602">
            <v>2917</v>
          </cell>
          <cell r="D1602">
            <v>46176</v>
          </cell>
          <cell r="E1602">
            <v>3.3</v>
          </cell>
          <cell r="F1602" t="str">
            <v>NATURAL</v>
          </cell>
          <cell r="G1602" t="str">
            <v>REFUERZO - ANDES</v>
          </cell>
        </row>
        <row r="1603">
          <cell r="A1603" t="str">
            <v>PL-SLA-TC-H66-15</v>
          </cell>
          <cell r="B1603" t="str">
            <v>REFUERZO HOJA ANDES 66 1.5 mm - TC</v>
          </cell>
          <cell r="C1603">
            <v>711</v>
          </cell>
          <cell r="D1603">
            <v>46149</v>
          </cell>
          <cell r="E1603">
            <v>4</v>
          </cell>
          <cell r="F1603" t="str">
            <v>NATURAL</v>
          </cell>
          <cell r="G1603" t="str">
            <v>REFUERZO - ANDES</v>
          </cell>
        </row>
        <row r="1604">
          <cell r="A1604" t="str">
            <v>PL-SLA-TC-H66-20</v>
          </cell>
          <cell r="B1604" t="str">
            <v>REFUERZO HOJA ANDES 66 2 mm</v>
          </cell>
          <cell r="C1604">
            <v>0</v>
          </cell>
          <cell r="D1604"/>
          <cell r="E1604">
            <v>4</v>
          </cell>
          <cell r="F1604" t="str">
            <v>NATURAL</v>
          </cell>
          <cell r="G1604" t="str">
            <v>REFUERZO - ANDES</v>
          </cell>
        </row>
        <row r="1605">
          <cell r="A1605" t="str">
            <v>PL-SLA-TC-MCA-12</v>
          </cell>
          <cell r="B1605" t="str">
            <v>REFUERZO MARCO CORREDERA ANDES 1.2 mm - TC</v>
          </cell>
          <cell r="C1605">
            <v>1704</v>
          </cell>
          <cell r="D1605">
            <v>46183</v>
          </cell>
          <cell r="E1605">
            <v>1.9</v>
          </cell>
          <cell r="F1605" t="str">
            <v>NATURAL</v>
          </cell>
          <cell r="G1605" t="str">
            <v>REFUERZO - ANDES</v>
          </cell>
        </row>
        <row r="1606">
          <cell r="A1606" t="str">
            <v>PL-SLA-TC-MLT-12</v>
          </cell>
          <cell r="B1606" t="str">
            <v>REFUERZO MULTIPLE ANDES 1.2 mm - TC</v>
          </cell>
          <cell r="C1606">
            <v>1785</v>
          </cell>
          <cell r="D1606">
            <v>46183</v>
          </cell>
          <cell r="E1606">
            <v>3</v>
          </cell>
          <cell r="F1606" t="str">
            <v>NATURAL</v>
          </cell>
          <cell r="G1606" t="str">
            <v>REFUERZO - ANDES</v>
          </cell>
        </row>
        <row r="1607">
          <cell r="A1607" t="str">
            <v>PL-SLD-AC-MC-12</v>
          </cell>
          <cell r="B1607" t="str">
            <v>REFUERZO MARCO CORREDERA S70 1.2 mm - AC</v>
          </cell>
          <cell r="C1607">
            <v>0</v>
          </cell>
          <cell r="D1607">
            <v>44596</v>
          </cell>
          <cell r="E1607">
            <v>3.72</v>
          </cell>
          <cell r="F1607" t="str">
            <v>NATURAL</v>
          </cell>
          <cell r="G1607" t="str">
            <v>ACONCAGUA-REFUERZO</v>
          </cell>
        </row>
        <row r="1608">
          <cell r="A1608" t="str">
            <v>PL-SLD-GR-MCA-12</v>
          </cell>
          <cell r="B1608" t="str">
            <v>REFUERZO MARCO CORREDERA S70 1.2 mm - GR</v>
          </cell>
          <cell r="C1608">
            <v>463</v>
          </cell>
          <cell r="D1608">
            <v>45661</v>
          </cell>
          <cell r="E1608">
            <v>3.9</v>
          </cell>
          <cell r="F1608" t="str">
            <v>NATURAL</v>
          </cell>
          <cell r="G1608" t="str">
            <v>REFUERZO</v>
          </cell>
        </row>
        <row r="1609">
          <cell r="A1609" t="str">
            <v>PL-SLD-RDA-MR</v>
          </cell>
          <cell r="B1609" t="str">
            <v>RIEL ALUMINIO SLIDING-ANDES MADERA-AQ</v>
          </cell>
          <cell r="C1609">
            <v>1218</v>
          </cell>
          <cell r="D1609">
            <v>46060</v>
          </cell>
          <cell r="E1609">
            <v>0.3</v>
          </cell>
          <cell r="F1609" t="str">
            <v>MADERA</v>
          </cell>
          <cell r="G1609" t="str">
            <v>PERFILES - BARANDAS</v>
          </cell>
        </row>
        <row r="1610">
          <cell r="A1610" t="str">
            <v>PL-SLD-RDA-NA</v>
          </cell>
          <cell r="B1610" t="str">
            <v>RIEL ALUMINIO SLIDING-ANDES NATURAL - AQ</v>
          </cell>
          <cell r="C1610">
            <v>7484</v>
          </cell>
          <cell r="D1610">
            <v>46057</v>
          </cell>
          <cell r="E1610">
            <v>0.70379999999999998</v>
          </cell>
          <cell r="F1610" t="str">
            <v>NATURAL</v>
          </cell>
          <cell r="G1610" t="str">
            <v>SLIDING - ANDES</v>
          </cell>
        </row>
        <row r="1611">
          <cell r="A1611" t="str">
            <v>PL-SLD-RDA-NE</v>
          </cell>
          <cell r="B1611" t="str">
            <v>RIEL ALUMINIO SLIDING-ANDES NEGRO-AQ</v>
          </cell>
          <cell r="C1611">
            <v>274</v>
          </cell>
          <cell r="D1611">
            <v>46128</v>
          </cell>
          <cell r="E1611">
            <v>0</v>
          </cell>
          <cell r="F1611" t="str">
            <v>NEGRO</v>
          </cell>
          <cell r="G1611" t="str">
            <v>PERFILES - BARANDAS</v>
          </cell>
        </row>
        <row r="1612">
          <cell r="A1612" t="str">
            <v>PL-SLD-TC-EQC-15</v>
          </cell>
          <cell r="B1612" t="str">
            <v>REFUERZO BOX ESQ. 90° SLIDING 1.5 mm - TC</v>
          </cell>
          <cell r="C1612">
            <v>123</v>
          </cell>
          <cell r="D1612">
            <v>46122</v>
          </cell>
          <cell r="E1612">
            <v>11.5</v>
          </cell>
          <cell r="F1612" t="str">
            <v>NATURAL</v>
          </cell>
          <cell r="G1612" t="str">
            <v>REFUERZO - WH</v>
          </cell>
        </row>
        <row r="1613">
          <cell r="A1613" t="str">
            <v>PL-SLD-TC-MCA-12</v>
          </cell>
          <cell r="B1613" t="str">
            <v>REFUERZO MARCO CORREDERA S70 1.2 mm - TC</v>
          </cell>
          <cell r="C1613">
            <v>57</v>
          </cell>
          <cell r="D1613">
            <v>46032</v>
          </cell>
          <cell r="E1613">
            <v>3.72</v>
          </cell>
          <cell r="F1613" t="str">
            <v>NATURAL</v>
          </cell>
          <cell r="G1613" t="str">
            <v>REFUERZO - WH</v>
          </cell>
        </row>
        <row r="1614">
          <cell r="A1614" t="str">
            <v>PL-SLD-TC-MCA-S75-12</v>
          </cell>
          <cell r="B1614" t="str">
            <v>REFUERZO MARCO CORREDERA S75 1.2 mm - TC</v>
          </cell>
          <cell r="C1614">
            <v>229</v>
          </cell>
          <cell r="D1614">
            <v>46060</v>
          </cell>
          <cell r="E1614">
            <v>0</v>
          </cell>
          <cell r="F1614" t="str">
            <v>NATURAL</v>
          </cell>
          <cell r="G1614" t="str">
            <v>REFUERZO - WH</v>
          </cell>
        </row>
        <row r="1615">
          <cell r="A1615" t="str">
            <v>PL-SLD-TC-MLT-12</v>
          </cell>
          <cell r="B1615" t="str">
            <v>REFUERZO MARCO SLIDING MULTIPLE 1.2 mm - TC</v>
          </cell>
          <cell r="C1615">
            <v>3854</v>
          </cell>
          <cell r="D1615">
            <v>46195</v>
          </cell>
          <cell r="E1615">
            <v>0</v>
          </cell>
          <cell r="F1615" t="str">
            <v>NATURAL</v>
          </cell>
          <cell r="G1615" t="str">
            <v>REFUERZO - WH</v>
          </cell>
        </row>
        <row r="1616">
          <cell r="A1616" t="str">
            <v>PL-SLZ-TC-HCZ-2</v>
          </cell>
          <cell r="B1616" t="str">
            <v>REFUERZO HOJA ZENIA 2 mm - TC</v>
          </cell>
          <cell r="C1616">
            <v>177</v>
          </cell>
          <cell r="D1616">
            <v>46146</v>
          </cell>
          <cell r="E1616">
            <v>4.4000000000000004</v>
          </cell>
          <cell r="F1616" t="str">
            <v>NATURAL</v>
          </cell>
          <cell r="G1616" t="str">
            <v>REFUERZO - ZENIA</v>
          </cell>
        </row>
        <row r="1617">
          <cell r="A1617" t="str">
            <v>PL-SLZ-TC-MCZ-12</v>
          </cell>
          <cell r="B1617" t="str">
            <v>REFUERZO MARCO ZENIA 1.2 mm - TC</v>
          </cell>
          <cell r="C1617">
            <v>309</v>
          </cell>
          <cell r="D1617">
            <v>46072</v>
          </cell>
          <cell r="E1617">
            <v>3.72</v>
          </cell>
          <cell r="F1617" t="str">
            <v>NATURAL</v>
          </cell>
          <cell r="G1617" t="str">
            <v>REFUERZO - ZENIA</v>
          </cell>
        </row>
        <row r="1618">
          <cell r="A1618" t="str">
            <v>PL-TIA-JUN-LAT</v>
          </cell>
          <cell r="B1618" t="str">
            <v>JUNTA LATERAL</v>
          </cell>
          <cell r="C1618">
            <v>26</v>
          </cell>
          <cell r="D1618">
            <v>46090</v>
          </cell>
          <cell r="E1618">
            <v>0</v>
          </cell>
          <cell r="F1618" t="str">
            <v>NEGRO</v>
          </cell>
          <cell r="G1618" t="str">
            <v>TIARA - SLIM</v>
          </cell>
        </row>
        <row r="1619">
          <cell r="A1619" t="str">
            <v>PL-TIA-PC-97X55-BL</v>
          </cell>
          <cell r="B1619" t="str">
            <v>PERFIL COMPENSADOR 97X55 - BLANCO</v>
          </cell>
          <cell r="C1619">
            <v>9</v>
          </cell>
          <cell r="D1619">
            <v>46090</v>
          </cell>
          <cell r="E1619">
            <v>0</v>
          </cell>
          <cell r="F1619" t="str">
            <v>BLANCO</v>
          </cell>
          <cell r="G1619" t="str">
            <v>TIARA - SLIM</v>
          </cell>
        </row>
        <row r="1620">
          <cell r="A1620" t="str">
            <v>PL-TIA-PD-61X52-BL</v>
          </cell>
          <cell r="B1620" t="str">
            <v>PERFIL DESCARGA AGUA 61X52 - BLANCO</v>
          </cell>
          <cell r="C1620">
            <v>9</v>
          </cell>
          <cell r="D1620">
            <v>46090</v>
          </cell>
          <cell r="E1620">
            <v>0</v>
          </cell>
          <cell r="F1620" t="str">
            <v>BLANCO</v>
          </cell>
          <cell r="G1620" t="str">
            <v>TIARA - SLIM</v>
          </cell>
        </row>
        <row r="1621">
          <cell r="A1621" t="str">
            <v>PL-TIA-PH-54X32-BL</v>
          </cell>
          <cell r="B1621" t="str">
            <v>PERFIL HOJA 10MM 54X32 - BLANCO</v>
          </cell>
          <cell r="C1621">
            <v>18</v>
          </cell>
          <cell r="D1621">
            <v>46090</v>
          </cell>
          <cell r="E1621">
            <v>0</v>
          </cell>
          <cell r="F1621" t="str">
            <v>BLANCO</v>
          </cell>
          <cell r="G1621" t="str">
            <v>TIARA - SLIM</v>
          </cell>
        </row>
        <row r="1622">
          <cell r="A1622" t="str">
            <v>PL-TIA-PI-DES-BL</v>
          </cell>
          <cell r="B1622" t="str">
            <v>PERFIL INFERIOR DESCARGA TIARA SLIM - BLANCO</v>
          </cell>
          <cell r="C1622">
            <v>9</v>
          </cell>
          <cell r="D1622">
            <v>46090</v>
          </cell>
          <cell r="E1622">
            <v>0</v>
          </cell>
          <cell r="F1622" t="str">
            <v>BLANCO</v>
          </cell>
          <cell r="G1622" t="str">
            <v>TIARA - SLIM</v>
          </cell>
        </row>
        <row r="1623">
          <cell r="A1623" t="str">
            <v>PL-TIA-PL-46X36-BL</v>
          </cell>
          <cell r="B1623" t="str">
            <v>PERFIL LATERAL 46X36 - BLANCO</v>
          </cell>
          <cell r="C1623">
            <v>9</v>
          </cell>
          <cell r="D1623">
            <v>46090</v>
          </cell>
          <cell r="E1623">
            <v>0</v>
          </cell>
          <cell r="F1623" t="str">
            <v>BLANCO</v>
          </cell>
          <cell r="G1623" t="str">
            <v>TIARA - SLIM</v>
          </cell>
        </row>
        <row r="1624">
          <cell r="A1624" t="str">
            <v>SM-510-DIEN</v>
          </cell>
          <cell r="B1624" t="str">
            <v>510 MM DIAMETRO - 120 DIENTES</v>
          </cell>
          <cell r="C1624">
            <v>0</v>
          </cell>
          <cell r="D1624">
            <v>45954</v>
          </cell>
          <cell r="E1624">
            <v>0</v>
          </cell>
          <cell r="F1624" t="str">
            <v>NATURAL</v>
          </cell>
          <cell r="G1624" t="str">
            <v>HERRAMIENTAS</v>
          </cell>
        </row>
        <row r="1625">
          <cell r="A1625" t="str">
            <v>SM-BIT-Z1</v>
          </cell>
          <cell r="B1625" t="str">
            <v>BITS 4,3*40*50*95*8 Z1</v>
          </cell>
          <cell r="C1625">
            <v>0</v>
          </cell>
          <cell r="D1625">
            <v>45954</v>
          </cell>
          <cell r="E1625">
            <v>0</v>
          </cell>
          <cell r="F1625" t="str">
            <v>NATURAL</v>
          </cell>
          <cell r="G1625" t="str">
            <v>HERRAMIENTAS</v>
          </cell>
        </row>
        <row r="1626">
          <cell r="A1626" t="str">
            <v>SM-BUT-CYLINDER</v>
          </cell>
          <cell r="B1626" t="str">
            <v>BUTYL CYLINDER 7kg</v>
          </cell>
          <cell r="C1626">
            <v>0</v>
          </cell>
          <cell r="D1626">
            <v>45954</v>
          </cell>
          <cell r="E1626">
            <v>0</v>
          </cell>
          <cell r="F1626" t="str">
            <v>NATURAL</v>
          </cell>
          <cell r="G1626" t="str">
            <v>HERRAMIENTAS</v>
          </cell>
        </row>
        <row r="1627">
          <cell r="A1627" t="str">
            <v>SM-CRT-REF</v>
          </cell>
          <cell r="B1627" t="str">
            <v>CORTADORA PARA REFUERZOS</v>
          </cell>
          <cell r="C1627">
            <v>0</v>
          </cell>
          <cell r="D1627">
            <v>46177</v>
          </cell>
          <cell r="E1627">
            <v>0</v>
          </cell>
          <cell r="F1627" t="str">
            <v>NATURAL</v>
          </cell>
          <cell r="G1627" t="str">
            <v>HERRAMIENTAS</v>
          </cell>
        </row>
        <row r="1628">
          <cell r="A1628" t="str">
            <v>SM-ELE-VID</v>
          </cell>
          <cell r="B1628" t="str">
            <v>ELEVADOR DE VIDRIO</v>
          </cell>
          <cell r="C1628">
            <v>0</v>
          </cell>
          <cell r="D1628">
            <v>45954</v>
          </cell>
          <cell r="E1628">
            <v>0</v>
          </cell>
          <cell r="F1628" t="str">
            <v>NATURAL</v>
          </cell>
          <cell r="G1628" t="str">
            <v>HERRAMIENTAS</v>
          </cell>
        </row>
        <row r="1629">
          <cell r="A1629" t="str">
            <v>SM-ML-CRT-REF</v>
          </cell>
          <cell r="B1629" t="str">
            <v>MOLDE DE PARA MAQUINA CORTADORA REFUERZOS</v>
          </cell>
          <cell r="C1629">
            <v>0</v>
          </cell>
          <cell r="D1629">
            <v>45954</v>
          </cell>
          <cell r="E1629">
            <v>0</v>
          </cell>
          <cell r="F1629" t="str">
            <v>NATURAL</v>
          </cell>
          <cell r="G1629" t="str">
            <v>HERRAMIENTAS</v>
          </cell>
        </row>
        <row r="1630">
          <cell r="A1630" t="str">
            <v>SM-MT-PL-VID</v>
          </cell>
          <cell r="B1630" t="str">
            <v>MATERIAL PARA PULIDO DE VIDRIO</v>
          </cell>
          <cell r="C1630">
            <v>0</v>
          </cell>
          <cell r="D1630">
            <v>46100</v>
          </cell>
          <cell r="E1630">
            <v>0</v>
          </cell>
          <cell r="F1630" t="str">
            <v>NATURAL</v>
          </cell>
          <cell r="G1630" t="str">
            <v>VIDRIOS</v>
          </cell>
        </row>
        <row r="1631">
          <cell r="A1631" t="str">
            <v>SM-NAN-SILICAG</v>
          </cell>
          <cell r="B1631" t="str">
            <v>NANOMOL SILICAGEL 0,5-0,9 mm</v>
          </cell>
          <cell r="C1631">
            <v>0</v>
          </cell>
          <cell r="D1631">
            <v>45954</v>
          </cell>
          <cell r="E1631">
            <v>0</v>
          </cell>
          <cell r="F1631" t="str">
            <v>NATURAL</v>
          </cell>
          <cell r="G1631" t="str">
            <v>HERRAMIENTAS</v>
          </cell>
        </row>
        <row r="1632">
          <cell r="A1632" t="str">
            <v>SM-PTA-AC</v>
          </cell>
          <cell r="B1632" t="str">
            <v>PUERTA DE ACERO ESPECIAL IZQ - MADERA</v>
          </cell>
          <cell r="C1632">
            <v>1</v>
          </cell>
          <cell r="D1632">
            <v>46100</v>
          </cell>
          <cell r="E1632">
            <v>0</v>
          </cell>
          <cell r="F1632" t="str">
            <v>MADERA</v>
          </cell>
          <cell r="G1632" t="str">
            <v>PUERTA</v>
          </cell>
        </row>
        <row r="1633">
          <cell r="A1633" t="str">
            <v>SM-PTA-AC-DER-MD</v>
          </cell>
          <cell r="B1633" t="str">
            <v>PUERTA DE ACERO INDOOR DER - MADERA</v>
          </cell>
          <cell r="C1633">
            <v>3</v>
          </cell>
          <cell r="D1633">
            <v>46101</v>
          </cell>
          <cell r="E1633">
            <v>0</v>
          </cell>
          <cell r="F1633" t="str">
            <v>MADERA</v>
          </cell>
          <cell r="G1633" t="str">
            <v>PUERTA</v>
          </cell>
        </row>
        <row r="1634">
          <cell r="A1634" t="str">
            <v>SM-PTA-AC-DER-NE</v>
          </cell>
          <cell r="B1634" t="str">
            <v>PUERTA DE ACERO INDOOR DER - NEGRO</v>
          </cell>
          <cell r="C1634">
            <v>3</v>
          </cell>
          <cell r="D1634">
            <v>46101</v>
          </cell>
          <cell r="E1634">
            <v>0</v>
          </cell>
          <cell r="F1634" t="str">
            <v>NEGRO</v>
          </cell>
          <cell r="G1634" t="str">
            <v>PUERTA</v>
          </cell>
        </row>
        <row r="1635">
          <cell r="A1635" t="str">
            <v>SM-PTA-AC-IZQ-MD</v>
          </cell>
          <cell r="B1635" t="str">
            <v>PUERTA DE ACERO INDOOR IZQ - MADERA</v>
          </cell>
          <cell r="C1635">
            <v>3</v>
          </cell>
          <cell r="D1635">
            <v>46101</v>
          </cell>
          <cell r="E1635">
            <v>0</v>
          </cell>
          <cell r="F1635" t="str">
            <v>MADERA</v>
          </cell>
          <cell r="G1635" t="str">
            <v>PUERTA</v>
          </cell>
        </row>
        <row r="1636">
          <cell r="A1636" t="str">
            <v>SM-PTA-AC-IZQ-NE</v>
          </cell>
          <cell r="B1636" t="str">
            <v>PUERTA DE ACERO INDOOR IZQ - NEGRO</v>
          </cell>
          <cell r="C1636">
            <v>3</v>
          </cell>
          <cell r="D1636">
            <v>46101</v>
          </cell>
          <cell r="E1636">
            <v>0</v>
          </cell>
          <cell r="F1636" t="str">
            <v>NEGRO</v>
          </cell>
          <cell r="G1636" t="str">
            <v>PUERTA</v>
          </cell>
        </row>
        <row r="1637">
          <cell r="A1637" t="str">
            <v>SM-VEN-VIDR</v>
          </cell>
          <cell r="B1637" t="str">
            <v>VENTOSA DE VIDRIO</v>
          </cell>
          <cell r="C1637">
            <v>0</v>
          </cell>
          <cell r="D1637">
            <v>45954</v>
          </cell>
          <cell r="E1637">
            <v>0</v>
          </cell>
          <cell r="F1637" t="str">
            <v>NATURAL</v>
          </cell>
          <cell r="G1637" t="str">
            <v>HERRAMIENTAS</v>
          </cell>
        </row>
        <row r="1638">
          <cell r="A1638" t="str">
            <v>TC26</v>
          </cell>
          <cell r="B1638" t="str">
            <v>EQUIPO DE CAPTURA MOVIL TC26</v>
          </cell>
          <cell r="C1638">
            <v>0</v>
          </cell>
          <cell r="E1638">
            <v>0</v>
          </cell>
        </row>
        <row r="1639">
          <cell r="A1639" t="str">
            <v>TERM-MAQ</v>
          </cell>
          <cell r="B1639" t="str">
            <v>TERMOPANEL</v>
          </cell>
          <cell r="C1639">
            <v>0</v>
          </cell>
          <cell r="E1639">
            <v>0</v>
          </cell>
        </row>
        <row r="1640">
          <cell r="A1640" t="str">
            <v>VENT-MAQ</v>
          </cell>
          <cell r="B1640" t="str">
            <v>VENTANA MAQUILA</v>
          </cell>
          <cell r="C1640">
            <v>0</v>
          </cell>
          <cell r="D1640">
            <v>45573</v>
          </cell>
          <cell r="E1640">
            <v>0</v>
          </cell>
        </row>
        <row r="1641">
          <cell r="A1641" t="str">
            <v>VIDI-CH-5MM-2500X3600</v>
          </cell>
          <cell r="B1641" t="str">
            <v>VIDRIO 5 MM CHINO 2500 X 3600</v>
          </cell>
          <cell r="C1641">
            <v>0</v>
          </cell>
          <cell r="D1641">
            <v>45908</v>
          </cell>
          <cell r="E1641">
            <v>0</v>
          </cell>
          <cell r="F1641" t="str">
            <v>NATURAL</v>
          </cell>
          <cell r="G1641" t="str">
            <v>VIDRIOS</v>
          </cell>
        </row>
        <row r="1642">
          <cell r="A1642" t="str">
            <v>VIDL-TEMP-10MM</v>
          </cell>
          <cell r="B1642" t="str">
            <v>TEMPLADO 10 MM (C/PERFORACIONES)</v>
          </cell>
          <cell r="C1642">
            <v>0</v>
          </cell>
          <cell r="E1642">
            <v>0</v>
          </cell>
          <cell r="F1642" t="str">
            <v>NATURAL</v>
          </cell>
          <cell r="G1642" t="str">
            <v>TIARA - SLIM</v>
          </cell>
        </row>
        <row r="1643">
          <cell r="A1643" t="str">
            <v>ZT230</v>
          </cell>
          <cell r="B1643" t="str">
            <v>IMPRESORA ZT230</v>
          </cell>
          <cell r="C1643">
            <v>0</v>
          </cell>
          <cell r="E1643">
            <v>0</v>
          </cell>
        </row>
      </sheetData>
      <sheetData sheetId="1">
        <row r="1">
          <cell r="A1" t="str">
            <v>Número de artículo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7"/>
      <sheetName val="Hoja4"/>
      <sheetName val="ART TOTALES"/>
      <sheetName val="COSTO SAP"/>
      <sheetName val="Hoja2"/>
      <sheetName val="Aleta WH"/>
      <sheetName val="TEORICO TCO"/>
      <sheetName val="TEORICO STGO"/>
      <sheetName val="LP 08-2024"/>
      <sheetName val="V. Promedio TCO"/>
      <sheetName val="V Promedio stgo"/>
      <sheetName val="ARRIBOS WH"/>
      <sheetName val="CONSULTAS"/>
      <sheetName val="PEDIDO ATRASADOS"/>
      <sheetName val="s75-s70"/>
      <sheetName val="ANALISIS S75"/>
      <sheetName val="inversor de codigos "/>
      <sheetName val="Hoja1"/>
      <sheetName val="CONALUM "/>
      <sheetName val="BODEGA PUERTO MONTT"/>
      <sheetName val="OC PENDIENTE"/>
      <sheetName val="Hoja6"/>
      <sheetName val="Hoja5"/>
      <sheetName val="LISTADO OC"/>
      <sheetName val="OC + DESCRIP"/>
      <sheetName val="TRASLAPOS ALTA INERCIA"/>
      <sheetName val="DETALLE SAP- INVAS"/>
      <sheetName val="121- SAP"/>
      <sheetName val="121- INVAS"/>
      <sheetName val="22- SAP"/>
      <sheetName val="22 -INV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A1" t="str">
            <v>Número de artículo</v>
          </cell>
          <cell r="B1" t="str">
            <v>Descripción del artículo</v>
          </cell>
          <cell r="C1" t="str">
            <v>Lista de precios base</v>
          </cell>
          <cell r="D1" t="str">
            <v>Factor</v>
          </cell>
          <cell r="E1" t="str">
            <v>Precio base</v>
          </cell>
          <cell r="F1" t="str">
            <v>Precio</v>
          </cell>
        </row>
        <row r="2">
          <cell r="A2">
            <v>110040222200</v>
          </cell>
          <cell r="B2" t="str">
            <v>400/22 MM ZAMAC GEARBOX STD.  PIN ESPAGNOLETTE</v>
          </cell>
          <cell r="C2" t="str">
            <v>PRECIO DE VENTA</v>
          </cell>
          <cell r="D2">
            <v>1</v>
          </cell>
          <cell r="E2" t="str">
            <v>USD 1,150000</v>
          </cell>
          <cell r="F2" t="str">
            <v>USD 1,150000</v>
          </cell>
        </row>
        <row r="3">
          <cell r="A3">
            <v>110040225200</v>
          </cell>
          <cell r="B3" t="str">
            <v>400/25 MM ZAMAC GEARBOX STD.PIN ESPAGNOLETTE</v>
          </cell>
          <cell r="C3" t="str">
            <v>PRECIO DE VENTA</v>
          </cell>
          <cell r="D3">
            <v>1</v>
          </cell>
          <cell r="E3" t="str">
            <v>USD 1,150000</v>
          </cell>
          <cell r="F3" t="str">
            <v>USD 1,150000</v>
          </cell>
        </row>
        <row r="4">
          <cell r="A4">
            <v>110040922200</v>
          </cell>
          <cell r="B4" t="str">
            <v>CREMONA PRACT. D22 (GAVM 400-2 D22)</v>
          </cell>
          <cell r="C4" t="str">
            <v>PRECIO DE VENTA</v>
          </cell>
          <cell r="D4">
            <v>1</v>
          </cell>
          <cell r="E4" t="str">
            <v>USD 1,130000</v>
          </cell>
          <cell r="F4" t="str">
            <v>USD 1,130000</v>
          </cell>
        </row>
        <row r="5">
          <cell r="A5">
            <v>110060215200</v>
          </cell>
          <cell r="B5" t="str">
            <v>600/15 MM ZAMAC GEARBOX STD.  PIN ESPAGNOLETTE</v>
          </cell>
          <cell r="C5" t="str">
            <v>PRECIO DE VENTA</v>
          </cell>
          <cell r="D5">
            <v>1</v>
          </cell>
          <cell r="E5" t="str">
            <v>USD 0,940000</v>
          </cell>
          <cell r="F5" t="str">
            <v>USD 0,940000</v>
          </cell>
        </row>
        <row r="6">
          <cell r="A6">
            <v>110060225200</v>
          </cell>
          <cell r="B6" t="str">
            <v>600/25 MM ZAMAC GEARBOX STD.  PIN ESPAGNOLETTE</v>
          </cell>
          <cell r="C6" t="str">
            <v>PRECIO DE VENTA</v>
          </cell>
          <cell r="D6">
            <v>1</v>
          </cell>
          <cell r="E6" t="str">
            <v>USD 1,310000</v>
          </cell>
          <cell r="F6" t="str">
            <v>USD 1,310000</v>
          </cell>
        </row>
        <row r="7">
          <cell r="A7">
            <v>110080307200</v>
          </cell>
          <cell r="B7" t="str">
            <v>CREMONA CORREDERA  800/ 7,5 - 2</v>
          </cell>
          <cell r="C7" t="str">
            <v>PRECIO DE VENTA</v>
          </cell>
          <cell r="D7">
            <v>1</v>
          </cell>
          <cell r="E7" t="str">
            <v>USD 1,470000</v>
          </cell>
          <cell r="F7" t="str">
            <v>USD 1,470000</v>
          </cell>
        </row>
        <row r="8">
          <cell r="A8">
            <v>110160307200</v>
          </cell>
          <cell r="B8" t="str">
            <v>CREMONA CORREDERA  1600/ 7,5 - 3</v>
          </cell>
          <cell r="C8" t="str">
            <v>PRECIO DE VENTA</v>
          </cell>
          <cell r="D8">
            <v>1</v>
          </cell>
          <cell r="E8" t="str">
            <v>USD 2,250000</v>
          </cell>
          <cell r="F8" t="str">
            <v>USD 2,250000</v>
          </cell>
        </row>
        <row r="9">
          <cell r="A9">
            <v>110180225200</v>
          </cell>
          <cell r="B9" t="str">
            <v>1800/25 MM ZAMAC GEARBOX STD.  PIN ESPAGNOLETTE</v>
          </cell>
          <cell r="C9" t="str">
            <v>PRECIO DE VENTA</v>
          </cell>
          <cell r="D9">
            <v>1</v>
          </cell>
          <cell r="E9" t="str">
            <v>USD 2,800000</v>
          </cell>
          <cell r="F9" t="str">
            <v>USD 2,800000</v>
          </cell>
        </row>
        <row r="10">
          <cell r="A10">
            <v>110180315200</v>
          </cell>
          <cell r="B10" t="str">
            <v>CREMONA CORREDERA 1800/ 15,5 - 4</v>
          </cell>
          <cell r="C10" t="str">
            <v>PRECIO DE VENTA</v>
          </cell>
          <cell r="D10">
            <v>1</v>
          </cell>
          <cell r="E10" t="str">
            <v>USD 2,180000</v>
          </cell>
          <cell r="F10" t="str">
            <v>USD 2,180000</v>
          </cell>
        </row>
        <row r="11">
          <cell r="A11">
            <v>110200315200</v>
          </cell>
          <cell r="B11" t="str">
            <v>CREMONA CORREDERA 2000/ 15,5 - 4</v>
          </cell>
          <cell r="C11" t="str">
            <v>PRECIO DE VENTA</v>
          </cell>
          <cell r="D11">
            <v>1</v>
          </cell>
          <cell r="E11" t="str">
            <v>USD 2,360000</v>
          </cell>
          <cell r="F11" t="str">
            <v>USD 2,360000</v>
          </cell>
        </row>
        <row r="12">
          <cell r="A12" t="str">
            <v>112-00407-027</v>
          </cell>
          <cell r="B12" t="str">
            <v>CREMONA CORREDERA  210/7,5-1 PIN ZAMAK</v>
          </cell>
          <cell r="C12" t="str">
            <v>PRECIO DE VENTA</v>
          </cell>
          <cell r="D12">
            <v>1</v>
          </cell>
          <cell r="E12" t="str">
            <v>USD 1,030000</v>
          </cell>
          <cell r="F12" t="str">
            <v>USD 1,030000</v>
          </cell>
        </row>
        <row r="13">
          <cell r="A13" t="str">
            <v>112-00415-021</v>
          </cell>
          <cell r="B13" t="str">
            <v>SLIDING ESPAGNLETTE NARROW 210/15,(ZMC.PIN)</v>
          </cell>
          <cell r="C13" t="str">
            <v>PRECIO DE VENTA</v>
          </cell>
          <cell r="D13">
            <v>1</v>
          </cell>
          <cell r="E13" t="str">
            <v>USD 0,810000</v>
          </cell>
          <cell r="F13" t="str">
            <v>USD 0,810000</v>
          </cell>
        </row>
        <row r="14">
          <cell r="A14" t="str">
            <v>112-10507-060</v>
          </cell>
          <cell r="B14" t="str">
            <v>600/7,5 MM NARROW SLIDING ESPAGNOLETTE ( LOTUS PIN)</v>
          </cell>
          <cell r="C14" t="str">
            <v>PRECIO DE VENTA</v>
          </cell>
          <cell r="D14">
            <v>1</v>
          </cell>
          <cell r="E14" t="str">
            <v>USD 1,290000</v>
          </cell>
          <cell r="F14" t="str">
            <v>USD 1,290000</v>
          </cell>
        </row>
        <row r="15">
          <cell r="A15" t="str">
            <v>112-10507-080</v>
          </cell>
          <cell r="B15" t="str">
            <v>800/7,5 MM NARROW SLIDING ESPAGNOLETTE ( LOTUS PIN)</v>
          </cell>
          <cell r="C15" t="str">
            <v>PRECIO DE VENTA</v>
          </cell>
          <cell r="D15">
            <v>1</v>
          </cell>
          <cell r="E15" t="str">
            <v>USD 1,500000</v>
          </cell>
          <cell r="F15" t="str">
            <v>USD 1,500000</v>
          </cell>
        </row>
        <row r="16">
          <cell r="A16" t="str">
            <v>112-10507-100</v>
          </cell>
          <cell r="B16" t="str">
            <v>1000/7,5. NARROW SLIDING ESPAGNOLETTES(LOTUS PIN)</v>
          </cell>
          <cell r="C16" t="str">
            <v>PRECIO DE VENTA</v>
          </cell>
          <cell r="D16">
            <v>1</v>
          </cell>
          <cell r="E16" t="str">
            <v>USD 1,650000</v>
          </cell>
          <cell r="F16" t="str">
            <v>USD 1,650000</v>
          </cell>
        </row>
        <row r="17">
          <cell r="A17" t="str">
            <v>112-10507-180</v>
          </cell>
          <cell r="B17" t="str">
            <v>1800/7,5 MM NARROW SLIDING ESPAGNOLETTE ( LOTUS PIN)</v>
          </cell>
          <cell r="C17" t="str">
            <v>PRECIO DE VENTA</v>
          </cell>
          <cell r="D17">
            <v>1</v>
          </cell>
          <cell r="E17" t="str">
            <v>USD 2,670000</v>
          </cell>
          <cell r="F17" t="str">
            <v>USD 2,670000</v>
          </cell>
        </row>
        <row r="18">
          <cell r="A18" t="str">
            <v>112-10515-040</v>
          </cell>
          <cell r="B18" t="str">
            <v>400/15 MM NARROW SLIDING ESPAGNOLETTE ( LOTUS PIN)</v>
          </cell>
          <cell r="C18" t="str">
            <v>PRECIO DE VENTA</v>
          </cell>
          <cell r="D18">
            <v>1</v>
          </cell>
          <cell r="E18" t="str">
            <v>USD 0,850000</v>
          </cell>
          <cell r="F18" t="str">
            <v>USD 0,850000</v>
          </cell>
        </row>
        <row r="19">
          <cell r="A19" t="str">
            <v>112-10515-060</v>
          </cell>
          <cell r="B19" t="str">
            <v>600/15 MM NARROW SLIDING ESPAGNOLETTE ( LOTUS PIN)</v>
          </cell>
          <cell r="C19" t="str">
            <v>PRECIO DE VENTA</v>
          </cell>
          <cell r="D19">
            <v>1</v>
          </cell>
          <cell r="E19" t="str">
            <v>USD 1,010000</v>
          </cell>
          <cell r="F19" t="str">
            <v>USD 1,010000</v>
          </cell>
        </row>
        <row r="20">
          <cell r="A20" t="str">
            <v>112-10515-080</v>
          </cell>
          <cell r="B20" t="str">
            <v>800/15 MM NARROW SLIDING ESPAGNOLETTE ( LOTUS PIN)</v>
          </cell>
          <cell r="C20" t="str">
            <v>PRECIO DE VENTA</v>
          </cell>
          <cell r="D20">
            <v>1</v>
          </cell>
          <cell r="E20" t="str">
            <v>USD 1,160000</v>
          </cell>
          <cell r="F20" t="str">
            <v>USD 1,160000</v>
          </cell>
        </row>
        <row r="21">
          <cell r="A21" t="str">
            <v>112-10515-100</v>
          </cell>
          <cell r="B21" t="str">
            <v>1000/15 MM NARROW SLIDING ESPAGNOLETTE ( LOTUS PIN)</v>
          </cell>
          <cell r="C21" t="str">
            <v>PRECIO DE VENTA</v>
          </cell>
          <cell r="D21">
            <v>1</v>
          </cell>
          <cell r="E21" t="str">
            <v>USD 1,380000</v>
          </cell>
          <cell r="F21" t="str">
            <v>USD 1,380000</v>
          </cell>
        </row>
        <row r="22">
          <cell r="A22" t="str">
            <v>112-10515-160</v>
          </cell>
          <cell r="B22" t="str">
            <v>1600/15 MM NARROW SLIDING ESPAGNOLETTE ( LOTUS PIN)</v>
          </cell>
          <cell r="C22" t="str">
            <v>PRECIO DE VENTA</v>
          </cell>
          <cell r="D22">
            <v>1</v>
          </cell>
          <cell r="E22" t="str">
            <v>USD 1,890000</v>
          </cell>
          <cell r="F22" t="str">
            <v>USD 1,890000</v>
          </cell>
        </row>
        <row r="23">
          <cell r="A23" t="str">
            <v>112-10515-180</v>
          </cell>
          <cell r="B23" t="str">
            <v>1800/15 MM NARROW SLIDING ESPAGNOLETTE ( LOTUS PIN)</v>
          </cell>
          <cell r="C23" t="str">
            <v>PRECIO DE VENTA</v>
          </cell>
          <cell r="D23">
            <v>1</v>
          </cell>
          <cell r="E23" t="str">
            <v>USD 2,220000</v>
          </cell>
          <cell r="F23" t="str">
            <v>USD 2,220000</v>
          </cell>
        </row>
        <row r="24">
          <cell r="A24">
            <v>120801005</v>
          </cell>
          <cell r="B24" t="str">
            <v>Activos fijos por distribuir</v>
          </cell>
          <cell r="C24" t="str">
            <v>PRECIO DE VENTA</v>
          </cell>
          <cell r="D24">
            <v>1</v>
          </cell>
        </row>
        <row r="25">
          <cell r="A25" t="str">
            <v>130100003000BL</v>
          </cell>
          <cell r="B25" t="str">
            <v>HINGE 100MM OUTWARD OPENING FORNAX R-9016 Byz Ö/K</v>
          </cell>
          <cell r="C25" t="str">
            <v>PRECIO DE VENTA</v>
          </cell>
          <cell r="D25">
            <v>1</v>
          </cell>
          <cell r="E25" t="str">
            <v>USD 0,800000</v>
          </cell>
          <cell r="F25" t="str">
            <v>USD 0,800000</v>
          </cell>
        </row>
        <row r="26">
          <cell r="A26" t="str">
            <v>130100003000MR</v>
          </cell>
          <cell r="B26" t="str">
            <v>HINGE 100MM OUTWARD OPENING FORNAX R-8019 K.Khv Ö/K</v>
          </cell>
          <cell r="C26" t="str">
            <v>PRECIO DE VENTA</v>
          </cell>
          <cell r="D26">
            <v>1</v>
          </cell>
          <cell r="E26" t="str">
            <v>USD 0,800000</v>
          </cell>
          <cell r="F26" t="str">
            <v>USD 0,800000</v>
          </cell>
        </row>
        <row r="27">
          <cell r="A27" t="str">
            <v>130100003000NG</v>
          </cell>
          <cell r="B27" t="str">
            <v>HINGE 100MM OUTWARD OPENING FORNAX R-9005 Syh Mat</v>
          </cell>
          <cell r="C27" t="str">
            <v>PRECIO DE VENTA</v>
          </cell>
          <cell r="D27">
            <v>1</v>
          </cell>
          <cell r="E27" t="str">
            <v>USD 0,800000</v>
          </cell>
          <cell r="F27" t="str">
            <v>USD 0,800000</v>
          </cell>
        </row>
        <row r="28">
          <cell r="A28" t="str">
            <v>130125001000BL</v>
          </cell>
          <cell r="B28" t="str">
            <v>BISAGRA 3D ALUMINIO 125KG BLANCA</v>
          </cell>
          <cell r="C28" t="str">
            <v>PRECIO DE VENTA</v>
          </cell>
          <cell r="D28">
            <v>1</v>
          </cell>
          <cell r="E28" t="str">
            <v>USD 3,110000</v>
          </cell>
          <cell r="F28" t="str">
            <v>USD 3,110000</v>
          </cell>
        </row>
        <row r="29">
          <cell r="A29" t="str">
            <v>130125001000MR</v>
          </cell>
          <cell r="B29" t="str">
            <v>BISAGRA 3D ALUMINIO 125KG MARRON</v>
          </cell>
          <cell r="C29" t="str">
            <v>PRECIO DE VENTA</v>
          </cell>
          <cell r="D29">
            <v>1</v>
          </cell>
          <cell r="E29" t="str">
            <v>USD 3,260000</v>
          </cell>
          <cell r="F29" t="str">
            <v>USD 3,260000</v>
          </cell>
        </row>
        <row r="30">
          <cell r="A30" t="str">
            <v>130125001001NG</v>
          </cell>
          <cell r="B30" t="str">
            <v>BISAGRA 3D ALUMINIO 125KG NEGRO</v>
          </cell>
          <cell r="C30" t="str">
            <v>PRECIO DE VENTA</v>
          </cell>
          <cell r="D30">
            <v>1</v>
          </cell>
          <cell r="E30" t="str">
            <v>USD 3,260000</v>
          </cell>
          <cell r="F30" t="str">
            <v>USD 3,260000</v>
          </cell>
        </row>
        <row r="31">
          <cell r="A31" t="str">
            <v>130125018000BL</v>
          </cell>
          <cell r="B31" t="str">
            <v>ADJUSTABLE 3D DOOR HINGE(125KN) R-9016 Byz Ö/K</v>
          </cell>
          <cell r="C31" t="str">
            <v>PRECIO DE VENTA</v>
          </cell>
          <cell r="D31">
            <v>1</v>
          </cell>
          <cell r="E31" t="str">
            <v>USD 4,780000</v>
          </cell>
          <cell r="F31" t="str">
            <v>USD 4,780000</v>
          </cell>
        </row>
        <row r="32">
          <cell r="A32" t="str">
            <v>130125018000MR</v>
          </cell>
          <cell r="B32" t="str">
            <v>ADJUSTABLE 3D DOOR HINGE(125KN) R-8019 K.Khv S/K</v>
          </cell>
          <cell r="C32" t="str">
            <v>PRECIO DE VENTA</v>
          </cell>
          <cell r="D32">
            <v>1</v>
          </cell>
          <cell r="E32" t="str">
            <v>USD 5,310000</v>
          </cell>
          <cell r="F32" t="str">
            <v>USD 5,310000</v>
          </cell>
        </row>
        <row r="33">
          <cell r="A33" t="str">
            <v>130125018000NG</v>
          </cell>
          <cell r="B33" t="str">
            <v>ADJUSTABLE 3D DOOR HINGE(125KN) R-9005 Syh Mat S/K</v>
          </cell>
          <cell r="C33" t="str">
            <v>PRECIO DE VENTA</v>
          </cell>
          <cell r="D33">
            <v>1</v>
          </cell>
          <cell r="E33" t="str">
            <v>USD 5,310000</v>
          </cell>
          <cell r="F33" t="str">
            <v>USD 5,310000</v>
          </cell>
        </row>
        <row r="34">
          <cell r="A34">
            <v>170180192135</v>
          </cell>
          <cell r="B34" t="str">
            <v>1800/92/35 (B+/D-) STD.  PIN MULTIPOINT DOOR LOCK</v>
          </cell>
          <cell r="C34" t="str">
            <v>PRECIO DE VENTA</v>
          </cell>
          <cell r="D34">
            <v>1</v>
          </cell>
          <cell r="E34" t="str">
            <v>USD 3,530000</v>
          </cell>
          <cell r="F34" t="str">
            <v>USD 3,530000</v>
          </cell>
        </row>
        <row r="35">
          <cell r="A35">
            <v>175193392135</v>
          </cell>
          <cell r="B35" t="str">
            <v>1930/92/35 (B+D)CUTTABLE MULTIPOINT DOOR LOCKS STD. PIN(1800-2200)</v>
          </cell>
          <cell r="C35" t="str">
            <v>PRECIO DE VENTA</v>
          </cell>
          <cell r="D35">
            <v>1</v>
          </cell>
          <cell r="E35" t="str">
            <v>USD 3,790000</v>
          </cell>
          <cell r="F35" t="str">
            <v>USD 3,790000</v>
          </cell>
        </row>
        <row r="36">
          <cell r="A36">
            <v>181010001000</v>
          </cell>
          <cell r="B36" t="str">
            <v>T&amp;T CORNER TRANSMISSION STD.PIN</v>
          </cell>
          <cell r="C36" t="str">
            <v>PRECIO DE VENTA</v>
          </cell>
          <cell r="D36">
            <v>1</v>
          </cell>
          <cell r="E36" t="str">
            <v>USD 0,940000</v>
          </cell>
          <cell r="F36" t="str">
            <v>USD 0,940000</v>
          </cell>
        </row>
        <row r="37">
          <cell r="A37">
            <v>189150401000</v>
          </cell>
          <cell r="B37" t="str">
            <v>T&amp;T 420 CONNECTION GEAR</v>
          </cell>
          <cell r="C37" t="str">
            <v>PRECIO DE VENTA</v>
          </cell>
          <cell r="D37">
            <v>1</v>
          </cell>
          <cell r="E37" t="str">
            <v>USD 0,720000</v>
          </cell>
          <cell r="F37" t="str">
            <v>USD 0,720000</v>
          </cell>
        </row>
        <row r="38">
          <cell r="A38">
            <v>189164002000</v>
          </cell>
          <cell r="B38" t="str">
            <v>CERRADERO PASADOR EJE 13 UNIVERSAL REGULABLE</v>
          </cell>
          <cell r="C38" t="str">
            <v>PRECIO DE VENTA</v>
          </cell>
          <cell r="D38">
            <v>1</v>
          </cell>
          <cell r="E38" t="str">
            <v>USD 0,840000</v>
          </cell>
          <cell r="F38" t="str">
            <v>USD 0,840000</v>
          </cell>
        </row>
        <row r="39">
          <cell r="A39">
            <v>220144001000</v>
          </cell>
          <cell r="B39" t="str">
            <v>ESP. STRIKER SLIDING IRONSHEET</v>
          </cell>
          <cell r="C39" t="str">
            <v>PRECIO DE VENTA</v>
          </cell>
          <cell r="D39">
            <v>1</v>
          </cell>
          <cell r="E39" t="str">
            <v>USD 0,080000</v>
          </cell>
          <cell r="F39" t="str">
            <v>USD 0,080000</v>
          </cell>
        </row>
        <row r="40">
          <cell r="A40">
            <v>220301001</v>
          </cell>
          <cell r="B40" t="str">
            <v>Pagos en proceso</v>
          </cell>
          <cell r="C40" t="str">
            <v>PRECIO DE VENTA</v>
          </cell>
          <cell r="D40">
            <v>1</v>
          </cell>
        </row>
        <row r="41">
          <cell r="A41">
            <v>220990016000</v>
          </cell>
          <cell r="B41" t="str">
            <v>ANTILIFTING PART FOR SLIDING STRIKER STEEL</v>
          </cell>
          <cell r="C41" t="str">
            <v>PRECIO DE VENTA</v>
          </cell>
          <cell r="D41">
            <v>1</v>
          </cell>
          <cell r="E41" t="str">
            <v>USD 0,060000</v>
          </cell>
          <cell r="F41" t="str">
            <v>USD 0,060000</v>
          </cell>
        </row>
        <row r="42">
          <cell r="A42" t="str">
            <v>221-07102-000NG</v>
          </cell>
          <cell r="B42" t="str">
            <v>ECO LONG ADJUSTABLE DOOR LOCK STRIKER  (R/L) PH+ R-9005 Syh Ö/K</v>
          </cell>
          <cell r="C42" t="str">
            <v>PRECIO DE VENTA</v>
          </cell>
          <cell r="D42">
            <v>1</v>
          </cell>
          <cell r="E42" t="str">
            <v>USD 0,440000</v>
          </cell>
          <cell r="F42" t="str">
            <v>USD 0,440000</v>
          </cell>
        </row>
        <row r="43">
          <cell r="A43" t="str">
            <v>221006004000PL</v>
          </cell>
          <cell r="B43" t="str">
            <v>ADJUSTABLE LATCH PLATE FORNAX - SHORT  2MM R-L R-9006 Gmş Ö/K</v>
          </cell>
          <cell r="C43" t="str">
            <v>PRECIO DE VENTA</v>
          </cell>
          <cell r="D43">
            <v>1</v>
          </cell>
          <cell r="E43" t="str">
            <v>USD 0,340000</v>
          </cell>
          <cell r="F43" t="str">
            <v>USD 0,340000</v>
          </cell>
        </row>
        <row r="44">
          <cell r="A44">
            <v>250111003000</v>
          </cell>
          <cell r="B44" t="str">
            <v>TILT OPENING SEC.</v>
          </cell>
          <cell r="C44" t="str">
            <v>PRECIO DE VENTA</v>
          </cell>
          <cell r="D44">
            <v>1</v>
          </cell>
          <cell r="E44" t="str">
            <v>USD 0,510000</v>
          </cell>
          <cell r="F44" t="str">
            <v>USD 0,510000</v>
          </cell>
        </row>
        <row r="45">
          <cell r="A45">
            <v>250113001000</v>
          </cell>
          <cell r="B45" t="str">
            <v>BOLT AND STRIKER FOR WINDOW AND DOOR(ZAMAC)</v>
          </cell>
          <cell r="C45" t="str">
            <v>PRECIO DE VENTA</v>
          </cell>
          <cell r="D45">
            <v>1</v>
          </cell>
          <cell r="E45" t="str">
            <v>USD 0,620000</v>
          </cell>
          <cell r="F45" t="str">
            <v>USD 0,620000</v>
          </cell>
        </row>
        <row r="46">
          <cell r="A46">
            <v>250117001000</v>
          </cell>
          <cell r="B46" t="str">
            <v>CERRADERO CORREDERA ANTIELEVACIÓN</v>
          </cell>
          <cell r="C46" t="str">
            <v>PRECIO DE VENTA</v>
          </cell>
          <cell r="D46">
            <v>1</v>
          </cell>
          <cell r="E46" t="str">
            <v>USD 0,060000</v>
          </cell>
          <cell r="F46" t="str">
            <v>USD 0,060000</v>
          </cell>
        </row>
        <row r="47">
          <cell r="A47" t="str">
            <v>444001003001MR</v>
          </cell>
          <cell r="B47" t="str">
            <v>MANILLA MILANO 92/25 MARRON</v>
          </cell>
          <cell r="C47" t="str">
            <v>PRECIO DE VENTA</v>
          </cell>
          <cell r="D47">
            <v>1</v>
          </cell>
          <cell r="E47" t="str">
            <v>USD 4,590000</v>
          </cell>
          <cell r="F47" t="str">
            <v>USD 4,590000</v>
          </cell>
        </row>
        <row r="48">
          <cell r="A48" t="str">
            <v>444001003001NG</v>
          </cell>
          <cell r="B48" t="str">
            <v>MANILLA MILANO 92/25 NEGRO</v>
          </cell>
          <cell r="C48" t="str">
            <v>PRECIO DE VENTA</v>
          </cell>
          <cell r="D48">
            <v>1</v>
          </cell>
          <cell r="E48" t="str">
            <v>USD 4,590000</v>
          </cell>
          <cell r="F48" t="str">
            <v>USD 4,590000</v>
          </cell>
        </row>
        <row r="49">
          <cell r="A49">
            <v>610201011</v>
          </cell>
          <cell r="B49" t="str">
            <v>Beneficio Personal</v>
          </cell>
          <cell r="C49" t="str">
            <v>PRECIO DE VENTA</v>
          </cell>
          <cell r="D49">
            <v>1</v>
          </cell>
        </row>
        <row r="50">
          <cell r="A50">
            <v>610201016</v>
          </cell>
          <cell r="B50" t="str">
            <v>Gastos de Capacitacion</v>
          </cell>
          <cell r="C50" t="str">
            <v>PRECIO DE VENTA</v>
          </cell>
          <cell r="D50">
            <v>1</v>
          </cell>
        </row>
        <row r="51">
          <cell r="A51">
            <v>610202001</v>
          </cell>
          <cell r="B51" t="str">
            <v>Luz</v>
          </cell>
          <cell r="C51" t="str">
            <v>PRECIO DE VENTA</v>
          </cell>
          <cell r="D51">
            <v>1</v>
          </cell>
        </row>
        <row r="52">
          <cell r="A52">
            <v>610202002</v>
          </cell>
          <cell r="B52" t="str">
            <v>Agua</v>
          </cell>
          <cell r="C52" t="str">
            <v>PRECIO DE VENTA</v>
          </cell>
          <cell r="D52">
            <v>1</v>
          </cell>
        </row>
        <row r="53">
          <cell r="A53">
            <v>610202003</v>
          </cell>
          <cell r="B53" t="str">
            <v>Arriendo</v>
          </cell>
          <cell r="C53" t="str">
            <v>PRECIO DE VENTA</v>
          </cell>
          <cell r="D53">
            <v>1</v>
          </cell>
        </row>
        <row r="54">
          <cell r="A54">
            <v>610202004</v>
          </cell>
          <cell r="B54" t="str">
            <v>Gastos Comunes</v>
          </cell>
          <cell r="C54" t="str">
            <v>PRECIO DE VENTA</v>
          </cell>
          <cell r="D54">
            <v>1</v>
          </cell>
        </row>
        <row r="55">
          <cell r="A55">
            <v>610202005</v>
          </cell>
          <cell r="B55" t="str">
            <v>Gas</v>
          </cell>
          <cell r="C55" t="str">
            <v>PRECIO DE VENTA</v>
          </cell>
          <cell r="D55">
            <v>1</v>
          </cell>
        </row>
        <row r="56">
          <cell r="A56">
            <v>610203001</v>
          </cell>
          <cell r="B56" t="str">
            <v>Honorarios</v>
          </cell>
          <cell r="C56" t="str">
            <v>PRECIO DE VENTA</v>
          </cell>
          <cell r="D56">
            <v>1</v>
          </cell>
        </row>
        <row r="57">
          <cell r="A57">
            <v>610203002</v>
          </cell>
          <cell r="B57" t="str">
            <v>Auditorías</v>
          </cell>
          <cell r="C57" t="str">
            <v>PRECIO DE VENTA</v>
          </cell>
          <cell r="D57">
            <v>1</v>
          </cell>
        </row>
        <row r="58">
          <cell r="A58">
            <v>610203003</v>
          </cell>
          <cell r="B58" t="str">
            <v>Asesorias Profesionales</v>
          </cell>
          <cell r="C58" t="str">
            <v>PRECIO DE VENTA</v>
          </cell>
          <cell r="D58">
            <v>1</v>
          </cell>
        </row>
        <row r="59">
          <cell r="A59">
            <v>610203004</v>
          </cell>
          <cell r="B59" t="str">
            <v>Servicios ERP</v>
          </cell>
          <cell r="C59" t="str">
            <v>PRECIO DE VENTA</v>
          </cell>
          <cell r="D59">
            <v>1</v>
          </cell>
        </row>
        <row r="60">
          <cell r="A60">
            <v>610204001</v>
          </cell>
          <cell r="B60" t="str">
            <v>Almuerzo</v>
          </cell>
          <cell r="C60" t="str">
            <v>PRECIO DE VENTA</v>
          </cell>
          <cell r="D60">
            <v>1</v>
          </cell>
        </row>
        <row r="61">
          <cell r="A61">
            <v>610204002</v>
          </cell>
          <cell r="B61" t="str">
            <v>Alojamiento</v>
          </cell>
          <cell r="C61" t="str">
            <v>PRECIO DE VENTA</v>
          </cell>
          <cell r="D61">
            <v>1</v>
          </cell>
        </row>
        <row r="62">
          <cell r="A62">
            <v>610204003</v>
          </cell>
          <cell r="B62" t="str">
            <v>Articulos de Escritorio</v>
          </cell>
          <cell r="C62" t="str">
            <v>PRECIO DE VENTA</v>
          </cell>
          <cell r="D62">
            <v>1</v>
          </cell>
        </row>
        <row r="63">
          <cell r="A63">
            <v>610204004</v>
          </cell>
          <cell r="B63" t="str">
            <v>Aseo</v>
          </cell>
          <cell r="C63" t="str">
            <v>PRECIO DE VENTA</v>
          </cell>
          <cell r="D63">
            <v>1</v>
          </cell>
        </row>
        <row r="64">
          <cell r="A64">
            <v>610204005</v>
          </cell>
          <cell r="B64" t="str">
            <v>Combustible</v>
          </cell>
          <cell r="C64" t="str">
            <v>PRECIO DE VENTA</v>
          </cell>
          <cell r="D64">
            <v>1</v>
          </cell>
        </row>
        <row r="65">
          <cell r="A65">
            <v>610204006</v>
          </cell>
          <cell r="B65" t="str">
            <v>Comisiones Transbank</v>
          </cell>
          <cell r="C65" t="str">
            <v>PRECIO DE VENTA</v>
          </cell>
          <cell r="D65">
            <v>1</v>
          </cell>
        </row>
        <row r="66">
          <cell r="A66">
            <v>610204007</v>
          </cell>
          <cell r="B66" t="str">
            <v>Contribuciones</v>
          </cell>
          <cell r="C66" t="str">
            <v>PRECIO DE VENTA</v>
          </cell>
          <cell r="D66">
            <v>1</v>
          </cell>
        </row>
        <row r="67">
          <cell r="A67">
            <v>610204008</v>
          </cell>
          <cell r="B67" t="str">
            <v>Correspondencia</v>
          </cell>
          <cell r="C67" t="str">
            <v>PRECIO DE VENTA</v>
          </cell>
          <cell r="D67">
            <v>1</v>
          </cell>
        </row>
        <row r="68">
          <cell r="A68">
            <v>610204009</v>
          </cell>
          <cell r="B68" t="str">
            <v>Dicom</v>
          </cell>
          <cell r="C68" t="str">
            <v>PRECIO DE VENTA</v>
          </cell>
          <cell r="D68">
            <v>1</v>
          </cell>
        </row>
        <row r="69">
          <cell r="A69">
            <v>610204010</v>
          </cell>
          <cell r="B69" t="str">
            <v>Estacionamiento</v>
          </cell>
          <cell r="C69" t="str">
            <v>PRECIO DE VENTA</v>
          </cell>
          <cell r="D69">
            <v>1</v>
          </cell>
        </row>
        <row r="70">
          <cell r="A70">
            <v>610204011</v>
          </cell>
          <cell r="B70" t="str">
            <v>Fletes</v>
          </cell>
          <cell r="C70" t="str">
            <v>PRECIO DE VENTA</v>
          </cell>
          <cell r="D70">
            <v>1</v>
          </cell>
        </row>
        <row r="71">
          <cell r="A71">
            <v>610204012</v>
          </cell>
          <cell r="B71" t="str">
            <v>Gastos de Importacion</v>
          </cell>
          <cell r="C71" t="str">
            <v>PRECIO DE VENTA</v>
          </cell>
          <cell r="D71">
            <v>1</v>
          </cell>
        </row>
        <row r="72">
          <cell r="A72">
            <v>610204013</v>
          </cell>
          <cell r="B72" t="str">
            <v>Gastos de Remodelacion</v>
          </cell>
          <cell r="C72" t="str">
            <v>PRECIO DE VENTA</v>
          </cell>
          <cell r="D72">
            <v>1</v>
          </cell>
        </row>
        <row r="73">
          <cell r="A73">
            <v>610204014</v>
          </cell>
          <cell r="B73" t="str">
            <v>Gastos Marketing</v>
          </cell>
          <cell r="C73" t="str">
            <v>PRECIO DE VENTA</v>
          </cell>
          <cell r="D73">
            <v>1</v>
          </cell>
        </row>
        <row r="74">
          <cell r="A74">
            <v>610204015</v>
          </cell>
          <cell r="B74" t="str">
            <v>Implementos de Seguridad</v>
          </cell>
          <cell r="C74" t="str">
            <v>PRECIO DE VENTA</v>
          </cell>
          <cell r="D74">
            <v>1</v>
          </cell>
        </row>
        <row r="75">
          <cell r="A75">
            <v>610204016</v>
          </cell>
          <cell r="B75" t="str">
            <v>Informatica y Soporte</v>
          </cell>
          <cell r="C75" t="str">
            <v>PRECIO DE VENTA</v>
          </cell>
          <cell r="D75">
            <v>1</v>
          </cell>
        </row>
        <row r="76">
          <cell r="A76">
            <v>610204017</v>
          </cell>
          <cell r="B76" t="str">
            <v>Insumos</v>
          </cell>
          <cell r="C76" t="str">
            <v>PRECIO DE VENTA</v>
          </cell>
          <cell r="D76">
            <v>1</v>
          </cell>
        </row>
        <row r="77">
          <cell r="A77">
            <v>610204018</v>
          </cell>
          <cell r="B77" t="str">
            <v>Internet</v>
          </cell>
          <cell r="C77" t="str">
            <v>PRECIO DE VENTA</v>
          </cell>
          <cell r="D77">
            <v>1</v>
          </cell>
        </row>
        <row r="78">
          <cell r="A78">
            <v>610204019</v>
          </cell>
          <cell r="B78" t="str">
            <v>Legales</v>
          </cell>
          <cell r="C78" t="str">
            <v>PRECIO DE VENTA</v>
          </cell>
          <cell r="D78">
            <v>1</v>
          </cell>
        </row>
        <row r="79">
          <cell r="A79">
            <v>610204020</v>
          </cell>
          <cell r="B79" t="str">
            <v>Mantencion Vehiculos</v>
          </cell>
          <cell r="C79" t="str">
            <v>PRECIO DE VENTA</v>
          </cell>
          <cell r="D79">
            <v>1</v>
          </cell>
        </row>
        <row r="80">
          <cell r="A80">
            <v>610204021</v>
          </cell>
          <cell r="B80" t="str">
            <v>Mantencion y Reparacion Maquinaria</v>
          </cell>
          <cell r="C80" t="str">
            <v>PRECIO DE VENTA</v>
          </cell>
          <cell r="D80">
            <v>1</v>
          </cell>
        </row>
        <row r="81">
          <cell r="A81">
            <v>610204022</v>
          </cell>
          <cell r="B81" t="str">
            <v>Pasajes Aereos</v>
          </cell>
          <cell r="C81" t="str">
            <v>PRECIO DE VENTA</v>
          </cell>
          <cell r="D81">
            <v>1</v>
          </cell>
        </row>
        <row r="82">
          <cell r="A82">
            <v>610204023</v>
          </cell>
          <cell r="B82" t="str">
            <v>Patente Municipal</v>
          </cell>
          <cell r="C82" t="str">
            <v>PRECIO DE VENTA</v>
          </cell>
          <cell r="D82">
            <v>1</v>
          </cell>
        </row>
        <row r="83">
          <cell r="A83">
            <v>610204024</v>
          </cell>
          <cell r="B83" t="str">
            <v>Peajes</v>
          </cell>
          <cell r="C83" t="str">
            <v>PRECIO DE VENTA</v>
          </cell>
          <cell r="D83">
            <v>1</v>
          </cell>
        </row>
        <row r="84">
          <cell r="A84">
            <v>610204025</v>
          </cell>
          <cell r="B84" t="str">
            <v>Permiso de Circulacion</v>
          </cell>
          <cell r="C84" t="str">
            <v>PRECIO DE VENTA</v>
          </cell>
          <cell r="D84">
            <v>1</v>
          </cell>
        </row>
        <row r="85">
          <cell r="A85">
            <v>610204026</v>
          </cell>
          <cell r="B85" t="str">
            <v>Seguridad</v>
          </cell>
          <cell r="C85" t="str">
            <v>PRECIO DE VENTA</v>
          </cell>
          <cell r="D85">
            <v>1</v>
          </cell>
        </row>
        <row r="86">
          <cell r="A86">
            <v>610204027</v>
          </cell>
          <cell r="B86" t="str">
            <v>Seguros</v>
          </cell>
          <cell r="C86" t="str">
            <v>PRECIO DE VENTA</v>
          </cell>
          <cell r="D86">
            <v>1</v>
          </cell>
        </row>
        <row r="87">
          <cell r="A87">
            <v>610204028</v>
          </cell>
          <cell r="B87" t="str">
            <v>Tag</v>
          </cell>
          <cell r="C87" t="str">
            <v>PRECIO DE VENTA</v>
          </cell>
          <cell r="D87">
            <v>1</v>
          </cell>
        </row>
        <row r="88">
          <cell r="A88">
            <v>610204029</v>
          </cell>
          <cell r="B88" t="str">
            <v>Telefonia Celular</v>
          </cell>
          <cell r="C88" t="str">
            <v>PRECIO DE VENTA</v>
          </cell>
          <cell r="D88">
            <v>1</v>
          </cell>
        </row>
        <row r="89">
          <cell r="A89">
            <v>610204030</v>
          </cell>
          <cell r="B89" t="str">
            <v>Telefonia Fija</v>
          </cell>
          <cell r="C89" t="str">
            <v>PRECIO DE VENTA</v>
          </cell>
          <cell r="D89">
            <v>1</v>
          </cell>
        </row>
        <row r="90">
          <cell r="A90">
            <v>610204031</v>
          </cell>
          <cell r="B90" t="str">
            <v>Donaciones</v>
          </cell>
          <cell r="C90" t="str">
            <v>PRECIO DE VENTA</v>
          </cell>
          <cell r="D90">
            <v>1</v>
          </cell>
        </row>
        <row r="91">
          <cell r="A91">
            <v>610204032</v>
          </cell>
          <cell r="B91" t="str">
            <v>Otros gastos</v>
          </cell>
          <cell r="C91" t="str">
            <v>PRECIO DE VENTA</v>
          </cell>
          <cell r="D91">
            <v>1</v>
          </cell>
        </row>
        <row r="92">
          <cell r="A92">
            <v>610204033</v>
          </cell>
          <cell r="B92" t="str">
            <v>Multas</v>
          </cell>
          <cell r="C92" t="str">
            <v>PRECIO DE VENTA</v>
          </cell>
          <cell r="D92">
            <v>1</v>
          </cell>
        </row>
        <row r="93">
          <cell r="A93">
            <v>710101001</v>
          </cell>
          <cell r="B93" t="str">
            <v>Ventas Activos Fijos</v>
          </cell>
          <cell r="C93" t="str">
            <v>PRECIO DE VENTA</v>
          </cell>
          <cell r="D93">
            <v>1</v>
          </cell>
        </row>
        <row r="94">
          <cell r="A94">
            <v>710101002</v>
          </cell>
          <cell r="B94" t="str">
            <v>Descuentos Ganados</v>
          </cell>
          <cell r="C94" t="str">
            <v>PRECIO DE VENTA</v>
          </cell>
          <cell r="D94">
            <v>1</v>
          </cell>
        </row>
        <row r="95">
          <cell r="A95">
            <v>710101003</v>
          </cell>
          <cell r="B95" t="str">
            <v>Fletes a Clientes</v>
          </cell>
          <cell r="C95" t="str">
            <v>PRECIO DE VENTA</v>
          </cell>
          <cell r="D95">
            <v>1</v>
          </cell>
          <cell r="E95">
            <v>20000</v>
          </cell>
          <cell r="F95">
            <v>20000</v>
          </cell>
        </row>
        <row r="96">
          <cell r="A96" t="str">
            <v>720-28001-2030</v>
          </cell>
          <cell r="B96" t="str">
            <v>CYLINDER 254/80K 40/40</v>
          </cell>
          <cell r="C96" t="str">
            <v>PRECIO DE VENTA</v>
          </cell>
          <cell r="D96">
            <v>1</v>
          </cell>
          <cell r="E96" t="str">
            <v>USD 5,690000</v>
          </cell>
          <cell r="F96" t="str">
            <v>USD 5,690000</v>
          </cell>
        </row>
        <row r="97">
          <cell r="A97" t="str">
            <v>720-28301-2030</v>
          </cell>
          <cell r="B97" t="str">
            <v>CYLINDER 254/83K 40/43</v>
          </cell>
          <cell r="C97" t="str">
            <v>PRECIO DE VENTA</v>
          </cell>
          <cell r="D97">
            <v>1</v>
          </cell>
          <cell r="E97" t="str">
            <v>USD 5,880000</v>
          </cell>
          <cell r="F97" t="str">
            <v>USD 5,880000</v>
          </cell>
        </row>
        <row r="98">
          <cell r="A98">
            <v>761010000019</v>
          </cell>
          <cell r="B98" t="str">
            <v>PUERTA PIVOTANTE N-50 - BLACK MATTE</v>
          </cell>
          <cell r="C98" t="str">
            <v>PRECIO DE VENTA</v>
          </cell>
          <cell r="D98">
            <v>1</v>
          </cell>
          <cell r="E98">
            <v>3657500</v>
          </cell>
          <cell r="F98">
            <v>3657500</v>
          </cell>
        </row>
        <row r="99">
          <cell r="A99" t="str">
            <v>BARI-AGM-ALU</v>
          </cell>
          <cell r="B99" t="str">
            <v>ARANDELAS DE GOMA - AL</v>
          </cell>
          <cell r="C99" t="str">
            <v>PRECIO DE VENTA</v>
          </cell>
          <cell r="D99">
            <v>1</v>
          </cell>
          <cell r="E99">
            <v>792</v>
          </cell>
          <cell r="F99">
            <v>792</v>
          </cell>
        </row>
        <row r="100">
          <cell r="A100" t="str">
            <v>BARI-BCV-ALU</v>
          </cell>
          <cell r="B100" t="str">
            <v>BURLETE CONTRAVIDRIO 2915</v>
          </cell>
          <cell r="C100" t="str">
            <v>PRECIO DE VENTA</v>
          </cell>
          <cell r="D100">
            <v>1</v>
          </cell>
          <cell r="E100">
            <v>5465</v>
          </cell>
          <cell r="F100">
            <v>5465</v>
          </cell>
        </row>
        <row r="101">
          <cell r="A101" t="str">
            <v>BARI-BCV21-ALU</v>
          </cell>
          <cell r="B101" t="str">
            <v>BURLETE CONTRAVIDRIO 2921</v>
          </cell>
          <cell r="C101" t="str">
            <v>PRECIO DE VENTA</v>
          </cell>
          <cell r="D101">
            <v>1</v>
          </cell>
          <cell r="E101">
            <v>5465</v>
          </cell>
          <cell r="F101">
            <v>5465</v>
          </cell>
        </row>
        <row r="102">
          <cell r="A102" t="str">
            <v>BARI-BRC11-ALU</v>
          </cell>
          <cell r="B102" t="str">
            <v>BURETE RESPALDO SUPERIOR</v>
          </cell>
          <cell r="C102" t="str">
            <v>PRECIO DE VENTA</v>
          </cell>
          <cell r="D102">
            <v>1</v>
          </cell>
          <cell r="E102">
            <v>1386</v>
          </cell>
          <cell r="F102">
            <v>1386</v>
          </cell>
        </row>
        <row r="103">
          <cell r="A103" t="str">
            <v>BARI-BRL-ALU</v>
          </cell>
          <cell r="B103" t="str">
            <v>BURLETE RESPALDO INFERIOR</v>
          </cell>
          <cell r="C103" t="str">
            <v>PRECIO DE VENTA</v>
          </cell>
          <cell r="D103">
            <v>1</v>
          </cell>
          <cell r="E103">
            <v>4554</v>
          </cell>
          <cell r="F103">
            <v>4554</v>
          </cell>
        </row>
        <row r="104">
          <cell r="A104" t="str">
            <v>BARI-CLZ-ALU</v>
          </cell>
          <cell r="B104" t="str">
            <v>CALZOS PLÁSTICOS</v>
          </cell>
          <cell r="C104" t="str">
            <v>PRECIO DE VENTA</v>
          </cell>
          <cell r="D104">
            <v>1</v>
          </cell>
          <cell r="E104">
            <v>2236</v>
          </cell>
          <cell r="F104">
            <v>2236</v>
          </cell>
        </row>
        <row r="105">
          <cell r="A105" t="str">
            <v>BARI-CY-8-6MT</v>
          </cell>
          <cell r="B105" t="str">
            <v>KIT CITY - 8 mm</v>
          </cell>
          <cell r="C105" t="str">
            <v>PRECIO DE VENTA</v>
          </cell>
          <cell r="D105">
            <v>1</v>
          </cell>
          <cell r="E105">
            <v>349410</v>
          </cell>
          <cell r="F105">
            <v>349410</v>
          </cell>
        </row>
        <row r="106">
          <cell r="A106" t="str">
            <v>BARI-K1-10-4MT</v>
          </cell>
          <cell r="B106" t="str">
            <v>KIT K1 - 10 mm</v>
          </cell>
          <cell r="C106" t="str">
            <v>PRECIO DE VENTA</v>
          </cell>
          <cell r="D106">
            <v>1</v>
          </cell>
          <cell r="E106">
            <v>422780</v>
          </cell>
          <cell r="F106">
            <v>422780</v>
          </cell>
        </row>
        <row r="107">
          <cell r="A107" t="str">
            <v>BARI-K1-12-4MT</v>
          </cell>
          <cell r="B107" t="str">
            <v>KIT K1 - 12 mm</v>
          </cell>
          <cell r="C107" t="str">
            <v>PRECIO DE VENTA</v>
          </cell>
          <cell r="D107">
            <v>1</v>
          </cell>
          <cell r="E107">
            <v>422780</v>
          </cell>
          <cell r="F107">
            <v>422780</v>
          </cell>
        </row>
        <row r="108">
          <cell r="A108" t="str">
            <v>BARI-K1-16-4MT</v>
          </cell>
          <cell r="B108" t="str">
            <v>KIT K1 - 16 mm</v>
          </cell>
          <cell r="C108" t="str">
            <v>PRECIO DE VENTA</v>
          </cell>
          <cell r="D108">
            <v>1</v>
          </cell>
          <cell r="E108">
            <v>422780</v>
          </cell>
          <cell r="F108">
            <v>422780</v>
          </cell>
        </row>
        <row r="109">
          <cell r="A109" t="str">
            <v>BARI-K1-20-4MT</v>
          </cell>
          <cell r="B109" t="str">
            <v>KIT K1 - 20 mm</v>
          </cell>
          <cell r="C109" t="str">
            <v>PRECIO DE VENTA</v>
          </cell>
          <cell r="D109">
            <v>1</v>
          </cell>
          <cell r="E109">
            <v>422780</v>
          </cell>
          <cell r="F109">
            <v>422780</v>
          </cell>
        </row>
        <row r="110">
          <cell r="A110" t="str">
            <v>BARI-K11-16-6MT</v>
          </cell>
          <cell r="B110" t="str">
            <v>KIT K11 - 16 MM</v>
          </cell>
          <cell r="C110" t="str">
            <v>PRECIO DE VENTA</v>
          </cell>
          <cell r="D110">
            <v>1</v>
          </cell>
          <cell r="E110">
            <v>955573</v>
          </cell>
          <cell r="F110">
            <v>955573</v>
          </cell>
        </row>
        <row r="111">
          <cell r="A111" t="str">
            <v>BARI-K12-10-6MT</v>
          </cell>
          <cell r="B111" t="str">
            <v>KIT K12 - 10 mm</v>
          </cell>
          <cell r="C111" t="str">
            <v>PRECIO DE VENTA</v>
          </cell>
          <cell r="D111">
            <v>1</v>
          </cell>
          <cell r="E111">
            <v>1147637</v>
          </cell>
          <cell r="F111">
            <v>1147637</v>
          </cell>
        </row>
        <row r="112">
          <cell r="A112" t="str">
            <v>BARI-K12-12-6MT</v>
          </cell>
          <cell r="B112" t="str">
            <v>KIT K12 - 12 mm</v>
          </cell>
          <cell r="C112" t="str">
            <v>PRECIO DE VENTA</v>
          </cell>
          <cell r="D112">
            <v>1</v>
          </cell>
          <cell r="E112">
            <v>771744</v>
          </cell>
          <cell r="F112">
            <v>771744</v>
          </cell>
        </row>
        <row r="113">
          <cell r="A113" t="str">
            <v>BARI-K12-16-6MT</v>
          </cell>
          <cell r="B113" t="str">
            <v>KIT K12 - 16 mm</v>
          </cell>
          <cell r="C113" t="str">
            <v>PRECIO DE VENTA</v>
          </cell>
          <cell r="D113">
            <v>1</v>
          </cell>
          <cell r="E113">
            <v>771744</v>
          </cell>
          <cell r="F113">
            <v>771744</v>
          </cell>
        </row>
        <row r="114">
          <cell r="A114" t="str">
            <v>BARI-K12-20-6MT</v>
          </cell>
          <cell r="B114" t="str">
            <v>KIT K12 - 20 mm</v>
          </cell>
          <cell r="C114" t="str">
            <v>PRECIO DE VENTA</v>
          </cell>
          <cell r="D114">
            <v>1</v>
          </cell>
          <cell r="E114">
            <v>771744</v>
          </cell>
          <cell r="F114">
            <v>771744</v>
          </cell>
        </row>
        <row r="115">
          <cell r="A115" t="str">
            <v>BARI-K15-10-6MT</v>
          </cell>
          <cell r="B115" t="str">
            <v>KIT K15 - 10 mm</v>
          </cell>
          <cell r="C115" t="str">
            <v>PRECIO DE VENTA</v>
          </cell>
          <cell r="D115">
            <v>1</v>
          </cell>
          <cell r="E115">
            <v>872568</v>
          </cell>
          <cell r="F115">
            <v>872568</v>
          </cell>
        </row>
        <row r="116">
          <cell r="A116" t="str">
            <v>BARI-K15-12-6MT</v>
          </cell>
          <cell r="B116" t="str">
            <v>KIT K15 - 12 mm</v>
          </cell>
          <cell r="C116" t="str">
            <v>PRECIO DE VENTA</v>
          </cell>
          <cell r="D116">
            <v>1</v>
          </cell>
          <cell r="E116">
            <v>872568</v>
          </cell>
          <cell r="F116">
            <v>872568</v>
          </cell>
        </row>
        <row r="117">
          <cell r="A117" t="str">
            <v>BARI-K15-16-6MT</v>
          </cell>
          <cell r="B117" t="str">
            <v>KIT K15 - 16 mm</v>
          </cell>
          <cell r="C117" t="str">
            <v>PRECIO DE VENTA</v>
          </cell>
          <cell r="D117">
            <v>1</v>
          </cell>
          <cell r="E117">
            <v>872568</v>
          </cell>
          <cell r="F117">
            <v>872568</v>
          </cell>
        </row>
        <row r="118">
          <cell r="A118" t="str">
            <v>BARI-K15-20-6MT</v>
          </cell>
          <cell r="B118" t="str">
            <v>KIT K15 - 20 mm</v>
          </cell>
          <cell r="C118" t="str">
            <v>PRECIO DE VENTA</v>
          </cell>
          <cell r="D118">
            <v>1</v>
          </cell>
          <cell r="E118">
            <v>872568</v>
          </cell>
          <cell r="F118">
            <v>872568</v>
          </cell>
        </row>
        <row r="119">
          <cell r="A119" t="str">
            <v>BARI-K3-LED-6MT</v>
          </cell>
          <cell r="B119" t="str">
            <v>KIT LED K3</v>
          </cell>
          <cell r="C119" t="str">
            <v>PRECIO DE VENTA</v>
          </cell>
          <cell r="D119">
            <v>1</v>
          </cell>
          <cell r="E119">
            <v>85788</v>
          </cell>
          <cell r="F119">
            <v>85788</v>
          </cell>
        </row>
        <row r="120">
          <cell r="A120" t="str">
            <v>BARI-K6-10-6MT</v>
          </cell>
          <cell r="B120" t="str">
            <v>KIT K6 - 10 mm</v>
          </cell>
          <cell r="C120" t="str">
            <v>PRECIO DE VENTA</v>
          </cell>
          <cell r="D120">
            <v>1</v>
          </cell>
          <cell r="E120">
            <v>453786</v>
          </cell>
          <cell r="F120">
            <v>453786</v>
          </cell>
        </row>
        <row r="121">
          <cell r="A121" t="str">
            <v>BARI-K6-12-6MT</v>
          </cell>
          <cell r="B121" t="str">
            <v>KIT K6 - 12 mm</v>
          </cell>
          <cell r="C121" t="str">
            <v>PRECIO DE VENTA</v>
          </cell>
          <cell r="D121">
            <v>1</v>
          </cell>
          <cell r="E121">
            <v>453786</v>
          </cell>
          <cell r="F121">
            <v>453786</v>
          </cell>
        </row>
        <row r="122">
          <cell r="A122" t="str">
            <v>BARI-K6-16-6MT</v>
          </cell>
          <cell r="B122" t="str">
            <v>KIT K6 - 16 mm</v>
          </cell>
          <cell r="C122" t="str">
            <v>PRECIO DE VENTA</v>
          </cell>
          <cell r="D122">
            <v>1</v>
          </cell>
          <cell r="E122">
            <v>453786</v>
          </cell>
          <cell r="F122">
            <v>453786</v>
          </cell>
        </row>
        <row r="123">
          <cell r="A123" t="str">
            <v>BARI-K6-20-6MT</v>
          </cell>
          <cell r="B123" t="str">
            <v>KIT K6 - 20 mm</v>
          </cell>
          <cell r="C123" t="str">
            <v>PRECIO DE VENTA</v>
          </cell>
          <cell r="D123">
            <v>1</v>
          </cell>
          <cell r="E123">
            <v>453786</v>
          </cell>
          <cell r="F123">
            <v>453786</v>
          </cell>
        </row>
        <row r="124">
          <cell r="A124" t="str">
            <v>BARI-TAP-ALU-6000</v>
          </cell>
          <cell r="B124" t="str">
            <v>ALUMINIO 6000 x 76 x 30 - TAPA</v>
          </cell>
          <cell r="C124" t="str">
            <v>PRECIO DE VENTA</v>
          </cell>
          <cell r="D124">
            <v>1</v>
          </cell>
          <cell r="E124">
            <v>352094</v>
          </cell>
          <cell r="F124">
            <v>352094</v>
          </cell>
        </row>
        <row r="125">
          <cell r="A125" t="str">
            <v>BARI-TVR-ALU</v>
          </cell>
          <cell r="B125" t="str">
            <v>TUERCA PARA VARILLA</v>
          </cell>
          <cell r="C125" t="str">
            <v>PRECIO DE VENTA</v>
          </cell>
          <cell r="D125">
            <v>1</v>
          </cell>
          <cell r="E125">
            <v>322</v>
          </cell>
          <cell r="F125">
            <v>322</v>
          </cell>
        </row>
        <row r="126">
          <cell r="A126" t="str">
            <v>BARI-VRR-ALU</v>
          </cell>
          <cell r="B126" t="str">
            <v>VARILLA ROSCADAS 3/8</v>
          </cell>
          <cell r="C126" t="str">
            <v>PRECIO DE VENTA</v>
          </cell>
          <cell r="D126">
            <v>1</v>
          </cell>
          <cell r="E126">
            <v>2024</v>
          </cell>
          <cell r="F126">
            <v>2024</v>
          </cell>
        </row>
        <row r="127">
          <cell r="A127" t="str">
            <v>BARI-ZOC-ALU-3000</v>
          </cell>
          <cell r="B127" t="str">
            <v>ALUMINIO 3000 x 80 x 82 - ZOCALO</v>
          </cell>
          <cell r="C127" t="str">
            <v>PRECIO DE VENTA</v>
          </cell>
          <cell r="D127">
            <v>1</v>
          </cell>
          <cell r="E127">
            <v>102069</v>
          </cell>
          <cell r="F127">
            <v>102069</v>
          </cell>
        </row>
        <row r="128">
          <cell r="A128" t="str">
            <v>BIMP-ACC-ALI-180-VNU</v>
          </cell>
          <cell r="B128" t="str">
            <v>ALINEADOR DE CRISTAL 180° - VNU</v>
          </cell>
          <cell r="C128" t="str">
            <v>PRECIO DE VENTA</v>
          </cell>
          <cell r="D128">
            <v>1</v>
          </cell>
          <cell r="E128">
            <v>15960</v>
          </cell>
          <cell r="F128">
            <v>15960</v>
          </cell>
        </row>
        <row r="129">
          <cell r="A129" t="str">
            <v>BIMP-ACC-ALI-90-VNU</v>
          </cell>
          <cell r="B129" t="str">
            <v>ALINEADOR DE CRISTAL 90° - VNU</v>
          </cell>
          <cell r="C129" t="str">
            <v>PRECIO DE VENTA</v>
          </cell>
          <cell r="D129">
            <v>1</v>
          </cell>
          <cell r="E129">
            <v>29640</v>
          </cell>
          <cell r="F129">
            <v>29640</v>
          </cell>
        </row>
        <row r="130">
          <cell r="A130" t="str">
            <v>BIMP-ACC-CLZ-12MM</v>
          </cell>
          <cell r="B130" t="str">
            <v>CALZO ACRISTALAMIENTO N50 - N50R - 12mm</v>
          </cell>
          <cell r="C130" t="str">
            <v>PRECIO DE VENTA</v>
          </cell>
          <cell r="D130">
            <v>1</v>
          </cell>
          <cell r="E130">
            <v>3276</v>
          </cell>
          <cell r="F130">
            <v>3276</v>
          </cell>
        </row>
        <row r="131">
          <cell r="A131" t="str">
            <v>BIMP-ACC-CLZ-16MM</v>
          </cell>
          <cell r="B131" t="str">
            <v>CALZO ACRISTALAMIENTO N50 - N50R - 16mm</v>
          </cell>
          <cell r="C131" t="str">
            <v>PRECIO DE VENTA</v>
          </cell>
          <cell r="D131">
            <v>1</v>
          </cell>
          <cell r="E131">
            <v>3192</v>
          </cell>
          <cell r="F131">
            <v>3192</v>
          </cell>
        </row>
        <row r="132">
          <cell r="A132" t="str">
            <v>BIMP-ACC-TK1</v>
          </cell>
          <cell r="B132" t="str">
            <v>TAPA A LA VISTA K1</v>
          </cell>
          <cell r="C132" t="str">
            <v>PRECIO DE VENTA</v>
          </cell>
          <cell r="D132">
            <v>1</v>
          </cell>
          <cell r="E132">
            <v>764</v>
          </cell>
          <cell r="F132">
            <v>764</v>
          </cell>
        </row>
        <row r="133">
          <cell r="A133" t="str">
            <v>BIMP-ACC-TK11</v>
          </cell>
          <cell r="B133" t="str">
            <v>TAPA A LA VISTA K11</v>
          </cell>
          <cell r="C133" t="str">
            <v>PRECIO DE VENTA</v>
          </cell>
          <cell r="D133">
            <v>1</v>
          </cell>
          <cell r="E133">
            <v>7485</v>
          </cell>
          <cell r="F133">
            <v>7485</v>
          </cell>
        </row>
        <row r="134">
          <cell r="A134" t="str">
            <v>BIMP-ACC-TK12</v>
          </cell>
          <cell r="B134" t="str">
            <v>TAPA A LA VISTA K12</v>
          </cell>
          <cell r="C134" t="str">
            <v>PRECIO DE VENTA</v>
          </cell>
          <cell r="D134">
            <v>1</v>
          </cell>
          <cell r="E134">
            <v>3513</v>
          </cell>
          <cell r="F134">
            <v>3513</v>
          </cell>
        </row>
        <row r="135">
          <cell r="A135" t="str">
            <v>BIMP-ACC-TK15</v>
          </cell>
          <cell r="B135" t="str">
            <v>TAPA A LA VISTA K15</v>
          </cell>
          <cell r="C135" t="str">
            <v>PRECIO DE VENTA</v>
          </cell>
          <cell r="D135">
            <v>1</v>
          </cell>
          <cell r="E135">
            <v>3513</v>
          </cell>
          <cell r="F135">
            <v>3513</v>
          </cell>
        </row>
        <row r="136">
          <cell r="A136" t="str">
            <v>BIMP-ACC-TK3</v>
          </cell>
          <cell r="B136" t="str">
            <v>TAPA A LA VISTA K3</v>
          </cell>
          <cell r="C136" t="str">
            <v>PRECIO DE VENTA</v>
          </cell>
          <cell r="D136">
            <v>1</v>
          </cell>
          <cell r="E136">
            <v>3055</v>
          </cell>
          <cell r="F136">
            <v>3055</v>
          </cell>
        </row>
        <row r="137">
          <cell r="A137" t="str">
            <v>BIMP-ACC-TK7</v>
          </cell>
          <cell r="B137" t="str">
            <v>TAPA A LA VISTA K7</v>
          </cell>
          <cell r="C137" t="str">
            <v>PRECIO DE VENTA</v>
          </cell>
          <cell r="D137">
            <v>1</v>
          </cell>
          <cell r="E137">
            <v>611</v>
          </cell>
          <cell r="F137">
            <v>611</v>
          </cell>
        </row>
        <row r="138">
          <cell r="A138" t="str">
            <v>BIMP-ACC-TK8</v>
          </cell>
          <cell r="B138" t="str">
            <v>TAPA A LA VISTA K8</v>
          </cell>
          <cell r="C138" t="str">
            <v>PRECIO DE VENTA</v>
          </cell>
          <cell r="D138">
            <v>1</v>
          </cell>
          <cell r="E138">
            <v>458</v>
          </cell>
          <cell r="F138">
            <v>458</v>
          </cell>
        </row>
        <row r="139">
          <cell r="A139" t="str">
            <v>BIMP-ACC-TK9</v>
          </cell>
          <cell r="B139" t="str">
            <v>TAPA A LA VISTA K9</v>
          </cell>
          <cell r="C139" t="str">
            <v>PRECIO DE VENTA</v>
          </cell>
          <cell r="D139">
            <v>1</v>
          </cell>
          <cell r="E139">
            <v>1833</v>
          </cell>
          <cell r="F139">
            <v>1833</v>
          </cell>
        </row>
        <row r="140">
          <cell r="A140" t="str">
            <v>BIMP-ALI-180</v>
          </cell>
          <cell r="B140" t="str">
            <v>ALINEADOR  180°</v>
          </cell>
          <cell r="C140" t="str">
            <v>PRECIO DE VENTA</v>
          </cell>
          <cell r="D140">
            <v>1</v>
          </cell>
          <cell r="E140">
            <v>19095</v>
          </cell>
          <cell r="F140">
            <v>19095</v>
          </cell>
        </row>
        <row r="141">
          <cell r="A141" t="str">
            <v>BIMP-ALI-90</v>
          </cell>
          <cell r="B141" t="str">
            <v>ALINEADOR  90°</v>
          </cell>
          <cell r="C141" t="str">
            <v>PRECIO DE VENTA</v>
          </cell>
          <cell r="D141">
            <v>1</v>
          </cell>
          <cell r="E141">
            <v>22150</v>
          </cell>
          <cell r="F141">
            <v>22150</v>
          </cell>
        </row>
        <row r="142">
          <cell r="A142" t="str">
            <v>BIMP-ALI-PL180</v>
          </cell>
          <cell r="B142" t="str">
            <v>ALINEADOR PLEGADO 180°</v>
          </cell>
          <cell r="C142" t="str">
            <v>PRECIO DE VENTA</v>
          </cell>
          <cell r="D142">
            <v>1</v>
          </cell>
          <cell r="E142">
            <v>3819</v>
          </cell>
          <cell r="F142">
            <v>3819</v>
          </cell>
        </row>
        <row r="143">
          <cell r="A143" t="str">
            <v>BIMP-ALI-PL90</v>
          </cell>
          <cell r="B143" t="str">
            <v>ALINEADOR PLEGADO 90°</v>
          </cell>
          <cell r="C143" t="str">
            <v>PRECIO DE VENTA</v>
          </cell>
          <cell r="D143">
            <v>1</v>
          </cell>
          <cell r="E143">
            <v>12832</v>
          </cell>
          <cell r="F143">
            <v>12832</v>
          </cell>
        </row>
        <row r="144">
          <cell r="A144" t="str">
            <v>BIMP-BEX-N50-12MM</v>
          </cell>
          <cell r="B144" t="str">
            <v>BURLETE EXTERIOR N-50 - 12mm</v>
          </cell>
          <cell r="C144" t="str">
            <v>PRECIO DE VENTA</v>
          </cell>
          <cell r="D144">
            <v>1</v>
          </cell>
          <cell r="E144">
            <v>1254</v>
          </cell>
          <cell r="F144">
            <v>1254</v>
          </cell>
        </row>
        <row r="145">
          <cell r="A145" t="str">
            <v>BIMP-BEX-N50-16MM</v>
          </cell>
          <cell r="B145" t="str">
            <v>BURLETE EXTERIOR N-50 - 16 mm</v>
          </cell>
          <cell r="C145" t="str">
            <v>PRECIO DE VENTA</v>
          </cell>
          <cell r="D145">
            <v>1</v>
          </cell>
          <cell r="E145">
            <v>798</v>
          </cell>
          <cell r="F145">
            <v>798</v>
          </cell>
        </row>
        <row r="146">
          <cell r="A146" t="str">
            <v>BIMP-BEX-N50R-12MM</v>
          </cell>
          <cell r="B146" t="str">
            <v>BURLETE EXTERIOR N-50R - 12 mm</v>
          </cell>
          <cell r="C146" t="str">
            <v>PRECIO DE VENTA</v>
          </cell>
          <cell r="D146">
            <v>1</v>
          </cell>
          <cell r="E146">
            <v>365</v>
          </cell>
          <cell r="F146">
            <v>365</v>
          </cell>
        </row>
        <row r="147">
          <cell r="A147" t="str">
            <v>BIMP-BEX-N50R-16MM</v>
          </cell>
          <cell r="B147" t="str">
            <v>BURLETE EXTERIOR N-50R - 16 mm</v>
          </cell>
          <cell r="C147" t="str">
            <v>PRECIO DE VENTA</v>
          </cell>
          <cell r="D147">
            <v>1</v>
          </cell>
          <cell r="E147">
            <v>502</v>
          </cell>
          <cell r="F147">
            <v>502</v>
          </cell>
        </row>
        <row r="148">
          <cell r="A148" t="str">
            <v>BIMP-BINT-N50</v>
          </cell>
          <cell r="B148" t="str">
            <v>BURLETE INTERIOR N-50</v>
          </cell>
          <cell r="C148" t="str">
            <v>PRECIO DE VENTA</v>
          </cell>
          <cell r="D148">
            <v>1</v>
          </cell>
          <cell r="E148">
            <v>1505</v>
          </cell>
          <cell r="F148">
            <v>1505</v>
          </cell>
        </row>
        <row r="149">
          <cell r="A149" t="str">
            <v>BIMP-BINT-N50R</v>
          </cell>
          <cell r="B149" t="str">
            <v>BURLETE INTERIOR N-50R</v>
          </cell>
          <cell r="C149" t="str">
            <v>PRECIO DE VENTA</v>
          </cell>
          <cell r="D149">
            <v>1</v>
          </cell>
          <cell r="E149">
            <v>627</v>
          </cell>
          <cell r="F149">
            <v>627</v>
          </cell>
        </row>
        <row r="150">
          <cell r="A150" t="str">
            <v>BIMP-CITY-BRCY</v>
          </cell>
          <cell r="B150" t="str">
            <v>BURLETE RESPALDO CITY</v>
          </cell>
          <cell r="C150" t="str">
            <v>PRECIO DE VENTA</v>
          </cell>
          <cell r="D150">
            <v>1</v>
          </cell>
          <cell r="E150">
            <v>917</v>
          </cell>
          <cell r="F150">
            <v>917</v>
          </cell>
        </row>
        <row r="151">
          <cell r="A151" t="str">
            <v>BIMP-CITY-BSIN</v>
          </cell>
          <cell r="B151" t="str">
            <v>BASTIDOR INFERIOR</v>
          </cell>
          <cell r="C151" t="str">
            <v>PRECIO DE VENTA</v>
          </cell>
          <cell r="D151">
            <v>1</v>
          </cell>
          <cell r="E151">
            <v>54927</v>
          </cell>
          <cell r="F151">
            <v>54927</v>
          </cell>
        </row>
        <row r="152">
          <cell r="A152" t="str">
            <v>BIMP-CITY-KSSL</v>
          </cell>
          <cell r="B152" t="str">
            <v>KIT SUJECION SOBRE LOSA C03</v>
          </cell>
          <cell r="C152" t="str">
            <v>PRECIO DE VENTA</v>
          </cell>
          <cell r="D152">
            <v>1</v>
          </cell>
          <cell r="E152">
            <v>917</v>
          </cell>
          <cell r="F152">
            <v>917</v>
          </cell>
        </row>
        <row r="153">
          <cell r="A153" t="str">
            <v>BIMP-CITY-PACY</v>
          </cell>
          <cell r="B153" t="str">
            <v>PASAMANOS CITY</v>
          </cell>
          <cell r="C153" t="str">
            <v>PRECIO DE VENTA</v>
          </cell>
          <cell r="D153">
            <v>1</v>
          </cell>
          <cell r="E153">
            <v>93283</v>
          </cell>
          <cell r="F153">
            <v>93283</v>
          </cell>
        </row>
        <row r="154">
          <cell r="A154" t="str">
            <v>BIMP-CITY-PEST</v>
          </cell>
          <cell r="B154" t="str">
            <v>PARANTE ESTÁNDAR</v>
          </cell>
          <cell r="C154" t="str">
            <v>PRECIO DE VENTA</v>
          </cell>
          <cell r="D154">
            <v>1</v>
          </cell>
          <cell r="E154">
            <v>114010</v>
          </cell>
          <cell r="F154">
            <v>114010</v>
          </cell>
        </row>
        <row r="155">
          <cell r="A155" t="str">
            <v>BIMP-CITY-TBC3</v>
          </cell>
          <cell r="B155" t="str">
            <v>TAPA BASE C03</v>
          </cell>
          <cell r="C155" t="str">
            <v>PRECIO DE VENTA</v>
          </cell>
          <cell r="D155">
            <v>1</v>
          </cell>
          <cell r="E155">
            <v>1986</v>
          </cell>
          <cell r="F155">
            <v>1986</v>
          </cell>
        </row>
        <row r="156">
          <cell r="A156" t="str">
            <v>BIMP-CITY-TPAS</v>
          </cell>
          <cell r="B156" t="str">
            <v>TAPA PASAMANOS</v>
          </cell>
          <cell r="C156" t="str">
            <v>PRECIO DE VENTA</v>
          </cell>
          <cell r="D156">
            <v>1</v>
          </cell>
          <cell r="E156">
            <v>72545</v>
          </cell>
          <cell r="F156">
            <v>72545</v>
          </cell>
        </row>
        <row r="157">
          <cell r="A157" t="str">
            <v>BIMP-CITY-TPC4</v>
          </cell>
          <cell r="B157" t="str">
            <v>TAPA PASAMANOS C04</v>
          </cell>
          <cell r="C157" t="str">
            <v>PRECIO DE VENTA</v>
          </cell>
          <cell r="D157">
            <v>1</v>
          </cell>
          <cell r="E157">
            <v>1222</v>
          </cell>
          <cell r="F157">
            <v>1222</v>
          </cell>
        </row>
        <row r="158">
          <cell r="A158" t="str">
            <v>BIMP-CITY-TPC6</v>
          </cell>
          <cell r="B158" t="str">
            <v>TAPA PORTAVIDRIO C06</v>
          </cell>
          <cell r="C158" t="str">
            <v>PRECIO DE VENTA</v>
          </cell>
          <cell r="D158">
            <v>1</v>
          </cell>
          <cell r="E158">
            <v>764</v>
          </cell>
          <cell r="F158">
            <v>764</v>
          </cell>
        </row>
        <row r="159">
          <cell r="A159" t="str">
            <v>BIMP-CITY-TSVI</v>
          </cell>
          <cell r="B159" t="str">
            <v>TAPA SOPORTE VIDRIO</v>
          </cell>
          <cell r="C159" t="str">
            <v>PRECIO DE VENTA</v>
          </cell>
          <cell r="D159">
            <v>1</v>
          </cell>
          <cell r="E159">
            <v>20935</v>
          </cell>
          <cell r="F159">
            <v>20935</v>
          </cell>
        </row>
        <row r="160">
          <cell r="A160" t="str">
            <v>BIMP-ESQ-K1</v>
          </cell>
          <cell r="B160" t="str">
            <v>ESCUADRA K1</v>
          </cell>
          <cell r="C160" t="str">
            <v>PRECIO DE VENTA</v>
          </cell>
          <cell r="D160">
            <v>1</v>
          </cell>
          <cell r="E160">
            <v>3972</v>
          </cell>
          <cell r="F160">
            <v>3972</v>
          </cell>
        </row>
        <row r="161">
          <cell r="A161" t="str">
            <v>BIMP-ESQ-K7</v>
          </cell>
          <cell r="B161" t="str">
            <v>ESCUADRA K7</v>
          </cell>
          <cell r="C161" t="str">
            <v>PRECIO DE VENTA</v>
          </cell>
          <cell r="D161">
            <v>1</v>
          </cell>
          <cell r="E161">
            <v>9318</v>
          </cell>
          <cell r="F161">
            <v>9318</v>
          </cell>
        </row>
        <row r="162">
          <cell r="A162" t="str">
            <v>BIMP-ESQ-K8</v>
          </cell>
          <cell r="B162" t="str">
            <v>ESCUADRA K8</v>
          </cell>
          <cell r="C162" t="str">
            <v>PRECIO DE VENTA</v>
          </cell>
          <cell r="D162">
            <v>1</v>
          </cell>
          <cell r="E162">
            <v>9318</v>
          </cell>
          <cell r="F162">
            <v>9318</v>
          </cell>
        </row>
        <row r="163">
          <cell r="A163" t="str">
            <v>BIMP-ESQ-K9</v>
          </cell>
          <cell r="B163" t="str">
            <v>ESCUADRA K9</v>
          </cell>
          <cell r="C163" t="str">
            <v>PRECIO DE VENTA</v>
          </cell>
          <cell r="D163">
            <v>1</v>
          </cell>
          <cell r="E163">
            <v>3972</v>
          </cell>
          <cell r="F163">
            <v>3972</v>
          </cell>
        </row>
        <row r="164">
          <cell r="A164" t="str">
            <v>BIMP-FIJ-INT-S40</v>
          </cell>
          <cell r="B164" t="str">
            <v>PERFIL FIJACION INTERIOR CRISTAL 8-10-12mm - S40</v>
          </cell>
          <cell r="C164" t="str">
            <v>PRECIO DE VENTA</v>
          </cell>
          <cell r="D164">
            <v>1</v>
          </cell>
          <cell r="E164">
            <v>25034</v>
          </cell>
          <cell r="F164">
            <v>25034</v>
          </cell>
        </row>
        <row r="165">
          <cell r="A165" t="str">
            <v>BIMP-FL-N50R-5MT</v>
          </cell>
          <cell r="B165" t="str">
            <v>BANQUINA FRENTE LOSA N-50R - 5MT</v>
          </cell>
          <cell r="C165" t="str">
            <v>PRECIO DE VENTA</v>
          </cell>
          <cell r="D165">
            <v>1</v>
          </cell>
          <cell r="E165">
            <v>254562</v>
          </cell>
          <cell r="F165">
            <v>254562</v>
          </cell>
        </row>
        <row r="166">
          <cell r="A166" t="str">
            <v>BIMP-K1-TAP</v>
          </cell>
          <cell r="B166" t="str">
            <v>BURLETE TAPA K1 - 4mt</v>
          </cell>
          <cell r="C166" t="str">
            <v>PRECIO DE VENTA</v>
          </cell>
          <cell r="D166">
            <v>1</v>
          </cell>
          <cell r="E166">
            <v>69125</v>
          </cell>
          <cell r="F166">
            <v>69125</v>
          </cell>
        </row>
        <row r="167">
          <cell r="A167" t="str">
            <v>BIMP-K1-ZOC</v>
          </cell>
          <cell r="B167" t="str">
            <v>ZOCALO K1 - 4mt</v>
          </cell>
          <cell r="C167" t="str">
            <v>PRECIO DE VENTA</v>
          </cell>
          <cell r="D167">
            <v>1</v>
          </cell>
          <cell r="E167">
            <v>324762</v>
          </cell>
          <cell r="F167">
            <v>324762</v>
          </cell>
        </row>
        <row r="168">
          <cell r="A168" t="str">
            <v>BIMP-K12-PF</v>
          </cell>
          <cell r="B168" t="str">
            <v>PERFIL 11*50</v>
          </cell>
          <cell r="C168" t="str">
            <v>PRECIO DE VENTA</v>
          </cell>
          <cell r="D168">
            <v>1</v>
          </cell>
          <cell r="E168">
            <v>82909</v>
          </cell>
          <cell r="F168">
            <v>82909</v>
          </cell>
        </row>
        <row r="169">
          <cell r="A169" t="str">
            <v>BIMP-K12-POR</v>
          </cell>
          <cell r="B169" t="str">
            <v>PORTA BURLETE</v>
          </cell>
          <cell r="C169" t="str">
            <v>PRECIO DE VENTA</v>
          </cell>
          <cell r="D169">
            <v>1</v>
          </cell>
          <cell r="E169">
            <v>72753</v>
          </cell>
          <cell r="F169">
            <v>72753</v>
          </cell>
        </row>
        <row r="170">
          <cell r="A170" t="str">
            <v>BIMP-K12-TAP</v>
          </cell>
          <cell r="B170" t="str">
            <v>TAPA EMBELLECEDORA</v>
          </cell>
          <cell r="C170" t="str">
            <v>PRECIO DE VENTA</v>
          </cell>
          <cell r="D170">
            <v>1</v>
          </cell>
          <cell r="E170">
            <v>93273</v>
          </cell>
          <cell r="F170">
            <v>93273</v>
          </cell>
        </row>
        <row r="171">
          <cell r="A171" t="str">
            <v>BIMP-K12-ZOC</v>
          </cell>
          <cell r="B171" t="str">
            <v>ZOCALO RECTO</v>
          </cell>
          <cell r="C171" t="str">
            <v>PRECIO DE VENTA</v>
          </cell>
          <cell r="D171">
            <v>1</v>
          </cell>
          <cell r="E171">
            <v>497455</v>
          </cell>
          <cell r="F171">
            <v>497455</v>
          </cell>
        </row>
        <row r="172">
          <cell r="A172" t="str">
            <v>BIMP-K15-TAP</v>
          </cell>
          <cell r="B172" t="str">
            <v>TAPA ZOCALO K15 - 6mt</v>
          </cell>
          <cell r="C172" t="str">
            <v>PRECIO DE VENTA</v>
          </cell>
          <cell r="D172">
            <v>1</v>
          </cell>
          <cell r="E172">
            <v>103636</v>
          </cell>
          <cell r="F172">
            <v>103636</v>
          </cell>
        </row>
        <row r="173">
          <cell r="A173" t="str">
            <v>BIMP-K15-ZOC</v>
          </cell>
          <cell r="B173" t="str">
            <v>ZOCALO  REFORZADO K15 - 3mt</v>
          </cell>
          <cell r="C173" t="str">
            <v>PRECIO DE VENTA</v>
          </cell>
          <cell r="D173">
            <v>1</v>
          </cell>
          <cell r="E173">
            <v>327491</v>
          </cell>
          <cell r="F173">
            <v>327491</v>
          </cell>
        </row>
        <row r="174">
          <cell r="A174" t="str">
            <v>BIMP-K3-PL</v>
          </cell>
          <cell r="B174" t="str">
            <v>PLAFON PARA LED - 3 mt</v>
          </cell>
          <cell r="C174" t="str">
            <v>PRECIO DE VENTA</v>
          </cell>
          <cell r="D174">
            <v>1</v>
          </cell>
          <cell r="E174">
            <v>11918</v>
          </cell>
          <cell r="F174">
            <v>11918</v>
          </cell>
        </row>
        <row r="175">
          <cell r="A175" t="str">
            <v>BIMP-K3-ZOC</v>
          </cell>
          <cell r="B175" t="str">
            <v>PERFIL PORTA LED - 6 mt</v>
          </cell>
          <cell r="C175" t="str">
            <v>PRECIO DE VENTA</v>
          </cell>
          <cell r="D175">
            <v>1</v>
          </cell>
          <cell r="E175">
            <v>73167</v>
          </cell>
          <cell r="F175">
            <v>73167</v>
          </cell>
        </row>
        <row r="176">
          <cell r="A176" t="str">
            <v>BIMP-K6-BUL</v>
          </cell>
          <cell r="B176" t="str">
            <v>BURLETE TAPON EPDM</v>
          </cell>
          <cell r="C176" t="str">
            <v>PRECIO DE VENTA</v>
          </cell>
          <cell r="D176">
            <v>1</v>
          </cell>
          <cell r="E176">
            <v>6909</v>
          </cell>
          <cell r="F176">
            <v>6909</v>
          </cell>
        </row>
        <row r="177">
          <cell r="A177" t="str">
            <v>BIMP-K6-TAP</v>
          </cell>
          <cell r="B177" t="str">
            <v>TAPA ZOCALO K6 - 6mt</v>
          </cell>
          <cell r="C177" t="str">
            <v>PRECIO DE VENTA</v>
          </cell>
          <cell r="D177">
            <v>1</v>
          </cell>
          <cell r="E177">
            <v>86329</v>
          </cell>
          <cell r="F177">
            <v>86329</v>
          </cell>
        </row>
        <row r="178">
          <cell r="A178" t="str">
            <v>BIMP-K6-ZOC</v>
          </cell>
          <cell r="B178" t="str">
            <v>ZOCALO CAJA DE AGUA K6 - 6mt</v>
          </cell>
          <cell r="C178" t="str">
            <v>PRECIO DE VENTA</v>
          </cell>
          <cell r="D178">
            <v>1</v>
          </cell>
          <cell r="E178">
            <v>259091</v>
          </cell>
          <cell r="F178">
            <v>259091</v>
          </cell>
        </row>
        <row r="179">
          <cell r="A179" t="str">
            <v>BIMP-PB-EXT-N50R</v>
          </cell>
          <cell r="B179" t="str">
            <v>PERFIL PORTA BURLETE EXTERIOR N-50R</v>
          </cell>
          <cell r="C179" t="str">
            <v>PRECIO DE VENTA</v>
          </cell>
          <cell r="D179">
            <v>1</v>
          </cell>
          <cell r="E179">
            <v>8208</v>
          </cell>
          <cell r="F179">
            <v>8208</v>
          </cell>
        </row>
        <row r="180">
          <cell r="A180" t="str">
            <v>BIMP-SL-N50-5MT</v>
          </cell>
          <cell r="B180" t="str">
            <v>BANQUINA SOBRE LOSA N-50 - 5MT</v>
          </cell>
          <cell r="C180" t="str">
            <v>PRECIO DE VENTA</v>
          </cell>
          <cell r="D180">
            <v>1</v>
          </cell>
          <cell r="E180">
            <v>262200</v>
          </cell>
          <cell r="F180">
            <v>262200</v>
          </cell>
        </row>
        <row r="181">
          <cell r="A181" t="str">
            <v>BIMP-SL-S40-6MT</v>
          </cell>
          <cell r="B181" t="str">
            <v>BANQUINA SOBRE LOSA S-40 - 6MT</v>
          </cell>
          <cell r="C181" t="str">
            <v>PRECIO DE VENTA</v>
          </cell>
          <cell r="D181">
            <v>1</v>
          </cell>
          <cell r="E181">
            <v>214776</v>
          </cell>
          <cell r="F181">
            <v>214776</v>
          </cell>
        </row>
        <row r="182">
          <cell r="A182" t="str">
            <v>BIMP-TF-N50R</v>
          </cell>
          <cell r="B182" t="str">
            <v>PERFIL TAPA FRONTAL N-50R</v>
          </cell>
          <cell r="C182" t="str">
            <v>PRECIO DE VENTA</v>
          </cell>
          <cell r="D182">
            <v>1</v>
          </cell>
          <cell r="E182">
            <v>58140</v>
          </cell>
          <cell r="F182">
            <v>58140</v>
          </cell>
        </row>
        <row r="183">
          <cell r="A183" t="str">
            <v>BIMP-TPCU-10</v>
          </cell>
          <cell r="B183" t="str">
            <v>TAPACANTO U 10 MM</v>
          </cell>
          <cell r="C183" t="str">
            <v>PRECIO DE VENTA</v>
          </cell>
          <cell r="D183">
            <v>1</v>
          </cell>
          <cell r="E183">
            <v>9777</v>
          </cell>
          <cell r="F183">
            <v>9777</v>
          </cell>
        </row>
        <row r="184">
          <cell r="A184" t="str">
            <v>BIMP-TPCU-12</v>
          </cell>
          <cell r="B184" t="str">
            <v>TAPACANTO U 12 MM</v>
          </cell>
          <cell r="C184" t="str">
            <v>PRECIO DE VENTA</v>
          </cell>
          <cell r="D184">
            <v>1</v>
          </cell>
          <cell r="E184">
            <v>10235</v>
          </cell>
          <cell r="F184">
            <v>10235</v>
          </cell>
        </row>
        <row r="185">
          <cell r="A185" t="str">
            <v>BIMP-TPCU-20</v>
          </cell>
          <cell r="B185" t="str">
            <v>TAPACANTO U 20 MM</v>
          </cell>
          <cell r="C185" t="str">
            <v>PRECIO DE VENTA</v>
          </cell>
          <cell r="D185">
            <v>1</v>
          </cell>
          <cell r="E185">
            <v>11457</v>
          </cell>
          <cell r="F185">
            <v>11457</v>
          </cell>
        </row>
        <row r="186">
          <cell r="A186" t="str">
            <v>BLT 01</v>
          </cell>
          <cell r="B186" t="str">
            <v>BULTO</v>
          </cell>
          <cell r="C186" t="str">
            <v>PRECIO DE VENTA</v>
          </cell>
          <cell r="D186">
            <v>1</v>
          </cell>
        </row>
        <row r="187">
          <cell r="A187" t="str">
            <v>CB-TC26</v>
          </cell>
          <cell r="B187" t="str">
            <v>CARGADOR DE BATERIAS DEL EQUIPO DE CAPTURA MOVIL TC26</v>
          </cell>
          <cell r="C187" t="str">
            <v>PRECIO DE VENTA</v>
          </cell>
          <cell r="D187">
            <v>1</v>
          </cell>
        </row>
        <row r="188">
          <cell r="A188" t="str">
            <v>CE-TC26</v>
          </cell>
          <cell r="B188" t="str">
            <v>CARGADOR DE EQUIPO DE CAPTURA MOVIL TC26</v>
          </cell>
          <cell r="C188" t="str">
            <v>PRECIO DE VENTA</v>
          </cell>
          <cell r="D188">
            <v>1</v>
          </cell>
        </row>
        <row r="189">
          <cell r="A189" t="str">
            <v>DIS-CORTE-100</v>
          </cell>
          <cell r="B189" t="str">
            <v>DISCO DE CORTE PARA JUNQUILLO - 100</v>
          </cell>
          <cell r="C189" t="str">
            <v>PRECIO DE VENTA</v>
          </cell>
          <cell r="D189">
            <v>1</v>
          </cell>
          <cell r="E189">
            <v>39710</v>
          </cell>
          <cell r="F189">
            <v>39710</v>
          </cell>
        </row>
        <row r="190">
          <cell r="A190" t="str">
            <v>DIS-CORTE-200</v>
          </cell>
          <cell r="B190" t="str">
            <v>DISCO DE CORTE PARA JUNQUILLO - 200</v>
          </cell>
          <cell r="C190" t="str">
            <v>PRECIO DE VENTA</v>
          </cell>
          <cell r="D190">
            <v>1</v>
          </cell>
          <cell r="E190">
            <v>43890</v>
          </cell>
          <cell r="F190">
            <v>43890</v>
          </cell>
        </row>
        <row r="191">
          <cell r="A191" t="str">
            <v>DIS-Z120</v>
          </cell>
          <cell r="B191" t="str">
            <v>DISCO SIERRA Z120</v>
          </cell>
          <cell r="C191" t="str">
            <v>PRECIO DE VENTA</v>
          </cell>
          <cell r="D191">
            <v>1</v>
          </cell>
          <cell r="E191">
            <v>172425</v>
          </cell>
          <cell r="F191">
            <v>172425</v>
          </cell>
        </row>
        <row r="192">
          <cell r="A192" t="str">
            <v>EQUIPOS1</v>
          </cell>
          <cell r="B192" t="str">
            <v>GENERADOR OKVAGE 1100</v>
          </cell>
          <cell r="C192" t="str">
            <v>PRECIO DE VENTA</v>
          </cell>
          <cell r="D192">
            <v>1</v>
          </cell>
        </row>
        <row r="193">
          <cell r="A193" t="str">
            <v>EQUIPOS10</v>
          </cell>
          <cell r="B193" t="str">
            <v>AIRE ACONDICONADO SPLIT MURAL 9000 A 24000 BTU</v>
          </cell>
          <cell r="C193" t="str">
            <v>PRECIO DE VENTA</v>
          </cell>
          <cell r="D193">
            <v>1</v>
          </cell>
        </row>
        <row r="194">
          <cell r="A194" t="str">
            <v>EQUIPOS11</v>
          </cell>
          <cell r="B194" t="str">
            <v>COMPRA DE ANDAMIOS USD 500 FERIA EDIFICA</v>
          </cell>
          <cell r="C194" t="str">
            <v>PRECIO DE VENTA</v>
          </cell>
          <cell r="D194">
            <v>1</v>
          </cell>
        </row>
        <row r="195">
          <cell r="A195" t="str">
            <v>EQUIPOS12</v>
          </cell>
          <cell r="B195" t="str">
            <v>RELOJ CONTROL TEMUCO</v>
          </cell>
          <cell r="C195" t="str">
            <v>PRECIO DE VENTA</v>
          </cell>
          <cell r="D195">
            <v>1</v>
          </cell>
        </row>
        <row r="196">
          <cell r="A196" t="str">
            <v>EQUIPOS13</v>
          </cell>
          <cell r="B196" t="str">
            <v>COMPRA DE GENERADOR GASOLINA 3000 W BAUKE FAC97289665</v>
          </cell>
          <cell r="C196" t="str">
            <v>PRECIO DE VENTA</v>
          </cell>
          <cell r="D196">
            <v>1</v>
          </cell>
        </row>
        <row r="197">
          <cell r="A197" t="str">
            <v>EQUIPOS14</v>
          </cell>
          <cell r="B197" t="str">
            <v>MOTOCOMPRESOR TUCAPEL  AC40 FAC 555402</v>
          </cell>
          <cell r="C197" t="str">
            <v>PRECIO DE VENTA</v>
          </cell>
          <cell r="D197">
            <v>1</v>
          </cell>
        </row>
        <row r="198">
          <cell r="A198" t="str">
            <v>EQUIPOS15</v>
          </cell>
          <cell r="B198" t="str">
            <v>TRANSPALETA MANUAL TEMUCO</v>
          </cell>
          <cell r="C198" t="str">
            <v>PRECIO DE VENTA</v>
          </cell>
          <cell r="D198">
            <v>1</v>
          </cell>
        </row>
        <row r="199">
          <cell r="A199" t="str">
            <v>EQUIPOS16</v>
          </cell>
          <cell r="B199" t="str">
            <v>HIDROLAVADORA 3000 W 150BAR 220V</v>
          </cell>
          <cell r="C199" t="str">
            <v>PRECIO DE VENTA</v>
          </cell>
          <cell r="D199">
            <v>1</v>
          </cell>
        </row>
        <row r="200">
          <cell r="A200" t="str">
            <v>EQUIPOS17</v>
          </cell>
          <cell r="B200" t="str">
            <v>CARRO FERRETERO</v>
          </cell>
          <cell r="C200" t="str">
            <v>PRECIO DE VENTA</v>
          </cell>
          <cell r="D200">
            <v>1</v>
          </cell>
        </row>
        <row r="201">
          <cell r="A201" t="str">
            <v>EQUIPOS18</v>
          </cell>
          <cell r="B201" t="str">
            <v>AIRE ACONDICIONADO SPLIT MURO FOREST INVERTER 12000  BTU</v>
          </cell>
          <cell r="C201" t="str">
            <v>PRECIO DE VENTA</v>
          </cell>
          <cell r="D201">
            <v>1</v>
          </cell>
        </row>
        <row r="202">
          <cell r="A202" t="str">
            <v>EQUIPOS19</v>
          </cell>
          <cell r="B202" t="str">
            <v>CARROCERIA CON BARANDAS ABATIBLES DESMONTABLE DE 502 CN</v>
          </cell>
          <cell r="C202" t="str">
            <v>PRECIO DE VENTA</v>
          </cell>
          <cell r="D202">
            <v>1</v>
          </cell>
        </row>
        <row r="203">
          <cell r="A203" t="str">
            <v>EQUIPOS2</v>
          </cell>
          <cell r="B203" t="str">
            <v>2 SIERRAS HM 380*3,8/3,2*32+2 Z=110 ALU-NEG</v>
          </cell>
          <cell r="C203" t="str">
            <v>PRECIO DE VENTA</v>
          </cell>
          <cell r="D203">
            <v>1</v>
          </cell>
        </row>
        <row r="204">
          <cell r="A204" t="str">
            <v>EQUIPOS20</v>
          </cell>
          <cell r="B204" t="str">
            <v>MOTOR LIWIN 230 V. NEGRO CHAIN DRIVE P/RADIO CONTROL</v>
          </cell>
          <cell r="C204" t="str">
            <v>PRECIO DE VENTA</v>
          </cell>
          <cell r="D204">
            <v>1</v>
          </cell>
        </row>
        <row r="205">
          <cell r="A205" t="str">
            <v>EQUIPOS21</v>
          </cell>
          <cell r="B205" t="str">
            <v>AIRE ACONDICIONADO, SOPORTE MURO, BOMBA DE CONDDENSADO</v>
          </cell>
          <cell r="C205" t="str">
            <v>PRECIO DE VENTA</v>
          </cell>
          <cell r="D205">
            <v>1</v>
          </cell>
        </row>
        <row r="206">
          <cell r="A206" t="str">
            <v>EQUIPOS22</v>
          </cell>
          <cell r="B206" t="str">
            <v>EQUIPO AIRE ACONDICIONADO OFICINA GLADYS AROS FAC 1578</v>
          </cell>
          <cell r="C206" t="str">
            <v>PRECIO DE VENTA</v>
          </cell>
          <cell r="D206">
            <v>1</v>
          </cell>
        </row>
        <row r="207">
          <cell r="A207" t="str">
            <v>EQUIPOS23</v>
          </cell>
          <cell r="B207" t="str">
            <v>EQUIPO AIRE ACONDICIONADO OFICINA ADMINISTRACION FAC 217 BNCM ING.</v>
          </cell>
          <cell r="C207" t="str">
            <v>PRECIO DE VENTA</v>
          </cell>
          <cell r="D207">
            <v>1</v>
          </cell>
        </row>
        <row r="208">
          <cell r="A208" t="str">
            <v>EQUIPOS24</v>
          </cell>
          <cell r="B208" t="str">
            <v>BALANZA 6000 G FAC 208</v>
          </cell>
          <cell r="C208" t="str">
            <v>PRECIO DE VENTA</v>
          </cell>
          <cell r="D208">
            <v>1</v>
          </cell>
        </row>
        <row r="209">
          <cell r="A209" t="str">
            <v>EQUIPOS25</v>
          </cell>
          <cell r="B209" t="str">
            <v>ESTABILIZADOR DE VOLTAJE TRIFASICO PSV 150 KVA FACE 1182</v>
          </cell>
          <cell r="C209" t="str">
            <v>PRECIO DE VENTA</v>
          </cell>
          <cell r="D209">
            <v>1</v>
          </cell>
        </row>
        <row r="210">
          <cell r="A210" t="str">
            <v>EQUIPOS26</v>
          </cell>
          <cell r="B210" t="str">
            <v>GENERADOR MARCA LUREYE 220 KVA</v>
          </cell>
          <cell r="C210" t="str">
            <v>PRECIO DE VENTA</v>
          </cell>
          <cell r="D210">
            <v>1</v>
          </cell>
        </row>
        <row r="211">
          <cell r="A211" t="str">
            <v>EQUIPOS27</v>
          </cell>
          <cell r="B211" t="str">
            <v>ADELANTO 50% PROYECTO ELECTRICO, CLIMATIZACION Y RENOV. DE AIRE</v>
          </cell>
          <cell r="C211" t="str">
            <v>PRECIO DE VENTA</v>
          </cell>
          <cell r="D211">
            <v>1</v>
          </cell>
        </row>
        <row r="212">
          <cell r="A212" t="str">
            <v>EQUIPOS28</v>
          </cell>
          <cell r="B212" t="str">
            <v>CAFETERA</v>
          </cell>
          <cell r="C212" t="str">
            <v>PRECIO DE VENTA</v>
          </cell>
          <cell r="D212">
            <v>1</v>
          </cell>
        </row>
        <row r="213">
          <cell r="A213" t="str">
            <v>EQUIPOS29</v>
          </cell>
          <cell r="B213" t="str">
            <v>MAQUINA CAFETERA</v>
          </cell>
          <cell r="C213" t="str">
            <v>PRECIO DE VENTA</v>
          </cell>
          <cell r="D213">
            <v>1</v>
          </cell>
        </row>
        <row r="214">
          <cell r="A214" t="str">
            <v>EQUIPOS3</v>
          </cell>
          <cell r="B214" t="str">
            <v>2 TRASPALETAS 685*1150*3000 KGS</v>
          </cell>
          <cell r="C214" t="str">
            <v>PRECIO DE VENTA</v>
          </cell>
          <cell r="D214">
            <v>1</v>
          </cell>
        </row>
        <row r="215">
          <cell r="A215" t="str">
            <v>EQUIPOS30</v>
          </cell>
          <cell r="B215" t="str">
            <v>EQUIPOS ELECTRODOMESTICOS</v>
          </cell>
          <cell r="C215" t="str">
            <v>PRECIO DE VENTA</v>
          </cell>
          <cell r="D215">
            <v>1</v>
          </cell>
        </row>
        <row r="216">
          <cell r="A216" t="str">
            <v>EQUIPOS31</v>
          </cell>
          <cell r="B216" t="str">
            <v>ENCERADORA-ASPIRADORA FP303 KA</v>
          </cell>
          <cell r="C216" t="str">
            <v>PRECIO DE VENTA</v>
          </cell>
          <cell r="D216">
            <v>1</v>
          </cell>
        </row>
        <row r="217">
          <cell r="A217" t="str">
            <v>EQUIPOS32</v>
          </cell>
          <cell r="B217" t="str">
            <v>SAMSUNG SMART TV 55"</v>
          </cell>
          <cell r="C217" t="str">
            <v>PRECIO DE VENTA</v>
          </cell>
          <cell r="D217">
            <v>1</v>
          </cell>
        </row>
        <row r="218">
          <cell r="A218" t="str">
            <v>EQUIPOS33</v>
          </cell>
          <cell r="B218" t="str">
            <v>PIXIE C60 CL ELECTRIC RED</v>
          </cell>
          <cell r="C218" t="str">
            <v>PRECIO DE VENTA</v>
          </cell>
          <cell r="D218">
            <v>1</v>
          </cell>
        </row>
        <row r="219">
          <cell r="A219" t="str">
            <v>EQUIPOS34</v>
          </cell>
          <cell r="B219" t="str">
            <v>VENTILADOR DE PEDESTAL INDUSTRIAL</v>
          </cell>
          <cell r="C219" t="str">
            <v>PRECIO DE VENTA</v>
          </cell>
          <cell r="D219">
            <v>1</v>
          </cell>
        </row>
        <row r="220">
          <cell r="A220" t="str">
            <v>EQUIPOS35</v>
          </cell>
          <cell r="B220" t="str">
            <v>ENFRIADOR OPERATIVO</v>
          </cell>
          <cell r="C220" t="str">
            <v>PRECIO DE VENTA</v>
          </cell>
          <cell r="D220">
            <v>1</v>
          </cell>
        </row>
        <row r="221">
          <cell r="A221" t="str">
            <v>EQUIPOS36</v>
          </cell>
          <cell r="B221" t="str">
            <v>ENFRIADOR OPERATIVO</v>
          </cell>
          <cell r="C221" t="str">
            <v>PRECIO DE VENTA</v>
          </cell>
          <cell r="D221">
            <v>1</v>
          </cell>
        </row>
        <row r="222">
          <cell r="A222" t="str">
            <v>EQUIPOS37</v>
          </cell>
          <cell r="B222" t="str">
            <v>FRIGOBAR FR-093R 80L DAEWOO FAC105800814</v>
          </cell>
          <cell r="C222" t="str">
            <v>PRECIO DE VENTA</v>
          </cell>
          <cell r="D222">
            <v>1</v>
          </cell>
        </row>
        <row r="223">
          <cell r="A223" t="str">
            <v>EQUIPOS38</v>
          </cell>
          <cell r="B223" t="str">
            <v>REFRIGERADOR NO FROST 197 LITROS FRT-220</v>
          </cell>
          <cell r="C223" t="str">
            <v>PRECIO DE VENTA</v>
          </cell>
          <cell r="D223">
            <v>1</v>
          </cell>
        </row>
        <row r="224">
          <cell r="A224" t="str">
            <v>EQUIPOS39</v>
          </cell>
          <cell r="B224" t="str">
            <v>CAFETERA DE LONGHI SUPERAUTOMATICA ECAM</v>
          </cell>
          <cell r="C224" t="str">
            <v>PRECIO DE VENTA</v>
          </cell>
          <cell r="D224">
            <v>1</v>
          </cell>
        </row>
        <row r="225">
          <cell r="A225" t="str">
            <v>EQUIPOS4</v>
          </cell>
          <cell r="B225" t="str">
            <v>4 AIRES ACONDICIONADOS ADMINISTRACION SARGENTO ALDEA</v>
          </cell>
          <cell r="C225" t="str">
            <v>PRECIO DE VENTA</v>
          </cell>
          <cell r="D225">
            <v>1</v>
          </cell>
        </row>
        <row r="226">
          <cell r="A226" t="str">
            <v>EQUIPOS40</v>
          </cell>
          <cell r="B226" t="str">
            <v>FRIGOBAR CON LLAVE FRIO DIRECTO 46 LITROS FB-55BL</v>
          </cell>
          <cell r="C226" t="str">
            <v>PRECIO DE VENTA</v>
          </cell>
          <cell r="D226">
            <v>1</v>
          </cell>
        </row>
        <row r="227">
          <cell r="A227" t="str">
            <v>EQUIPOS41</v>
          </cell>
          <cell r="B227" t="str">
            <v>REFRIGERADOR TOP MOUNT NO FROST 266 LITROS</v>
          </cell>
          <cell r="C227" t="str">
            <v>PRECIO DE VENTA</v>
          </cell>
          <cell r="D227">
            <v>1</v>
          </cell>
        </row>
        <row r="228">
          <cell r="A228" t="str">
            <v>EQUIPOS42</v>
          </cell>
          <cell r="B228" t="str">
            <v>BALANZA QUANTUM CS 3KGX0,1G CONTADORA</v>
          </cell>
          <cell r="C228" t="str">
            <v>PRECIO DE VENTA</v>
          </cell>
          <cell r="D228">
            <v>1</v>
          </cell>
        </row>
        <row r="229">
          <cell r="A229" t="str">
            <v>EQUIPOS43</v>
          </cell>
          <cell r="B229" t="str">
            <v>SUMINISTRO DE RELOJ BIOMETRICO UA 760</v>
          </cell>
          <cell r="C229" t="str">
            <v>PRECIO DE VENTA</v>
          </cell>
          <cell r="D229">
            <v>1</v>
          </cell>
        </row>
        <row r="230">
          <cell r="A230" t="str">
            <v>EQUIPOS44</v>
          </cell>
          <cell r="B230" t="str">
            <v>SUMINISTRO RELOJ BIOMETRICO UA760 CONTROL ASISTENCIA</v>
          </cell>
          <cell r="C230" t="str">
            <v>PRECIO DE VENTA</v>
          </cell>
          <cell r="D230">
            <v>1</v>
          </cell>
        </row>
        <row r="231">
          <cell r="A231" t="str">
            <v>EQUIPOS45</v>
          </cell>
          <cell r="B231" t="str">
            <v>50% FINAL PROYECTO ELECTRICO,CLIMATIZACION Y RENOV. DE AIRE</v>
          </cell>
          <cell r="C231" t="str">
            <v>PRECIO DE VENTA</v>
          </cell>
          <cell r="D231">
            <v>1</v>
          </cell>
        </row>
        <row r="232">
          <cell r="A232" t="str">
            <v>EQUIPOS46</v>
          </cell>
          <cell r="B232" t="str">
            <v>MICROONDAS 32 LTS</v>
          </cell>
          <cell r="C232" t="str">
            <v>PRECIO DE VENTA</v>
          </cell>
          <cell r="D232">
            <v>1</v>
          </cell>
        </row>
        <row r="233">
          <cell r="A233" t="str">
            <v>EQUIPOS47</v>
          </cell>
          <cell r="B233" t="str">
            <v>FRIGOBAR 67 LITROS</v>
          </cell>
          <cell r="C233" t="str">
            <v>PRECIO DE VENTA</v>
          </cell>
          <cell r="D233">
            <v>1</v>
          </cell>
        </row>
        <row r="234">
          <cell r="A234" t="str">
            <v>EQUIPOS48</v>
          </cell>
          <cell r="B234" t="str">
            <v>50% SISTEMA DE RENOVACION Y TRATAMIENTO DE AIRE CON EXTRACCION COMEDOR</v>
          </cell>
          <cell r="C234" t="str">
            <v>PRECIO DE VENTA</v>
          </cell>
          <cell r="D234">
            <v>1</v>
          </cell>
        </row>
        <row r="235">
          <cell r="A235" t="str">
            <v>EQUIPOS49</v>
          </cell>
          <cell r="B235" t="str">
            <v>50% FINAL SISTEMA DE RENOVACION Y TRATAMIENTO DE AIRE CON EXTRACCION COMEDOR</v>
          </cell>
          <cell r="C235" t="str">
            <v>PRECIO DE VENTA</v>
          </cell>
          <cell r="D235">
            <v>1</v>
          </cell>
        </row>
        <row r="236">
          <cell r="A236" t="str">
            <v>EQUIPOS5</v>
          </cell>
          <cell r="B236" t="str">
            <v>1 AIRES ACONDICIONADOS  TALLER SARGENTO ALDEA</v>
          </cell>
          <cell r="C236" t="str">
            <v>PRECIO DE VENTA</v>
          </cell>
          <cell r="D236">
            <v>1</v>
          </cell>
        </row>
        <row r="237">
          <cell r="A237" t="str">
            <v>EQUIPOS50</v>
          </cell>
          <cell r="B237" t="str">
            <v>1 RELOJ GAMA STANDAR LAN</v>
          </cell>
          <cell r="C237" t="str">
            <v>PRECIO DE VENTA</v>
          </cell>
          <cell r="D237">
            <v>1</v>
          </cell>
        </row>
        <row r="238">
          <cell r="A238" t="str">
            <v>EQUIPOS51</v>
          </cell>
          <cell r="B238" t="str">
            <v>1 RELOJ GAMA ESTANDAR LAN</v>
          </cell>
          <cell r="C238" t="str">
            <v>PRECIO DE VENTA</v>
          </cell>
          <cell r="D238">
            <v>1</v>
          </cell>
        </row>
        <row r="239">
          <cell r="A239" t="str">
            <v>EQUIPOS52</v>
          </cell>
          <cell r="B239" t="str">
            <v>MAQUINA EXPENDEDORA BEBIDAS CALIENTES GAIA-4S</v>
          </cell>
          <cell r="C239" t="str">
            <v>PRECIO DE VENTA</v>
          </cell>
          <cell r="D239">
            <v>1</v>
          </cell>
        </row>
        <row r="240">
          <cell r="A240" t="str">
            <v>EQUIPOS53</v>
          </cell>
          <cell r="B240" t="str">
            <v>REFRIGERADOR MINIBAR MMB91 BLK</v>
          </cell>
          <cell r="C240" t="str">
            <v>PRECIO DE VENTA</v>
          </cell>
          <cell r="D240">
            <v>1</v>
          </cell>
        </row>
        <row r="241">
          <cell r="A241" t="str">
            <v>EQUIPOS54</v>
          </cell>
          <cell r="B241" t="str">
            <v>VENTILADOR NEBULIZADOR AGUA INDUSTRIAL 26" ALTA POTENCIA MOTOR COBRE</v>
          </cell>
          <cell r="C241" t="str">
            <v>PRECIO DE VENTA</v>
          </cell>
          <cell r="D241">
            <v>1</v>
          </cell>
        </row>
        <row r="242">
          <cell r="A242" t="str">
            <v>EQUIPOS55</v>
          </cell>
          <cell r="B242" t="str">
            <v>MAQUINA DE CAFE INDUSTRIAL</v>
          </cell>
          <cell r="C242" t="str">
            <v>PRECIO DE VENTA</v>
          </cell>
          <cell r="D242">
            <v>1</v>
          </cell>
        </row>
        <row r="243">
          <cell r="A243" t="str">
            <v>EQUIPOS56</v>
          </cell>
          <cell r="B243" t="str">
            <v>GENERADOR ELECTRICO 6000W BAUKER</v>
          </cell>
          <cell r="C243" t="str">
            <v>PRECIO DE VENTA</v>
          </cell>
          <cell r="D243">
            <v>1</v>
          </cell>
        </row>
        <row r="244">
          <cell r="A244" t="str">
            <v>EQUIPOS6</v>
          </cell>
          <cell r="B244" t="str">
            <v>KIT GABINETE RELOJ BIO 628-C CON POS 588 (S.ALDEA)</v>
          </cell>
          <cell r="C244" t="str">
            <v>PRECIO DE VENTA</v>
          </cell>
          <cell r="D244">
            <v>1</v>
          </cell>
        </row>
        <row r="245">
          <cell r="A245" t="str">
            <v>EQUIPOS7</v>
          </cell>
          <cell r="B245" t="str">
            <v>KIT GABINETE RELOJ BIO 628-C CON POS 588 (MERSAN)</v>
          </cell>
          <cell r="C245" t="str">
            <v>PRECIO DE VENTA</v>
          </cell>
          <cell r="D245">
            <v>1</v>
          </cell>
        </row>
        <row r="246">
          <cell r="A246" t="str">
            <v>EQUIPOS8</v>
          </cell>
          <cell r="B246" t="str">
            <v>VENTILADOR FABRICA</v>
          </cell>
          <cell r="C246" t="str">
            <v>PRECIO DE VENTA</v>
          </cell>
          <cell r="D246">
            <v>1</v>
          </cell>
        </row>
        <row r="247">
          <cell r="A247" t="str">
            <v>EQUIPOS9</v>
          </cell>
          <cell r="B247" t="str">
            <v>CALEFON</v>
          </cell>
          <cell r="C247" t="str">
            <v>PRECIO DE VENTA</v>
          </cell>
          <cell r="D247">
            <v>1</v>
          </cell>
        </row>
        <row r="248">
          <cell r="A248" t="str">
            <v>EQUIPOSCOMP1</v>
          </cell>
          <cell r="B248" t="str">
            <v>NOTEBOOK LENOVO G40</v>
          </cell>
          <cell r="C248" t="str">
            <v>PRECIO DE VENTA</v>
          </cell>
          <cell r="D248">
            <v>1</v>
          </cell>
        </row>
        <row r="249">
          <cell r="A249" t="str">
            <v>EQUIPOSCOMP10</v>
          </cell>
          <cell r="B249" t="str">
            <v>COMPUTADOR INTEL CORE I5-6400</v>
          </cell>
          <cell r="C249" t="str">
            <v>PRECIO DE VENTA</v>
          </cell>
          <cell r="D249">
            <v>1</v>
          </cell>
        </row>
        <row r="250">
          <cell r="A250" t="str">
            <v>EQUIPOSCOMP100</v>
          </cell>
          <cell r="B250" t="str">
            <v>LENOVO NOTEBOOK THINKBOOK 14" 512 GB FAC 4257858 PERSONAL COMPUTER FACTORY S.A.</v>
          </cell>
          <cell r="C250" t="str">
            <v>PRECIO DE VENTA</v>
          </cell>
          <cell r="D250">
            <v>1</v>
          </cell>
        </row>
        <row r="251">
          <cell r="A251" t="str">
            <v>EQUIPOSCOMP101</v>
          </cell>
          <cell r="B251" t="str">
            <v>NOTEBOOK THINKBOOK 14" 512 GB FAC 232592</v>
          </cell>
          <cell r="C251" t="str">
            <v>PRECIO DE VENTA</v>
          </cell>
          <cell r="D251">
            <v>1</v>
          </cell>
        </row>
        <row r="252">
          <cell r="A252" t="str">
            <v>EQUIPOSCOMP102</v>
          </cell>
          <cell r="B252" t="str">
            <v>ASUS NOTEBOOK  GAMER FAC 4259010</v>
          </cell>
          <cell r="C252" t="str">
            <v>PRECIO DE VENTA</v>
          </cell>
          <cell r="D252">
            <v>1</v>
          </cell>
        </row>
        <row r="253">
          <cell r="A253" t="str">
            <v>EQUIPOSCOMP103</v>
          </cell>
          <cell r="B253" t="str">
            <v>ASUS NOTEBOOK VIVOBOOK FAC 4322661</v>
          </cell>
          <cell r="C253" t="str">
            <v>PRECIO DE VENTA</v>
          </cell>
          <cell r="D253">
            <v>1</v>
          </cell>
        </row>
        <row r="254">
          <cell r="A254" t="str">
            <v>EQUIPOSCOMP104</v>
          </cell>
          <cell r="B254" t="str">
            <v>NOTEBOOK FACE 4323020</v>
          </cell>
          <cell r="C254" t="str">
            <v>PRECIO DE VENTA</v>
          </cell>
          <cell r="D254">
            <v>1</v>
          </cell>
        </row>
        <row r="255">
          <cell r="A255" t="str">
            <v>EQUIPOSCOMP105</v>
          </cell>
          <cell r="B255" t="str">
            <v>NOTEBOOK FACE 4339738</v>
          </cell>
          <cell r="C255" t="str">
            <v>PRECIO DE VENTA</v>
          </cell>
          <cell r="D255">
            <v>1</v>
          </cell>
        </row>
        <row r="256">
          <cell r="A256" t="str">
            <v>EQUIPOSCOMP106</v>
          </cell>
          <cell r="B256" t="str">
            <v>LAPTOP FACE 4339987</v>
          </cell>
          <cell r="C256" t="str">
            <v>PRECIO DE VENTA</v>
          </cell>
          <cell r="D256">
            <v>1</v>
          </cell>
        </row>
        <row r="257">
          <cell r="A257" t="str">
            <v>EQUIPOSCOMP107</v>
          </cell>
          <cell r="B257" t="str">
            <v>PRO 70 PLUS 50 OHM OMNI/DOME KIT  FAC 6095 IMPORTADORA ISET CHILE SA</v>
          </cell>
          <cell r="C257" t="str">
            <v>PRECIO DE VENTA</v>
          </cell>
          <cell r="D257">
            <v>1</v>
          </cell>
        </row>
        <row r="258">
          <cell r="A258" t="str">
            <v>EQUIPOSCOMP108</v>
          </cell>
          <cell r="B258" t="str">
            <v>LENOVO NOTEBOOK IDEAPAD 3 14" 512 GB FAC 4405134 PERSONAL COMPUTER FACTORY S.A.</v>
          </cell>
          <cell r="C258" t="str">
            <v>PRECIO DE VENTA</v>
          </cell>
          <cell r="D258">
            <v>1</v>
          </cell>
        </row>
        <row r="259">
          <cell r="A259" t="str">
            <v>EQUIPOSCOMP109</v>
          </cell>
          <cell r="B259" t="str">
            <v>GEAR MONITOR 21,5" M2285 FULL HD</v>
          </cell>
          <cell r="C259" t="str">
            <v>PRECIO DE VENTA</v>
          </cell>
          <cell r="D259">
            <v>1</v>
          </cell>
        </row>
        <row r="260">
          <cell r="A260" t="str">
            <v>EQUIPOSCOMP11</v>
          </cell>
          <cell r="B260" t="str">
            <v>MONITOR 22 LS22F350</v>
          </cell>
          <cell r="C260" t="str">
            <v>PRECIO DE VENTA</v>
          </cell>
          <cell r="D260">
            <v>1</v>
          </cell>
        </row>
        <row r="261">
          <cell r="A261" t="str">
            <v>EQUIPOSCOMP110</v>
          </cell>
          <cell r="B261" t="str">
            <v>SAMSUNG MONITOR 21,5" LS22F350 FULL HD</v>
          </cell>
          <cell r="C261" t="str">
            <v>PRECIO DE VENTA</v>
          </cell>
          <cell r="D261">
            <v>1</v>
          </cell>
        </row>
        <row r="262">
          <cell r="A262" t="str">
            <v>EQUIPOSCOMP111</v>
          </cell>
          <cell r="B262" t="str">
            <v>GEAR MONITOR 24" M2468 FULL HD</v>
          </cell>
          <cell r="C262" t="str">
            <v>PRECIO DE VENTA</v>
          </cell>
          <cell r="D262">
            <v>1</v>
          </cell>
        </row>
        <row r="263">
          <cell r="A263" t="str">
            <v>EQUIPOSCOMP112</v>
          </cell>
          <cell r="B263" t="str">
            <v>MONITOR LG 22 PULG WIDE LED VGA/HDMI22MN430H-B</v>
          </cell>
          <cell r="C263" t="str">
            <v>PRECIO DE VENTA</v>
          </cell>
          <cell r="D263">
            <v>1</v>
          </cell>
        </row>
        <row r="264">
          <cell r="A264" t="str">
            <v>EQUIPOSCOMP113</v>
          </cell>
          <cell r="B264" t="str">
            <v>MONITOR IPS 31,5" FHD 1920 x 1080</v>
          </cell>
          <cell r="C264" t="str">
            <v>PRECIO DE VENTA</v>
          </cell>
          <cell r="D264">
            <v>1</v>
          </cell>
        </row>
        <row r="265">
          <cell r="A265" t="str">
            <v>EQUIPOSCOMP114</v>
          </cell>
          <cell r="B265" t="str">
            <v>MONITOR LG 22 PULG WIDE LED VGA/HDMI</v>
          </cell>
          <cell r="C265" t="str">
            <v>PRECIO DE VENTA</v>
          </cell>
          <cell r="D265">
            <v>1</v>
          </cell>
        </row>
        <row r="266">
          <cell r="A266" t="str">
            <v>EQUIPOSCOMP115</v>
          </cell>
          <cell r="B266" t="str">
            <v>MONITOR LG 24 PULG WIDE TN HDMI</v>
          </cell>
          <cell r="C266" t="str">
            <v>PRECIO DE VENTA</v>
          </cell>
          <cell r="D266">
            <v>1</v>
          </cell>
        </row>
        <row r="267">
          <cell r="A267" t="str">
            <v>EQUIPOSCOMP116</v>
          </cell>
          <cell r="B267" t="str">
            <v>LENOVO MONITOR 27 FULL HD</v>
          </cell>
          <cell r="C267" t="str">
            <v>PRECIO DE VENTA</v>
          </cell>
          <cell r="D267">
            <v>1</v>
          </cell>
        </row>
        <row r="268">
          <cell r="A268" t="str">
            <v>EQUIPOSCOMP117</v>
          </cell>
          <cell r="B268" t="str">
            <v>NOTEBOOK 14 i5</v>
          </cell>
          <cell r="C268" t="str">
            <v>PRECIO DE VENTA</v>
          </cell>
          <cell r="D268">
            <v>1</v>
          </cell>
        </row>
        <row r="269">
          <cell r="A269" t="str">
            <v>EQUIPOSCOMP118</v>
          </cell>
          <cell r="B269" t="str">
            <v>MONITOR LG 22 PULG WIDE LED VGA/HDMI</v>
          </cell>
          <cell r="C269" t="str">
            <v>PRECIO DE VENTA</v>
          </cell>
          <cell r="D269">
            <v>1</v>
          </cell>
        </row>
        <row r="270">
          <cell r="A270" t="str">
            <v>EQUIPOSCOMP119</v>
          </cell>
          <cell r="B270" t="str">
            <v>MONITOR LG 24 PULG WIDE TN HDMI VGA</v>
          </cell>
          <cell r="C270" t="str">
            <v>PRECIO DE VENTA</v>
          </cell>
          <cell r="D270">
            <v>1</v>
          </cell>
        </row>
        <row r="271">
          <cell r="A271" t="str">
            <v>EQUIPOSCOMP12</v>
          </cell>
          <cell r="B271" t="str">
            <v>MONITOR 22 LS22F350</v>
          </cell>
          <cell r="C271" t="str">
            <v>PRECIO DE VENTA</v>
          </cell>
          <cell r="D271">
            <v>1</v>
          </cell>
        </row>
        <row r="272">
          <cell r="A272" t="str">
            <v>EQUIPOSCOMP120</v>
          </cell>
          <cell r="B272" t="str">
            <v>LENOVO NOTEBOOK IDEAPAD3 14 FHD INTEL</v>
          </cell>
          <cell r="C272" t="str">
            <v>PRECIO DE VENTA</v>
          </cell>
          <cell r="D272">
            <v>1</v>
          </cell>
        </row>
        <row r="273">
          <cell r="A273" t="str">
            <v>EQUIPOSCOMP121</v>
          </cell>
          <cell r="B273" t="str">
            <v>NOTEBOOK TUF GAMING A15</v>
          </cell>
          <cell r="C273" t="str">
            <v>PRECIO DE VENTA</v>
          </cell>
          <cell r="D273">
            <v>1</v>
          </cell>
        </row>
        <row r="274">
          <cell r="A274" t="str">
            <v>EQUIPOSCOMP122</v>
          </cell>
          <cell r="B274" t="str">
            <v>NOTEBOOK LAPTOP V14 i7 1065G7 4GB</v>
          </cell>
          <cell r="C274" t="str">
            <v>PRECIO DE VENTA</v>
          </cell>
          <cell r="D274">
            <v>1</v>
          </cell>
        </row>
        <row r="275">
          <cell r="A275" t="str">
            <v>EQUIPOSCOMP123</v>
          </cell>
          <cell r="B275" t="str">
            <v>MONITOR GAMER CURVO 165 HZ 1080P GIGABYTE 27"</v>
          </cell>
          <cell r="C275" t="str">
            <v>PRECIO DE VENTA</v>
          </cell>
          <cell r="D275">
            <v>1</v>
          </cell>
        </row>
        <row r="276">
          <cell r="A276" t="str">
            <v>EQUIPOSCOMP124</v>
          </cell>
          <cell r="B276" t="str">
            <v>BROTHER DCP L2540DW MULTIFUNCIONAL MONO LASER</v>
          </cell>
          <cell r="C276" t="str">
            <v>PRECIO DE VENTA</v>
          </cell>
          <cell r="D276">
            <v>1</v>
          </cell>
        </row>
        <row r="277">
          <cell r="A277" t="str">
            <v>EQUIPOSCOMP125</v>
          </cell>
          <cell r="B277" t="str">
            <v>MONITOR CURVO 23,5" SAMSUNG</v>
          </cell>
          <cell r="C277" t="str">
            <v>PRECIO DE VENTA</v>
          </cell>
          <cell r="D277">
            <v>1</v>
          </cell>
        </row>
        <row r="278">
          <cell r="A278" t="str">
            <v>EQUIPOSCOMP126</v>
          </cell>
          <cell r="B278" t="str">
            <v>LAPTOP  ASUS NOTEBOOK BRENDA CABALLERO</v>
          </cell>
          <cell r="C278" t="str">
            <v>PRECIO DE VENTA</v>
          </cell>
          <cell r="D278">
            <v>1</v>
          </cell>
        </row>
        <row r="279">
          <cell r="A279" t="str">
            <v>EQUIPOSCOMP127</v>
          </cell>
          <cell r="B279" t="str">
            <v>MONITOR DEYSI CONTRERAS</v>
          </cell>
          <cell r="C279" t="str">
            <v>PRECIO DE VENTA</v>
          </cell>
          <cell r="D279">
            <v>1</v>
          </cell>
        </row>
        <row r="280">
          <cell r="A280" t="str">
            <v>EQUIPOSCOMP128</v>
          </cell>
          <cell r="B280" t="str">
            <v>LAPTOP  ASUS NOTEBOOK DEYSI CONTRERAS</v>
          </cell>
          <cell r="C280" t="str">
            <v>PRECIO DE VENTA</v>
          </cell>
          <cell r="D280">
            <v>1</v>
          </cell>
        </row>
        <row r="281">
          <cell r="A281" t="str">
            <v>EQUIPOSCOMP129</v>
          </cell>
          <cell r="B281" t="str">
            <v>MODULO RACK RED COMPUTACIONAL TUCAPEL</v>
          </cell>
          <cell r="C281" t="str">
            <v>PRECIO DE VENTA</v>
          </cell>
          <cell r="D281">
            <v>1</v>
          </cell>
        </row>
        <row r="282">
          <cell r="A282" t="str">
            <v>EQUIPOSCOMP13</v>
          </cell>
          <cell r="B282" t="str">
            <v>COMPUTADOR INTEL PENTIUM G3250</v>
          </cell>
          <cell r="C282" t="str">
            <v>PRECIO DE VENTA</v>
          </cell>
          <cell r="D282">
            <v>1</v>
          </cell>
        </row>
        <row r="283">
          <cell r="A283" t="str">
            <v>EQUIPOSCOMP130</v>
          </cell>
          <cell r="B283" t="str">
            <v>NOTEBOOK 250 G8 i5-8GB 256GB SSD 15.6"  W10PRO</v>
          </cell>
          <cell r="C283" t="str">
            <v>PRECIO DE VENTA</v>
          </cell>
          <cell r="D283">
            <v>1</v>
          </cell>
        </row>
        <row r="284">
          <cell r="A284" t="str">
            <v>EQUIPOSCOMP131</v>
          </cell>
          <cell r="B284" t="str">
            <v>LENOVO NOTEBOOK IDEAPAD 5 15,6" i7 Windows 10</v>
          </cell>
          <cell r="C284" t="str">
            <v>PRECIO DE VENTA</v>
          </cell>
          <cell r="D284">
            <v>1</v>
          </cell>
        </row>
        <row r="285">
          <cell r="A285" t="str">
            <v>EQUIPOSCOMP132</v>
          </cell>
          <cell r="B285" t="str">
            <v>MONITOR 22" FULL HD</v>
          </cell>
          <cell r="C285" t="str">
            <v>PRECIO DE VENTA</v>
          </cell>
          <cell r="D285">
            <v>1</v>
          </cell>
        </row>
        <row r="286">
          <cell r="A286" t="str">
            <v>EQUIPOSCOMP133</v>
          </cell>
          <cell r="B286" t="str">
            <v>SAMSUNG NOTEBOOK GALAXY BOOK2 15,6" FHD i7</v>
          </cell>
          <cell r="C286" t="str">
            <v>PRECIO DE VENTA</v>
          </cell>
          <cell r="D286">
            <v>1</v>
          </cell>
        </row>
        <row r="287">
          <cell r="A287" t="str">
            <v>EQUIPOSCOMP134</v>
          </cell>
          <cell r="B287" t="str">
            <v>ASUS MONITOR 21,5"FULL HD PANEL TN. 60HZ</v>
          </cell>
          <cell r="C287" t="str">
            <v>PRECIO DE VENTA</v>
          </cell>
          <cell r="D287">
            <v>1</v>
          </cell>
        </row>
        <row r="288">
          <cell r="A288" t="str">
            <v>EQUIPOSCOMP135</v>
          </cell>
          <cell r="B288" t="str">
            <v>NOTEBOOK ZENBOOK UX340 14" OLED 90HZ INTEL i7</v>
          </cell>
          <cell r="C288" t="str">
            <v>PRECIO DE VENTA</v>
          </cell>
          <cell r="D288">
            <v>1</v>
          </cell>
        </row>
        <row r="289">
          <cell r="A289" t="str">
            <v>EQUIPOSCOMP136</v>
          </cell>
          <cell r="B289" t="str">
            <v>LED 50 AU7000</v>
          </cell>
          <cell r="C289" t="str">
            <v>PRECIO DE VENTA</v>
          </cell>
          <cell r="D289">
            <v>1</v>
          </cell>
        </row>
        <row r="290">
          <cell r="A290" t="str">
            <v>EQUIPOSCOMP137</v>
          </cell>
          <cell r="B290" t="str">
            <v>NOTEBOOK LAPTOP 15.6" FHD INTEL i7</v>
          </cell>
          <cell r="C290" t="str">
            <v>PRECIO DE VENTA</v>
          </cell>
          <cell r="D290">
            <v>1</v>
          </cell>
        </row>
        <row r="291">
          <cell r="A291" t="str">
            <v>EQUIPOSCOMP138</v>
          </cell>
          <cell r="B291" t="str">
            <v>SAMSUNG NOTEBOOK GALAXY BOOK2</v>
          </cell>
          <cell r="C291" t="str">
            <v>PRECIO DE VENTA</v>
          </cell>
          <cell r="D291">
            <v>1</v>
          </cell>
        </row>
        <row r="292">
          <cell r="A292" t="str">
            <v>EQUIPOSCOMP139</v>
          </cell>
          <cell r="B292" t="str">
            <v>ASUS NOTEBOOK VIVOBOOK</v>
          </cell>
          <cell r="C292" t="str">
            <v>PRECIO DE VENTA</v>
          </cell>
          <cell r="D292">
            <v>1</v>
          </cell>
        </row>
        <row r="293">
          <cell r="A293" t="str">
            <v>EQUIPOSCOMP14</v>
          </cell>
          <cell r="B293" t="str">
            <v>COMPUTADOR INTEL I5 SSD480 8G</v>
          </cell>
          <cell r="C293" t="str">
            <v>PRECIO DE VENTA</v>
          </cell>
          <cell r="D293">
            <v>1</v>
          </cell>
        </row>
        <row r="294">
          <cell r="A294" t="str">
            <v>EQUIPOSCOMP140</v>
          </cell>
          <cell r="B294" t="str">
            <v>NOTEBOOK LAPTOP GAMING A15</v>
          </cell>
          <cell r="C294" t="str">
            <v>PRECIO DE VENTA</v>
          </cell>
          <cell r="D294">
            <v>1</v>
          </cell>
        </row>
        <row r="295">
          <cell r="A295" t="str">
            <v>EQUIPOSCOMP141</v>
          </cell>
          <cell r="B295" t="str">
            <v>MULTIFUNCIONAL LASER BLANCO Y NEGRO DCP-1602</v>
          </cell>
          <cell r="C295" t="str">
            <v>PRECIO DE VENTA</v>
          </cell>
          <cell r="D295">
            <v>1</v>
          </cell>
        </row>
        <row r="296">
          <cell r="A296" t="str">
            <v>EQUIPOSCOMP142</v>
          </cell>
          <cell r="B296" t="str">
            <v>NOTEBOOK ZENBOOK 14 OLED 14,5" INTEL i9</v>
          </cell>
          <cell r="C296" t="str">
            <v>PRECIO DE VENTA</v>
          </cell>
          <cell r="D296">
            <v>1</v>
          </cell>
        </row>
        <row r="297">
          <cell r="A297" t="str">
            <v>EQUIPOSCOMP143</v>
          </cell>
          <cell r="B297" t="str">
            <v>NOTEBOOK GAMER ROG RYZEN9 6GB 15,6" 16GB 512GB SSD</v>
          </cell>
          <cell r="C297" t="str">
            <v>PRECIO DE VENTA</v>
          </cell>
          <cell r="D297">
            <v>1</v>
          </cell>
        </row>
        <row r="298">
          <cell r="A298" t="str">
            <v>EQUIPOSCOMP144</v>
          </cell>
          <cell r="B298" t="str">
            <v>MULTIFUNCIONAL TINTA CONTINUA INK BENEFIT TANK DCP-T220</v>
          </cell>
          <cell r="C298" t="str">
            <v>PRECIO DE VENTA</v>
          </cell>
          <cell r="D298">
            <v>1</v>
          </cell>
        </row>
        <row r="299">
          <cell r="A299" t="str">
            <v>EQUIPOSCOMP145</v>
          </cell>
          <cell r="B299" t="str">
            <v>NOTEBOOK 240 G8 i5 512GB SSD 14" WINDOWS 11 HOME</v>
          </cell>
          <cell r="C299" t="str">
            <v>PRECIO DE VENTA</v>
          </cell>
          <cell r="D299">
            <v>1</v>
          </cell>
        </row>
        <row r="300">
          <cell r="A300" t="str">
            <v>EQUIPOSCOMP146</v>
          </cell>
          <cell r="B300" t="str">
            <v>NOTEBOOK 240 G8 i5 512GB SSD 14" WINDOWS 11 HOME</v>
          </cell>
          <cell r="C300" t="str">
            <v>PRECIO DE VENTA</v>
          </cell>
          <cell r="D300">
            <v>1</v>
          </cell>
        </row>
        <row r="301">
          <cell r="A301" t="str">
            <v>EQUIPOSCOMP147</v>
          </cell>
          <cell r="B301" t="str">
            <v>MONITOR CURVO S24C366 24" PANEL VA FHD 1980X1080, 75HZ</v>
          </cell>
          <cell r="C301" t="str">
            <v>PRECIO DE VENTA</v>
          </cell>
          <cell r="D301">
            <v>1</v>
          </cell>
        </row>
        <row r="302">
          <cell r="A302" t="str">
            <v>EQUIPOSCOMP148</v>
          </cell>
          <cell r="B302" t="str">
            <v>MONITOR CURVO S24C366 24" PANEL VA FHD 1980X1080, 75HZ</v>
          </cell>
          <cell r="C302" t="str">
            <v>PRECIO DE VENTA</v>
          </cell>
          <cell r="D302">
            <v>1</v>
          </cell>
        </row>
        <row r="303">
          <cell r="A303" t="str">
            <v>EQUIPOSCOMP149</v>
          </cell>
          <cell r="B303" t="str">
            <v>SERVIDOR DE DATOS ADMINISTRACION LAUTARO</v>
          </cell>
          <cell r="C303" t="str">
            <v>PRECIO DE VENTA</v>
          </cell>
          <cell r="D303">
            <v>1</v>
          </cell>
        </row>
        <row r="304">
          <cell r="A304" t="str">
            <v>EQUIPOSCOMP15</v>
          </cell>
          <cell r="B304" t="str">
            <v>IMPRESORA BROTHER MULTIFUNCIONAL LASER DCP L2540DW</v>
          </cell>
          <cell r="C304" t="str">
            <v>PRECIO DE VENTA</v>
          </cell>
          <cell r="D304">
            <v>1</v>
          </cell>
        </row>
        <row r="305">
          <cell r="A305" t="str">
            <v>EQUIPOSCOMP150</v>
          </cell>
          <cell r="B305" t="str">
            <v>NOTEBOOK GAMER ROG STRIX G15 G513 RYZEN 7-6800H NVIDIA RTX 3050 15.6" FHD 144 HZ 16 GB 512 GB</v>
          </cell>
          <cell r="C305" t="str">
            <v>PRECIO DE VENTA</v>
          </cell>
          <cell r="D305">
            <v>1</v>
          </cell>
        </row>
        <row r="306">
          <cell r="A306" t="str">
            <v>EQUIPOSCOMP151</v>
          </cell>
          <cell r="B306" t="str">
            <v>MONITOR CURVO SAM MT 27" 1980X1080 75HZ VA VGA /HDMI</v>
          </cell>
          <cell r="C306" t="str">
            <v>PRECIO DE VENTA</v>
          </cell>
          <cell r="D306">
            <v>1</v>
          </cell>
        </row>
        <row r="307">
          <cell r="A307" t="str">
            <v>EQUIPOSCOMP152</v>
          </cell>
          <cell r="B307" t="str">
            <v>IMPRESORA MULTIFUNCIONAL LASER MONO DUPLEX WIFI 30 PPM L2540 DW</v>
          </cell>
          <cell r="C307" t="str">
            <v>PRECIO DE VENTA</v>
          </cell>
          <cell r="D307">
            <v>1</v>
          </cell>
        </row>
        <row r="308">
          <cell r="A308" t="str">
            <v>EQUIPOSCOMP153</v>
          </cell>
          <cell r="B308" t="str">
            <v>NOTEBOOK DELL INSPIRON I5 8 5.0</v>
          </cell>
          <cell r="C308" t="str">
            <v>PRECIO DE VENTA</v>
          </cell>
          <cell r="D308">
            <v>1</v>
          </cell>
        </row>
        <row r="309">
          <cell r="A309" t="str">
            <v>EQUIPOSCOMP16</v>
          </cell>
          <cell r="B309" t="str">
            <v>NOTEBOOK LENOVO 15 8GB</v>
          </cell>
          <cell r="C309" t="str">
            <v>PRECIO DE VENTA</v>
          </cell>
          <cell r="D309">
            <v>1</v>
          </cell>
        </row>
        <row r="310">
          <cell r="A310" t="str">
            <v>EQUIPOSCOMP17</v>
          </cell>
          <cell r="B310" t="str">
            <v>MONITOR 22 VP228H</v>
          </cell>
          <cell r="C310" t="str">
            <v>PRECIO DE VENTA</v>
          </cell>
          <cell r="D310">
            <v>1</v>
          </cell>
        </row>
        <row r="311">
          <cell r="A311" t="str">
            <v>EQUIPOSCOMP18</v>
          </cell>
          <cell r="B311" t="str">
            <v>COMPUTADOR INTEL CORE I3-6098P</v>
          </cell>
          <cell r="C311" t="str">
            <v>PRECIO DE VENTA</v>
          </cell>
          <cell r="D311">
            <v>1</v>
          </cell>
        </row>
        <row r="312">
          <cell r="A312" t="str">
            <v>EQUIPOSCOMP19</v>
          </cell>
          <cell r="B312" t="str">
            <v>MONITOR 22 22M38A</v>
          </cell>
          <cell r="C312" t="str">
            <v>PRECIO DE VENTA</v>
          </cell>
          <cell r="D312">
            <v>1</v>
          </cell>
        </row>
        <row r="313">
          <cell r="A313" t="str">
            <v>EQUIPOSCOMP2</v>
          </cell>
          <cell r="B313" t="str">
            <v>NOTEBOOK HP 14-AB109</v>
          </cell>
          <cell r="C313" t="str">
            <v>PRECIO DE VENTA</v>
          </cell>
          <cell r="D313">
            <v>1</v>
          </cell>
        </row>
        <row r="314">
          <cell r="A314" t="str">
            <v>EQUIPOSCOMP20</v>
          </cell>
          <cell r="B314" t="str">
            <v>IMPRESORA BROTHER MULTIFUNCIONAL LASER DCP L2540DW</v>
          </cell>
          <cell r="C314" t="str">
            <v>PRECIO DE VENTA</v>
          </cell>
          <cell r="D314">
            <v>1</v>
          </cell>
        </row>
        <row r="315">
          <cell r="A315" t="str">
            <v>EQUIPOSCOMP21</v>
          </cell>
          <cell r="B315" t="str">
            <v>IMPRESORA BROTHER MULTIFUNCIONAL LASER DCP L2540DW</v>
          </cell>
          <cell r="C315" t="str">
            <v>PRECIO DE VENTA</v>
          </cell>
          <cell r="D315">
            <v>1</v>
          </cell>
        </row>
        <row r="316">
          <cell r="A316" t="str">
            <v>EQUIPOSCOMP22</v>
          </cell>
          <cell r="B316" t="str">
            <v>LED 32 PANTALLA CAMARA DE SEGURIDAD</v>
          </cell>
          <cell r="C316" t="str">
            <v>PRECIO DE VENTA</v>
          </cell>
          <cell r="D316">
            <v>1</v>
          </cell>
        </row>
        <row r="317">
          <cell r="A317" t="str">
            <v>EQUIPOSCOMP23</v>
          </cell>
          <cell r="B317" t="str">
            <v>COMPUTADOR GERA SLIM 781 (CESAR SANTIBAÑEZ)</v>
          </cell>
          <cell r="C317" t="str">
            <v>PRECIO DE VENTA</v>
          </cell>
          <cell r="D317">
            <v>1</v>
          </cell>
        </row>
        <row r="318">
          <cell r="A318" t="str">
            <v>EQUIPOSCOMP24</v>
          </cell>
          <cell r="B318" t="str">
            <v>NOTEBOOK HP SPECTRE X 360 SPHINK (MANUEL IGNACIO)</v>
          </cell>
          <cell r="C318" t="str">
            <v>PRECIO DE VENTA</v>
          </cell>
          <cell r="D318">
            <v>1</v>
          </cell>
        </row>
        <row r="319">
          <cell r="A319" t="str">
            <v>EQUIPOSCOMP25</v>
          </cell>
          <cell r="B319" t="str">
            <v>COMPUTADOR GEAR SLIM 78I INTEL CORE I3-6089P</v>
          </cell>
          <cell r="C319" t="str">
            <v>PRECIO DE VENTA</v>
          </cell>
          <cell r="D319">
            <v>1</v>
          </cell>
        </row>
        <row r="320">
          <cell r="A320" t="str">
            <v>EQUIPOSCOMP26</v>
          </cell>
          <cell r="B320" t="str">
            <v>MONITOR LG 20 MP48A</v>
          </cell>
          <cell r="C320" t="str">
            <v>PRECIO DE VENTA</v>
          </cell>
          <cell r="D320">
            <v>1</v>
          </cell>
        </row>
        <row r="321">
          <cell r="A321" t="str">
            <v>EQUIPOSCOMP27</v>
          </cell>
          <cell r="B321" t="str">
            <v>IMPRESORA TUCAPEL</v>
          </cell>
          <cell r="C321" t="str">
            <v>PRECIO DE VENTA</v>
          </cell>
          <cell r="D321">
            <v>1</v>
          </cell>
        </row>
        <row r="322">
          <cell r="A322" t="str">
            <v>EQUIPOSCOMP28</v>
          </cell>
          <cell r="B322" t="str">
            <v>MONITORES JOSE PEDRO -CRISTIAN PEREZ, FAC2511403 P.C.</v>
          </cell>
          <cell r="C322" t="str">
            <v>PRECIO DE VENTA</v>
          </cell>
          <cell r="D322">
            <v>1</v>
          </cell>
        </row>
        <row r="323">
          <cell r="A323" t="str">
            <v>EQUIPOSCOMP29</v>
          </cell>
          <cell r="B323" t="str">
            <v>IMPRESORA BROTHER, FRANCISCO ELIZALDE FAC6616596 ADM.SUP</v>
          </cell>
          <cell r="C323" t="str">
            <v>PRECIO DE VENTA</v>
          </cell>
          <cell r="D323">
            <v>1</v>
          </cell>
        </row>
        <row r="324">
          <cell r="A324" t="str">
            <v>EQUIPOSCOMP3</v>
          </cell>
          <cell r="B324" t="str">
            <v>IMPRESORA BROTHER LASER HL -1212W</v>
          </cell>
          <cell r="C324" t="str">
            <v>PRECIO DE VENTA</v>
          </cell>
          <cell r="D324">
            <v>1</v>
          </cell>
        </row>
        <row r="325">
          <cell r="A325" t="str">
            <v>EQUIPOSCOMP30</v>
          </cell>
          <cell r="B325" t="str">
            <v>MULTIFUNCIONAL L2540DW, FAC2727083, Personal Computer</v>
          </cell>
          <cell r="C325" t="str">
            <v>PRECIO DE VENTA</v>
          </cell>
          <cell r="D325">
            <v>1</v>
          </cell>
        </row>
        <row r="326">
          <cell r="A326" t="str">
            <v>EQUIPOSCOMP31</v>
          </cell>
          <cell r="B326" t="str">
            <v>MONITOR SAMSUNG 27" FAC2727083,  Personal Computer</v>
          </cell>
          <cell r="C326" t="str">
            <v>PRECIO DE VENTA</v>
          </cell>
          <cell r="D326">
            <v>1</v>
          </cell>
        </row>
        <row r="327">
          <cell r="A327" t="str">
            <v>EQUIPOSCOMP32</v>
          </cell>
          <cell r="B327" t="str">
            <v>INTEL CORE i3, FAC2727083,  Personal Computer</v>
          </cell>
          <cell r="C327" t="str">
            <v>PRECIO DE VENTA</v>
          </cell>
          <cell r="D327">
            <v>1</v>
          </cell>
        </row>
        <row r="328">
          <cell r="A328" t="str">
            <v>EQUIPOSCOMP33</v>
          </cell>
          <cell r="B328" t="str">
            <v>IMPRESORA 6810 SN7517, FAC3869, Luis Humberto Corral</v>
          </cell>
          <cell r="C328" t="str">
            <v>PRECIO DE VENTA</v>
          </cell>
          <cell r="D328">
            <v>1</v>
          </cell>
        </row>
        <row r="329">
          <cell r="A329" t="str">
            <v>EQUIPOSCOMP34</v>
          </cell>
          <cell r="B329" t="str">
            <v>NOTEBOOK LENOVO INTEL CORE I5</v>
          </cell>
          <cell r="C329" t="str">
            <v>PRECIO DE VENTA</v>
          </cell>
          <cell r="D329">
            <v>1</v>
          </cell>
        </row>
        <row r="330">
          <cell r="A330" t="str">
            <v>EQUIPOSCOMP35</v>
          </cell>
          <cell r="B330" t="str">
            <v>POWER SAVING</v>
          </cell>
          <cell r="C330" t="str">
            <v>PRECIO DE VENTA</v>
          </cell>
          <cell r="D330">
            <v>1</v>
          </cell>
        </row>
        <row r="331">
          <cell r="A331" t="str">
            <v>EQUIPOSCOMP36</v>
          </cell>
          <cell r="B331" t="str">
            <v>PC INTEL CORE I5</v>
          </cell>
          <cell r="C331" t="str">
            <v>PRECIO DE VENTA</v>
          </cell>
          <cell r="D331">
            <v>1</v>
          </cell>
        </row>
        <row r="332">
          <cell r="A332" t="str">
            <v>EQUIPOSCOMP37</v>
          </cell>
          <cell r="B332" t="str">
            <v>MONITOR</v>
          </cell>
          <cell r="C332" t="str">
            <v>PRECIO DE VENTA</v>
          </cell>
          <cell r="D332">
            <v>1</v>
          </cell>
        </row>
        <row r="333">
          <cell r="A333" t="str">
            <v>EQUIPOSCOMP38</v>
          </cell>
          <cell r="B333" t="str">
            <v>DOS DISCO DUROS 6TB (FAC149117 BUSINES)</v>
          </cell>
          <cell r="C333" t="str">
            <v>PRECIO DE VENTA</v>
          </cell>
          <cell r="D333">
            <v>1</v>
          </cell>
        </row>
        <row r="334">
          <cell r="A334" t="str">
            <v>EQUIPOSCOMP39</v>
          </cell>
          <cell r="B334" t="str">
            <v>UPS TUCAPEL</v>
          </cell>
          <cell r="C334" t="str">
            <v>PRECIO DE VENTA</v>
          </cell>
          <cell r="D334">
            <v>1</v>
          </cell>
        </row>
        <row r="335">
          <cell r="A335" t="str">
            <v>EQUIPOSCOMP4</v>
          </cell>
          <cell r="B335" t="str">
            <v>MONITOR SAMSUNG 24 LT24D310LB</v>
          </cell>
          <cell r="C335" t="str">
            <v>PRECIO DE VENTA</v>
          </cell>
          <cell r="D335">
            <v>1</v>
          </cell>
        </row>
        <row r="336">
          <cell r="A336" t="str">
            <v>EQUIPOSCOMP40</v>
          </cell>
          <cell r="B336" t="str">
            <v>NOTEBOOK LENOVO 720s INTEL CORE i5 (Fac2732695, Personal Computer)</v>
          </cell>
          <cell r="C336" t="str">
            <v>PRECIO DE VENTA</v>
          </cell>
          <cell r="D336">
            <v>1</v>
          </cell>
        </row>
        <row r="337">
          <cell r="A337" t="str">
            <v>EQUIPOSCOMP41</v>
          </cell>
          <cell r="B337" t="str">
            <v>NOTEBOOK</v>
          </cell>
          <cell r="C337" t="str">
            <v>PRECIO DE VENTA</v>
          </cell>
          <cell r="D337">
            <v>1</v>
          </cell>
        </row>
        <row r="338">
          <cell r="A338" t="str">
            <v>EQUIPOSCOMP42</v>
          </cell>
          <cell r="B338" t="str">
            <v>IMPRESORA COLOR</v>
          </cell>
          <cell r="C338" t="str">
            <v>PRECIO DE VENTA</v>
          </cell>
          <cell r="D338">
            <v>1</v>
          </cell>
        </row>
        <row r="339">
          <cell r="A339" t="str">
            <v>EQUIPOSCOMP43</v>
          </cell>
          <cell r="B339" t="str">
            <v>MULTIFUNCIONAL L2540DW, FAC2783063, Personal Computer</v>
          </cell>
          <cell r="C339" t="str">
            <v>PRECIO DE VENTA</v>
          </cell>
          <cell r="D339">
            <v>1</v>
          </cell>
        </row>
        <row r="340">
          <cell r="A340" t="str">
            <v>EQUIPOSCOMP44</v>
          </cell>
          <cell r="B340" t="str">
            <v>NOTEBOOK PAVILION 15-CC</v>
          </cell>
          <cell r="C340" t="str">
            <v>PRECIO DE VENTA</v>
          </cell>
          <cell r="D340">
            <v>1</v>
          </cell>
        </row>
        <row r="341">
          <cell r="A341" t="str">
            <v>EQUIPOSCOMP45</v>
          </cell>
          <cell r="B341" t="str">
            <v>NOTEBOOK JOSE AXTUBIA</v>
          </cell>
          <cell r="C341" t="str">
            <v>PRECIO DE VENTA</v>
          </cell>
          <cell r="D341">
            <v>1</v>
          </cell>
        </row>
        <row r="342">
          <cell r="A342" t="str">
            <v>EQUIPOSCOMP46</v>
          </cell>
          <cell r="B342" t="str">
            <v>TELEVISOR TUCAPEL</v>
          </cell>
          <cell r="C342" t="str">
            <v>PRECIO DE VENTA</v>
          </cell>
          <cell r="D342">
            <v>1</v>
          </cell>
        </row>
        <row r="343">
          <cell r="A343" t="str">
            <v>EQUIPOSCOMP47</v>
          </cell>
          <cell r="B343" t="str">
            <v>NOTEBOOK TEMUCO COTIZACIONES</v>
          </cell>
          <cell r="C343" t="str">
            <v>PRECIO DE VENTA</v>
          </cell>
          <cell r="D343">
            <v>1</v>
          </cell>
        </row>
        <row r="344">
          <cell r="A344" t="str">
            <v>EQUIPOSCOMP48</v>
          </cell>
          <cell r="B344" t="str">
            <v>NOTEBOOK GERENCIA</v>
          </cell>
          <cell r="C344" t="str">
            <v>PRECIO DE VENTA</v>
          </cell>
          <cell r="D344">
            <v>1</v>
          </cell>
        </row>
        <row r="345">
          <cell r="A345" t="str">
            <v>EQUIPOSCOMP49</v>
          </cell>
          <cell r="B345" t="str">
            <v>4 CELULARES SUC.TEMUCO</v>
          </cell>
          <cell r="C345" t="str">
            <v>PRECIO DE VENTA</v>
          </cell>
          <cell r="D345">
            <v>1</v>
          </cell>
        </row>
        <row r="346">
          <cell r="A346" t="str">
            <v>EQUIPOSCOMP5</v>
          </cell>
          <cell r="B346" t="str">
            <v>PENTIUM G3250 500 GB DVDRW</v>
          </cell>
          <cell r="C346" t="str">
            <v>PRECIO DE VENTA</v>
          </cell>
          <cell r="D346">
            <v>1</v>
          </cell>
        </row>
        <row r="347">
          <cell r="A347" t="str">
            <v>EQUIPOSCOMP50</v>
          </cell>
          <cell r="B347" t="str">
            <v>IMPRESORA LASER BROTHER</v>
          </cell>
          <cell r="C347" t="str">
            <v>PRECIO DE VENTA</v>
          </cell>
          <cell r="D347">
            <v>1</v>
          </cell>
        </row>
        <row r="348">
          <cell r="A348" t="str">
            <v>EQUIPOSCOMP51</v>
          </cell>
          <cell r="B348" t="str">
            <v>NOTEBOOK HP 15 DA INTEL CORE 17 SGB 1TB 15,6 FHD FAC 3167083, PC</v>
          </cell>
          <cell r="C348" t="str">
            <v>PRECIO DE VENTA</v>
          </cell>
          <cell r="D348">
            <v>1</v>
          </cell>
        </row>
        <row r="349">
          <cell r="A349" t="str">
            <v>EQUIPOSCOMP52</v>
          </cell>
          <cell r="B349" t="str">
            <v>ACER NOTEBOOK ASPIRE FAC 3176745, PC</v>
          </cell>
          <cell r="C349" t="str">
            <v>PRECIO DE VENTA</v>
          </cell>
          <cell r="D349">
            <v>1</v>
          </cell>
        </row>
        <row r="350">
          <cell r="A350" t="str">
            <v>EQUIPOSCOMP53</v>
          </cell>
          <cell r="B350" t="str">
            <v>MULTIFUNCIONAL LASER DCP-L2540 BROTHER TEMUCO</v>
          </cell>
          <cell r="C350" t="str">
            <v>PRECIO DE VENTA</v>
          </cell>
          <cell r="D350">
            <v>1</v>
          </cell>
        </row>
        <row r="351">
          <cell r="A351" t="str">
            <v>EQUIPOSCOMP54</v>
          </cell>
          <cell r="B351" t="str">
            <v>MBAIR APPLE MQD42 CI/A I5 256 FAC3011171 77261280-K</v>
          </cell>
          <cell r="C351" t="str">
            <v>PRECIO DE VENTA</v>
          </cell>
          <cell r="D351">
            <v>1</v>
          </cell>
        </row>
        <row r="352">
          <cell r="A352" t="str">
            <v>EQUIPOSCOMP55</v>
          </cell>
          <cell r="B352" t="str">
            <v>NOTEBOOK ULTRALIVIANO PAVILION 13,3" HD INTEL I5  FAC3400294</v>
          </cell>
          <cell r="C352" t="str">
            <v>PRECIO DE VENTA</v>
          </cell>
          <cell r="D352">
            <v>1</v>
          </cell>
        </row>
        <row r="353">
          <cell r="A353" t="str">
            <v>EQUIPOSCOMP56</v>
          </cell>
          <cell r="B353" t="str">
            <v>GEAR DESKTOP SLIM- 117i i5 FAC 3333044 TUCAPEL</v>
          </cell>
          <cell r="C353" t="str">
            <v>PRECIO DE VENTA</v>
          </cell>
          <cell r="D353">
            <v>1</v>
          </cell>
        </row>
        <row r="354">
          <cell r="A354" t="str">
            <v>EQUIPOSCOMP57</v>
          </cell>
          <cell r="B354" t="str">
            <v>MULTIFUNCIONAL LASER DCP-L2540 BROTHER TEMUCO FAC 3296020</v>
          </cell>
          <cell r="C354" t="str">
            <v>PRECIO DE VENTA</v>
          </cell>
          <cell r="D354">
            <v>1</v>
          </cell>
        </row>
        <row r="355">
          <cell r="A355" t="str">
            <v>EQUIPOSCOMP58</v>
          </cell>
          <cell r="B355" t="str">
            <v>MONITOR SAMSUNG CURVO LED 24</v>
          </cell>
          <cell r="C355" t="str">
            <v>PRECIO DE VENTA</v>
          </cell>
          <cell r="D355">
            <v>1</v>
          </cell>
        </row>
        <row r="356">
          <cell r="A356" t="str">
            <v>EQUIPOSCOMP59</v>
          </cell>
          <cell r="B356" t="str">
            <v>BALANZA DIGITAL SNOREX 3KG</v>
          </cell>
          <cell r="C356" t="str">
            <v>PRECIO DE VENTA</v>
          </cell>
          <cell r="D356">
            <v>1</v>
          </cell>
        </row>
        <row r="357">
          <cell r="A357" t="str">
            <v>EQUIPOSCOMP6</v>
          </cell>
          <cell r="B357" t="str">
            <v>PENTIUM G3250 500 GB DVDRW</v>
          </cell>
          <cell r="C357" t="str">
            <v>PRECIO DE VENTA</v>
          </cell>
          <cell r="D357">
            <v>1</v>
          </cell>
        </row>
        <row r="358">
          <cell r="A358" t="str">
            <v>EQUIPOSCOMP60</v>
          </cell>
          <cell r="B358" t="str">
            <v>NTBK 17" 8 GB</v>
          </cell>
          <cell r="C358" t="str">
            <v>PRECIO DE VENTA</v>
          </cell>
          <cell r="D358">
            <v>1</v>
          </cell>
        </row>
        <row r="359">
          <cell r="A359" t="str">
            <v>EQUIPOSCOMP61</v>
          </cell>
          <cell r="B359" t="str">
            <v>TELEVISOR LED MASTER G-24 FAC 766597</v>
          </cell>
          <cell r="C359" t="str">
            <v>PRECIO DE VENTA</v>
          </cell>
          <cell r="D359">
            <v>1</v>
          </cell>
        </row>
        <row r="360">
          <cell r="A360" t="str">
            <v>EQUIPOSCOMP62</v>
          </cell>
          <cell r="B360" t="str">
            <v>3 IMPRESORAS BROTHER L2540 FAC 10818369</v>
          </cell>
          <cell r="C360" t="str">
            <v>PRECIO DE VENTA</v>
          </cell>
          <cell r="D360">
            <v>1</v>
          </cell>
        </row>
        <row r="361">
          <cell r="A361" t="str">
            <v>EQUIPOSCOMP63</v>
          </cell>
          <cell r="B361" t="str">
            <v>MACKBOOK AIR I5/8 JUAN GALAZ FAC11360368</v>
          </cell>
          <cell r="C361" t="str">
            <v>PRECIO DE VENTA</v>
          </cell>
          <cell r="D361">
            <v>1</v>
          </cell>
        </row>
        <row r="362">
          <cell r="A362" t="str">
            <v>EQUIPOSCOMP64</v>
          </cell>
          <cell r="B362" t="str">
            <v>IMPRESORA CANON IX6810 CON SISTEMA CONTINUO</v>
          </cell>
          <cell r="C362" t="str">
            <v>PRECIO DE VENTA</v>
          </cell>
          <cell r="D362">
            <v>1</v>
          </cell>
        </row>
        <row r="363">
          <cell r="A363" t="str">
            <v>EQUIPOSCOMP65</v>
          </cell>
          <cell r="B363" t="str">
            <v>NOTEBOOK PAVILION INTEL CORE I7-8550U</v>
          </cell>
          <cell r="C363" t="str">
            <v>PRECIO DE VENTA</v>
          </cell>
          <cell r="D363">
            <v>1</v>
          </cell>
        </row>
        <row r="364">
          <cell r="A364" t="str">
            <v>EQUIPOSCOMP66</v>
          </cell>
          <cell r="B364" t="str">
            <v>IMPRESORA FOTOGRAFICA TINTA A3 +PIXMA</v>
          </cell>
          <cell r="C364" t="str">
            <v>PRECIO DE VENTA</v>
          </cell>
          <cell r="D364">
            <v>1</v>
          </cell>
        </row>
        <row r="365">
          <cell r="A365" t="str">
            <v>EQUIPOSCOMP67</v>
          </cell>
          <cell r="B365" t="str">
            <v>MOUSE M170</v>
          </cell>
          <cell r="C365" t="str">
            <v>PRECIO DE VENTA</v>
          </cell>
          <cell r="D365">
            <v>1</v>
          </cell>
        </row>
        <row r="366">
          <cell r="A366" t="str">
            <v>EQUIPOSCOMP68</v>
          </cell>
          <cell r="B366" t="str">
            <v>COMPUTADOR SSD 480GB SATA 3 2,5" BX500</v>
          </cell>
          <cell r="C366" t="str">
            <v>PRECIO DE VENTA</v>
          </cell>
          <cell r="D366">
            <v>1</v>
          </cell>
        </row>
        <row r="367">
          <cell r="A367" t="str">
            <v>EQUIPOSCOMP69</v>
          </cell>
          <cell r="B367" t="str">
            <v>DESKTOP INTEL CORE 15 4 GB FAC3514525</v>
          </cell>
          <cell r="C367" t="str">
            <v>PRECIO DE VENTA</v>
          </cell>
          <cell r="D367">
            <v>1</v>
          </cell>
        </row>
        <row r="368">
          <cell r="A368" t="str">
            <v>EQUIPOSCOMP7</v>
          </cell>
          <cell r="B368" t="str">
            <v>NOTEBOOK HP ENVY 14-J101LA CI5-6200U 8GB 1TB</v>
          </cell>
          <cell r="C368" t="str">
            <v>PRECIO DE VENTA</v>
          </cell>
          <cell r="D368">
            <v>1</v>
          </cell>
        </row>
        <row r="369">
          <cell r="A369" t="str">
            <v>EQUIPOSCOMP70</v>
          </cell>
          <cell r="B369" t="str">
            <v>20MK 400 19,5" HD TN FAC 3514525</v>
          </cell>
          <cell r="C369" t="str">
            <v>PRECIO DE VENTA</v>
          </cell>
          <cell r="D369">
            <v>1</v>
          </cell>
        </row>
        <row r="370">
          <cell r="A370" t="str">
            <v>EQUIPOSCOMP71</v>
          </cell>
          <cell r="B370" t="str">
            <v>NOTEBOOK INSPIRON 3000 15.6" FHD INTEL i7 Windows 10</v>
          </cell>
          <cell r="C370" t="str">
            <v>PRECIO DE VENTA</v>
          </cell>
          <cell r="D370">
            <v>1</v>
          </cell>
        </row>
        <row r="371">
          <cell r="A371" t="str">
            <v>EQUIPOSCOMP72</v>
          </cell>
          <cell r="B371" t="str">
            <v>NOTEBOOK INSPIRON 5000 14" FHD INTEL i7 Windows 10</v>
          </cell>
          <cell r="C371" t="str">
            <v>PRECIO DE VENTA</v>
          </cell>
          <cell r="D371">
            <v>1</v>
          </cell>
        </row>
        <row r="372">
          <cell r="A372" t="str">
            <v>EQUIPOSCOMP73</v>
          </cell>
          <cell r="B372" t="str">
            <v>IMPRESORA EPSON LX 350 MATRIZ DE PUNTO DE 9 AGUJAS</v>
          </cell>
          <cell r="C372" t="str">
            <v>PRECIO DE VENTA</v>
          </cell>
          <cell r="D372">
            <v>1</v>
          </cell>
        </row>
        <row r="373">
          <cell r="A373" t="str">
            <v>EQUIPOSCOMP74</v>
          </cell>
          <cell r="B373" t="str">
            <v>TRES LG MONITOR , DOS COMBO TECLADO Y MOUSE , 1MINI PC STICK GS-118 INTEL</v>
          </cell>
          <cell r="C373" t="str">
            <v>PRECIO DE VENTA</v>
          </cell>
          <cell r="D373">
            <v>1</v>
          </cell>
        </row>
        <row r="374">
          <cell r="A374" t="str">
            <v>EQUIPOSCOMP75</v>
          </cell>
          <cell r="B374" t="str">
            <v>1 SMARTPHONE Y6 2019 QUAD CORE 32 GB 6,0 4 GB ANDROID</v>
          </cell>
          <cell r="C374" t="str">
            <v>PRECIO DE VENTA</v>
          </cell>
          <cell r="D374">
            <v>1</v>
          </cell>
        </row>
        <row r="375">
          <cell r="A375" t="str">
            <v>EQUIPOSCOMP76</v>
          </cell>
          <cell r="B375" t="str">
            <v>NOTEBOOK ULTRALIVIANO 14" FHD INTEL I7-8565U   FAC3741137</v>
          </cell>
          <cell r="C375" t="str">
            <v>PRECIO DE VENTA</v>
          </cell>
          <cell r="D375">
            <v>1</v>
          </cell>
        </row>
        <row r="376">
          <cell r="A376" t="str">
            <v>EQUIPOSCOMP77</v>
          </cell>
          <cell r="B376" t="str">
            <v>NOTEBOOK ASPIRE 5 15,6" HD FAC 3741569</v>
          </cell>
          <cell r="C376" t="str">
            <v>PRECIO DE VENTA</v>
          </cell>
          <cell r="D376">
            <v>1</v>
          </cell>
        </row>
        <row r="377">
          <cell r="A377" t="str">
            <v>EQUIPOSCOMP78</v>
          </cell>
          <cell r="B377" t="str">
            <v>LED 24" SAMSUNG LS24 VGA/HDMI FAC52507 COMP.CONSTANZA SOFIA LTDA</v>
          </cell>
          <cell r="C377" t="str">
            <v>PRECIO DE VENTA</v>
          </cell>
          <cell r="D377">
            <v>1</v>
          </cell>
        </row>
        <row r="378">
          <cell r="A378" t="str">
            <v>EQUIPOSCOMP79</v>
          </cell>
          <cell r="B378" t="str">
            <v>1 ACER NOTEBOOK 8 GB SSD WINDOWS 10 SILVER</v>
          </cell>
          <cell r="C378" t="str">
            <v>PRECIO DE VENTA</v>
          </cell>
          <cell r="D378">
            <v>1</v>
          </cell>
        </row>
        <row r="379">
          <cell r="A379" t="str">
            <v>EQUIPOSCOMP8</v>
          </cell>
          <cell r="B379" t="str">
            <v>IMPRESORA BROTHER MULTIFUNCIONAL LASER DCP L2540DW</v>
          </cell>
          <cell r="C379" t="str">
            <v>PRECIO DE VENTA</v>
          </cell>
          <cell r="D379">
            <v>1</v>
          </cell>
        </row>
        <row r="380">
          <cell r="A380" t="str">
            <v>EQUIPOSCOMP80</v>
          </cell>
          <cell r="B380" t="str">
            <v>3 ACER NOTEBOOK 8 GB SSD WINDOWS 10 SILVER</v>
          </cell>
          <cell r="C380" t="str">
            <v>PRECIO DE VENTA</v>
          </cell>
          <cell r="D380">
            <v>1</v>
          </cell>
        </row>
        <row r="381">
          <cell r="A381" t="str">
            <v>EQUIPOSCOMP81</v>
          </cell>
          <cell r="B381" t="str">
            <v>LENOVO NOTEBOOK S340  256 GB FAC 3894973 PERSONAL COMPUTER</v>
          </cell>
          <cell r="C381" t="str">
            <v>PRECIO DE VENTA</v>
          </cell>
          <cell r="D381">
            <v>1</v>
          </cell>
        </row>
        <row r="382">
          <cell r="A382" t="str">
            <v>EQUIPOSCOMP82</v>
          </cell>
          <cell r="B382" t="str">
            <v>NOTEBOOK DELL INSPIRON 15,6" FHD I5 FAC 3899953</v>
          </cell>
          <cell r="C382" t="str">
            <v>PRECIO DE VENTA</v>
          </cell>
          <cell r="D382">
            <v>1</v>
          </cell>
        </row>
        <row r="383">
          <cell r="A383" t="str">
            <v>EQUIPOSCOMP83</v>
          </cell>
          <cell r="B383" t="str">
            <v>MULTIFUNCIONAL LASER BLANCO Y NEGRO DCP -L2540 FAC 3899953</v>
          </cell>
          <cell r="C383" t="str">
            <v>PRECIO DE VENTA</v>
          </cell>
          <cell r="D383">
            <v>1</v>
          </cell>
        </row>
        <row r="384">
          <cell r="A384" t="str">
            <v>EQUIPOSCOMP84</v>
          </cell>
          <cell r="B384" t="str">
            <v>NOTEBOOK GAMER DELL G3 INTEL I5 TUCAPEL FAC 3936254</v>
          </cell>
          <cell r="C384" t="str">
            <v>PRECIO DE VENTA</v>
          </cell>
          <cell r="D384">
            <v>1</v>
          </cell>
        </row>
        <row r="385">
          <cell r="A385" t="str">
            <v>EQUIPOSCOMP85</v>
          </cell>
          <cell r="B385" t="str">
            <v>PC BIP I5 9400 4 GB 240 GBSSD</v>
          </cell>
          <cell r="C385" t="str">
            <v>PRECIO DE VENTA</v>
          </cell>
          <cell r="D385">
            <v>1</v>
          </cell>
        </row>
        <row r="386">
          <cell r="A386" t="str">
            <v>EQUIPOSCOMP86</v>
          </cell>
          <cell r="B386" t="str">
            <v>PC BIP I5 9400 4 GB 240 GBSSD</v>
          </cell>
          <cell r="C386" t="str">
            <v>PRECIO DE VENTA</v>
          </cell>
          <cell r="D386">
            <v>1</v>
          </cell>
        </row>
        <row r="387">
          <cell r="A387" t="str">
            <v>EQUIPOSCOMP87</v>
          </cell>
          <cell r="B387" t="str">
            <v>IMPRESORA DE ETIQUETAS FAC 7961</v>
          </cell>
          <cell r="C387" t="str">
            <v>PRECIO DE VENTA</v>
          </cell>
          <cell r="D387">
            <v>1</v>
          </cell>
        </row>
        <row r="388">
          <cell r="A388" t="str">
            <v>EQUIPOSCOMP88</v>
          </cell>
          <cell r="B388" t="str">
            <v>HP MONITOR 21,5"FULL HD FAC 4083338</v>
          </cell>
          <cell r="C388" t="str">
            <v>PRECIO DE VENTA</v>
          </cell>
          <cell r="D388">
            <v>1</v>
          </cell>
        </row>
        <row r="389">
          <cell r="A389" t="str">
            <v>EQUIPOSCOMP89</v>
          </cell>
          <cell r="B389" t="str">
            <v>MONITOR P204</v>
          </cell>
          <cell r="C389" t="str">
            <v>PRECIO DE VENTA</v>
          </cell>
          <cell r="D389">
            <v>1</v>
          </cell>
        </row>
        <row r="390">
          <cell r="A390" t="str">
            <v>EQUIPOSCOMP9</v>
          </cell>
          <cell r="B390" t="str">
            <v>NOTEBOOK LENOVO THIKPAD I5 1 TB</v>
          </cell>
          <cell r="C390" t="str">
            <v>PRECIO DE VENTA</v>
          </cell>
          <cell r="D390">
            <v>1</v>
          </cell>
        </row>
        <row r="391">
          <cell r="A391" t="str">
            <v>EQUIPOSCOMP90</v>
          </cell>
          <cell r="B391" t="str">
            <v>MONITOR ULTRADELGADO VIEWSONIC FAC 47787</v>
          </cell>
          <cell r="C391" t="str">
            <v>PRECIO DE VENTA</v>
          </cell>
          <cell r="D391">
            <v>1</v>
          </cell>
        </row>
        <row r="392">
          <cell r="A392" t="str">
            <v>EQUIPOSCOMP91</v>
          </cell>
          <cell r="B392" t="str">
            <v>ASUS TUF GAMING F15 INTEL CORE i7 FAC 13708888 DANIELA ESQUIVEL</v>
          </cell>
          <cell r="C392" t="str">
            <v>PRECIO DE VENTA</v>
          </cell>
          <cell r="D392">
            <v>1</v>
          </cell>
        </row>
        <row r="393">
          <cell r="A393" t="str">
            <v>EQUIPOSCOMP92</v>
          </cell>
          <cell r="B393" t="str">
            <v>NOTEBOOK EXPERTBOOK B2 i7-10510U 8GBSSD 14"FAC219236 JP</v>
          </cell>
          <cell r="C393" t="str">
            <v>PRECIO DE VENTA</v>
          </cell>
          <cell r="D393">
            <v>1</v>
          </cell>
        </row>
        <row r="394">
          <cell r="A394" t="str">
            <v>EQUIPOSCOMP93</v>
          </cell>
          <cell r="B394" t="str">
            <v>NOTE 10 PLUS  FAC 591 76979091-8 ADMINISTRACION</v>
          </cell>
          <cell r="C394" t="str">
            <v>PRECIO DE VENTA</v>
          </cell>
          <cell r="D394">
            <v>1</v>
          </cell>
        </row>
        <row r="395">
          <cell r="A395" t="str">
            <v>EQUIPOSCOMP94</v>
          </cell>
          <cell r="B395" t="str">
            <v>NOTEBOOK GAMER GF 7,5 I7 FACE 225886 BUSINESS INFORMATION</v>
          </cell>
          <cell r="C395" t="str">
            <v>PRECIO DE VENTA</v>
          </cell>
          <cell r="D395">
            <v>1</v>
          </cell>
        </row>
        <row r="396">
          <cell r="A396" t="str">
            <v>EQUIPOSCOMP95</v>
          </cell>
          <cell r="B396" t="str">
            <v>NOTEBOOK MODERN 14 AS I7 FACE 225574 BUSINESS INFORMATION</v>
          </cell>
          <cell r="C396" t="str">
            <v>PRECIO DE VENTA</v>
          </cell>
          <cell r="D396">
            <v>1</v>
          </cell>
        </row>
        <row r="397">
          <cell r="A397" t="str">
            <v>EQUIPOSCOMP96</v>
          </cell>
          <cell r="B397" t="str">
            <v>NOTEBOOK V14 FACE226051 BUSINESS INFORMATION</v>
          </cell>
          <cell r="C397" t="str">
            <v>PRECIO DE VENTA</v>
          </cell>
          <cell r="D397">
            <v>1</v>
          </cell>
        </row>
        <row r="398">
          <cell r="A398" t="str">
            <v>EQUIPOSCOMP97</v>
          </cell>
          <cell r="B398" t="str">
            <v>ASUS NOTEBOOK  ZENBOOK 14 I7 FACE3638992 FALABELLA RETAIL</v>
          </cell>
          <cell r="C398" t="str">
            <v>PRECIO DE VENTA</v>
          </cell>
          <cell r="D398">
            <v>1</v>
          </cell>
        </row>
        <row r="399">
          <cell r="A399" t="str">
            <v>EQUIPOSCOMP98</v>
          </cell>
          <cell r="B399" t="str">
            <v>NOTEBOOK V14 FACE226260 BUSINESS INFORMATION</v>
          </cell>
          <cell r="C399" t="str">
            <v>PRECIO DE VENTA</v>
          </cell>
          <cell r="D399">
            <v>1</v>
          </cell>
        </row>
        <row r="400">
          <cell r="A400" t="str">
            <v>EQUIPOSCOMP99</v>
          </cell>
          <cell r="B400" t="str">
            <v>LENOVO NOTEBOOK THINKBOOK 14" 512 GB FAC 4160842 PERSONAL COMPUTER FACTORY S.A.</v>
          </cell>
          <cell r="C400" t="str">
            <v>PRECIO DE VENTA</v>
          </cell>
          <cell r="D400">
            <v>1</v>
          </cell>
        </row>
        <row r="401">
          <cell r="A401" t="str">
            <v>EQUIPOSEG1</v>
          </cell>
          <cell r="B401" t="str">
            <v>MONITOR GUARDIA CAMARA</v>
          </cell>
          <cell r="C401" t="str">
            <v>PRECIO DE VENTA</v>
          </cell>
          <cell r="D401">
            <v>1</v>
          </cell>
        </row>
        <row r="402">
          <cell r="A402" t="str">
            <v>EQUIPOSEG2</v>
          </cell>
          <cell r="B402" t="str">
            <v>INSTALACION LINEAS DE VIDA, FAC 19688 SEGMA</v>
          </cell>
          <cell r="C402" t="str">
            <v>PRECIO DE VENTA</v>
          </cell>
          <cell r="D402">
            <v>1</v>
          </cell>
        </row>
        <row r="403">
          <cell r="A403" t="str">
            <v>EQUIPÓS43</v>
          </cell>
          <cell r="B403" t="str">
            <v>SUMINISTRO DE RELOJ BIOMETRICO UA760 CONTROL ASISTENCIA</v>
          </cell>
          <cell r="C403" t="str">
            <v>PRECIO DE VENTA</v>
          </cell>
          <cell r="D403">
            <v>1</v>
          </cell>
        </row>
        <row r="404">
          <cell r="A404" t="str">
            <v>ESC-MESA</v>
          </cell>
          <cell r="B404" t="str">
            <v>ESCOBILLA PARA MESA DE TRABAJO</v>
          </cell>
          <cell r="C404" t="str">
            <v>PRECIO DE VENTA</v>
          </cell>
          <cell r="D404">
            <v>1</v>
          </cell>
          <cell r="E404">
            <v>12018</v>
          </cell>
          <cell r="F404">
            <v>12018</v>
          </cell>
        </row>
        <row r="405">
          <cell r="A405" t="str">
            <v>FR-DIF-SIZES</v>
          </cell>
          <cell r="B405" t="str">
            <v>FREZADORAS</v>
          </cell>
          <cell r="C405" t="str">
            <v>PRECIO DE VENTA</v>
          </cell>
          <cell r="D405">
            <v>1</v>
          </cell>
          <cell r="E405">
            <v>27170</v>
          </cell>
          <cell r="F405">
            <v>27170</v>
          </cell>
        </row>
        <row r="406">
          <cell r="A406" t="str">
            <v>HI-ACA-CPH-MDM-BL</v>
          </cell>
          <cell r="B406" t="str">
            <v>CONECTOR POSTE HORIZONTAL M.M. ANDES - BLANCO</v>
          </cell>
          <cell r="C406" t="str">
            <v>PRECIO DE VENTA</v>
          </cell>
          <cell r="D406">
            <v>1</v>
          </cell>
          <cell r="E406">
            <v>158</v>
          </cell>
          <cell r="F406">
            <v>158</v>
          </cell>
        </row>
        <row r="407">
          <cell r="A407" t="str">
            <v>HI-ACA-CPH-MDM-MR</v>
          </cell>
          <cell r="B407" t="str">
            <v>CONECTOR POSTE HORIZONTAL M.M. ANDES - MARRON</v>
          </cell>
          <cell r="C407" t="str">
            <v>PRECIO DE VENTA</v>
          </cell>
          <cell r="D407">
            <v>1</v>
          </cell>
          <cell r="E407">
            <v>158</v>
          </cell>
          <cell r="F407">
            <v>158</v>
          </cell>
        </row>
        <row r="408">
          <cell r="A408" t="str">
            <v>HI-ACA-CPH-MDM-NE</v>
          </cell>
          <cell r="B408" t="str">
            <v>CONECTOR POSTE HORIZONTAL M.M. ANDES - NEGRO</v>
          </cell>
          <cell r="C408" t="str">
            <v>PRECIO DE VENTA</v>
          </cell>
          <cell r="D408">
            <v>1</v>
          </cell>
          <cell r="E408">
            <v>158</v>
          </cell>
          <cell r="F408">
            <v>158</v>
          </cell>
        </row>
        <row r="409">
          <cell r="A409" t="str">
            <v>HI-ACA-CPT-S38</v>
          </cell>
          <cell r="B409" t="str">
            <v>CONECTOR POSTE T ANDES S38</v>
          </cell>
          <cell r="C409" t="str">
            <v>PRECIO DE VENTA</v>
          </cell>
          <cell r="D409">
            <v>1</v>
          </cell>
          <cell r="E409">
            <v>601</v>
          </cell>
          <cell r="F409">
            <v>601</v>
          </cell>
        </row>
        <row r="410">
          <cell r="A410" t="str">
            <v>HI-ACA-CPV-HCA-BL</v>
          </cell>
          <cell r="B410" t="str">
            <v>CONECTOR POSTE VERTICAL ANDES 66 - BLANCO</v>
          </cell>
          <cell r="C410" t="str">
            <v>PRECIO DE VENTA</v>
          </cell>
          <cell r="D410">
            <v>1</v>
          </cell>
          <cell r="E410">
            <v>208</v>
          </cell>
          <cell r="F410">
            <v>208</v>
          </cell>
        </row>
        <row r="411">
          <cell r="A411" t="str">
            <v>HI-ACA-CPV-HCA-MR</v>
          </cell>
          <cell r="B411" t="str">
            <v>CONECTOR POSTE VERTICAL ANDES 66 - MARRON</v>
          </cell>
          <cell r="C411" t="str">
            <v>PRECIO DE VENTA</v>
          </cell>
          <cell r="D411">
            <v>1</v>
          </cell>
          <cell r="E411">
            <v>208</v>
          </cell>
          <cell r="F411">
            <v>208</v>
          </cell>
        </row>
        <row r="412">
          <cell r="A412" t="str">
            <v>HI-ACA-CPV-HCA-NE</v>
          </cell>
          <cell r="B412" t="str">
            <v>CONECTOR POSTE VERTICAL ANDES 66 - NEGRO</v>
          </cell>
          <cell r="C412" t="str">
            <v>PRECIO DE VENTA</v>
          </cell>
          <cell r="D412">
            <v>1</v>
          </cell>
          <cell r="E412">
            <v>208</v>
          </cell>
          <cell r="F412">
            <v>208</v>
          </cell>
        </row>
        <row r="413">
          <cell r="A413" t="str">
            <v>HI-ACA-TE-MDR-BL</v>
          </cell>
          <cell r="B413" t="str">
            <v>TOPE ESTANCO MARCO DOBLE RIEL ANDES - BLANCO</v>
          </cell>
          <cell r="C413" t="str">
            <v>PRECIO DE VENTA</v>
          </cell>
          <cell r="D413">
            <v>1</v>
          </cell>
          <cell r="E413">
            <v>232</v>
          </cell>
          <cell r="F413">
            <v>232</v>
          </cell>
        </row>
        <row r="414">
          <cell r="A414" t="str">
            <v>HI-ACA-TE-MDR-MR</v>
          </cell>
          <cell r="B414" t="str">
            <v>TOPE ESTANCO MARCO DOBLE RIEL ANDES - MARRON</v>
          </cell>
          <cell r="C414" t="str">
            <v>PRECIO DE VENTA</v>
          </cell>
          <cell r="D414">
            <v>1</v>
          </cell>
          <cell r="E414">
            <v>183</v>
          </cell>
          <cell r="F414">
            <v>183</v>
          </cell>
        </row>
        <row r="415">
          <cell r="A415" t="str">
            <v>HI-ACA-TE-MDR-NE</v>
          </cell>
          <cell r="B415" t="str">
            <v>TOPE ESTANCO MARCO DOBLE RIEL ANDES - NEGRO</v>
          </cell>
          <cell r="C415" t="str">
            <v>PRECIO DE VENTA</v>
          </cell>
          <cell r="D415">
            <v>1</v>
          </cell>
          <cell r="E415">
            <v>170</v>
          </cell>
          <cell r="F415">
            <v>170</v>
          </cell>
        </row>
        <row r="416">
          <cell r="A416" t="str">
            <v>HI-ACA-TE-MMR-BL</v>
          </cell>
          <cell r="B416" t="str">
            <v>TOPE ESTANCO MARCO MONORRIEL ANDES - BLANCO</v>
          </cell>
          <cell r="C416" t="str">
            <v>PRECIO DE VENTA</v>
          </cell>
          <cell r="D416">
            <v>1</v>
          </cell>
          <cell r="E416">
            <v>170</v>
          </cell>
          <cell r="F416">
            <v>170</v>
          </cell>
        </row>
        <row r="417">
          <cell r="A417" t="str">
            <v>HI-ACA-TE-MMR-MR</v>
          </cell>
          <cell r="B417" t="str">
            <v>TOPE ESTANCO MARCO MONORRIEL ANDES - MARRON</v>
          </cell>
          <cell r="C417" t="str">
            <v>PRECIO DE VENTA</v>
          </cell>
          <cell r="D417">
            <v>1</v>
          </cell>
          <cell r="E417">
            <v>170</v>
          </cell>
          <cell r="F417">
            <v>170</v>
          </cell>
        </row>
        <row r="418">
          <cell r="A418" t="str">
            <v>HI-ACA-TE-MMR-NE</v>
          </cell>
          <cell r="B418" t="str">
            <v>TOPE ESTANCO MARCO MONORRIEL ANDES - NEGRO</v>
          </cell>
          <cell r="C418" t="str">
            <v>PRECIO DE VENTA</v>
          </cell>
          <cell r="D418">
            <v>1</v>
          </cell>
          <cell r="E418">
            <v>170</v>
          </cell>
          <cell r="F418">
            <v>170</v>
          </cell>
        </row>
        <row r="419">
          <cell r="A419" t="str">
            <v>HI-ACC-BLW-GR</v>
          </cell>
          <cell r="B419" t="str">
            <v>BURLETE REPOSICION LINEAS WINHOUSE - GRIS</v>
          </cell>
          <cell r="C419" t="str">
            <v>PRECIO DE VENTA</v>
          </cell>
          <cell r="D419">
            <v>1</v>
          </cell>
          <cell r="E419">
            <v>158</v>
          </cell>
          <cell r="F419">
            <v>158</v>
          </cell>
        </row>
        <row r="420">
          <cell r="A420" t="str">
            <v>HI-ACC-BLW-NE</v>
          </cell>
          <cell r="B420" t="str">
            <v>BURLETE REPOSICION LINEAS WINHOUSE - NEGRO</v>
          </cell>
          <cell r="C420" t="str">
            <v>PRECIO DE VENTA</v>
          </cell>
          <cell r="D420">
            <v>1</v>
          </cell>
          <cell r="E420">
            <v>158</v>
          </cell>
          <cell r="F420">
            <v>158</v>
          </cell>
        </row>
        <row r="421">
          <cell r="A421" t="str">
            <v>HI-ACC-CDV-SLD</v>
          </cell>
          <cell r="B421" t="str">
            <v>CONECTOR DIVISOR VERTICAL S75 MONORRIEL</v>
          </cell>
          <cell r="C421" t="str">
            <v>PRECIO DE VENTA</v>
          </cell>
          <cell r="D421">
            <v>1</v>
          </cell>
          <cell r="E421">
            <v>896</v>
          </cell>
          <cell r="F421">
            <v>896</v>
          </cell>
        </row>
        <row r="422">
          <cell r="A422" t="str">
            <v>HI-ACC-CFOL-38</v>
          </cell>
          <cell r="B422" t="str">
            <v>CUBRE FOLIO LINEAS WINHOUSE 38mm</v>
          </cell>
          <cell r="C422" t="str">
            <v>PRECIO DE VENTA</v>
          </cell>
          <cell r="D422">
            <v>1</v>
          </cell>
          <cell r="E422">
            <v>2173</v>
          </cell>
          <cell r="F422">
            <v>2173</v>
          </cell>
        </row>
        <row r="423">
          <cell r="A423" t="str">
            <v>HI-ACC-CFOL-58</v>
          </cell>
          <cell r="B423" t="str">
            <v>CUBRE FOLIO LINEAS WINHOUSE 58mm</v>
          </cell>
          <cell r="C423" t="str">
            <v>PRECIO DE VENTA</v>
          </cell>
          <cell r="D423">
            <v>1</v>
          </cell>
          <cell r="E423">
            <v>2173</v>
          </cell>
          <cell r="F423">
            <v>2173</v>
          </cell>
        </row>
        <row r="424">
          <cell r="A424" t="str">
            <v>HI-ACC-CPT-S60</v>
          </cell>
          <cell r="B424" t="str">
            <v>CONECTOR POSTE O UNION MECANICA S60</v>
          </cell>
          <cell r="C424" t="str">
            <v>PRECIO DE VENTA</v>
          </cell>
          <cell r="D424">
            <v>1</v>
          </cell>
          <cell r="E424">
            <v>896</v>
          </cell>
          <cell r="F424">
            <v>896</v>
          </cell>
        </row>
        <row r="425">
          <cell r="A425" t="str">
            <v>HI-ACC-CTH-BL</v>
          </cell>
          <cell r="B425" t="str">
            <v>CENTRADOR DE HOJA - BLANCO</v>
          </cell>
          <cell r="C425" t="str">
            <v>PRECIO DE VENTA</v>
          </cell>
          <cell r="D425">
            <v>1</v>
          </cell>
          <cell r="E425">
            <v>50</v>
          </cell>
          <cell r="F425">
            <v>50</v>
          </cell>
        </row>
        <row r="426">
          <cell r="A426" t="str">
            <v>HI-ACC-CTH-MR</v>
          </cell>
          <cell r="B426" t="str">
            <v>CENTRADOR DE HOJA - MARRON</v>
          </cell>
          <cell r="C426" t="str">
            <v>PRECIO DE VENTA</v>
          </cell>
          <cell r="D426">
            <v>1</v>
          </cell>
          <cell r="E426">
            <v>65</v>
          </cell>
          <cell r="F426">
            <v>65</v>
          </cell>
        </row>
        <row r="427">
          <cell r="A427" t="str">
            <v>HI-ACC-CTH-NE</v>
          </cell>
          <cell r="B427" t="str">
            <v>CENTRADOR DE HOJA - NEGRO</v>
          </cell>
          <cell r="C427" t="str">
            <v>PRECIO DE VENTA</v>
          </cell>
          <cell r="D427">
            <v>1</v>
          </cell>
          <cell r="E427">
            <v>70</v>
          </cell>
          <cell r="F427">
            <v>70</v>
          </cell>
        </row>
        <row r="428">
          <cell r="A428" t="str">
            <v>HI-ACC-CZA-BL</v>
          </cell>
          <cell r="B428" t="str">
            <v>CONECTOR ZAPATA ALUMINIO - BLANCO</v>
          </cell>
          <cell r="C428" t="str">
            <v>PRECIO DE VENTA</v>
          </cell>
          <cell r="D428">
            <v>1</v>
          </cell>
          <cell r="E428">
            <v>1233</v>
          </cell>
          <cell r="F428">
            <v>1233</v>
          </cell>
        </row>
        <row r="429">
          <cell r="A429" t="str">
            <v>HI-ACC-CZA-GR</v>
          </cell>
          <cell r="B429" t="str">
            <v>CONECTOR ZAPATA ALUMINIO - GRIS</v>
          </cell>
          <cell r="C429" t="str">
            <v>PRECIO DE VENTA</v>
          </cell>
          <cell r="D429">
            <v>1</v>
          </cell>
          <cell r="E429">
            <v>1623</v>
          </cell>
          <cell r="F429">
            <v>1623</v>
          </cell>
        </row>
        <row r="430">
          <cell r="A430" t="str">
            <v>HI-ACC-CZA-MR</v>
          </cell>
          <cell r="B430" t="str">
            <v>CONECTOR ZAPATA ALUMINIO - MARRON</v>
          </cell>
          <cell r="C430" t="str">
            <v>PRECIO DE VENTA</v>
          </cell>
          <cell r="D430">
            <v>1</v>
          </cell>
          <cell r="E430">
            <v>1281</v>
          </cell>
          <cell r="F430">
            <v>1281</v>
          </cell>
        </row>
        <row r="431">
          <cell r="A431" t="str">
            <v>HI-ACC-CZA-NE</v>
          </cell>
          <cell r="B431" t="str">
            <v>CONECTOR ZAPATA ALUMINIO - NEGRO</v>
          </cell>
          <cell r="C431" t="str">
            <v>PRECIO DE VENTA</v>
          </cell>
          <cell r="D431">
            <v>1</v>
          </cell>
          <cell r="E431">
            <v>1609</v>
          </cell>
          <cell r="F431">
            <v>1609</v>
          </cell>
        </row>
        <row r="432">
          <cell r="A432" t="str">
            <v>HI-ACC-LPR-GR</v>
          </cell>
          <cell r="B432" t="str">
            <v>LAPIZ DE RETOQUE - ANTRACITA</v>
          </cell>
          <cell r="C432" t="str">
            <v>PRECIO DE VENTA</v>
          </cell>
          <cell r="D432">
            <v>1</v>
          </cell>
          <cell r="E432">
            <v>19207</v>
          </cell>
          <cell r="F432">
            <v>19207</v>
          </cell>
        </row>
        <row r="433">
          <cell r="A433" t="str">
            <v>HI-ACC-LPR-NE</v>
          </cell>
          <cell r="B433" t="str">
            <v>LAPIZ DE RETOQUE - NEGRO</v>
          </cell>
          <cell r="C433" t="str">
            <v>PRECIO DE VENTA</v>
          </cell>
          <cell r="D433">
            <v>1</v>
          </cell>
          <cell r="E433">
            <v>20912</v>
          </cell>
          <cell r="F433">
            <v>20912</v>
          </cell>
        </row>
        <row r="434">
          <cell r="A434" t="str">
            <v>HI-ACC-LPR-NO</v>
          </cell>
          <cell r="B434" t="str">
            <v>LAPIZ DE RETOQUE - NOGAL</v>
          </cell>
          <cell r="C434" t="str">
            <v>PRECIO DE VENTA</v>
          </cell>
          <cell r="D434">
            <v>1</v>
          </cell>
          <cell r="E434">
            <v>19207</v>
          </cell>
          <cell r="F434">
            <v>19207</v>
          </cell>
        </row>
        <row r="435">
          <cell r="A435" t="str">
            <v>HI-ACC-LPR-RD</v>
          </cell>
          <cell r="B435" t="str">
            <v>LAPIZ DE RETOQUE - ROBLE</v>
          </cell>
          <cell r="C435" t="str">
            <v>PRECIO DE VENTA</v>
          </cell>
          <cell r="D435">
            <v>1</v>
          </cell>
          <cell r="E435">
            <v>19207</v>
          </cell>
          <cell r="F435">
            <v>19207</v>
          </cell>
        </row>
        <row r="436">
          <cell r="A436" t="str">
            <v>HI-ACC-RHJ</v>
          </cell>
          <cell r="B436" t="str">
            <v>RETENEDOR DE HOJA</v>
          </cell>
          <cell r="C436" t="str">
            <v>PRECIO DE VENTA</v>
          </cell>
          <cell r="D436">
            <v>1</v>
          </cell>
          <cell r="E436">
            <v>1304</v>
          </cell>
          <cell r="F436">
            <v>1304</v>
          </cell>
        </row>
        <row r="437">
          <cell r="A437" t="str">
            <v>HI-ACC-SLD-AZSD-BL</v>
          </cell>
          <cell r="B437" t="str">
            <v>ADAPTADOR ZAPATA SLIDING DERECHO BLANCO</v>
          </cell>
          <cell r="C437" t="str">
            <v>PRECIO DE VENTA</v>
          </cell>
          <cell r="D437">
            <v>1</v>
          </cell>
          <cell r="E437">
            <v>1122</v>
          </cell>
          <cell r="F437">
            <v>1122</v>
          </cell>
        </row>
        <row r="438">
          <cell r="A438" t="str">
            <v>HI-ACC-SLD-AZSD-MR</v>
          </cell>
          <cell r="B438" t="str">
            <v>ADAPTADOR ZAPATA SLIDING DERECHO MARRON</v>
          </cell>
          <cell r="C438" t="str">
            <v>PRECIO DE VENTA</v>
          </cell>
          <cell r="D438">
            <v>1</v>
          </cell>
          <cell r="E438">
            <v>1122</v>
          </cell>
          <cell r="F438">
            <v>1122</v>
          </cell>
        </row>
        <row r="439">
          <cell r="A439" t="str">
            <v>HI-ACC-SLD-AZSD-NE</v>
          </cell>
          <cell r="B439" t="str">
            <v>ADAPTADOR ZAPATA SLIDING DERECHO NEGRO</v>
          </cell>
          <cell r="C439" t="str">
            <v>PRECIO DE VENTA</v>
          </cell>
          <cell r="D439">
            <v>1</v>
          </cell>
          <cell r="E439">
            <v>1092</v>
          </cell>
          <cell r="F439">
            <v>1092</v>
          </cell>
        </row>
        <row r="440">
          <cell r="A440" t="str">
            <v>HI-ACC-SLD-AZSI-BL</v>
          </cell>
          <cell r="B440" t="str">
            <v>ADAPTADOR ZAPATA SLIDING IZQUIERDO BLANCO</v>
          </cell>
          <cell r="C440" t="str">
            <v>PRECIO DE VENTA</v>
          </cell>
          <cell r="D440">
            <v>1</v>
          </cell>
          <cell r="E440">
            <v>1122</v>
          </cell>
          <cell r="F440">
            <v>1122</v>
          </cell>
        </row>
        <row r="441">
          <cell r="A441" t="str">
            <v>HI-ACC-SLD-AZSI-MR</v>
          </cell>
          <cell r="B441" t="str">
            <v>ADAPTADOR ZAPATA SLIDING IZQUIERDO MARRON</v>
          </cell>
          <cell r="C441" t="str">
            <v>PRECIO DE VENTA</v>
          </cell>
          <cell r="D441">
            <v>1</v>
          </cell>
          <cell r="E441">
            <v>1122</v>
          </cell>
          <cell r="F441">
            <v>1122</v>
          </cell>
        </row>
        <row r="442">
          <cell r="A442" t="str">
            <v>HI-ACC-SLD-AZSI-NE</v>
          </cell>
          <cell r="B442" t="str">
            <v>ADAPTADOR ZAPATA SLIDING IZQUIERDO NEGRO</v>
          </cell>
          <cell r="C442" t="str">
            <v>PRECIO DE VENTA</v>
          </cell>
          <cell r="D442">
            <v>1</v>
          </cell>
          <cell r="E442">
            <v>1092</v>
          </cell>
          <cell r="F442">
            <v>1092</v>
          </cell>
        </row>
        <row r="443">
          <cell r="A443" t="str">
            <v>HI-ACC-SLD-L4H-BL</v>
          </cell>
          <cell r="B443" t="str">
            <v>LIMITADOR 4TA HOJA BLANCO</v>
          </cell>
          <cell r="C443" t="str">
            <v>PRECIO DE VENTA</v>
          </cell>
          <cell r="D443">
            <v>1</v>
          </cell>
          <cell r="E443">
            <v>903</v>
          </cell>
          <cell r="F443">
            <v>903</v>
          </cell>
        </row>
        <row r="444">
          <cell r="A444" t="str">
            <v>HI-ACC-SLD-L4H-MR</v>
          </cell>
          <cell r="B444" t="str">
            <v>LIMITADOR 4TA HOJA MARRON</v>
          </cell>
          <cell r="C444" t="str">
            <v>PRECIO DE VENTA</v>
          </cell>
          <cell r="D444">
            <v>1</v>
          </cell>
          <cell r="E444">
            <v>903</v>
          </cell>
          <cell r="F444">
            <v>903</v>
          </cell>
        </row>
        <row r="445">
          <cell r="A445" t="str">
            <v>HI-ACC-SLD-L4H-NE</v>
          </cell>
          <cell r="B445" t="str">
            <v>LIMITADOR 4TA HOJA NEGRO</v>
          </cell>
          <cell r="C445" t="str">
            <v>PRECIO DE VENTA</v>
          </cell>
          <cell r="D445">
            <v>1</v>
          </cell>
          <cell r="E445">
            <v>872</v>
          </cell>
          <cell r="F445">
            <v>872</v>
          </cell>
        </row>
        <row r="446">
          <cell r="A446" t="str">
            <v>HI-ACC-SLD-RMP-BL</v>
          </cell>
          <cell r="B446" t="str">
            <v>RESBALON MANILLA PARCHE BLANCO</v>
          </cell>
          <cell r="C446" t="str">
            <v>PRECIO DE VENTA</v>
          </cell>
          <cell r="D446">
            <v>1</v>
          </cell>
          <cell r="E446">
            <v>576</v>
          </cell>
          <cell r="F446">
            <v>576</v>
          </cell>
        </row>
        <row r="447">
          <cell r="A447" t="str">
            <v>HI-ACC-SLD-RMP-MR</v>
          </cell>
          <cell r="B447" t="str">
            <v>RESBALON MANILLA PARCHE MARRON</v>
          </cell>
          <cell r="C447" t="str">
            <v>PRECIO DE VENTA</v>
          </cell>
          <cell r="D447">
            <v>1</v>
          </cell>
          <cell r="E447">
            <v>576</v>
          </cell>
          <cell r="F447">
            <v>576</v>
          </cell>
        </row>
        <row r="448">
          <cell r="A448" t="str">
            <v>HI-ACC-SLD-RMP-NE</v>
          </cell>
          <cell r="B448" t="str">
            <v>RESBALON MANILLA PARCHE NEGRO</v>
          </cell>
          <cell r="C448" t="str">
            <v>PRECIO DE VENTA</v>
          </cell>
          <cell r="D448">
            <v>1</v>
          </cell>
          <cell r="E448">
            <v>546</v>
          </cell>
          <cell r="F448">
            <v>546</v>
          </cell>
        </row>
        <row r="449">
          <cell r="A449" t="str">
            <v>HI-ACC-SLD-TEZA-BL</v>
          </cell>
          <cell r="B449" t="str">
            <v>TOPE ESTANCO ZAPATA SLIDING BLANCO</v>
          </cell>
          <cell r="C449" t="str">
            <v>PRECIO DE VENTA</v>
          </cell>
          <cell r="D449">
            <v>1</v>
          </cell>
          <cell r="E449">
            <v>872</v>
          </cell>
          <cell r="F449">
            <v>872</v>
          </cell>
        </row>
        <row r="450">
          <cell r="A450" t="str">
            <v>HI-ACC-SLD-TEZA-MR</v>
          </cell>
          <cell r="B450" t="str">
            <v>TOPE ESTANCO ZAPATA SLIDING MARRON</v>
          </cell>
          <cell r="C450" t="str">
            <v>PRECIO DE VENTA</v>
          </cell>
          <cell r="D450">
            <v>1</v>
          </cell>
          <cell r="E450">
            <v>872</v>
          </cell>
          <cell r="F450">
            <v>872</v>
          </cell>
        </row>
        <row r="451">
          <cell r="A451" t="str">
            <v>HI-ACC-SLD-TEZA-NE</v>
          </cell>
          <cell r="B451" t="str">
            <v>TOPE ESTANCO ZAPATA SLIDING NEGRO</v>
          </cell>
          <cell r="C451" t="str">
            <v>PRECIO DE VENTA</v>
          </cell>
          <cell r="D451">
            <v>1</v>
          </cell>
          <cell r="E451">
            <v>841</v>
          </cell>
          <cell r="F451">
            <v>841</v>
          </cell>
        </row>
        <row r="452">
          <cell r="A452" t="str">
            <v>HI-ACC-SLD-TF-BL</v>
          </cell>
          <cell r="B452" t="str">
            <v>TRASLAPO FALSO BLANCO</v>
          </cell>
          <cell r="C452" t="str">
            <v>PRECIO DE VENTA</v>
          </cell>
          <cell r="D452">
            <v>1</v>
          </cell>
          <cell r="E452">
            <v>779</v>
          </cell>
          <cell r="F452">
            <v>779</v>
          </cell>
        </row>
        <row r="453">
          <cell r="A453" t="str">
            <v>HI-ACC-SLD-TF-MR</v>
          </cell>
          <cell r="B453" t="str">
            <v>TRASLAPO FALSO MARRON</v>
          </cell>
          <cell r="C453" t="str">
            <v>PRECIO DE VENTA</v>
          </cell>
          <cell r="D453">
            <v>1</v>
          </cell>
          <cell r="E453">
            <v>779</v>
          </cell>
          <cell r="F453">
            <v>779</v>
          </cell>
        </row>
        <row r="454">
          <cell r="A454" t="str">
            <v>HI-ACC-SLD-TF-NE</v>
          </cell>
          <cell r="B454" t="str">
            <v>TRASLAPO FALSO NEGRO</v>
          </cell>
          <cell r="C454" t="str">
            <v>PRECIO DE VENTA</v>
          </cell>
          <cell r="D454">
            <v>1</v>
          </cell>
          <cell r="E454">
            <v>749</v>
          </cell>
          <cell r="F454">
            <v>749</v>
          </cell>
        </row>
        <row r="455">
          <cell r="A455" t="str">
            <v>HI-ACC-TAM-12</v>
          </cell>
          <cell r="B455" t="str">
            <v>TOPE DE GOMA 12MM</v>
          </cell>
          <cell r="C455" t="str">
            <v>PRECIO DE VENTA</v>
          </cell>
          <cell r="D455">
            <v>1</v>
          </cell>
          <cell r="E455">
            <v>62</v>
          </cell>
          <cell r="F455">
            <v>62</v>
          </cell>
        </row>
        <row r="456">
          <cell r="A456" t="str">
            <v>HI-ACC-TB-BL</v>
          </cell>
          <cell r="B456" t="str">
            <v>TAPA BATIENTE - BLANCO</v>
          </cell>
          <cell r="C456" t="str">
            <v>PRECIO DE VENTA</v>
          </cell>
          <cell r="D456">
            <v>1</v>
          </cell>
          <cell r="E456">
            <v>486</v>
          </cell>
          <cell r="F456">
            <v>486</v>
          </cell>
        </row>
        <row r="457">
          <cell r="A457" t="str">
            <v>HI-ACC-TB-MO</v>
          </cell>
          <cell r="B457" t="str">
            <v>TAPA BATIENTE - MARRON OSCURO</v>
          </cell>
          <cell r="C457" t="str">
            <v>PRECIO DE VENTA</v>
          </cell>
          <cell r="D457">
            <v>1</v>
          </cell>
          <cell r="E457">
            <v>486</v>
          </cell>
          <cell r="F457">
            <v>486</v>
          </cell>
        </row>
        <row r="458">
          <cell r="A458" t="str">
            <v>HI-ACC-TB-MR</v>
          </cell>
          <cell r="B458" t="str">
            <v>TAPA BATIENTE - MARRON</v>
          </cell>
          <cell r="C458" t="str">
            <v>PRECIO DE VENTA</v>
          </cell>
          <cell r="D458">
            <v>1</v>
          </cell>
          <cell r="E458">
            <v>523</v>
          </cell>
          <cell r="F458">
            <v>523</v>
          </cell>
        </row>
        <row r="459">
          <cell r="A459" t="str">
            <v>HI-ACC-TB-NE</v>
          </cell>
          <cell r="B459" t="str">
            <v>TAPA BATIENTE - NEGRO</v>
          </cell>
          <cell r="C459" t="str">
            <v>PRECIO DE VENTA</v>
          </cell>
          <cell r="D459">
            <v>1</v>
          </cell>
          <cell r="E459">
            <v>663</v>
          </cell>
          <cell r="F459">
            <v>663</v>
          </cell>
        </row>
        <row r="460">
          <cell r="A460" t="str">
            <v>HI-ACC-TDG-BL</v>
          </cell>
          <cell r="B460" t="str">
            <v>TAPA DESAGUE - BLANCO</v>
          </cell>
          <cell r="C460" t="str">
            <v>PRECIO DE VENTA</v>
          </cell>
          <cell r="D460">
            <v>1</v>
          </cell>
          <cell r="E460">
            <v>30</v>
          </cell>
          <cell r="F460">
            <v>30</v>
          </cell>
        </row>
        <row r="461">
          <cell r="A461" t="str">
            <v>HI-ACC-TDG-GS</v>
          </cell>
          <cell r="B461" t="str">
            <v>TAPA DESAGUE - GRIS</v>
          </cell>
          <cell r="C461" t="str">
            <v>PRECIO DE VENTA</v>
          </cell>
          <cell r="D461">
            <v>1</v>
          </cell>
          <cell r="E461">
            <v>30</v>
          </cell>
          <cell r="F461">
            <v>30</v>
          </cell>
        </row>
        <row r="462">
          <cell r="A462" t="str">
            <v>HI-ACC-TDG-MR</v>
          </cell>
          <cell r="B462" t="str">
            <v>TAPA DESAGUE - MARRON</v>
          </cell>
          <cell r="C462" t="str">
            <v>PRECIO DE VENTA</v>
          </cell>
          <cell r="D462">
            <v>1</v>
          </cell>
          <cell r="E462">
            <v>30</v>
          </cell>
          <cell r="F462">
            <v>30</v>
          </cell>
        </row>
        <row r="463">
          <cell r="A463" t="str">
            <v>HI-ACC-TDG-NE</v>
          </cell>
          <cell r="B463" t="str">
            <v>TAPA DESAGUE - NEGRO</v>
          </cell>
          <cell r="C463" t="str">
            <v>PRECIO DE VENTA</v>
          </cell>
          <cell r="D463">
            <v>1</v>
          </cell>
          <cell r="E463">
            <v>30</v>
          </cell>
          <cell r="F463">
            <v>30</v>
          </cell>
        </row>
        <row r="464">
          <cell r="A464" t="str">
            <v>HI-ACC-TE-MDR-BL</v>
          </cell>
          <cell r="B464" t="str">
            <v>TOPE ESTANCO CORREDERA - BLANCO</v>
          </cell>
          <cell r="C464" t="str">
            <v>PRECIO DE VENTA</v>
          </cell>
          <cell r="D464">
            <v>1</v>
          </cell>
          <cell r="E464">
            <v>437</v>
          </cell>
          <cell r="F464">
            <v>437</v>
          </cell>
        </row>
        <row r="465">
          <cell r="A465" t="str">
            <v>HI-ACC-TE-MDR-GR</v>
          </cell>
          <cell r="B465" t="str">
            <v>TOPE ESTANCO CORREDERA - GRIS</v>
          </cell>
          <cell r="C465" t="str">
            <v>PRECIO DE VENTA</v>
          </cell>
          <cell r="D465">
            <v>1</v>
          </cell>
          <cell r="E465">
            <v>437</v>
          </cell>
          <cell r="F465">
            <v>437</v>
          </cell>
        </row>
        <row r="466">
          <cell r="A466" t="str">
            <v>HI-ACC-TE-MDR-MR</v>
          </cell>
          <cell r="B466" t="str">
            <v>TOPE ESTANCO CORREDERA - MARRON</v>
          </cell>
          <cell r="C466" t="str">
            <v>PRECIO DE VENTA</v>
          </cell>
          <cell r="D466">
            <v>1</v>
          </cell>
          <cell r="E466">
            <v>437</v>
          </cell>
          <cell r="F466">
            <v>437</v>
          </cell>
        </row>
        <row r="467">
          <cell r="A467" t="str">
            <v>HI-ACC-TE-MDR-NE</v>
          </cell>
          <cell r="B467" t="str">
            <v>TOPE ESTANCO CORREDERA - NEGRO</v>
          </cell>
          <cell r="C467" t="str">
            <v>PRECIO DE VENTA</v>
          </cell>
          <cell r="D467">
            <v>1</v>
          </cell>
          <cell r="E467">
            <v>462</v>
          </cell>
          <cell r="F467">
            <v>462</v>
          </cell>
        </row>
        <row r="468">
          <cell r="A468" t="str">
            <v>HI-ACC-TE-MDR-S75-BL</v>
          </cell>
          <cell r="B468" t="str">
            <v>TOPE ESTANCO CORREDERA S75 - BLANCO</v>
          </cell>
          <cell r="C468" t="str">
            <v>PRECIO DE VENTA</v>
          </cell>
          <cell r="D468">
            <v>1</v>
          </cell>
          <cell r="E468">
            <v>437</v>
          </cell>
          <cell r="F468">
            <v>437</v>
          </cell>
        </row>
        <row r="469">
          <cell r="A469" t="str">
            <v>HI-ACC-TE-MDR-S75-GR</v>
          </cell>
          <cell r="B469" t="str">
            <v>TOPE ESTANCO CORREDERA S75 - GRIS</v>
          </cell>
          <cell r="C469" t="str">
            <v>PRECIO DE VENTA</v>
          </cell>
          <cell r="D469">
            <v>1</v>
          </cell>
          <cell r="E469">
            <v>437</v>
          </cell>
          <cell r="F469">
            <v>437</v>
          </cell>
        </row>
        <row r="470">
          <cell r="A470" t="str">
            <v>HI-ACC-TE-MDR-S75-MR</v>
          </cell>
          <cell r="B470" t="str">
            <v>TOPE ESTANCO CORREDERA S75 - MARRON</v>
          </cell>
          <cell r="C470" t="str">
            <v>PRECIO DE VENTA</v>
          </cell>
          <cell r="D470">
            <v>1</v>
          </cell>
          <cell r="E470">
            <v>437</v>
          </cell>
          <cell r="F470">
            <v>437</v>
          </cell>
        </row>
        <row r="471">
          <cell r="A471" t="str">
            <v>HI-ACC-TE-MDR-S75-NE</v>
          </cell>
          <cell r="B471" t="str">
            <v>TOPE ESTANCO CORREDERA S75 - NEGRO</v>
          </cell>
          <cell r="C471" t="str">
            <v>PRECIO DE VENTA</v>
          </cell>
          <cell r="D471">
            <v>1</v>
          </cell>
          <cell r="E471">
            <v>462</v>
          </cell>
          <cell r="F471">
            <v>462</v>
          </cell>
        </row>
        <row r="472">
          <cell r="A472" t="str">
            <v>HI-ACC-TEZ-BL</v>
          </cell>
          <cell r="B472" t="str">
            <v>TOPE ESTANCO ZENIA - BLANCO</v>
          </cell>
          <cell r="C472" t="str">
            <v>PRECIO DE VENTA</v>
          </cell>
          <cell r="D472">
            <v>1</v>
          </cell>
          <cell r="E472">
            <v>142</v>
          </cell>
          <cell r="F472">
            <v>142</v>
          </cell>
        </row>
        <row r="473">
          <cell r="A473" t="str">
            <v>HI-ACC-TEZ-GR</v>
          </cell>
          <cell r="B473" t="str">
            <v>TOPE ESTANCO ZENIA - GRAFITO</v>
          </cell>
          <cell r="C473" t="str">
            <v>PRECIO DE VENTA</v>
          </cell>
          <cell r="D473">
            <v>1</v>
          </cell>
          <cell r="E473">
            <v>142</v>
          </cell>
          <cell r="F473">
            <v>142</v>
          </cell>
        </row>
        <row r="474">
          <cell r="A474" t="str">
            <v>HI-ACC-TEZ-MR</v>
          </cell>
          <cell r="B474" t="str">
            <v>TOPE ESTANCO ZENIA - MARRON</v>
          </cell>
          <cell r="C474" t="str">
            <v>PRECIO DE VENTA</v>
          </cell>
          <cell r="D474">
            <v>1</v>
          </cell>
          <cell r="E474">
            <v>142</v>
          </cell>
          <cell r="F474">
            <v>142</v>
          </cell>
        </row>
        <row r="475">
          <cell r="A475" t="str">
            <v>HI-ACC-TPC90-BL</v>
          </cell>
          <cell r="B475" t="str">
            <v>TOPE CORREDERA 90° - BLANCO</v>
          </cell>
          <cell r="C475" t="str">
            <v>PRECIO DE VENTA</v>
          </cell>
          <cell r="D475">
            <v>1</v>
          </cell>
          <cell r="E475">
            <v>1852</v>
          </cell>
          <cell r="F475">
            <v>1852</v>
          </cell>
        </row>
        <row r="476">
          <cell r="A476" t="str">
            <v>HI-ACC-TPC90-MR</v>
          </cell>
          <cell r="B476" t="str">
            <v>TOPE CORREDERA 90º - MARRON</v>
          </cell>
          <cell r="C476" t="str">
            <v>PRECIO DE VENTA</v>
          </cell>
          <cell r="D476">
            <v>1</v>
          </cell>
          <cell r="E476">
            <v>2522</v>
          </cell>
          <cell r="F476">
            <v>2522</v>
          </cell>
        </row>
        <row r="477">
          <cell r="A477" t="str">
            <v>HI-ACC-TPC90-NE</v>
          </cell>
          <cell r="B477" t="str">
            <v>TOPE CORREDERA 90° - NEGRO</v>
          </cell>
          <cell r="C477" t="str">
            <v>PRECIO DE VENTA</v>
          </cell>
          <cell r="D477">
            <v>1</v>
          </cell>
          <cell r="E477">
            <v>2522</v>
          </cell>
          <cell r="F477">
            <v>2522</v>
          </cell>
        </row>
        <row r="478">
          <cell r="A478" t="str">
            <v>HI-ACC-TTAMO-BL</v>
          </cell>
          <cell r="B478" t="str">
            <v>TAPA TORNILLO AMO III - BLANCO</v>
          </cell>
          <cell r="C478" t="str">
            <v>PRECIO DE VENTA</v>
          </cell>
          <cell r="D478">
            <v>1</v>
          </cell>
          <cell r="E478">
            <v>27</v>
          </cell>
          <cell r="F478">
            <v>27</v>
          </cell>
        </row>
        <row r="479">
          <cell r="A479" t="str">
            <v>HI-ACC-TTAMO-MO</v>
          </cell>
          <cell r="B479" t="str">
            <v>TAPA TORNILLO AMO III - MARRON OSCURO</v>
          </cell>
          <cell r="C479" t="str">
            <v>PRECIO DE VENTA</v>
          </cell>
          <cell r="D479">
            <v>1</v>
          </cell>
          <cell r="E479">
            <v>7</v>
          </cell>
          <cell r="F479">
            <v>7</v>
          </cell>
        </row>
        <row r="480">
          <cell r="A480" t="str">
            <v>HI-ACC-TTAMO-MR</v>
          </cell>
          <cell r="B480" t="str">
            <v>TAPA TORNILLO AMO III - MARRON</v>
          </cell>
          <cell r="C480" t="str">
            <v>PRECIO DE VENTA</v>
          </cell>
          <cell r="D480">
            <v>1</v>
          </cell>
          <cell r="E480">
            <v>27</v>
          </cell>
          <cell r="F480">
            <v>27</v>
          </cell>
        </row>
        <row r="481">
          <cell r="A481" t="str">
            <v>HI-ACC-TTAMO-NE</v>
          </cell>
          <cell r="B481" t="str">
            <v>TAPA TORNILLO AMO III - NEGRO</v>
          </cell>
          <cell r="C481" t="str">
            <v>PRECIO DE VENTA</v>
          </cell>
          <cell r="D481">
            <v>1</v>
          </cell>
          <cell r="E481">
            <v>15</v>
          </cell>
          <cell r="F481">
            <v>15</v>
          </cell>
        </row>
        <row r="482">
          <cell r="A482" t="str">
            <v>HI-ACC-TTM-BL</v>
          </cell>
          <cell r="B482" t="str">
            <v>TAPA TORNILLO MOSQUITERO 10mm - BLANCA</v>
          </cell>
          <cell r="C482" t="str">
            <v>PRECIO DE VENTA</v>
          </cell>
          <cell r="D482">
            <v>1</v>
          </cell>
          <cell r="E482">
            <v>15</v>
          </cell>
          <cell r="F482">
            <v>15</v>
          </cell>
        </row>
        <row r="483">
          <cell r="A483" t="str">
            <v>HI-ACC-TTM-MR</v>
          </cell>
          <cell r="B483" t="str">
            <v>TAPA TORNILLO MOSQUITERO 10mm - MARRON</v>
          </cell>
          <cell r="C483" t="str">
            <v>PRECIO DE VENTA</v>
          </cell>
          <cell r="D483">
            <v>1</v>
          </cell>
          <cell r="E483">
            <v>17</v>
          </cell>
          <cell r="F483">
            <v>17</v>
          </cell>
        </row>
        <row r="484">
          <cell r="A484" t="str">
            <v>HI-ACC-TTM-NE</v>
          </cell>
          <cell r="B484" t="str">
            <v>TAPA TORNILLO MOSQUITERO 10mm - NEGRO</v>
          </cell>
          <cell r="C484" t="str">
            <v>PRECIO DE VENTA</v>
          </cell>
          <cell r="D484">
            <v>1</v>
          </cell>
          <cell r="E484">
            <v>17</v>
          </cell>
          <cell r="F484">
            <v>17</v>
          </cell>
        </row>
        <row r="485">
          <cell r="A485" t="str">
            <v>HI-ACZ-BPZ-NE</v>
          </cell>
          <cell r="B485" t="str">
            <v>BURLETE PERIMETRAL ZENIA</v>
          </cell>
          <cell r="C485" t="str">
            <v>PRECIO DE VENTA</v>
          </cell>
          <cell r="D485">
            <v>1</v>
          </cell>
          <cell r="E485">
            <v>673</v>
          </cell>
          <cell r="F485">
            <v>673</v>
          </cell>
        </row>
        <row r="486">
          <cell r="A486" t="str">
            <v>HI-ACZ-BSZ-NE</v>
          </cell>
          <cell r="B486" t="str">
            <v>BURLETE SUPERIOR ZENIA</v>
          </cell>
          <cell r="C486" t="str">
            <v>PRECIO DE VENTA</v>
          </cell>
          <cell r="D486">
            <v>1</v>
          </cell>
          <cell r="E486">
            <v>177</v>
          </cell>
          <cell r="F486">
            <v>177</v>
          </cell>
        </row>
        <row r="487">
          <cell r="A487" t="str">
            <v>HI-ACZ-BTZ-NE</v>
          </cell>
          <cell r="B487" t="str">
            <v>BURLETE TRASLAPO ZENIA</v>
          </cell>
          <cell r="C487" t="str">
            <v>PRECIO DE VENTA</v>
          </cell>
          <cell r="D487">
            <v>1</v>
          </cell>
          <cell r="E487">
            <v>177</v>
          </cell>
          <cell r="F487">
            <v>177</v>
          </cell>
        </row>
        <row r="488">
          <cell r="A488" t="str">
            <v>HI-ACZ-KPZ-1800</v>
          </cell>
          <cell r="B488" t="str">
            <v>KIT PUERTA ZENIA 1800 x 2100</v>
          </cell>
          <cell r="C488" t="str">
            <v>PRECIO DE VENTA</v>
          </cell>
          <cell r="D488">
            <v>1</v>
          </cell>
          <cell r="E488">
            <v>160637</v>
          </cell>
          <cell r="F488">
            <v>160637</v>
          </cell>
        </row>
        <row r="489">
          <cell r="A489" t="str">
            <v>HI-ACZ-KPZ-2100</v>
          </cell>
          <cell r="B489" t="str">
            <v>KIT PUERTA ZENIA 2100 x 2400</v>
          </cell>
          <cell r="C489" t="str">
            <v>PRECIO DE VENTA</v>
          </cell>
          <cell r="D489">
            <v>1</v>
          </cell>
          <cell r="E489">
            <v>166815</v>
          </cell>
          <cell r="F489">
            <v>166815</v>
          </cell>
        </row>
        <row r="490">
          <cell r="A490" t="str">
            <v>HI-ACZ-KPZ-RF-1800</v>
          </cell>
          <cell r="B490" t="str">
            <v>KIT PUERTA ZENIA 1800 x 2100 REFORZADO</v>
          </cell>
          <cell r="C490" t="str">
            <v>PRECIO DE VENTA</v>
          </cell>
          <cell r="D490">
            <v>1</v>
          </cell>
          <cell r="E490">
            <v>206892</v>
          </cell>
          <cell r="F490">
            <v>206892</v>
          </cell>
        </row>
        <row r="491">
          <cell r="A491" t="str">
            <v>HI-ACZ-KPZ-RF-2100</v>
          </cell>
          <cell r="B491" t="str">
            <v>KIT PUERTA ZENIA 2100 x 2400 REFORZADO</v>
          </cell>
          <cell r="C491" t="str">
            <v>PRECIO DE VENTA</v>
          </cell>
          <cell r="D491">
            <v>1</v>
          </cell>
          <cell r="E491">
            <v>210873</v>
          </cell>
          <cell r="F491">
            <v>210873</v>
          </cell>
        </row>
        <row r="492">
          <cell r="A492" t="str">
            <v>HI-ACZ-KPZ-RF-2400</v>
          </cell>
          <cell r="B492" t="str">
            <v>KIT PUERTA ZENIA 2400 x 2800 REFORZADO</v>
          </cell>
          <cell r="C492" t="str">
            <v>PRECIO DE VENTA</v>
          </cell>
          <cell r="D492">
            <v>1</v>
          </cell>
          <cell r="E492">
            <v>178493</v>
          </cell>
          <cell r="F492">
            <v>178493</v>
          </cell>
        </row>
        <row r="493">
          <cell r="A493" t="str">
            <v>HI-ACZ-RTZ-BL</v>
          </cell>
          <cell r="B493" t="str">
            <v>REMATE TRASLAPO ZENIA - BLANCO</v>
          </cell>
          <cell r="C493" t="str">
            <v>PRECIO DE VENTA</v>
          </cell>
          <cell r="D493">
            <v>1</v>
          </cell>
          <cell r="E493">
            <v>53</v>
          </cell>
          <cell r="F493">
            <v>53</v>
          </cell>
        </row>
        <row r="494">
          <cell r="A494" t="str">
            <v>HI-ACZ-RTZ-MR</v>
          </cell>
          <cell r="B494" t="str">
            <v>REMATE TRASLAPO ZENIA - MARRON</v>
          </cell>
          <cell r="C494" t="str">
            <v>PRECIO DE VENTA</v>
          </cell>
          <cell r="D494">
            <v>1</v>
          </cell>
          <cell r="E494">
            <v>54</v>
          </cell>
          <cell r="F494">
            <v>54</v>
          </cell>
        </row>
        <row r="495">
          <cell r="A495" t="str">
            <v>HI-ACZ-RTZ-NE</v>
          </cell>
          <cell r="B495" t="str">
            <v>REMATE TRASLAPO ZENIA - NEGRO</v>
          </cell>
          <cell r="C495" t="str">
            <v>PRECIO DE VENTA</v>
          </cell>
          <cell r="D495">
            <v>1</v>
          </cell>
          <cell r="E495">
            <v>53</v>
          </cell>
          <cell r="F495">
            <v>53</v>
          </cell>
        </row>
        <row r="496">
          <cell r="A496" t="str">
            <v>HI-ACZ-TTZ-BL</v>
          </cell>
          <cell r="B496" t="str">
            <v>TERMINAL TRASLAPO ZENIA - BLANCO</v>
          </cell>
          <cell r="C496" t="str">
            <v>PRECIO DE VENTA</v>
          </cell>
          <cell r="D496">
            <v>1</v>
          </cell>
          <cell r="E496">
            <v>161</v>
          </cell>
          <cell r="F496">
            <v>161</v>
          </cell>
        </row>
        <row r="497">
          <cell r="A497" t="str">
            <v>HI-ACZ-TTZ-GS</v>
          </cell>
          <cell r="B497" t="str">
            <v>TERMINAL TRASLAPO ZENIA - GRIS</v>
          </cell>
          <cell r="C497" t="str">
            <v>PRECIO DE VENTA</v>
          </cell>
          <cell r="D497">
            <v>1</v>
          </cell>
          <cell r="E497">
            <v>181</v>
          </cell>
          <cell r="F497">
            <v>181</v>
          </cell>
        </row>
        <row r="498">
          <cell r="A498" t="str">
            <v>HI-ACZ-TTZ-MR</v>
          </cell>
          <cell r="B498" t="str">
            <v>TERMINAL TRASLAPO ZENIA - MARRON</v>
          </cell>
          <cell r="C498" t="str">
            <v>PRECIO DE VENTA</v>
          </cell>
          <cell r="D498">
            <v>1</v>
          </cell>
          <cell r="E498">
            <v>176</v>
          </cell>
          <cell r="F498">
            <v>176</v>
          </cell>
        </row>
        <row r="499">
          <cell r="A499" t="str">
            <v>HI-AME-CDC-SLK</v>
          </cell>
          <cell r="B499" t="str">
            <v>CINTA DOBLE CONTACTO - 50 mts</v>
          </cell>
          <cell r="C499" t="str">
            <v>PRECIO DE VENTA</v>
          </cell>
          <cell r="D499">
            <v>1</v>
          </cell>
          <cell r="E499">
            <v>3648</v>
          </cell>
          <cell r="F499">
            <v>3648</v>
          </cell>
        </row>
        <row r="500">
          <cell r="A500" t="str">
            <v>HI-AME-CF-HJS</v>
          </cell>
          <cell r="B500" t="str">
            <v>CONTRA FORMA HOJAS AMERICANA</v>
          </cell>
          <cell r="C500" t="str">
            <v>PRECIO DE VENTA</v>
          </cell>
          <cell r="D500">
            <v>1</v>
          </cell>
          <cell r="E500">
            <v>1064000</v>
          </cell>
          <cell r="F500">
            <v>1064000</v>
          </cell>
        </row>
        <row r="501">
          <cell r="A501" t="str">
            <v>HI-AME-CF-MCA</v>
          </cell>
          <cell r="B501" t="str">
            <v>CONTRA FORMA MARCO AMERICANA</v>
          </cell>
          <cell r="C501" t="str">
            <v>PRECIO DE VENTA</v>
          </cell>
          <cell r="D501">
            <v>1</v>
          </cell>
          <cell r="E501">
            <v>1064000</v>
          </cell>
          <cell r="F501">
            <v>1064000</v>
          </cell>
        </row>
        <row r="502">
          <cell r="A502" t="str">
            <v>HI-AME-CRD-SLK</v>
          </cell>
          <cell r="B502" t="str">
            <v>CERRADERO AMERICANA SILTEK</v>
          </cell>
          <cell r="C502" t="str">
            <v>PRECIO DE VENTA</v>
          </cell>
          <cell r="D502">
            <v>1</v>
          </cell>
          <cell r="E502">
            <v>3192</v>
          </cell>
          <cell r="F502">
            <v>3192</v>
          </cell>
        </row>
        <row r="503">
          <cell r="A503" t="str">
            <v>HI-AME-CRR- SLK</v>
          </cell>
          <cell r="B503" t="str">
            <v>CARRO AMERICANA SILTEK</v>
          </cell>
          <cell r="C503" t="str">
            <v>PRECIO DE VENTA</v>
          </cell>
          <cell r="D503">
            <v>1</v>
          </cell>
          <cell r="E503">
            <v>1824</v>
          </cell>
          <cell r="F503">
            <v>1824</v>
          </cell>
        </row>
        <row r="504">
          <cell r="A504" t="str">
            <v>HI-AME-DR-TFJ</v>
          </cell>
          <cell r="B504" t="str">
            <v>DISCO RETESTEADOR - TRASLAPO FIJO</v>
          </cell>
          <cell r="C504" t="str">
            <v>PRECIO DE VENTA</v>
          </cell>
          <cell r="D504">
            <v>1</v>
          </cell>
          <cell r="E504">
            <v>304000</v>
          </cell>
          <cell r="F504">
            <v>304000</v>
          </cell>
        </row>
        <row r="505">
          <cell r="A505" t="str">
            <v>HI-AME-FLP-SLK</v>
          </cell>
          <cell r="B505" t="str">
            <v>FELPA AMERICANA SILTEK - 330 mts</v>
          </cell>
          <cell r="C505" t="str">
            <v>PRECIO DE VENTA</v>
          </cell>
          <cell r="D505">
            <v>1</v>
          </cell>
          <cell r="E505">
            <v>19304</v>
          </cell>
          <cell r="F505">
            <v>19304</v>
          </cell>
        </row>
        <row r="506">
          <cell r="A506" t="str">
            <v>HI-BIS-100-BL</v>
          </cell>
          <cell r="B506" t="str">
            <v>BISAGRA 100 mm - BLANCO</v>
          </cell>
          <cell r="C506" t="str">
            <v>PRECIO DE VENTA</v>
          </cell>
          <cell r="D506">
            <v>1</v>
          </cell>
          <cell r="E506">
            <v>1546</v>
          </cell>
          <cell r="F506">
            <v>1546</v>
          </cell>
        </row>
        <row r="507">
          <cell r="A507" t="str">
            <v>HI-BIS-100-NE</v>
          </cell>
          <cell r="B507" t="str">
            <v>BISAGRA 100 mm - NEGRO</v>
          </cell>
          <cell r="C507" t="str">
            <v>PRECIO DE VENTA</v>
          </cell>
          <cell r="D507">
            <v>1</v>
          </cell>
          <cell r="E507">
            <v>467</v>
          </cell>
          <cell r="F507">
            <v>467</v>
          </cell>
        </row>
        <row r="508">
          <cell r="A508" t="str">
            <v>HI-BIS-100-SEG-BL</v>
          </cell>
          <cell r="B508" t="str">
            <v>BISAGRA 100 mm C/ CLAVIJA SEGURIDAD - BLANCO</v>
          </cell>
          <cell r="C508" t="str">
            <v>PRECIO DE VENTA</v>
          </cell>
          <cell r="D508">
            <v>1</v>
          </cell>
          <cell r="E508">
            <v>1546</v>
          </cell>
          <cell r="F508">
            <v>1546</v>
          </cell>
        </row>
        <row r="509">
          <cell r="A509" t="str">
            <v>HI-BIS-100-SEG-GS</v>
          </cell>
          <cell r="B509" t="str">
            <v>BISAGRA 100 mm C/ CLAVIJA SEGURIDAD - GRIS</v>
          </cell>
          <cell r="C509" t="str">
            <v>PRECIO DE VENTA</v>
          </cell>
          <cell r="D509">
            <v>1</v>
          </cell>
          <cell r="E509">
            <v>1652</v>
          </cell>
          <cell r="F509">
            <v>1652</v>
          </cell>
        </row>
        <row r="510">
          <cell r="A510" t="str">
            <v>HI-BIS-100-SEG-MR</v>
          </cell>
          <cell r="B510" t="str">
            <v>BISAGRA 100 mm C/ CLAVIJA SEGURIDAD - MARRON</v>
          </cell>
          <cell r="C510" t="str">
            <v>PRECIO DE VENTA</v>
          </cell>
          <cell r="D510">
            <v>1</v>
          </cell>
          <cell r="E510">
            <v>1604</v>
          </cell>
          <cell r="F510">
            <v>1604</v>
          </cell>
        </row>
        <row r="511">
          <cell r="A511" t="str">
            <v>HI-BIS-100-SEG-NE</v>
          </cell>
          <cell r="B511" t="str">
            <v>BISAGRA 100 mm C/ CLAVIJA SEGURIDAD - NEGRO</v>
          </cell>
          <cell r="C511" t="str">
            <v>PRECIO DE VENTA</v>
          </cell>
          <cell r="D511">
            <v>1</v>
          </cell>
          <cell r="E511">
            <v>1604</v>
          </cell>
          <cell r="F511">
            <v>1604</v>
          </cell>
        </row>
        <row r="512">
          <cell r="A512" t="str">
            <v>HI-BIS-3D-BL</v>
          </cell>
          <cell r="B512" t="str">
            <v>BISAGRA 3D AJUSTABLE 125 kg PAVO - BLANCO</v>
          </cell>
          <cell r="C512" t="str">
            <v>PRECIO DE VENTA</v>
          </cell>
          <cell r="D512">
            <v>1</v>
          </cell>
          <cell r="E512">
            <v>8155</v>
          </cell>
          <cell r="F512">
            <v>8155</v>
          </cell>
        </row>
        <row r="513">
          <cell r="A513" t="str">
            <v>HI-BIS-3D-BL-SM</v>
          </cell>
          <cell r="B513" t="str">
            <v>BISAGRA 3D AJUSTABLE - BLANCO - SOM</v>
          </cell>
          <cell r="C513" t="str">
            <v>PRECIO DE VENTA</v>
          </cell>
          <cell r="D513">
            <v>1</v>
          </cell>
          <cell r="E513">
            <v>3030</v>
          </cell>
          <cell r="F513">
            <v>3030</v>
          </cell>
        </row>
        <row r="514">
          <cell r="A514" t="str">
            <v>HI-BIS-3D-MR</v>
          </cell>
          <cell r="B514" t="str">
            <v>BISAGRA 3D AJUSTABLE 125 kg PAVO - MARRON</v>
          </cell>
          <cell r="C514" t="str">
            <v>PRECIO DE VENTA</v>
          </cell>
          <cell r="D514">
            <v>1</v>
          </cell>
          <cell r="E514">
            <v>8155</v>
          </cell>
          <cell r="F514">
            <v>8155</v>
          </cell>
        </row>
        <row r="515">
          <cell r="A515" t="str">
            <v>HI-BIS-3D-MR-SM</v>
          </cell>
          <cell r="B515" t="str">
            <v>BISAGRA 3D AJUSTABLE - MARRON - SOM</v>
          </cell>
          <cell r="C515" t="str">
            <v>PRECIO DE VENTA</v>
          </cell>
          <cell r="D515">
            <v>1</v>
          </cell>
          <cell r="E515">
            <v>10767</v>
          </cell>
          <cell r="F515">
            <v>10767</v>
          </cell>
        </row>
        <row r="516">
          <cell r="A516" t="str">
            <v>HI-BIS-3D-NE</v>
          </cell>
          <cell r="B516" t="str">
            <v>BISAGRA 3D AJUSTABLE 125 kg PAVO - NEGRO</v>
          </cell>
          <cell r="C516" t="str">
            <v>PRECIO DE VENTA</v>
          </cell>
          <cell r="D516">
            <v>1</v>
          </cell>
          <cell r="E516">
            <v>8155</v>
          </cell>
          <cell r="F516">
            <v>8155</v>
          </cell>
        </row>
        <row r="517">
          <cell r="A517" t="str">
            <v>HI-BIS-3D-NE-SM</v>
          </cell>
          <cell r="B517" t="str">
            <v>BISAGRA 3D AJUSTABLE - NEGRO - SOM</v>
          </cell>
          <cell r="C517" t="str">
            <v>PRECIO DE VENTA</v>
          </cell>
          <cell r="D517">
            <v>1</v>
          </cell>
          <cell r="E517">
            <v>8076</v>
          </cell>
          <cell r="F517">
            <v>8076</v>
          </cell>
        </row>
        <row r="518">
          <cell r="A518" t="str">
            <v>HI-BIS-75-CS-BL</v>
          </cell>
          <cell r="B518" t="str">
            <v>BISAGRA 75 mm C/ CLAVIJA SEGURIDAD - BLANCO</v>
          </cell>
          <cell r="C518" t="str">
            <v>PRECIO DE VENTA</v>
          </cell>
          <cell r="D518">
            <v>1</v>
          </cell>
          <cell r="E518">
            <v>385</v>
          </cell>
          <cell r="F518">
            <v>385</v>
          </cell>
        </row>
        <row r="519">
          <cell r="A519" t="str">
            <v>HI-BIS-75-CS-MR</v>
          </cell>
          <cell r="B519" t="str">
            <v>BISAGRA 75 mm C/ CLAVIJA SEGURIDAD - MARRON</v>
          </cell>
          <cell r="C519" t="str">
            <v>PRECIO DE VENTA</v>
          </cell>
          <cell r="D519">
            <v>1</v>
          </cell>
          <cell r="E519">
            <v>401</v>
          </cell>
          <cell r="F519">
            <v>401</v>
          </cell>
        </row>
        <row r="520">
          <cell r="A520" t="str">
            <v>HI-BIS-75-CS-NE</v>
          </cell>
          <cell r="B520" t="str">
            <v>BISAGRA 75 mm C/ CLAVIJA SEGURIDAD - NEGRO</v>
          </cell>
          <cell r="C520" t="str">
            <v>PRECIO DE VENTA</v>
          </cell>
          <cell r="D520">
            <v>1</v>
          </cell>
          <cell r="E520">
            <v>401</v>
          </cell>
          <cell r="F520">
            <v>401</v>
          </cell>
        </row>
        <row r="521">
          <cell r="A521" t="str">
            <v>HI-BIS-OCL-60-3H</v>
          </cell>
          <cell r="B521" t="str">
            <v>PAR BISAGRAS OCULTAS 60 KG - 13 AXIS - 3H</v>
          </cell>
          <cell r="C521" t="str">
            <v>PRECIO DE VENTA</v>
          </cell>
          <cell r="D521">
            <v>1</v>
          </cell>
          <cell r="E521">
            <v>11986</v>
          </cell>
          <cell r="F521">
            <v>11986</v>
          </cell>
        </row>
        <row r="522">
          <cell r="A522" t="str">
            <v>HI-BR-AB-10</v>
          </cell>
          <cell r="B522" t="str">
            <v>BRAZO ABATIR 10 - PLG - SLK</v>
          </cell>
          <cell r="C522" t="str">
            <v>PRECIO DE VENTA</v>
          </cell>
          <cell r="D522">
            <v>1</v>
          </cell>
          <cell r="E522">
            <v>1983</v>
          </cell>
          <cell r="F522">
            <v>1983</v>
          </cell>
        </row>
        <row r="523">
          <cell r="A523" t="str">
            <v>HI-BR-AB-14</v>
          </cell>
          <cell r="B523" t="str">
            <v>BRAZO ABATIR 14 - PLG - SLK</v>
          </cell>
          <cell r="C523" t="str">
            <v>PRECIO DE VENTA</v>
          </cell>
          <cell r="D523">
            <v>1</v>
          </cell>
          <cell r="E523">
            <v>2307</v>
          </cell>
          <cell r="F523">
            <v>2307</v>
          </cell>
        </row>
        <row r="524">
          <cell r="A524" t="str">
            <v>HI-BR-AB-15</v>
          </cell>
          <cell r="B524" t="str">
            <v>BRAZO ABATIR 18 - PLG - SLK</v>
          </cell>
          <cell r="C524" t="str">
            <v>PRECIO DE VENTA</v>
          </cell>
          <cell r="D524">
            <v>1</v>
          </cell>
          <cell r="E524">
            <v>2718</v>
          </cell>
          <cell r="F524">
            <v>2718</v>
          </cell>
        </row>
        <row r="525">
          <cell r="A525" t="str">
            <v>HI-BR-PR-10</v>
          </cell>
          <cell r="B525" t="str">
            <v>BRAZO PROYECTANTE 10 - PLG - SLK</v>
          </cell>
          <cell r="C525" t="str">
            <v>PRECIO DE VENTA</v>
          </cell>
          <cell r="D525">
            <v>1</v>
          </cell>
          <cell r="E525">
            <v>1580</v>
          </cell>
          <cell r="F525">
            <v>1580</v>
          </cell>
        </row>
        <row r="526">
          <cell r="A526" t="str">
            <v>HI-BR-PR-10-NC</v>
          </cell>
          <cell r="B526" t="str">
            <v>BRAZO PROYECCION NICO 10 - PLG</v>
          </cell>
          <cell r="C526" t="str">
            <v>PRECIO DE VENTA</v>
          </cell>
          <cell r="D526">
            <v>1</v>
          </cell>
          <cell r="E526">
            <v>5653</v>
          </cell>
          <cell r="F526">
            <v>5653</v>
          </cell>
        </row>
        <row r="527">
          <cell r="A527" t="str">
            <v>HI-BR-PR-12</v>
          </cell>
          <cell r="B527" t="str">
            <v>BRAZO PROYECTANTE 12 - PLG - SLK</v>
          </cell>
          <cell r="C527" t="str">
            <v>PRECIO DE VENTA</v>
          </cell>
          <cell r="D527">
            <v>1</v>
          </cell>
          <cell r="E527">
            <v>1841</v>
          </cell>
          <cell r="F527">
            <v>1841</v>
          </cell>
        </row>
        <row r="528">
          <cell r="A528" t="str">
            <v>HI-BR-PR-12-NC</v>
          </cell>
          <cell r="B528" t="str">
            <v>BRAZO PROYECCION NICO 12 - PLG</v>
          </cell>
          <cell r="C528" t="str">
            <v>PRECIO DE VENTA</v>
          </cell>
          <cell r="D528">
            <v>1</v>
          </cell>
          <cell r="E528">
            <v>6326</v>
          </cell>
          <cell r="F528">
            <v>6326</v>
          </cell>
        </row>
        <row r="529">
          <cell r="A529" t="str">
            <v>HI-BR-PR-14</v>
          </cell>
          <cell r="B529" t="str">
            <v>BRAZO PROYECTANTE 14 - PLG - SLK</v>
          </cell>
          <cell r="C529" t="str">
            <v>PRECIO DE VENTA</v>
          </cell>
          <cell r="D529">
            <v>1</v>
          </cell>
          <cell r="E529">
            <v>1924</v>
          </cell>
          <cell r="F529">
            <v>1924</v>
          </cell>
        </row>
        <row r="530">
          <cell r="A530" t="str">
            <v>HI-BR-PR-16</v>
          </cell>
          <cell r="B530" t="str">
            <v>BRAZO PROYECTANTE 16 - PLG - SLK</v>
          </cell>
          <cell r="C530" t="str">
            <v>PRECIO DE VENTA</v>
          </cell>
          <cell r="D530">
            <v>1</v>
          </cell>
          <cell r="E530">
            <v>2338</v>
          </cell>
          <cell r="F530">
            <v>2338</v>
          </cell>
        </row>
        <row r="531">
          <cell r="A531" t="str">
            <v>HI-BR-PR-16-NC</v>
          </cell>
          <cell r="B531" t="str">
            <v>BRAZO PROYECCION NICO 16 - PLG</v>
          </cell>
          <cell r="C531" t="str">
            <v>PRECIO DE VENTA</v>
          </cell>
          <cell r="D531">
            <v>1</v>
          </cell>
          <cell r="E531">
            <v>7975</v>
          </cell>
          <cell r="F531">
            <v>7975</v>
          </cell>
        </row>
        <row r="532">
          <cell r="A532" t="str">
            <v>HI-BR-PR-20</v>
          </cell>
          <cell r="B532" t="str">
            <v>BRAZO PROYECTANTE 20 - PLG - SLK</v>
          </cell>
          <cell r="C532" t="str">
            <v>PRECIO DE VENTA</v>
          </cell>
          <cell r="D532">
            <v>1</v>
          </cell>
          <cell r="E532">
            <v>5645</v>
          </cell>
          <cell r="F532">
            <v>5645</v>
          </cell>
        </row>
        <row r="533">
          <cell r="A533" t="str">
            <v>HI-BR-PR-20-NC</v>
          </cell>
          <cell r="B533" t="str">
            <v>BRAZO PROYECCION NICO 20 - PLG</v>
          </cell>
          <cell r="C533" t="str">
            <v>PRECIO DE VENTA</v>
          </cell>
          <cell r="D533">
            <v>1</v>
          </cell>
          <cell r="E533">
            <v>8688</v>
          </cell>
          <cell r="F533">
            <v>8688</v>
          </cell>
        </row>
        <row r="534">
          <cell r="A534" t="str">
            <v>HI-BR-PR-24</v>
          </cell>
          <cell r="B534" t="str">
            <v>BRAZO PROYECTANTE 24 - PLG - SLK</v>
          </cell>
          <cell r="C534" t="str">
            <v>PRECIO DE VENTA</v>
          </cell>
          <cell r="D534">
            <v>1</v>
          </cell>
          <cell r="E534">
            <v>7751</v>
          </cell>
          <cell r="F534">
            <v>7751</v>
          </cell>
        </row>
        <row r="535">
          <cell r="A535" t="str">
            <v>HI-BR-PR-24-NC</v>
          </cell>
          <cell r="B535" t="str">
            <v>BRAZO PROYECCION NICO 24 - PLG</v>
          </cell>
          <cell r="C535" t="str">
            <v>PRECIO DE VENTA</v>
          </cell>
          <cell r="D535">
            <v>1</v>
          </cell>
          <cell r="E535">
            <v>9862</v>
          </cell>
          <cell r="F535">
            <v>9862</v>
          </cell>
        </row>
        <row r="536">
          <cell r="A536" t="str">
            <v>HI-BR-PR-8</v>
          </cell>
          <cell r="B536" t="str">
            <v>BRAZO PROYECTANTE 8 - PLG - SLK</v>
          </cell>
          <cell r="C536" t="str">
            <v>PRECIO DE VENTA</v>
          </cell>
          <cell r="D536">
            <v>1</v>
          </cell>
          <cell r="E536">
            <v>1546</v>
          </cell>
          <cell r="F536">
            <v>1546</v>
          </cell>
        </row>
        <row r="537">
          <cell r="A537" t="str">
            <v>HI-BR-PR-8-NC</v>
          </cell>
          <cell r="B537" t="str">
            <v>BRAZO PROYECCION NICO 8 - PLG</v>
          </cell>
          <cell r="C537" t="str">
            <v>PRECIO DE VENTA</v>
          </cell>
          <cell r="D537">
            <v>1</v>
          </cell>
          <cell r="E537">
            <v>5215</v>
          </cell>
          <cell r="F537">
            <v>5215</v>
          </cell>
        </row>
        <row r="538">
          <cell r="A538" t="str">
            <v>HI-CC-CLL-E15-1800</v>
          </cell>
          <cell r="B538" t="str">
            <v>CREMONA CORREDERA CON LLAVE E15 1800 mm</v>
          </cell>
          <cell r="C538" t="str">
            <v>PRECIO DE VENTA</v>
          </cell>
          <cell r="D538">
            <v>1</v>
          </cell>
          <cell r="E538">
            <v>11649</v>
          </cell>
          <cell r="F538">
            <v>11649</v>
          </cell>
        </row>
        <row r="539">
          <cell r="A539" t="str">
            <v>HI-CC-CLL-E15-2000</v>
          </cell>
          <cell r="B539" t="str">
            <v>CREMONA CORREDERA CON LLAVE E15 2000 mm</v>
          </cell>
          <cell r="C539" t="str">
            <v>PRECIO DE VENTA</v>
          </cell>
          <cell r="D539">
            <v>1</v>
          </cell>
          <cell r="E539">
            <v>12324</v>
          </cell>
          <cell r="F539">
            <v>12324</v>
          </cell>
        </row>
        <row r="540">
          <cell r="A540" t="str">
            <v>HI-CC-E15-1000</v>
          </cell>
          <cell r="B540" t="str">
            <v>CREMONA CORREDERA E15 1000 mm</v>
          </cell>
          <cell r="C540" t="str">
            <v>PRECIO DE VENTA</v>
          </cell>
          <cell r="D540">
            <v>1</v>
          </cell>
          <cell r="E540">
            <v>3578</v>
          </cell>
          <cell r="F540">
            <v>3578</v>
          </cell>
        </row>
        <row r="541">
          <cell r="A541" t="str">
            <v>HI-CC-E15-1000-SM</v>
          </cell>
          <cell r="B541" t="str">
            <v>CREMONA CORREDERA 1000 mm E15 - SOM</v>
          </cell>
          <cell r="C541" t="str">
            <v>PRECIO DE VENTA</v>
          </cell>
          <cell r="D541">
            <v>1</v>
          </cell>
          <cell r="E541">
            <v>1171</v>
          </cell>
          <cell r="F541">
            <v>1171</v>
          </cell>
        </row>
        <row r="542">
          <cell r="A542" t="str">
            <v>HI-CC-E15-1200</v>
          </cell>
          <cell r="B542" t="str">
            <v>CREMONA CORREDERA E15 1200 mm</v>
          </cell>
          <cell r="C542" t="str">
            <v>PRECIO DE VENTA</v>
          </cell>
          <cell r="D542">
            <v>1</v>
          </cell>
          <cell r="E542">
            <v>4026</v>
          </cell>
          <cell r="F542">
            <v>4026</v>
          </cell>
        </row>
        <row r="543">
          <cell r="A543" t="str">
            <v>HI-CC-E15-1200-SM</v>
          </cell>
          <cell r="B543" t="str">
            <v>CREMONA CORREDERA 1200 mm E15 - SOM</v>
          </cell>
          <cell r="C543" t="str">
            <v>PRECIO DE VENTA</v>
          </cell>
          <cell r="D543">
            <v>1</v>
          </cell>
          <cell r="E543">
            <v>3625</v>
          </cell>
          <cell r="F543">
            <v>3625</v>
          </cell>
        </row>
        <row r="544">
          <cell r="A544" t="str">
            <v>HI-CC-E15-1400</v>
          </cell>
          <cell r="B544" t="str">
            <v>CREMONA CORREDERA E15 1400 mm</v>
          </cell>
          <cell r="C544" t="str">
            <v>PRECIO DE VENTA</v>
          </cell>
          <cell r="D544">
            <v>1</v>
          </cell>
          <cell r="E544">
            <v>4781</v>
          </cell>
          <cell r="F544">
            <v>4781</v>
          </cell>
        </row>
        <row r="545">
          <cell r="A545" t="str">
            <v>HI-CC-E15-1400-SM</v>
          </cell>
          <cell r="B545" t="str">
            <v>CREMONA CORREDERA 1400 mm E15 - SOM</v>
          </cell>
          <cell r="C545" t="str">
            <v>PRECIO DE VENTA</v>
          </cell>
          <cell r="D545">
            <v>1</v>
          </cell>
          <cell r="E545">
            <v>4192</v>
          </cell>
          <cell r="F545">
            <v>4192</v>
          </cell>
        </row>
        <row r="546">
          <cell r="A546" t="str">
            <v>HI-CC-E15-1600</v>
          </cell>
          <cell r="B546" t="str">
            <v>CREMONA CORREDERA E15 1600 mm</v>
          </cell>
          <cell r="C546" t="str">
            <v>PRECIO DE VENTA</v>
          </cell>
          <cell r="D546">
            <v>1</v>
          </cell>
          <cell r="E546">
            <v>5263</v>
          </cell>
          <cell r="F546">
            <v>5263</v>
          </cell>
        </row>
        <row r="547">
          <cell r="A547" t="str">
            <v>HI-CC-E15-1600-SM</v>
          </cell>
          <cell r="B547" t="str">
            <v>CREMONA CORREDERA 1600 mm E15 - SOM</v>
          </cell>
          <cell r="C547" t="str">
            <v>PRECIO DE VENTA</v>
          </cell>
          <cell r="D547">
            <v>1</v>
          </cell>
          <cell r="E547">
            <v>4607</v>
          </cell>
          <cell r="F547">
            <v>4607</v>
          </cell>
        </row>
        <row r="548">
          <cell r="A548" t="str">
            <v>HI-CC-E15-1800</v>
          </cell>
          <cell r="B548" t="str">
            <v>CREMONA CORREDERA E15 1800 mm</v>
          </cell>
          <cell r="C548" t="str">
            <v>PRECIO DE VENTA</v>
          </cell>
          <cell r="D548">
            <v>1</v>
          </cell>
          <cell r="E548">
            <v>5744</v>
          </cell>
          <cell r="F548">
            <v>5744</v>
          </cell>
        </row>
        <row r="549">
          <cell r="A549" t="str">
            <v>HI-CC-E15-1800-SM</v>
          </cell>
          <cell r="B549" t="str">
            <v>CREMONA CORREDERA 1800 mm E15 - SOM</v>
          </cell>
          <cell r="C549" t="str">
            <v>PRECIO DE VENTA</v>
          </cell>
          <cell r="D549">
            <v>1</v>
          </cell>
          <cell r="E549">
            <v>1564</v>
          </cell>
          <cell r="F549">
            <v>1564</v>
          </cell>
        </row>
        <row r="550">
          <cell r="A550" t="str">
            <v>HI-CC-E15-2000</v>
          </cell>
          <cell r="B550" t="str">
            <v>CREMONA CORREDERA E15 2000 mm</v>
          </cell>
          <cell r="C550" t="str">
            <v>PRECIO DE VENTA</v>
          </cell>
          <cell r="D550">
            <v>1</v>
          </cell>
          <cell r="E550">
            <v>6857</v>
          </cell>
          <cell r="F550">
            <v>6857</v>
          </cell>
        </row>
        <row r="551">
          <cell r="A551" t="str">
            <v>HI-CC-E15-2000-SM</v>
          </cell>
          <cell r="B551" t="str">
            <v>CREMONA CORREDERA 2000 mm E15 - SOM</v>
          </cell>
          <cell r="C551" t="str">
            <v>PRECIO DE VENTA</v>
          </cell>
          <cell r="D551">
            <v>1</v>
          </cell>
          <cell r="E551">
            <v>5816</v>
          </cell>
          <cell r="F551">
            <v>5816</v>
          </cell>
        </row>
        <row r="552">
          <cell r="A552" t="str">
            <v>HI-CC-E15-210</v>
          </cell>
          <cell r="B552" t="str">
            <v>CREMONA CORREDERA E15 210 mm</v>
          </cell>
          <cell r="C552" t="str">
            <v>PRECIO DE VENTA</v>
          </cell>
          <cell r="D552">
            <v>1</v>
          </cell>
          <cell r="E552">
            <v>2063</v>
          </cell>
          <cell r="F552">
            <v>2063</v>
          </cell>
        </row>
        <row r="553">
          <cell r="A553" t="str">
            <v>HI-CC-E15-210-SM</v>
          </cell>
          <cell r="B553" t="str">
            <v>CREMONA CORREDERA E15 210 mm - SOM</v>
          </cell>
          <cell r="C553" t="str">
            <v>PRECIO DE VENTA</v>
          </cell>
          <cell r="D553">
            <v>1</v>
          </cell>
          <cell r="E553">
            <v>1875</v>
          </cell>
          <cell r="F553">
            <v>1875</v>
          </cell>
        </row>
        <row r="554">
          <cell r="A554" t="str">
            <v>HI-CC-E15-280-SM</v>
          </cell>
          <cell r="B554" t="str">
            <v>CREMONA CORREDERA E15 280 mm - SOM</v>
          </cell>
          <cell r="C554" t="str">
            <v>PRECIO DE VENTA</v>
          </cell>
          <cell r="D554">
            <v>1</v>
          </cell>
          <cell r="E554">
            <v>636</v>
          </cell>
          <cell r="F554">
            <v>636</v>
          </cell>
        </row>
        <row r="555">
          <cell r="A555" t="str">
            <v>HI-CC-E15-300-SM</v>
          </cell>
          <cell r="B555" t="str">
            <v>CREMONA CORREDERA 300 mm E15 - SOM</v>
          </cell>
          <cell r="C555" t="str">
            <v>PRECIO DE VENTA</v>
          </cell>
          <cell r="D555">
            <v>1</v>
          </cell>
          <cell r="E555">
            <v>657</v>
          </cell>
          <cell r="F555">
            <v>657</v>
          </cell>
        </row>
        <row r="556">
          <cell r="A556" t="str">
            <v>HI-CC-E15-400</v>
          </cell>
          <cell r="B556" t="str">
            <v>CREMONA CORREDERA E15 400 mm</v>
          </cell>
          <cell r="C556" t="str">
            <v>PRECIO DE VENTA</v>
          </cell>
          <cell r="D556">
            <v>1</v>
          </cell>
          <cell r="E556">
            <v>3166</v>
          </cell>
          <cell r="F556">
            <v>3166</v>
          </cell>
        </row>
        <row r="557">
          <cell r="A557" t="str">
            <v>HI-CC-E15-400-SM</v>
          </cell>
          <cell r="B557" t="str">
            <v>CREMONA CORREDERA 400 mm E15 - SOM</v>
          </cell>
          <cell r="C557" t="str">
            <v>PRECIO DE VENTA</v>
          </cell>
          <cell r="D557">
            <v>1</v>
          </cell>
          <cell r="E557">
            <v>696</v>
          </cell>
          <cell r="F557">
            <v>696</v>
          </cell>
        </row>
        <row r="558">
          <cell r="A558" t="str">
            <v>HI-CC-E15-600</v>
          </cell>
          <cell r="B558" t="str">
            <v>CREMONA CORREDERA E15 600 mm</v>
          </cell>
          <cell r="C558" t="str">
            <v>PRECIO DE VENTA</v>
          </cell>
          <cell r="D558">
            <v>1</v>
          </cell>
          <cell r="E558">
            <v>2615</v>
          </cell>
          <cell r="F558">
            <v>2615</v>
          </cell>
        </row>
        <row r="559">
          <cell r="A559" t="str">
            <v>HI-CC-E15-600-SM</v>
          </cell>
          <cell r="B559" t="str">
            <v>CREMONA CORREDERA 600 mm E15 - SOM</v>
          </cell>
          <cell r="C559" t="str">
            <v>PRECIO DE VENTA</v>
          </cell>
          <cell r="D559">
            <v>1</v>
          </cell>
          <cell r="E559">
            <v>2114</v>
          </cell>
          <cell r="F559">
            <v>2114</v>
          </cell>
        </row>
        <row r="560">
          <cell r="A560" t="str">
            <v>HI-CC-E15-800</v>
          </cell>
          <cell r="B560" t="str">
            <v>CREMONA CORREDERA E15 800 mm</v>
          </cell>
          <cell r="C560" t="str">
            <v>PRECIO DE VENTA</v>
          </cell>
          <cell r="D560">
            <v>1</v>
          </cell>
          <cell r="E560">
            <v>4404</v>
          </cell>
          <cell r="F560">
            <v>4404</v>
          </cell>
        </row>
        <row r="561">
          <cell r="A561" t="str">
            <v>HI-CC-E15-800-SM</v>
          </cell>
          <cell r="B561" t="str">
            <v>CREMONA CORREDERA 800 mm E15 - SOM</v>
          </cell>
          <cell r="C561" t="str">
            <v>PRECIO DE VENTA</v>
          </cell>
          <cell r="D561">
            <v>1</v>
          </cell>
          <cell r="E561">
            <v>938</v>
          </cell>
          <cell r="F561">
            <v>938</v>
          </cell>
        </row>
        <row r="562">
          <cell r="A562" t="str">
            <v>HI-CC-E75-1000</v>
          </cell>
          <cell r="B562" t="str">
            <v>CREMONA CORREDERA E7,5 1000 mm</v>
          </cell>
          <cell r="C562" t="str">
            <v>PRECIO DE VENTA</v>
          </cell>
          <cell r="D562">
            <v>1</v>
          </cell>
          <cell r="E562">
            <v>5166</v>
          </cell>
          <cell r="F562">
            <v>5166</v>
          </cell>
        </row>
        <row r="563">
          <cell r="A563" t="str">
            <v>HI-CC-E75-1000-SM</v>
          </cell>
          <cell r="B563" t="str">
            <v>CREMONA CORREDERA E7,5 1000 mm - SOM</v>
          </cell>
          <cell r="C563" t="str">
            <v>PRECIO DE VENTA</v>
          </cell>
          <cell r="D563">
            <v>1</v>
          </cell>
          <cell r="E563">
            <v>1284</v>
          </cell>
          <cell r="F563">
            <v>1284</v>
          </cell>
        </row>
        <row r="564">
          <cell r="A564" t="str">
            <v>HI-CC-E75-1200</v>
          </cell>
          <cell r="B564" t="str">
            <v>CREMONA CORREDERA E7,5 1200 mm</v>
          </cell>
          <cell r="C564" t="str">
            <v>PRECIO DE VENTA</v>
          </cell>
          <cell r="D564">
            <v>1</v>
          </cell>
          <cell r="E564">
            <v>5753</v>
          </cell>
          <cell r="F564">
            <v>5753</v>
          </cell>
        </row>
        <row r="565">
          <cell r="A565" t="str">
            <v>HI-CC-E75-1200-SM</v>
          </cell>
          <cell r="B565" t="str">
            <v>CREMONA CORREDERA E7,5 1200 mm - SOM</v>
          </cell>
          <cell r="C565" t="str">
            <v>PRECIO DE VENTA</v>
          </cell>
          <cell r="D565">
            <v>1</v>
          </cell>
          <cell r="E565">
            <v>1393</v>
          </cell>
          <cell r="F565">
            <v>1393</v>
          </cell>
        </row>
        <row r="566">
          <cell r="A566" t="str">
            <v>HI-CC-E75-1400</v>
          </cell>
          <cell r="B566" t="str">
            <v>CREMONA CORREDERA E7,5 1400 mm</v>
          </cell>
          <cell r="C566" t="str">
            <v>PRECIO DE VENTA</v>
          </cell>
          <cell r="D566">
            <v>1</v>
          </cell>
          <cell r="E566">
            <v>6584</v>
          </cell>
          <cell r="F566">
            <v>6584</v>
          </cell>
        </row>
        <row r="567">
          <cell r="A567" t="str">
            <v>HI-CC-E75-1400-SM</v>
          </cell>
          <cell r="B567" t="str">
            <v>CREMONA CORREDERA E7,5 1400 mm - SOM</v>
          </cell>
          <cell r="C567" t="str">
            <v>PRECIO DE VENTA</v>
          </cell>
          <cell r="D567">
            <v>1</v>
          </cell>
          <cell r="E567">
            <v>1575</v>
          </cell>
          <cell r="F567">
            <v>1575</v>
          </cell>
        </row>
        <row r="568">
          <cell r="A568" t="str">
            <v>HI-CC-E75-1600</v>
          </cell>
          <cell r="B568" t="str">
            <v>CREMONA CORREDERA E7,5 1600 mm</v>
          </cell>
          <cell r="C568" t="str">
            <v>PRECIO DE VENTA</v>
          </cell>
          <cell r="D568">
            <v>1</v>
          </cell>
          <cell r="E568">
            <v>4472</v>
          </cell>
          <cell r="F568">
            <v>4472</v>
          </cell>
        </row>
        <row r="569">
          <cell r="A569" t="str">
            <v>HI-CC-E75-1800</v>
          </cell>
          <cell r="B569" t="str">
            <v>CREMONA CORREDERA E7,5 1800 mm</v>
          </cell>
          <cell r="C569" t="str">
            <v>PRECIO DE VENTA</v>
          </cell>
          <cell r="D569">
            <v>1</v>
          </cell>
          <cell r="E569">
            <v>7789</v>
          </cell>
          <cell r="F569">
            <v>7789</v>
          </cell>
        </row>
        <row r="570">
          <cell r="A570" t="str">
            <v>HI-CC-E75-1800-SM</v>
          </cell>
          <cell r="B570" t="str">
            <v>CREMONA CORREDERA E7,5 1800 mm - SOM</v>
          </cell>
          <cell r="C570" t="str">
            <v>PRECIO DE VENTA</v>
          </cell>
          <cell r="D570">
            <v>1</v>
          </cell>
          <cell r="E570">
            <v>1839</v>
          </cell>
          <cell r="F570">
            <v>1839</v>
          </cell>
        </row>
        <row r="571">
          <cell r="A571" t="str">
            <v>HI-CC-E75-400</v>
          </cell>
          <cell r="B571" t="str">
            <v>CREMONA CORREDERA E7,5 400 mm</v>
          </cell>
          <cell r="C571" t="str">
            <v>PRECIO DE VENTA</v>
          </cell>
          <cell r="D571">
            <v>1</v>
          </cell>
          <cell r="E571">
            <v>3224</v>
          </cell>
          <cell r="F571">
            <v>3224</v>
          </cell>
        </row>
        <row r="572">
          <cell r="A572" t="str">
            <v>HI-CC-E75-400-SM</v>
          </cell>
          <cell r="B572" t="str">
            <v>CREMONA CORREDERA E7,5 400 mm - SOM</v>
          </cell>
          <cell r="C572" t="str">
            <v>PRECIO DE VENTA</v>
          </cell>
          <cell r="D572">
            <v>1</v>
          </cell>
          <cell r="E572">
            <v>785</v>
          </cell>
          <cell r="F572">
            <v>785</v>
          </cell>
        </row>
        <row r="573">
          <cell r="A573" t="str">
            <v>HI-CC-E75-600</v>
          </cell>
          <cell r="B573" t="str">
            <v>CREMONA CORREDERA E7,5 600 mm</v>
          </cell>
          <cell r="C573" t="str">
            <v>PRECIO DE VENTA</v>
          </cell>
          <cell r="D573">
            <v>1</v>
          </cell>
          <cell r="E573">
            <v>3772</v>
          </cell>
          <cell r="F573">
            <v>3772</v>
          </cell>
        </row>
        <row r="574">
          <cell r="A574" t="str">
            <v>HI-CC-E75-600-SM</v>
          </cell>
          <cell r="B574" t="str">
            <v>CREMONA CORREDERA E7,5 600 mm - SOM</v>
          </cell>
          <cell r="C574" t="str">
            <v>PRECIO DE VENTA</v>
          </cell>
          <cell r="D574">
            <v>1</v>
          </cell>
          <cell r="E574">
            <v>937</v>
          </cell>
          <cell r="F574">
            <v>937</v>
          </cell>
        </row>
        <row r="575">
          <cell r="A575" t="str">
            <v>HI-CC-E75-800</v>
          </cell>
          <cell r="B575" t="str">
            <v>CREMONA CORREDERA E7,5 800mm</v>
          </cell>
          <cell r="C575" t="str">
            <v>PRECIO DE VENTA</v>
          </cell>
          <cell r="D575">
            <v>1</v>
          </cell>
          <cell r="E575">
            <v>3021</v>
          </cell>
          <cell r="F575">
            <v>3021</v>
          </cell>
        </row>
        <row r="576">
          <cell r="A576" t="str">
            <v>HI-CC-E75-800-SM</v>
          </cell>
          <cell r="B576" t="str">
            <v>CREMONA CORREDERA E7,5 800 mm - SOM</v>
          </cell>
          <cell r="C576" t="str">
            <v>PRECIO DE VENTA</v>
          </cell>
          <cell r="D576">
            <v>1</v>
          </cell>
          <cell r="E576">
            <v>1076</v>
          </cell>
          <cell r="F576">
            <v>1076</v>
          </cell>
        </row>
        <row r="577">
          <cell r="A577" t="str">
            <v>HI-CD-13</v>
          </cell>
          <cell r="B577" t="str">
            <v>CERRADERO 13 mm</v>
          </cell>
          <cell r="C577" t="str">
            <v>PRECIO DE VENTA</v>
          </cell>
          <cell r="D577">
            <v>1</v>
          </cell>
          <cell r="E577">
            <v>211</v>
          </cell>
          <cell r="F577">
            <v>211</v>
          </cell>
        </row>
        <row r="578">
          <cell r="A578" t="str">
            <v>HI-CD-13-FT</v>
          </cell>
          <cell r="B578" t="str">
            <v>CERRADERO 13 mm - FIRAT</v>
          </cell>
          <cell r="C578" t="str">
            <v>PRECIO DE VENTA</v>
          </cell>
          <cell r="D578">
            <v>1</v>
          </cell>
          <cell r="E578">
            <v>230</v>
          </cell>
          <cell r="F578">
            <v>230</v>
          </cell>
        </row>
        <row r="579">
          <cell r="A579" t="str">
            <v>HI-CD-9</v>
          </cell>
          <cell r="B579" t="str">
            <v>CERRADERO 9 mm</v>
          </cell>
          <cell r="C579" t="str">
            <v>PRECIO DE VENTA</v>
          </cell>
          <cell r="D579">
            <v>1</v>
          </cell>
          <cell r="E579">
            <v>143</v>
          </cell>
          <cell r="F579">
            <v>143</v>
          </cell>
        </row>
        <row r="580">
          <cell r="A580" t="str">
            <v>HI-CD-9-AX</v>
          </cell>
          <cell r="B580" t="str">
            <v>CERRADERO 9 mm AXIS</v>
          </cell>
          <cell r="C580" t="str">
            <v>PRECIO DE VENTA</v>
          </cell>
          <cell r="D580">
            <v>1</v>
          </cell>
          <cell r="E580">
            <v>135</v>
          </cell>
          <cell r="F580">
            <v>135</v>
          </cell>
        </row>
        <row r="581">
          <cell r="A581" t="str">
            <v>HI-CD-BT</v>
          </cell>
          <cell r="B581" t="str">
            <v>CERRADERO BATIENTE</v>
          </cell>
          <cell r="C581" t="str">
            <v>PRECIO DE VENTA</v>
          </cell>
          <cell r="D581">
            <v>1</v>
          </cell>
          <cell r="E581">
            <v>477</v>
          </cell>
          <cell r="F581">
            <v>477</v>
          </cell>
        </row>
        <row r="582">
          <cell r="A582" t="str">
            <v>HI-CD-COR</v>
          </cell>
          <cell r="B582" t="str">
            <v>CERRADERO CORREDERA</v>
          </cell>
          <cell r="C582" t="str">
            <v>PRECIO DE VENTA</v>
          </cell>
          <cell r="D582">
            <v>1</v>
          </cell>
          <cell r="E582">
            <v>378</v>
          </cell>
          <cell r="F582">
            <v>378</v>
          </cell>
        </row>
        <row r="583">
          <cell r="A583" t="str">
            <v>HI-CD-COR-FT</v>
          </cell>
          <cell r="B583" t="str">
            <v>CERRADERO CORREDERA FIRAT</v>
          </cell>
          <cell r="C583" t="str">
            <v>PRECIO DE VENTA</v>
          </cell>
          <cell r="D583">
            <v>1</v>
          </cell>
          <cell r="E583">
            <v>378</v>
          </cell>
          <cell r="F583">
            <v>378</v>
          </cell>
        </row>
        <row r="584">
          <cell r="A584" t="str">
            <v>HI-CD-COR-SEG</v>
          </cell>
          <cell r="B584" t="str">
            <v>CERRADERO CORREDERA SEGURIDAD</v>
          </cell>
          <cell r="C584" t="str">
            <v>PRECIO DE VENTA</v>
          </cell>
          <cell r="D584">
            <v>1</v>
          </cell>
          <cell r="E584">
            <v>147</v>
          </cell>
          <cell r="F584">
            <v>147</v>
          </cell>
        </row>
        <row r="585">
          <cell r="A585" t="str">
            <v>HI-CD-CPT</v>
          </cell>
          <cell r="B585" t="str">
            <v>CERRADERO CENTRAL PUERTA</v>
          </cell>
          <cell r="C585" t="str">
            <v>PRECIO DE VENTA</v>
          </cell>
          <cell r="D585">
            <v>1</v>
          </cell>
          <cell r="E585">
            <v>1496</v>
          </cell>
          <cell r="F585">
            <v>1496</v>
          </cell>
        </row>
        <row r="586">
          <cell r="A586" t="str">
            <v>HI-CD-CTR-BT</v>
          </cell>
          <cell r="B586" t="str">
            <v>CERRADERO CENTRAL PUERTA BATIENTE</v>
          </cell>
          <cell r="C586" t="str">
            <v>PRECIO DE VENTA</v>
          </cell>
          <cell r="D586">
            <v>1</v>
          </cell>
          <cell r="E586">
            <v>914</v>
          </cell>
          <cell r="F586">
            <v>914</v>
          </cell>
        </row>
        <row r="587">
          <cell r="A587" t="str">
            <v>HI-CD-KIT-OCL</v>
          </cell>
          <cell r="B587" t="str">
            <v>KIT CIERRE OCULTO 13 mm</v>
          </cell>
          <cell r="C587" t="str">
            <v>PRECIO DE VENTA</v>
          </cell>
          <cell r="D587">
            <v>1</v>
          </cell>
          <cell r="E587">
            <v>1779</v>
          </cell>
          <cell r="F587">
            <v>1779</v>
          </cell>
        </row>
        <row r="588">
          <cell r="A588" t="str">
            <v>HI-CD-PP-13</v>
          </cell>
          <cell r="B588" t="str">
            <v>CERRADERO PICAPORTE 13 mm</v>
          </cell>
          <cell r="C588" t="str">
            <v>PRECIO DE VENTA</v>
          </cell>
          <cell r="D588">
            <v>1</v>
          </cell>
          <cell r="E588">
            <v>2272</v>
          </cell>
          <cell r="F588">
            <v>2272</v>
          </cell>
        </row>
        <row r="589">
          <cell r="A589" t="str">
            <v>HI-CD-PP-ECO</v>
          </cell>
          <cell r="B589" t="str">
            <v>CERRADERO PICAPORTE ECO</v>
          </cell>
          <cell r="C589" t="str">
            <v>PRECIO DE VENTA</v>
          </cell>
          <cell r="D589">
            <v>1</v>
          </cell>
          <cell r="E589">
            <v>1909</v>
          </cell>
          <cell r="F589">
            <v>1909</v>
          </cell>
        </row>
        <row r="590">
          <cell r="A590" t="str">
            <v>HI-CE-E22-1800</v>
          </cell>
          <cell r="B590" t="str">
            <v>CREMONA ABATIR EXTERIOR E22 1800 mm</v>
          </cell>
          <cell r="C590" t="str">
            <v>PRECIO DE VENTA</v>
          </cell>
          <cell r="D590">
            <v>1</v>
          </cell>
          <cell r="E590">
            <v>1442</v>
          </cell>
          <cell r="F590">
            <v>1442</v>
          </cell>
        </row>
        <row r="591">
          <cell r="A591" t="str">
            <v>HI-CE-E22-210</v>
          </cell>
          <cell r="B591" t="str">
            <v>CREMONA ABATIR EXTERIOR E22 210 mm</v>
          </cell>
          <cell r="C591" t="str">
            <v>PRECIO DE VENTA</v>
          </cell>
          <cell r="D591">
            <v>1</v>
          </cell>
          <cell r="E591">
            <v>619</v>
          </cell>
          <cell r="F591">
            <v>619</v>
          </cell>
        </row>
        <row r="592">
          <cell r="A592" t="str">
            <v>HI-CE-E22-400</v>
          </cell>
          <cell r="B592" t="str">
            <v>CREMONA ABATIR EXTERIOR E22 400 mm</v>
          </cell>
          <cell r="C592" t="str">
            <v>PRECIO DE VENTA</v>
          </cell>
          <cell r="D592">
            <v>1</v>
          </cell>
          <cell r="E592">
            <v>1822</v>
          </cell>
          <cell r="F592">
            <v>1822</v>
          </cell>
        </row>
        <row r="593">
          <cell r="A593" t="str">
            <v>HI-CE-E22-600</v>
          </cell>
          <cell r="B593" t="str">
            <v>CREMONA ABATIR EXTERIOR E22 600 mm</v>
          </cell>
          <cell r="C593" t="str">
            <v>PRECIO DE VENTA</v>
          </cell>
          <cell r="D593">
            <v>1</v>
          </cell>
          <cell r="E593">
            <v>2091</v>
          </cell>
          <cell r="F593">
            <v>2091</v>
          </cell>
        </row>
        <row r="594">
          <cell r="A594" t="str">
            <v>HI-CE-E22-800</v>
          </cell>
          <cell r="B594" t="str">
            <v>CREMONA ABATIR EXTERIOR E22 800 mm</v>
          </cell>
          <cell r="C594" t="str">
            <v>PRECIO DE VENTA</v>
          </cell>
          <cell r="D594">
            <v>1</v>
          </cell>
          <cell r="E594">
            <v>1049</v>
          </cell>
          <cell r="F594">
            <v>1049</v>
          </cell>
        </row>
        <row r="595">
          <cell r="A595" t="str">
            <v>HI-CE-E25-1000</v>
          </cell>
          <cell r="B595" t="str">
            <v>CREMONA ABATIR EXTERIOR E25 1000 mm</v>
          </cell>
          <cell r="C595" t="str">
            <v>PRECIO DE VENTA</v>
          </cell>
          <cell r="D595">
            <v>1</v>
          </cell>
          <cell r="E595">
            <v>5758</v>
          </cell>
          <cell r="F595">
            <v>5758</v>
          </cell>
        </row>
        <row r="596">
          <cell r="A596" t="str">
            <v>HI-CE-E25-1000-SM</v>
          </cell>
          <cell r="B596" t="str">
            <v>CREMONA ABATIR EXTERIOR E25 1000 mm - SOM</v>
          </cell>
          <cell r="C596" t="str">
            <v>PRECIO DE VENTA</v>
          </cell>
          <cell r="D596">
            <v>1</v>
          </cell>
          <cell r="E596">
            <v>3327</v>
          </cell>
          <cell r="F596">
            <v>3327</v>
          </cell>
        </row>
        <row r="597">
          <cell r="A597" t="str">
            <v>HI-CE-E25-1200</v>
          </cell>
          <cell r="B597" t="str">
            <v>CREMONA ABATIR EXTERIOR E25 1200 mm</v>
          </cell>
          <cell r="C597" t="str">
            <v>PRECIO DE VENTA</v>
          </cell>
          <cell r="D597">
            <v>1</v>
          </cell>
          <cell r="E597">
            <v>5317</v>
          </cell>
          <cell r="F597">
            <v>5317</v>
          </cell>
        </row>
        <row r="598">
          <cell r="A598" t="str">
            <v>HI-CE-E25-1200-SM</v>
          </cell>
          <cell r="B598" t="str">
            <v>CREMONA ABATIR EXTERIOR E25 1200 mm - SOM</v>
          </cell>
          <cell r="C598" t="str">
            <v>PRECIO DE VENTA</v>
          </cell>
          <cell r="D598">
            <v>1</v>
          </cell>
          <cell r="E598">
            <v>3710</v>
          </cell>
          <cell r="F598">
            <v>3710</v>
          </cell>
        </row>
        <row r="599">
          <cell r="A599" t="str">
            <v>HI-CE-E25-1400</v>
          </cell>
          <cell r="B599" t="str">
            <v>CREMONA ABATIR EXTERIOR E25 1400 mm</v>
          </cell>
          <cell r="C599" t="str">
            <v>PRECIO DE VENTA</v>
          </cell>
          <cell r="D599">
            <v>1</v>
          </cell>
          <cell r="E599">
            <v>6198</v>
          </cell>
          <cell r="F599">
            <v>6198</v>
          </cell>
        </row>
        <row r="600">
          <cell r="A600" t="str">
            <v>HI-CE-E25-1400-SM</v>
          </cell>
          <cell r="B600" t="str">
            <v>CREMONA ABATIR EXTERIOR E25 1400 mm - SOM</v>
          </cell>
          <cell r="C600" t="str">
            <v>PRECIO DE VENTA</v>
          </cell>
          <cell r="D600">
            <v>1</v>
          </cell>
          <cell r="E600">
            <v>4160</v>
          </cell>
          <cell r="F600">
            <v>4160</v>
          </cell>
        </row>
        <row r="601">
          <cell r="A601" t="str">
            <v>HI-CE-E25-1600</v>
          </cell>
          <cell r="B601" t="str">
            <v>CREMONA ABATIR EXTERIOR E25 1600 mm</v>
          </cell>
          <cell r="C601" t="str">
            <v>PRECIO DE VENTA</v>
          </cell>
          <cell r="D601">
            <v>1</v>
          </cell>
          <cell r="E601">
            <v>10609</v>
          </cell>
          <cell r="F601">
            <v>10609</v>
          </cell>
        </row>
        <row r="602">
          <cell r="A602" t="str">
            <v>HI-CE-E25-1600-SM</v>
          </cell>
          <cell r="B602" t="str">
            <v>CREMONA ABATIR EXTERIOR E25 1600 mm - SOM</v>
          </cell>
          <cell r="C602" t="str">
            <v>PRECIO DE VENTA</v>
          </cell>
          <cell r="D602">
            <v>1</v>
          </cell>
          <cell r="E602">
            <v>4576</v>
          </cell>
          <cell r="F602">
            <v>4576</v>
          </cell>
        </row>
        <row r="603">
          <cell r="A603" t="str">
            <v>HI-CE-E25-1800</v>
          </cell>
          <cell r="B603" t="str">
            <v>CREMONA ABATIR EXTERIOR E25 1800 mm</v>
          </cell>
          <cell r="C603" t="str">
            <v>PRECIO DE VENTA</v>
          </cell>
          <cell r="D603">
            <v>1</v>
          </cell>
          <cell r="E603">
            <v>11803</v>
          </cell>
          <cell r="F603">
            <v>11803</v>
          </cell>
        </row>
        <row r="604">
          <cell r="A604" t="str">
            <v>HI-CE-E25-1800-SM</v>
          </cell>
          <cell r="B604" t="str">
            <v>CREMONA ABATIR EXTERIOR E25 1800 mm - SOM</v>
          </cell>
          <cell r="C604" t="str">
            <v>PRECIO DE VENTA</v>
          </cell>
          <cell r="D604">
            <v>1</v>
          </cell>
          <cell r="E604">
            <v>4957</v>
          </cell>
          <cell r="F604">
            <v>4957</v>
          </cell>
        </row>
        <row r="605">
          <cell r="A605" t="str">
            <v>HI-CE-E25-2000</v>
          </cell>
          <cell r="B605" t="str">
            <v>CREMONA ABATIR EXTERIOR E25 2000 mm</v>
          </cell>
          <cell r="C605" t="str">
            <v>PRECIO DE VENTA</v>
          </cell>
          <cell r="D605">
            <v>1</v>
          </cell>
          <cell r="E605">
            <v>7529</v>
          </cell>
          <cell r="F605">
            <v>7529</v>
          </cell>
        </row>
        <row r="606">
          <cell r="A606" t="str">
            <v>HI-CE-E25-210</v>
          </cell>
          <cell r="B606" t="str">
            <v>CREMONA ABATIR EXTERIOR E25 210 mm</v>
          </cell>
          <cell r="C606" t="str">
            <v>PRECIO DE VENTA</v>
          </cell>
          <cell r="D606">
            <v>1</v>
          </cell>
          <cell r="E606">
            <v>3146</v>
          </cell>
          <cell r="F606">
            <v>3146</v>
          </cell>
        </row>
        <row r="607">
          <cell r="A607" t="str">
            <v>HI-CE-E25-210-SM</v>
          </cell>
          <cell r="B607" t="str">
            <v>CREMONA ABATIR EXTERIOR E25 210 mm - SOM</v>
          </cell>
          <cell r="C607" t="str">
            <v>PRECIO DE VENTA</v>
          </cell>
          <cell r="D607">
            <v>1</v>
          </cell>
          <cell r="E607">
            <v>1907</v>
          </cell>
          <cell r="F607">
            <v>1907</v>
          </cell>
        </row>
        <row r="608">
          <cell r="A608" t="str">
            <v>HI-CE-E25-400</v>
          </cell>
          <cell r="B608" t="str">
            <v>CREMONA ABATIR EXTERIOR E25 400 mm</v>
          </cell>
          <cell r="C608" t="str">
            <v>PRECIO DE VENTA</v>
          </cell>
          <cell r="D608">
            <v>1</v>
          </cell>
          <cell r="E608">
            <v>2889</v>
          </cell>
          <cell r="F608">
            <v>2889</v>
          </cell>
        </row>
        <row r="609">
          <cell r="A609" t="str">
            <v>HI-CE-E25-400-SM</v>
          </cell>
          <cell r="B609" t="str">
            <v>CREMONA ABATIR EXTERIOR E25 400 mm - SOM</v>
          </cell>
          <cell r="C609" t="str">
            <v>PRECIO DE VENTA</v>
          </cell>
          <cell r="D609">
            <v>1</v>
          </cell>
          <cell r="E609">
            <v>2115</v>
          </cell>
          <cell r="F609">
            <v>2115</v>
          </cell>
        </row>
        <row r="610">
          <cell r="A610" t="str">
            <v>HI-CE-E25-600</v>
          </cell>
          <cell r="B610" t="str">
            <v>CREMONA ABATIR EXTERIOR E25 600 mm</v>
          </cell>
          <cell r="C610" t="str">
            <v>PRECIO DE VENTA</v>
          </cell>
          <cell r="D610">
            <v>1</v>
          </cell>
          <cell r="E610">
            <v>3357</v>
          </cell>
          <cell r="F610">
            <v>3357</v>
          </cell>
        </row>
        <row r="611">
          <cell r="A611" t="str">
            <v>HI-CE-E25-600-SM</v>
          </cell>
          <cell r="B611" t="str">
            <v>CREMONA ABATIR EXTERIOR E25 600 mm - SOM</v>
          </cell>
          <cell r="C611" t="str">
            <v>PRECIO DE VENTA</v>
          </cell>
          <cell r="D611">
            <v>1</v>
          </cell>
          <cell r="E611">
            <v>2531</v>
          </cell>
          <cell r="F611">
            <v>2531</v>
          </cell>
        </row>
        <row r="612">
          <cell r="A612" t="str">
            <v>HI-CE-E25-800</v>
          </cell>
          <cell r="B612" t="str">
            <v>CREMONA ABATIR EXTERIOR E25 800 mm</v>
          </cell>
          <cell r="C612" t="str">
            <v>PRECIO DE VENTA</v>
          </cell>
          <cell r="D612">
            <v>1</v>
          </cell>
          <cell r="E612">
            <v>3956</v>
          </cell>
          <cell r="F612">
            <v>3956</v>
          </cell>
        </row>
        <row r="613">
          <cell r="A613" t="str">
            <v>HI-CE-E25-800-SM</v>
          </cell>
          <cell r="B613" t="str">
            <v>CREMONA ABATIR EXTERIOR E25 800 mm - SOM</v>
          </cell>
          <cell r="C613" t="str">
            <v>PRECIO DE VENTA</v>
          </cell>
          <cell r="D613">
            <v>1</v>
          </cell>
          <cell r="E613">
            <v>2912</v>
          </cell>
          <cell r="F613">
            <v>2912</v>
          </cell>
        </row>
        <row r="614">
          <cell r="A614" t="str">
            <v>HI-CE-E75-1600</v>
          </cell>
          <cell r="B614" t="str">
            <v>CREMONA CORREDERA E7,5 1600 mm</v>
          </cell>
          <cell r="C614" t="str">
            <v>PRECIO DE VENTA</v>
          </cell>
          <cell r="D614">
            <v>1</v>
          </cell>
          <cell r="E614">
            <v>6008</v>
          </cell>
          <cell r="F614">
            <v>6008</v>
          </cell>
        </row>
        <row r="615">
          <cell r="A615" t="str">
            <v>HI-CE-E75-2000</v>
          </cell>
          <cell r="B615" t="str">
            <v>CREMONA CORREDERA E7,5 2000 mm</v>
          </cell>
          <cell r="C615" t="str">
            <v>PRECIO DE VENTA</v>
          </cell>
          <cell r="D615">
            <v>1</v>
          </cell>
          <cell r="E615">
            <v>7011</v>
          </cell>
          <cell r="F615">
            <v>7011</v>
          </cell>
        </row>
        <row r="616">
          <cell r="A616" t="str">
            <v>HI-CEV-E22-1130</v>
          </cell>
          <cell r="B616" t="str">
            <v>CREMONA ABATIR EXTERIOR VARIABLE E22/1130 (985 - 1400)</v>
          </cell>
          <cell r="C616" t="str">
            <v>PRECIO DE VENTA</v>
          </cell>
          <cell r="D616">
            <v>1</v>
          </cell>
          <cell r="E616">
            <v>5994</v>
          </cell>
          <cell r="F616">
            <v>5994</v>
          </cell>
        </row>
        <row r="617">
          <cell r="A617" t="str">
            <v>HI-CEV-E22-628</v>
          </cell>
          <cell r="B617" t="str">
            <v>CREMONA ABATIR EXTERIOR VARIABLE E22/628 (585 - 1000)</v>
          </cell>
          <cell r="C617" t="str">
            <v>PRECIO DE VENTA</v>
          </cell>
          <cell r="D617">
            <v>1</v>
          </cell>
          <cell r="E617">
            <v>4419</v>
          </cell>
          <cell r="F617">
            <v>4419</v>
          </cell>
        </row>
        <row r="618">
          <cell r="A618" t="str">
            <v>HI-CEV-E22-830</v>
          </cell>
          <cell r="B618" t="str">
            <v>CREMONA ABATIR EXTERIOR VARIABLE E22/830 (685 - 1100)</v>
          </cell>
          <cell r="C618" t="str">
            <v>PRECIO DE VENTA</v>
          </cell>
          <cell r="D618">
            <v>1</v>
          </cell>
          <cell r="E618">
            <v>5192</v>
          </cell>
          <cell r="F618">
            <v>5192</v>
          </cell>
        </row>
        <row r="619">
          <cell r="A619" t="str">
            <v>HI-CEV-E25-1130</v>
          </cell>
          <cell r="B619" t="str">
            <v>CREMONA ABATIR EXTERIOR VARIABLE E25/1130 (985 -1400)</v>
          </cell>
          <cell r="C619" t="str">
            <v>PRECIO DE VENTA</v>
          </cell>
          <cell r="D619">
            <v>1</v>
          </cell>
          <cell r="E619">
            <v>1417</v>
          </cell>
          <cell r="F619">
            <v>1417</v>
          </cell>
        </row>
        <row r="620">
          <cell r="A620" t="str">
            <v>HI-CEV-E25-628</v>
          </cell>
          <cell r="B620" t="str">
            <v>CREMONA ABATIR EXTERIOR VARIABLE E25/628 (585 - 1000)</v>
          </cell>
          <cell r="C620" t="str">
            <v>PRECIO DE VENTA</v>
          </cell>
          <cell r="D620">
            <v>1</v>
          </cell>
          <cell r="E620">
            <v>1086</v>
          </cell>
          <cell r="F620">
            <v>1086</v>
          </cell>
        </row>
        <row r="621">
          <cell r="A621" t="str">
            <v>HI-CEV-E25-830</v>
          </cell>
          <cell r="B621" t="str">
            <v>CREMONA ABATIR EXTERIOR VARIABLE E25/830 (685 - 1100)</v>
          </cell>
          <cell r="C621" t="str">
            <v>PRECIO DE VENTA</v>
          </cell>
          <cell r="D621">
            <v>1</v>
          </cell>
          <cell r="E621">
            <v>1294</v>
          </cell>
          <cell r="F621">
            <v>1294</v>
          </cell>
        </row>
        <row r="622">
          <cell r="A622" t="str">
            <v>HI-CF-S60-HVF-FRT</v>
          </cell>
          <cell r="B622" t="str">
            <v>CONTRA FORMA HOJA S60 - FRT</v>
          </cell>
          <cell r="C622" t="str">
            <v>PRECIO DE VENTA</v>
          </cell>
          <cell r="D622">
            <v>1</v>
          </cell>
          <cell r="E622">
            <v>23432</v>
          </cell>
          <cell r="F622">
            <v>23432</v>
          </cell>
        </row>
        <row r="623">
          <cell r="A623" t="str">
            <v>HI-CF-SLA-HPC-FRT</v>
          </cell>
          <cell r="B623" t="str">
            <v>CONTRA FORMA HOJA ANDES 66 - FRT</v>
          </cell>
          <cell r="C623" t="str">
            <v>PRECIO DE VENTA</v>
          </cell>
          <cell r="D623">
            <v>1</v>
          </cell>
          <cell r="E623">
            <v>22830</v>
          </cell>
          <cell r="F623">
            <v>22830</v>
          </cell>
        </row>
        <row r="624">
          <cell r="A624" t="str">
            <v>HI-CF-SLA-MCA-FRT</v>
          </cell>
          <cell r="B624" t="str">
            <v>CONTRA FORMA MARCO CORREDERA ANDES - FRT</v>
          </cell>
          <cell r="C624" t="str">
            <v>PRECIO DE VENTA</v>
          </cell>
          <cell r="D624">
            <v>1</v>
          </cell>
          <cell r="E624">
            <v>21375</v>
          </cell>
          <cell r="F624">
            <v>21375</v>
          </cell>
        </row>
        <row r="625">
          <cell r="A625" t="str">
            <v>HI-CF-SLA-MDR</v>
          </cell>
          <cell r="B625" t="str">
            <v>CONTRAFORMA MARCO DOBLE RIEL ANDES FIRAT</v>
          </cell>
          <cell r="C625" t="str">
            <v>PRECIO DE VENTA</v>
          </cell>
          <cell r="D625">
            <v>1</v>
          </cell>
          <cell r="E625">
            <v>18411</v>
          </cell>
          <cell r="F625">
            <v>18411</v>
          </cell>
        </row>
        <row r="626">
          <cell r="A626" t="str">
            <v>HI-CF-SLD-HVC-FRT</v>
          </cell>
          <cell r="B626" t="str">
            <v>CONTRA FORMA HOJA 80 - FRT</v>
          </cell>
          <cell r="C626" t="str">
            <v>PRECIO DE VENTA</v>
          </cell>
          <cell r="D626">
            <v>1</v>
          </cell>
          <cell r="E626">
            <v>23432</v>
          </cell>
          <cell r="F626">
            <v>23432</v>
          </cell>
        </row>
        <row r="627">
          <cell r="A627" t="str">
            <v>HI-CF-SLZ-HCZ-FRT</v>
          </cell>
          <cell r="B627" t="str">
            <v>CONTRA FORMA HOJA SLIDING ZENIA - FRT</v>
          </cell>
          <cell r="C627" t="str">
            <v>PRECIO DE VENTA</v>
          </cell>
          <cell r="D627">
            <v>1</v>
          </cell>
          <cell r="E627">
            <v>23432</v>
          </cell>
          <cell r="F627">
            <v>23432</v>
          </cell>
        </row>
        <row r="628">
          <cell r="A628" t="str">
            <v>HI-CF-SLZ-MCZ-FRT</v>
          </cell>
          <cell r="B628" t="str">
            <v>CONTRA FORMA MARCO SLIDING ZENIA - FRT</v>
          </cell>
          <cell r="C628" t="str">
            <v>PRECIO DE VENTA</v>
          </cell>
          <cell r="D628">
            <v>1</v>
          </cell>
          <cell r="E628">
            <v>34467</v>
          </cell>
          <cell r="F628">
            <v>34467</v>
          </cell>
        </row>
        <row r="629">
          <cell r="A629" t="str">
            <v>HI-CIN-E15-1000</v>
          </cell>
          <cell r="B629" t="str">
            <v>CREMONA ABATIR INTERIOR E15 1000 mm</v>
          </cell>
          <cell r="C629" t="str">
            <v>PRECIO DE VENTA</v>
          </cell>
          <cell r="D629">
            <v>1</v>
          </cell>
          <cell r="E629">
            <v>3942</v>
          </cell>
          <cell r="F629">
            <v>3942</v>
          </cell>
        </row>
        <row r="630">
          <cell r="A630" t="str">
            <v>HI-CIN-E15-1200</v>
          </cell>
          <cell r="B630" t="str">
            <v>CREMONA ABATIR INTERIOR E15 1200 mm</v>
          </cell>
          <cell r="C630" t="str">
            <v>PRECIO DE VENTA</v>
          </cell>
          <cell r="D630">
            <v>1</v>
          </cell>
          <cell r="E630">
            <v>4574</v>
          </cell>
          <cell r="F630">
            <v>4574</v>
          </cell>
        </row>
        <row r="631">
          <cell r="A631" t="str">
            <v>HI-CIN-E15-1400</v>
          </cell>
          <cell r="B631" t="str">
            <v>CREMONA ABATIR INTERIOR E15 1400 mm</v>
          </cell>
          <cell r="C631" t="str">
            <v>PRECIO DE VENTA</v>
          </cell>
          <cell r="D631">
            <v>1</v>
          </cell>
          <cell r="E631">
            <v>5130</v>
          </cell>
          <cell r="F631">
            <v>5130</v>
          </cell>
        </row>
        <row r="632">
          <cell r="A632" t="str">
            <v>HI-CIN-E15-1600</v>
          </cell>
          <cell r="B632" t="str">
            <v>CREMONA ABATIR INTERIOR E15 1600 mm</v>
          </cell>
          <cell r="C632" t="str">
            <v>PRECIO DE VENTA</v>
          </cell>
          <cell r="D632">
            <v>1</v>
          </cell>
          <cell r="E632">
            <v>5673</v>
          </cell>
          <cell r="F632">
            <v>5673</v>
          </cell>
        </row>
        <row r="633">
          <cell r="A633" t="str">
            <v>HI-CIN-E15-1800</v>
          </cell>
          <cell r="B633" t="str">
            <v>CREMONA ABATIR INTERIOR E15 1800 mm</v>
          </cell>
          <cell r="C633" t="str">
            <v>PRECIO DE VENTA</v>
          </cell>
          <cell r="D633">
            <v>1</v>
          </cell>
          <cell r="E633">
            <v>6321</v>
          </cell>
          <cell r="F633">
            <v>6321</v>
          </cell>
        </row>
        <row r="634">
          <cell r="A634" t="str">
            <v>HI-CIN-E15-2000</v>
          </cell>
          <cell r="B634" t="str">
            <v>CREMONA ABATIR INTERIOR E15 2000 mm</v>
          </cell>
          <cell r="C634" t="str">
            <v>PRECIO DE VENTA</v>
          </cell>
          <cell r="D634">
            <v>1</v>
          </cell>
          <cell r="E634">
            <v>7729</v>
          </cell>
          <cell r="F634">
            <v>7729</v>
          </cell>
        </row>
        <row r="635">
          <cell r="A635" t="str">
            <v>HI-CIN-E15-400</v>
          </cell>
          <cell r="B635" t="str">
            <v>CREMONA ABATIR INTERIOR E15 400 mm</v>
          </cell>
          <cell r="C635" t="str">
            <v>PRECIO DE VENTA</v>
          </cell>
          <cell r="D635">
            <v>1</v>
          </cell>
          <cell r="E635">
            <v>2349</v>
          </cell>
          <cell r="F635">
            <v>2349</v>
          </cell>
        </row>
        <row r="636">
          <cell r="A636" t="str">
            <v>HI-CIN-E15-600</v>
          </cell>
          <cell r="B636" t="str">
            <v>CREMONA ABATIR INTERIOR E15 600 mm</v>
          </cell>
          <cell r="C636" t="str">
            <v>PRECIO DE VENTA</v>
          </cell>
          <cell r="D636">
            <v>1</v>
          </cell>
          <cell r="E636">
            <v>2752</v>
          </cell>
          <cell r="F636">
            <v>2752</v>
          </cell>
        </row>
        <row r="637">
          <cell r="A637" t="str">
            <v>HI-CIN-E15-800</v>
          </cell>
          <cell r="B637" t="str">
            <v>CREMONA ABATIR INTERIOR E15 800 mm</v>
          </cell>
          <cell r="C637" t="str">
            <v>PRECIO DE VENTA</v>
          </cell>
          <cell r="D637">
            <v>1</v>
          </cell>
          <cell r="E637">
            <v>3275</v>
          </cell>
          <cell r="F637">
            <v>3275</v>
          </cell>
        </row>
        <row r="638">
          <cell r="A638" t="str">
            <v>HI-CLR-80-3H</v>
          </cell>
          <cell r="B638" t="str">
            <v>CILINDRO DE 80 MM C/ PESTILLO</v>
          </cell>
          <cell r="C638" t="str">
            <v>PRECIO DE VENTA</v>
          </cell>
          <cell r="D638">
            <v>1</v>
          </cell>
          <cell r="E638">
            <v>19399</v>
          </cell>
          <cell r="F638">
            <v>19399</v>
          </cell>
        </row>
        <row r="639">
          <cell r="A639" t="str">
            <v>HI-CLR-80-DF</v>
          </cell>
          <cell r="B639" t="str">
            <v>CILINDRO 80 mm - DAF</v>
          </cell>
          <cell r="C639" t="str">
            <v>PRECIO DE VENTA</v>
          </cell>
          <cell r="D639">
            <v>1</v>
          </cell>
          <cell r="E639">
            <v>10624</v>
          </cell>
          <cell r="F639">
            <v>10624</v>
          </cell>
        </row>
        <row r="640">
          <cell r="A640" t="str">
            <v>HI-CLR-80-SM</v>
          </cell>
          <cell r="B640" t="str">
            <v>CILINDRO 80 mm - SOM</v>
          </cell>
          <cell r="C640" t="str">
            <v>PRECIO DE VENTA</v>
          </cell>
          <cell r="D640">
            <v>1</v>
          </cell>
          <cell r="E640">
            <v>10463</v>
          </cell>
          <cell r="F640">
            <v>10463</v>
          </cell>
        </row>
        <row r="641">
          <cell r="A641" t="str">
            <v>HI-CLR-80-YK</v>
          </cell>
          <cell r="B641" t="str">
            <v>CILINDRO 80 mm - ITO</v>
          </cell>
          <cell r="C641" t="str">
            <v>PRECIO DE VENTA</v>
          </cell>
          <cell r="D641">
            <v>1</v>
          </cell>
          <cell r="E641">
            <v>10463</v>
          </cell>
          <cell r="F641">
            <v>10463</v>
          </cell>
        </row>
        <row r="642">
          <cell r="A642" t="str">
            <v>HI-CM-MQT-5</v>
          </cell>
          <cell r="B642" t="str">
            <v>CORDON MOSQUITERO BLANCO  5mm</v>
          </cell>
          <cell r="C642" t="str">
            <v>PRECIO DE VENTA</v>
          </cell>
          <cell r="D642">
            <v>1</v>
          </cell>
          <cell r="E642">
            <v>201</v>
          </cell>
          <cell r="F642">
            <v>201</v>
          </cell>
        </row>
        <row r="643">
          <cell r="A643" t="str">
            <v>HI-COB-E15-1185</v>
          </cell>
          <cell r="B643" t="str">
            <v>CREMONA OB E15 1185 - 1600 mm</v>
          </cell>
          <cell r="C643" t="str">
            <v>PRECIO DE VENTA</v>
          </cell>
          <cell r="D643">
            <v>1</v>
          </cell>
          <cell r="E643">
            <v>5250</v>
          </cell>
          <cell r="F643">
            <v>5250</v>
          </cell>
        </row>
        <row r="644">
          <cell r="A644" t="str">
            <v>HI-COB-E15-1385</v>
          </cell>
          <cell r="B644" t="str">
            <v>CREMONA OB E15 1385 - 1800 mm</v>
          </cell>
          <cell r="C644" t="str">
            <v>PRECIO DE VENTA</v>
          </cell>
          <cell r="D644">
            <v>1</v>
          </cell>
          <cell r="E644">
            <v>5707</v>
          </cell>
          <cell r="F644">
            <v>5707</v>
          </cell>
        </row>
        <row r="645">
          <cell r="A645" t="str">
            <v>HI-COB-E15-1585</v>
          </cell>
          <cell r="B645" t="str">
            <v>CREMONA OB E15 1585 - 2000 mm</v>
          </cell>
          <cell r="C645" t="str">
            <v>PRECIO DE VENTA</v>
          </cell>
          <cell r="D645">
            <v>1</v>
          </cell>
          <cell r="E645">
            <v>7746</v>
          </cell>
          <cell r="F645">
            <v>7746</v>
          </cell>
        </row>
        <row r="646">
          <cell r="A646" t="str">
            <v>HI-COB-E15-480</v>
          </cell>
          <cell r="B646" t="str">
            <v>CREMONA OB E15 480 - 700 mm</v>
          </cell>
          <cell r="C646" t="str">
            <v>PRECIO DE VENTA</v>
          </cell>
          <cell r="D646">
            <v>1</v>
          </cell>
          <cell r="E646">
            <v>4167</v>
          </cell>
          <cell r="F646">
            <v>4167</v>
          </cell>
        </row>
        <row r="647">
          <cell r="A647" t="str">
            <v>HI-COB-E15-585</v>
          </cell>
          <cell r="B647" t="str">
            <v>CREMONA OB E15 585 - 1000 mm</v>
          </cell>
          <cell r="C647" t="str">
            <v>PRECIO DE VENTA</v>
          </cell>
          <cell r="D647">
            <v>1</v>
          </cell>
          <cell r="E647">
            <v>4324</v>
          </cell>
          <cell r="F647">
            <v>4324</v>
          </cell>
        </row>
        <row r="648">
          <cell r="A648" t="str">
            <v>HI-COB-E15-685</v>
          </cell>
          <cell r="B648" t="str">
            <v>CREMONA OB E15 685 - 1100 mm</v>
          </cell>
          <cell r="C648" t="str">
            <v>PRECIO DE VENTA</v>
          </cell>
          <cell r="D648">
            <v>1</v>
          </cell>
          <cell r="E648">
            <v>4571</v>
          </cell>
          <cell r="F648">
            <v>4571</v>
          </cell>
        </row>
        <row r="649">
          <cell r="A649" t="str">
            <v>HI-COB-E15-885</v>
          </cell>
          <cell r="B649" t="str">
            <v>CREMONA OB E15 885 -1300 mm</v>
          </cell>
          <cell r="C649" t="str">
            <v>PRECIO DE VENTA</v>
          </cell>
          <cell r="D649">
            <v>1</v>
          </cell>
          <cell r="E649">
            <v>4724</v>
          </cell>
          <cell r="F649">
            <v>4724</v>
          </cell>
        </row>
        <row r="650">
          <cell r="A650" t="str">
            <v>HI-COB-E15-985</v>
          </cell>
          <cell r="B650" t="str">
            <v>CREMONA OB E15 985 - 1400 mm</v>
          </cell>
          <cell r="C650" t="str">
            <v>PRECIO DE VENTA</v>
          </cell>
          <cell r="D650">
            <v>1</v>
          </cell>
          <cell r="E650">
            <v>5063</v>
          </cell>
          <cell r="F650">
            <v>5063</v>
          </cell>
        </row>
        <row r="651">
          <cell r="A651" t="str">
            <v>HI-CP-E3592-1800</v>
          </cell>
          <cell r="B651" t="str">
            <v>CREMONA PUERTA E35/92 1800 mm</v>
          </cell>
          <cell r="C651" t="str">
            <v>PRECIO DE VENTA</v>
          </cell>
          <cell r="D651">
            <v>1</v>
          </cell>
          <cell r="E651">
            <v>9156</v>
          </cell>
          <cell r="F651">
            <v>9156</v>
          </cell>
        </row>
        <row r="652">
          <cell r="A652" t="str">
            <v>HI-CP-E3592-2000</v>
          </cell>
          <cell r="B652" t="str">
            <v>CREMONA PUERTA E35/92 2000 mm</v>
          </cell>
          <cell r="C652" t="str">
            <v>PRECIO DE VENTA</v>
          </cell>
          <cell r="D652">
            <v>1</v>
          </cell>
          <cell r="E652">
            <v>10560</v>
          </cell>
          <cell r="F652">
            <v>10560</v>
          </cell>
        </row>
        <row r="653">
          <cell r="A653" t="str">
            <v>HI-CPE-E3592-2000</v>
          </cell>
          <cell r="B653" t="str">
            <v>CREMONA PUERTA EXTENSIBLE E35 2000 mm</v>
          </cell>
          <cell r="C653" t="str">
            <v>PRECIO DE VENTA</v>
          </cell>
          <cell r="D653">
            <v>1</v>
          </cell>
          <cell r="E653">
            <v>10071</v>
          </cell>
          <cell r="F653">
            <v>10071</v>
          </cell>
        </row>
        <row r="654">
          <cell r="A654" t="str">
            <v>HI-CR-AJT-40</v>
          </cell>
          <cell r="B654" t="str">
            <v>CARRO AJUSTABLE 40 KG</v>
          </cell>
          <cell r="C654" t="str">
            <v>PRECIO DE VENTA</v>
          </cell>
          <cell r="D654">
            <v>1</v>
          </cell>
          <cell r="E654">
            <v>1393</v>
          </cell>
          <cell r="F654">
            <v>1393</v>
          </cell>
        </row>
        <row r="655">
          <cell r="A655" t="str">
            <v>HI-CR-AJT-40-NAT</v>
          </cell>
          <cell r="B655" t="str">
            <v>CARRO AJUSTABLE 40 KG - NAT</v>
          </cell>
          <cell r="C655" t="str">
            <v>PRECIO DE VENTA</v>
          </cell>
          <cell r="D655">
            <v>1</v>
          </cell>
          <cell r="E655">
            <v>1739</v>
          </cell>
          <cell r="F655">
            <v>1739</v>
          </cell>
        </row>
        <row r="656">
          <cell r="A656" t="str">
            <v>HI-CR-AJT-70-KG</v>
          </cell>
          <cell r="B656" t="str">
            <v>CARRO AJUSTABLE 70 KG</v>
          </cell>
          <cell r="C656" t="str">
            <v>PRECIO DE VENTA</v>
          </cell>
          <cell r="D656">
            <v>1</v>
          </cell>
          <cell r="E656">
            <v>2220</v>
          </cell>
          <cell r="F656">
            <v>2220</v>
          </cell>
        </row>
        <row r="657">
          <cell r="A657" t="str">
            <v>HI-CR-MQT</v>
          </cell>
          <cell r="B657" t="str">
            <v>CARRO MOSQUITERO - FIRAT</v>
          </cell>
          <cell r="C657" t="str">
            <v>PRECIO DE VENTA</v>
          </cell>
          <cell r="D657">
            <v>1</v>
          </cell>
          <cell r="E657">
            <v>279</v>
          </cell>
          <cell r="F657">
            <v>279</v>
          </cell>
        </row>
        <row r="658">
          <cell r="A658" t="str">
            <v>HI-CR-MQT-3H</v>
          </cell>
          <cell r="B658" t="str">
            <v>CARRO MOSQUITERO - 3H</v>
          </cell>
          <cell r="C658" t="str">
            <v>PRECIO DE VENTA</v>
          </cell>
          <cell r="D658">
            <v>1</v>
          </cell>
          <cell r="E658">
            <v>163</v>
          </cell>
          <cell r="F658">
            <v>163</v>
          </cell>
        </row>
        <row r="659">
          <cell r="A659" t="str">
            <v>HI-CR-SLA-40</v>
          </cell>
          <cell r="B659" t="str">
            <v>CARRO ANDES 54 - 40 KG</v>
          </cell>
          <cell r="C659" t="str">
            <v>PRECIO DE VENTA</v>
          </cell>
          <cell r="D659">
            <v>1</v>
          </cell>
          <cell r="E659">
            <v>1617</v>
          </cell>
          <cell r="F659">
            <v>1617</v>
          </cell>
        </row>
        <row r="660">
          <cell r="A660" t="str">
            <v>HI-CR-SLA-FJ-45-CS</v>
          </cell>
          <cell r="B660" t="str">
            <v>CARRO CELSUS ANDES - FIJO 45 KG</v>
          </cell>
          <cell r="C660" t="str">
            <v>PRECIO DE VENTA</v>
          </cell>
          <cell r="D660">
            <v>1</v>
          </cell>
          <cell r="E660">
            <v>2751</v>
          </cell>
          <cell r="F660">
            <v>2751</v>
          </cell>
        </row>
        <row r="661">
          <cell r="A661" t="str">
            <v>HI-CR-SLA-FJ-90-CS</v>
          </cell>
          <cell r="B661" t="str">
            <v>CARRO CELSUS ANDES - FIJO 90 KG</v>
          </cell>
          <cell r="C661" t="str">
            <v>PRECIO DE VENTA</v>
          </cell>
          <cell r="D661">
            <v>1</v>
          </cell>
          <cell r="E661">
            <v>4731</v>
          </cell>
          <cell r="F661">
            <v>4731</v>
          </cell>
        </row>
        <row r="662">
          <cell r="A662" t="str">
            <v>HI-CR-SLA-RG-40-CS</v>
          </cell>
          <cell r="B662" t="str">
            <v>CARRO CELSUS ANDES - REGULABLE 40 KG</v>
          </cell>
          <cell r="C662" t="str">
            <v>PRECIO DE VENTA</v>
          </cell>
          <cell r="D662">
            <v>1</v>
          </cell>
          <cell r="E662">
            <v>2802</v>
          </cell>
          <cell r="F662">
            <v>2802</v>
          </cell>
        </row>
        <row r="663">
          <cell r="A663" t="str">
            <v>HI-CR-SLA-RG-60-CS</v>
          </cell>
          <cell r="B663" t="str">
            <v>CARRO CELSUS ANDES - REGULABLE 60 KG</v>
          </cell>
          <cell r="C663" t="str">
            <v>PRECIO DE VENTA</v>
          </cell>
          <cell r="D663">
            <v>1</v>
          </cell>
          <cell r="E663">
            <v>2802</v>
          </cell>
          <cell r="F663">
            <v>2802</v>
          </cell>
        </row>
        <row r="664">
          <cell r="A664" t="str">
            <v>HI-CR-SLA-RG-80-CS</v>
          </cell>
          <cell r="B664" t="str">
            <v>CARRO CELSUS SLIDING - REGULABLE 80 KG</v>
          </cell>
          <cell r="C664" t="str">
            <v>PRECIO DE VENTA</v>
          </cell>
          <cell r="D664">
            <v>1</v>
          </cell>
          <cell r="E664">
            <v>4403</v>
          </cell>
          <cell r="F664">
            <v>4403</v>
          </cell>
        </row>
        <row r="665">
          <cell r="A665" t="str">
            <v>HI-CR-SLD-AJT-240-CS</v>
          </cell>
          <cell r="B665" t="str">
            <v>CARRO CELSUS SLIDING - REGULABLE 230 KG</v>
          </cell>
          <cell r="C665" t="str">
            <v>PRECIO DE VENTA</v>
          </cell>
          <cell r="D665">
            <v>1</v>
          </cell>
          <cell r="E665">
            <v>12590</v>
          </cell>
          <cell r="F665">
            <v>12590</v>
          </cell>
        </row>
        <row r="666">
          <cell r="A666" t="str">
            <v>HI-CR-SLD-RG-120-CS</v>
          </cell>
          <cell r="B666" t="str">
            <v>CARRO CELSUS SLIDING - REGULABLE 120 KG</v>
          </cell>
          <cell r="C666" t="str">
            <v>PRECIO DE VENTA</v>
          </cell>
          <cell r="D666">
            <v>1</v>
          </cell>
          <cell r="E666">
            <v>7130</v>
          </cell>
          <cell r="F666">
            <v>7130</v>
          </cell>
        </row>
        <row r="667">
          <cell r="A667" t="str">
            <v>HI-CR-SLD-RG-60-CS</v>
          </cell>
          <cell r="B667" t="str">
            <v>CARRO CELSUS SLIDING - REGULABLE 60 KG</v>
          </cell>
          <cell r="C667" t="str">
            <v>PRECIO DE VENTA</v>
          </cell>
          <cell r="D667">
            <v>1</v>
          </cell>
          <cell r="E667">
            <v>4829</v>
          </cell>
          <cell r="F667">
            <v>4829</v>
          </cell>
        </row>
        <row r="668">
          <cell r="A668" t="str">
            <v>HI-EXT-CP-420</v>
          </cell>
          <cell r="B668" t="str">
            <v>EXTENSOR CREMONA DE PUERTA 420 mm</v>
          </cell>
          <cell r="C668" t="str">
            <v>PRECIO DE VENTA</v>
          </cell>
          <cell r="D668">
            <v>1</v>
          </cell>
          <cell r="E668">
            <v>3037</v>
          </cell>
          <cell r="F668">
            <v>3037</v>
          </cell>
        </row>
        <row r="669">
          <cell r="A669" t="str">
            <v>HI-EXT-CP-630</v>
          </cell>
          <cell r="B669" t="str">
            <v>EXTENSOR CREMONA DE PUERTA 630 mm</v>
          </cell>
          <cell r="C669" t="str">
            <v>PRECIO DE VENTA</v>
          </cell>
          <cell r="D669">
            <v>1</v>
          </cell>
          <cell r="E669">
            <v>3418</v>
          </cell>
          <cell r="F669">
            <v>3418</v>
          </cell>
        </row>
        <row r="670">
          <cell r="A670" t="str">
            <v>HI-FLP-7X6-GS</v>
          </cell>
          <cell r="B670" t="str">
            <v>FELPA C/F 7X6 mm 300 mts - GRIS - SLK</v>
          </cell>
          <cell r="C670" t="str">
            <v>PRECIO DE VENTA</v>
          </cell>
          <cell r="D670">
            <v>1</v>
          </cell>
          <cell r="E670">
            <v>25871</v>
          </cell>
          <cell r="F670">
            <v>25871</v>
          </cell>
        </row>
        <row r="671">
          <cell r="A671" t="str">
            <v>HI-FLP-7X6-NE</v>
          </cell>
          <cell r="B671" t="str">
            <v>FELPA C/F 7X6 mm 300 mts - NEGRO - SLK</v>
          </cell>
          <cell r="C671" t="str">
            <v>PRECIO DE VENTA</v>
          </cell>
          <cell r="D671">
            <v>1</v>
          </cell>
          <cell r="E671">
            <v>27374</v>
          </cell>
          <cell r="F671">
            <v>27374</v>
          </cell>
        </row>
        <row r="672">
          <cell r="A672" t="str">
            <v>HI-FLP-7X8-GS</v>
          </cell>
          <cell r="B672" t="str">
            <v>FELPA C/F 7X8 mm 300 mts - GRIS - SLK</v>
          </cell>
          <cell r="C672" t="str">
            <v>PRECIO DE VENTA</v>
          </cell>
          <cell r="D672">
            <v>1</v>
          </cell>
          <cell r="E672">
            <v>30608</v>
          </cell>
          <cell r="F672">
            <v>30608</v>
          </cell>
        </row>
        <row r="673">
          <cell r="A673" t="str">
            <v>HI-FLP-7X8-NE</v>
          </cell>
          <cell r="B673" t="str">
            <v>FELPA C/F 7X8 mm 300 mts - NEGRO - SLK</v>
          </cell>
          <cell r="C673" t="str">
            <v>PRECIO DE VENTA</v>
          </cell>
          <cell r="D673">
            <v>1</v>
          </cell>
          <cell r="E673">
            <v>30608</v>
          </cell>
          <cell r="F673">
            <v>30608</v>
          </cell>
        </row>
        <row r="674">
          <cell r="A674" t="str">
            <v>HI-LMD-AP</v>
          </cell>
          <cell r="B674" t="str">
            <v>LIMITADOR DE APERTURA</v>
          </cell>
          <cell r="C674" t="str">
            <v>PRECIO DE VENTA</v>
          </cell>
          <cell r="D674">
            <v>1</v>
          </cell>
          <cell r="E674">
            <v>1456</v>
          </cell>
          <cell r="F674">
            <v>1456</v>
          </cell>
        </row>
        <row r="675">
          <cell r="A675" t="str">
            <v>HI-LMD-AP-RGL</v>
          </cell>
          <cell r="B675" t="str">
            <v>LIMITADOR DE APERTURA REGULABLE</v>
          </cell>
          <cell r="C675" t="str">
            <v>PRECIO DE VENTA</v>
          </cell>
          <cell r="D675">
            <v>1</v>
          </cell>
          <cell r="E675">
            <v>2579</v>
          </cell>
          <cell r="F675">
            <v>2579</v>
          </cell>
        </row>
        <row r="676">
          <cell r="A676" t="str">
            <v>HI-MLA-CLL-BL</v>
          </cell>
          <cell r="B676" t="str">
            <v>MANILLA CON LLAVE - BLANCA</v>
          </cell>
          <cell r="C676" t="str">
            <v>PRECIO DE VENTA</v>
          </cell>
          <cell r="D676">
            <v>1</v>
          </cell>
          <cell r="E676">
            <v>22416</v>
          </cell>
          <cell r="F676">
            <v>22416</v>
          </cell>
        </row>
        <row r="677">
          <cell r="A677" t="str">
            <v>HI-MLA-CLL-MR</v>
          </cell>
          <cell r="B677" t="str">
            <v>MANILLA CON LLAVE - MARRON</v>
          </cell>
          <cell r="C677" t="str">
            <v>PRECIO DE VENTA</v>
          </cell>
          <cell r="D677">
            <v>1</v>
          </cell>
          <cell r="E677">
            <v>22416</v>
          </cell>
          <cell r="F677">
            <v>22416</v>
          </cell>
        </row>
        <row r="678">
          <cell r="A678" t="str">
            <v>HI-MLA-CLL-NE</v>
          </cell>
          <cell r="B678" t="str">
            <v>MANILLA CON LLAVE - NEGRA</v>
          </cell>
          <cell r="C678" t="str">
            <v>PRECIO DE VENTA</v>
          </cell>
          <cell r="D678">
            <v>1</v>
          </cell>
          <cell r="E678">
            <v>22416</v>
          </cell>
          <cell r="F678">
            <v>22416</v>
          </cell>
        </row>
        <row r="679">
          <cell r="A679" t="str">
            <v>HI-MLA-ECO-DE-BL</v>
          </cell>
          <cell r="B679" t="str">
            <v>MANILLA ECONOMICA ANDES DER - BLANCO</v>
          </cell>
          <cell r="C679" t="str">
            <v>PRECIO DE VENTA</v>
          </cell>
          <cell r="D679">
            <v>1</v>
          </cell>
          <cell r="E679">
            <v>3507</v>
          </cell>
          <cell r="F679">
            <v>3507</v>
          </cell>
        </row>
        <row r="680">
          <cell r="A680" t="str">
            <v>HI-MLA-ECO-IZ-BL</v>
          </cell>
          <cell r="B680" t="str">
            <v>MANILLA ECONOMICA ANDES IZQ - BLANCO</v>
          </cell>
          <cell r="C680" t="str">
            <v>PRECIO DE VENTA</v>
          </cell>
          <cell r="D680">
            <v>1</v>
          </cell>
          <cell r="E680">
            <v>3507</v>
          </cell>
          <cell r="F680">
            <v>3507</v>
          </cell>
        </row>
        <row r="681">
          <cell r="A681" t="str">
            <v>HI-MLA-EGE-BL</v>
          </cell>
          <cell r="B681" t="str">
            <v>MANILLA EGE - BLANCA</v>
          </cell>
          <cell r="C681" t="str">
            <v>PRECIO DE VENTA</v>
          </cell>
          <cell r="D681">
            <v>1</v>
          </cell>
          <cell r="E681">
            <v>500</v>
          </cell>
          <cell r="F681">
            <v>500</v>
          </cell>
        </row>
        <row r="682">
          <cell r="A682" t="str">
            <v>HI-MLA-EGE-GS</v>
          </cell>
          <cell r="B682" t="str">
            <v>MANILLA EGE - GRIS</v>
          </cell>
          <cell r="C682" t="str">
            <v>PRECIO DE VENTA</v>
          </cell>
          <cell r="D682">
            <v>1</v>
          </cell>
          <cell r="E682">
            <v>500</v>
          </cell>
          <cell r="F682">
            <v>500</v>
          </cell>
        </row>
        <row r="683">
          <cell r="A683" t="str">
            <v>HI-MLA-EGE-NE</v>
          </cell>
          <cell r="B683" t="str">
            <v>MANILLA EGE - NEGRA</v>
          </cell>
          <cell r="C683" t="str">
            <v>PRECIO DE VENTA</v>
          </cell>
          <cell r="D683">
            <v>1</v>
          </cell>
          <cell r="E683">
            <v>500</v>
          </cell>
          <cell r="F683">
            <v>500</v>
          </cell>
        </row>
        <row r="684">
          <cell r="A684" t="str">
            <v>HI-MLA-EST-BL</v>
          </cell>
          <cell r="B684" t="str">
            <v>MANILLA ESTRECHA - BLANCO</v>
          </cell>
          <cell r="C684" t="str">
            <v>PRECIO DE VENTA</v>
          </cell>
          <cell r="D684">
            <v>1</v>
          </cell>
          <cell r="E684">
            <v>4736</v>
          </cell>
          <cell r="F684">
            <v>4736</v>
          </cell>
        </row>
        <row r="685">
          <cell r="A685" t="str">
            <v>HI-MLA-EST-CLL-BL</v>
          </cell>
          <cell r="B685" t="str">
            <v>MANILLA ESTRECHA CON LLAVE - BLANCO</v>
          </cell>
          <cell r="C685" t="str">
            <v>PRECIO DE VENTA</v>
          </cell>
          <cell r="D685">
            <v>1</v>
          </cell>
          <cell r="E685">
            <v>5748</v>
          </cell>
          <cell r="F685">
            <v>5748</v>
          </cell>
        </row>
        <row r="686">
          <cell r="A686" t="str">
            <v>HI-MLA-EST-MO</v>
          </cell>
          <cell r="B686" t="str">
            <v>MANILLA ESTRECHA - MARRON OSCURO</v>
          </cell>
          <cell r="C686" t="str">
            <v>PRECIO DE VENTA</v>
          </cell>
          <cell r="D686">
            <v>1</v>
          </cell>
          <cell r="E686">
            <v>1682</v>
          </cell>
          <cell r="F686">
            <v>1682</v>
          </cell>
        </row>
        <row r="687">
          <cell r="A687" t="str">
            <v>HI-MLA-EST-MR</v>
          </cell>
          <cell r="B687" t="str">
            <v>MANILLA ESTRECHA - MARRON</v>
          </cell>
          <cell r="C687" t="str">
            <v>PRECIO DE VENTA</v>
          </cell>
          <cell r="D687">
            <v>1</v>
          </cell>
          <cell r="E687">
            <v>5198</v>
          </cell>
          <cell r="F687">
            <v>5198</v>
          </cell>
        </row>
        <row r="688">
          <cell r="A688" t="str">
            <v>HI-MLA-EST-NE</v>
          </cell>
          <cell r="B688" t="str">
            <v>MANILLA ESTRECHA - NEGRO</v>
          </cell>
          <cell r="C688" t="str">
            <v>PRECIO DE VENTA</v>
          </cell>
          <cell r="D688">
            <v>1</v>
          </cell>
          <cell r="E688">
            <v>5198</v>
          </cell>
          <cell r="F688">
            <v>5198</v>
          </cell>
        </row>
        <row r="689">
          <cell r="A689" t="str">
            <v>HI-MLA-FNX-BL</v>
          </cell>
          <cell r="B689" t="str">
            <v>MANILLA FORNAX - BLANCO</v>
          </cell>
          <cell r="C689" t="str">
            <v>PRECIO DE VENTA</v>
          </cell>
          <cell r="D689">
            <v>1</v>
          </cell>
          <cell r="E689">
            <v>2000</v>
          </cell>
          <cell r="F689">
            <v>2000</v>
          </cell>
        </row>
        <row r="690">
          <cell r="A690" t="str">
            <v>HI-MLA-FNX-MR</v>
          </cell>
          <cell r="B690" t="str">
            <v>MANILLA FORNAX - MARRON</v>
          </cell>
          <cell r="C690" t="str">
            <v>PRECIO DE VENTA</v>
          </cell>
          <cell r="D690">
            <v>1</v>
          </cell>
          <cell r="E690">
            <v>2000</v>
          </cell>
          <cell r="F690">
            <v>2000</v>
          </cell>
        </row>
        <row r="691">
          <cell r="A691" t="str">
            <v>HI-MLA-FNX-NE</v>
          </cell>
          <cell r="B691" t="str">
            <v>MANILLA FORNAX - NEGRO</v>
          </cell>
          <cell r="C691" t="str">
            <v>PRECIO DE VENTA</v>
          </cell>
          <cell r="D691">
            <v>1</v>
          </cell>
          <cell r="E691">
            <v>2000</v>
          </cell>
          <cell r="F691">
            <v>2000</v>
          </cell>
        </row>
        <row r="692">
          <cell r="A692" t="str">
            <v>HI-MLA-MLA-BL</v>
          </cell>
          <cell r="B692" t="str">
            <v>MANILLA CONTRA MANILLA - BLANCO</v>
          </cell>
          <cell r="C692" t="str">
            <v>PRECIO DE VENTA</v>
          </cell>
          <cell r="D692">
            <v>1</v>
          </cell>
          <cell r="E692">
            <v>8084</v>
          </cell>
          <cell r="F692">
            <v>8084</v>
          </cell>
        </row>
        <row r="693">
          <cell r="A693" t="str">
            <v>HI-MLA-MLA-MR</v>
          </cell>
          <cell r="B693" t="str">
            <v>MANILLA CONTRA MANILLA - MARRON</v>
          </cell>
          <cell r="C693" t="str">
            <v>PRECIO DE VENTA</v>
          </cell>
          <cell r="D693">
            <v>1</v>
          </cell>
          <cell r="E693">
            <v>8084</v>
          </cell>
          <cell r="F693">
            <v>8084</v>
          </cell>
        </row>
        <row r="694">
          <cell r="A694" t="str">
            <v>HI-MLA-MLA-NE</v>
          </cell>
          <cell r="B694" t="str">
            <v>MANILLA CONTRA MANILLA - NEGRO</v>
          </cell>
          <cell r="C694" t="str">
            <v>PRECIO DE VENTA</v>
          </cell>
          <cell r="D694">
            <v>1</v>
          </cell>
          <cell r="E694">
            <v>8084</v>
          </cell>
          <cell r="F694">
            <v>8084</v>
          </cell>
        </row>
        <row r="695">
          <cell r="A695" t="str">
            <v>HI-MLA-MNO-BL</v>
          </cell>
          <cell r="B695" t="str">
            <v>MANILLA MILANO - BLANCO</v>
          </cell>
          <cell r="C695" t="str">
            <v>PRECIO DE VENTA</v>
          </cell>
          <cell r="D695">
            <v>1</v>
          </cell>
          <cell r="E695">
            <v>2896</v>
          </cell>
          <cell r="F695">
            <v>2896</v>
          </cell>
        </row>
        <row r="696">
          <cell r="A696" t="str">
            <v>HI-MLA-MNO-GS</v>
          </cell>
          <cell r="B696" t="str">
            <v>MANILLA MILANO - GRIS</v>
          </cell>
          <cell r="C696" t="str">
            <v>PRECIO DE VENTA</v>
          </cell>
          <cell r="D696">
            <v>1</v>
          </cell>
          <cell r="E696">
            <v>1009</v>
          </cell>
          <cell r="F696">
            <v>1009</v>
          </cell>
        </row>
        <row r="697">
          <cell r="A697" t="str">
            <v>HI-MLA-MNO-HK-BL</v>
          </cell>
          <cell r="B697" t="str">
            <v>MANILLA MILANO HAUSTEK - BLANCO</v>
          </cell>
          <cell r="C697" t="str">
            <v>PRECIO DE VENTA</v>
          </cell>
          <cell r="D697">
            <v>1</v>
          </cell>
          <cell r="E697">
            <v>1102</v>
          </cell>
          <cell r="F697">
            <v>1102</v>
          </cell>
        </row>
        <row r="698">
          <cell r="A698" t="str">
            <v>HI-MLA-MNO-HK-MR</v>
          </cell>
          <cell r="B698" t="str">
            <v>MANILLA MILANO HAUSTEK - MARRON</v>
          </cell>
          <cell r="C698" t="str">
            <v>PRECIO DE VENTA</v>
          </cell>
          <cell r="D698">
            <v>1</v>
          </cell>
          <cell r="E698">
            <v>2896</v>
          </cell>
          <cell r="F698">
            <v>2896</v>
          </cell>
        </row>
        <row r="699">
          <cell r="A699" t="str">
            <v>HI-MLA-MNO-HK-PL</v>
          </cell>
          <cell r="B699" t="str">
            <v>MANILLA MILANO HAUSTEK - PLATA</v>
          </cell>
          <cell r="C699" t="str">
            <v>PRECIO DE VENTA</v>
          </cell>
          <cell r="D699">
            <v>1</v>
          </cell>
          <cell r="E699">
            <v>1110</v>
          </cell>
          <cell r="F699">
            <v>1110</v>
          </cell>
        </row>
        <row r="700">
          <cell r="A700" t="str">
            <v>HI-MLA-MNO-MO</v>
          </cell>
          <cell r="B700" t="str">
            <v>MANILLA MILANO - MARRON OSCURO</v>
          </cell>
          <cell r="C700" t="str">
            <v>PRECIO DE VENTA</v>
          </cell>
          <cell r="D700">
            <v>1</v>
          </cell>
          <cell r="E700">
            <v>2896</v>
          </cell>
          <cell r="F700">
            <v>2896</v>
          </cell>
        </row>
        <row r="701">
          <cell r="A701" t="str">
            <v>HI-MLA-MNO-MR</v>
          </cell>
          <cell r="B701" t="str">
            <v>MANILLA MILANO - MARRON</v>
          </cell>
          <cell r="C701" t="str">
            <v>PRECIO DE VENTA</v>
          </cell>
          <cell r="D701">
            <v>1</v>
          </cell>
          <cell r="E701">
            <v>2896</v>
          </cell>
          <cell r="F701">
            <v>2896</v>
          </cell>
        </row>
        <row r="702">
          <cell r="A702" t="str">
            <v>HI-MLA-MNO-NE</v>
          </cell>
          <cell r="B702" t="str">
            <v>MANILLA MILANO - NEGRO</v>
          </cell>
          <cell r="C702" t="str">
            <v>PRECIO DE VENTA</v>
          </cell>
          <cell r="D702">
            <v>1</v>
          </cell>
          <cell r="E702">
            <v>2896</v>
          </cell>
          <cell r="F702">
            <v>2896</v>
          </cell>
        </row>
        <row r="703">
          <cell r="A703" t="str">
            <v>HI-MLA-OCL-BL</v>
          </cell>
          <cell r="B703" t="str">
            <v>MANILLA OCULTA - BLANCO</v>
          </cell>
          <cell r="C703" t="str">
            <v>PRECIO DE VENTA</v>
          </cell>
          <cell r="D703">
            <v>1</v>
          </cell>
          <cell r="E703">
            <v>3096</v>
          </cell>
          <cell r="F703">
            <v>3096</v>
          </cell>
        </row>
        <row r="704">
          <cell r="A704" t="str">
            <v>HI-MLA-OCL-MO</v>
          </cell>
          <cell r="B704" t="str">
            <v>MANILLA OCULTA MARRON OSCURO</v>
          </cell>
          <cell r="C704" t="str">
            <v>PRECIO DE VENTA</v>
          </cell>
          <cell r="D704">
            <v>1</v>
          </cell>
          <cell r="E704">
            <v>3695</v>
          </cell>
          <cell r="F704">
            <v>3695</v>
          </cell>
        </row>
        <row r="705">
          <cell r="A705" t="str">
            <v>HI-MLA-OCL-MR</v>
          </cell>
          <cell r="B705" t="str">
            <v>MANILLA OCULTA MARRON</v>
          </cell>
          <cell r="C705" t="str">
            <v>PRECIO DE VENTA</v>
          </cell>
          <cell r="D705">
            <v>1</v>
          </cell>
          <cell r="E705">
            <v>3695</v>
          </cell>
          <cell r="F705">
            <v>3695</v>
          </cell>
        </row>
        <row r="706">
          <cell r="A706" t="str">
            <v>HI-MLA-OCL-NE</v>
          </cell>
          <cell r="B706" t="str">
            <v>MANILLA OCULTA - NEGRO</v>
          </cell>
          <cell r="C706" t="str">
            <v>PRECIO DE VENTA</v>
          </cell>
          <cell r="D706">
            <v>1</v>
          </cell>
          <cell r="E706">
            <v>3250</v>
          </cell>
          <cell r="F706">
            <v>3250</v>
          </cell>
        </row>
        <row r="707">
          <cell r="A707" t="str">
            <v>HI-MLA-PAR-DE-BL</v>
          </cell>
          <cell r="B707" t="str">
            <v>MANILLA PARCHE ANDES - BLANCO - DE</v>
          </cell>
          <cell r="C707" t="str">
            <v>PRECIO DE VENTA</v>
          </cell>
          <cell r="D707">
            <v>1</v>
          </cell>
          <cell r="E707">
            <v>3696</v>
          </cell>
          <cell r="F707">
            <v>3696</v>
          </cell>
        </row>
        <row r="708">
          <cell r="A708" t="str">
            <v>HI-MLA-PAR-DE-CF</v>
          </cell>
          <cell r="B708" t="str">
            <v>MANILLA PARCHE ANDES - CAFE- DE</v>
          </cell>
          <cell r="C708" t="str">
            <v>PRECIO DE VENTA</v>
          </cell>
          <cell r="D708">
            <v>1</v>
          </cell>
          <cell r="E708">
            <v>4331</v>
          </cell>
          <cell r="F708">
            <v>4331</v>
          </cell>
        </row>
        <row r="709">
          <cell r="A709" t="str">
            <v>HI-MLA-PAR-DE-MO</v>
          </cell>
          <cell r="B709" t="str">
            <v>MANILLA PARCHE ANDES - MARRON OSCURO - DE</v>
          </cell>
          <cell r="C709" t="str">
            <v>PRECIO DE VENTA</v>
          </cell>
          <cell r="D709">
            <v>1</v>
          </cell>
          <cell r="E709">
            <v>4331</v>
          </cell>
          <cell r="F709">
            <v>4331</v>
          </cell>
        </row>
        <row r="710">
          <cell r="A710" t="str">
            <v>HI-MLA-PAR-DE-MR</v>
          </cell>
          <cell r="B710" t="str">
            <v>MANILLA PARCHE ANDES - MARRON - DE</v>
          </cell>
          <cell r="C710" t="str">
            <v>PRECIO DE VENTA</v>
          </cell>
          <cell r="D710">
            <v>1</v>
          </cell>
          <cell r="E710">
            <v>3581</v>
          </cell>
          <cell r="F710">
            <v>3581</v>
          </cell>
        </row>
        <row r="711">
          <cell r="A711" t="str">
            <v>HI-MLA-PAR-IZ-BL</v>
          </cell>
          <cell r="B711" t="str">
            <v>MANILLA PARCHE ANDES - BLANCO - IZ</v>
          </cell>
          <cell r="C711" t="str">
            <v>PRECIO DE VENTA</v>
          </cell>
          <cell r="D711">
            <v>1</v>
          </cell>
          <cell r="E711">
            <v>3696</v>
          </cell>
          <cell r="F711">
            <v>3696</v>
          </cell>
        </row>
        <row r="712">
          <cell r="A712" t="str">
            <v>HI-MLA-PAR-IZ-CF</v>
          </cell>
          <cell r="B712" t="str">
            <v>MANILLA PARCHE ANDES - CAFE - IZ</v>
          </cell>
          <cell r="C712" t="str">
            <v>PRECIO DE VENTA</v>
          </cell>
          <cell r="D712">
            <v>1</v>
          </cell>
          <cell r="E712">
            <v>1868</v>
          </cell>
          <cell r="F712">
            <v>1868</v>
          </cell>
        </row>
        <row r="713">
          <cell r="A713" t="str">
            <v>HI-MLA-PAR-IZ-MO</v>
          </cell>
          <cell r="B713" t="str">
            <v>MANILLA PARCHE ANDES - MARRON OSCURO - IZ</v>
          </cell>
          <cell r="C713" t="str">
            <v>PRECIO DE VENTA</v>
          </cell>
          <cell r="D713">
            <v>1</v>
          </cell>
          <cell r="E713">
            <v>4331</v>
          </cell>
          <cell r="F713">
            <v>4331</v>
          </cell>
        </row>
        <row r="714">
          <cell r="A714" t="str">
            <v>HI-MLA-PAR-IZ-MR</v>
          </cell>
          <cell r="B714" t="str">
            <v>MANILLA PARCHE ANDES - MARRON - IZ</v>
          </cell>
          <cell r="C714" t="str">
            <v>PRECIO DE VENTA</v>
          </cell>
          <cell r="D714">
            <v>1</v>
          </cell>
          <cell r="E714">
            <v>3581</v>
          </cell>
          <cell r="F714">
            <v>3581</v>
          </cell>
        </row>
        <row r="715">
          <cell r="A715" t="str">
            <v>HI-MLA-PTA-BL</v>
          </cell>
          <cell r="B715" t="str">
            <v>MANILLA PUERTA ABATIR 35/92 mm - BLANCO</v>
          </cell>
          <cell r="C715" t="str">
            <v>PRECIO DE VENTA</v>
          </cell>
          <cell r="D715">
            <v>1</v>
          </cell>
          <cell r="E715">
            <v>6758</v>
          </cell>
          <cell r="F715">
            <v>6758</v>
          </cell>
        </row>
        <row r="716">
          <cell r="A716" t="str">
            <v>HI-MLA-PTA-MNO-MR</v>
          </cell>
          <cell r="B716" t="str">
            <v>MANILLA PUERTA MILANO ABATIR 35/92 mm - MARRON</v>
          </cell>
          <cell r="C716" t="str">
            <v>PRECIO DE VENTA</v>
          </cell>
          <cell r="D716">
            <v>1</v>
          </cell>
          <cell r="E716">
            <v>5582</v>
          </cell>
          <cell r="F716">
            <v>5582</v>
          </cell>
        </row>
        <row r="717">
          <cell r="A717" t="str">
            <v>HI-MLA-PTA-MR</v>
          </cell>
          <cell r="B717" t="str">
            <v>MANILLA PUERTA ABATIR 35/92 mm - MARRON</v>
          </cell>
          <cell r="C717" t="str">
            <v>PRECIO DE VENTA</v>
          </cell>
          <cell r="D717">
            <v>1</v>
          </cell>
          <cell r="E717">
            <v>6758</v>
          </cell>
          <cell r="F717">
            <v>6758</v>
          </cell>
        </row>
        <row r="718">
          <cell r="A718" t="str">
            <v>HI-MLA-PTA-NE</v>
          </cell>
          <cell r="B718" t="str">
            <v>MANILLA PUERTA ABATIR 35/92 mm - NEGRO</v>
          </cell>
          <cell r="C718" t="str">
            <v>PRECIO DE VENTA</v>
          </cell>
          <cell r="D718">
            <v>1</v>
          </cell>
          <cell r="E718">
            <v>6758</v>
          </cell>
          <cell r="F718">
            <v>6758</v>
          </cell>
        </row>
        <row r="719">
          <cell r="A719" t="str">
            <v>HI-MLA-SOM-BL</v>
          </cell>
          <cell r="B719" t="str">
            <v>MANILLA SOM - BLANCO</v>
          </cell>
          <cell r="C719" t="str">
            <v>PRECIO DE VENTA</v>
          </cell>
          <cell r="D719">
            <v>1</v>
          </cell>
          <cell r="E719">
            <v>1000</v>
          </cell>
          <cell r="F719">
            <v>1000</v>
          </cell>
        </row>
        <row r="720">
          <cell r="A720" t="str">
            <v>HI-MLA-SOM-MR</v>
          </cell>
          <cell r="B720" t="str">
            <v>MANILLA SOM - MARRON</v>
          </cell>
          <cell r="C720" t="str">
            <v>PRECIO DE VENTA</v>
          </cell>
          <cell r="D720">
            <v>1</v>
          </cell>
          <cell r="E720">
            <v>848</v>
          </cell>
          <cell r="F720">
            <v>848</v>
          </cell>
        </row>
        <row r="721">
          <cell r="A721" t="str">
            <v>HI-MLA-SOM-NE</v>
          </cell>
          <cell r="B721" t="str">
            <v>MANILLA SOM - NEGRO</v>
          </cell>
          <cell r="C721" t="str">
            <v>PRECIO DE VENTA</v>
          </cell>
          <cell r="D721">
            <v>1</v>
          </cell>
          <cell r="E721">
            <v>848</v>
          </cell>
          <cell r="F721">
            <v>848</v>
          </cell>
        </row>
        <row r="722">
          <cell r="A722" t="str">
            <v>HI-MLA-TRD-BL</v>
          </cell>
          <cell r="B722" t="str">
            <v>TIRADOR VENTANA - BLANCO</v>
          </cell>
          <cell r="C722" t="str">
            <v>PRECIO DE VENTA</v>
          </cell>
          <cell r="D722">
            <v>1</v>
          </cell>
          <cell r="E722">
            <v>326</v>
          </cell>
          <cell r="F722">
            <v>326</v>
          </cell>
        </row>
        <row r="723">
          <cell r="A723" t="str">
            <v>HI-MLA-TRD-MR</v>
          </cell>
          <cell r="B723" t="str">
            <v>TIRADOR VENTANA - MARRON</v>
          </cell>
          <cell r="C723" t="str">
            <v>PRECIO DE VENTA</v>
          </cell>
          <cell r="D723">
            <v>1</v>
          </cell>
          <cell r="E723">
            <v>889</v>
          </cell>
          <cell r="F723">
            <v>889</v>
          </cell>
        </row>
        <row r="724">
          <cell r="A724" t="str">
            <v>HI-MLA-TRD-NE</v>
          </cell>
          <cell r="B724" t="str">
            <v>TIRADOR VENTANA - NEGRO</v>
          </cell>
          <cell r="C724" t="str">
            <v>PRECIO DE VENTA</v>
          </cell>
          <cell r="D724">
            <v>1</v>
          </cell>
          <cell r="E724">
            <v>342</v>
          </cell>
          <cell r="F724">
            <v>342</v>
          </cell>
        </row>
        <row r="725">
          <cell r="A725" t="str">
            <v>HI-MLZ-ELV-BL</v>
          </cell>
          <cell r="B725" t="str">
            <v>MANILLON ELEVADORA - BLANCO</v>
          </cell>
          <cell r="C725" t="str">
            <v>PRECIO DE VENTA</v>
          </cell>
          <cell r="D725">
            <v>1</v>
          </cell>
          <cell r="E725">
            <v>25367</v>
          </cell>
          <cell r="F725">
            <v>25367</v>
          </cell>
        </row>
        <row r="726">
          <cell r="A726" t="str">
            <v>HI-MLZ-ELV-CF</v>
          </cell>
          <cell r="B726" t="str">
            <v>MANILLON ELEVADORA - CAFE</v>
          </cell>
          <cell r="C726" t="str">
            <v>PRECIO DE VENTA</v>
          </cell>
          <cell r="D726">
            <v>1</v>
          </cell>
          <cell r="E726">
            <v>25367</v>
          </cell>
          <cell r="F726">
            <v>25367</v>
          </cell>
        </row>
        <row r="727">
          <cell r="A727" t="str">
            <v>HI-MLZ-ELV-GR-BL</v>
          </cell>
          <cell r="B727" t="str">
            <v>MANILLA ELEVADORA GRANDE ZENIA - BLANCO</v>
          </cell>
          <cell r="C727" t="str">
            <v>PRECIO DE VENTA</v>
          </cell>
          <cell r="D727">
            <v>1</v>
          </cell>
          <cell r="E727">
            <v>25367</v>
          </cell>
          <cell r="F727">
            <v>25367</v>
          </cell>
        </row>
        <row r="728">
          <cell r="A728" t="str">
            <v>HI-MLZ-ELV-GR-CF</v>
          </cell>
          <cell r="B728" t="str">
            <v>MANILLA ELEVADORA GRANDE ZENIA - CAFE</v>
          </cell>
          <cell r="C728" t="str">
            <v>PRECIO DE VENTA</v>
          </cell>
          <cell r="D728">
            <v>1</v>
          </cell>
          <cell r="E728">
            <v>25367</v>
          </cell>
          <cell r="F728">
            <v>25367</v>
          </cell>
        </row>
        <row r="729">
          <cell r="A729" t="str">
            <v>HI-MLZ-ELV-GR-GR</v>
          </cell>
          <cell r="B729" t="str">
            <v>MANILLA ELEVADORA GRANDE ZENIA - GRIS</v>
          </cell>
          <cell r="C729" t="str">
            <v>PRECIO DE VENTA</v>
          </cell>
          <cell r="D729">
            <v>1</v>
          </cell>
          <cell r="E729">
            <v>25367</v>
          </cell>
          <cell r="F729">
            <v>25367</v>
          </cell>
        </row>
        <row r="730">
          <cell r="A730" t="str">
            <v>HI-MLZ-ELV-GR-LC</v>
          </cell>
          <cell r="B730" t="str">
            <v>MANILLA ELEVADORA GRANDE ZENIA - LIGHT CAFE</v>
          </cell>
          <cell r="C730" t="str">
            <v>PRECIO DE VENTA</v>
          </cell>
          <cell r="D730">
            <v>1</v>
          </cell>
          <cell r="E730">
            <v>25367</v>
          </cell>
          <cell r="F730">
            <v>25367</v>
          </cell>
        </row>
        <row r="731">
          <cell r="A731" t="str">
            <v>HI-MLZ-ELV-GR-MR</v>
          </cell>
          <cell r="B731" t="str">
            <v>MANILLA ELEVADORA GRANDE ZENIA - MARRON</v>
          </cell>
          <cell r="C731" t="str">
            <v>PRECIO DE VENTA</v>
          </cell>
          <cell r="D731">
            <v>1</v>
          </cell>
          <cell r="E731">
            <v>25367</v>
          </cell>
          <cell r="F731">
            <v>25367</v>
          </cell>
        </row>
        <row r="732">
          <cell r="A732" t="str">
            <v>HI-MLZ-ELV-GR-NE</v>
          </cell>
          <cell r="B732" t="str">
            <v>MANILLA ELEVADORA GRANDE ZENIA - NEGRA</v>
          </cell>
          <cell r="C732" t="str">
            <v>PRECIO DE VENTA</v>
          </cell>
          <cell r="D732">
            <v>1</v>
          </cell>
          <cell r="E732">
            <v>28867</v>
          </cell>
          <cell r="F732">
            <v>28867</v>
          </cell>
        </row>
        <row r="733">
          <cell r="A733" t="str">
            <v>HI-MLZ-ELV-MO</v>
          </cell>
          <cell r="B733" t="str">
            <v>MANILLON ELEVADORA - MARRON OSCURO</v>
          </cell>
          <cell r="C733" t="str">
            <v>PRECIO DE VENTA</v>
          </cell>
          <cell r="D733">
            <v>1</v>
          </cell>
          <cell r="E733">
            <v>25367</v>
          </cell>
          <cell r="F733">
            <v>25367</v>
          </cell>
        </row>
        <row r="734">
          <cell r="A734" t="str">
            <v>HI-MLZ-ELV-MR</v>
          </cell>
          <cell r="B734" t="str">
            <v>MANILLON ELEVADORA - MARRON</v>
          </cell>
          <cell r="C734" t="str">
            <v>PRECIO DE VENTA</v>
          </cell>
          <cell r="D734">
            <v>1</v>
          </cell>
          <cell r="E734">
            <v>25367</v>
          </cell>
          <cell r="F734">
            <v>25367</v>
          </cell>
        </row>
        <row r="735">
          <cell r="A735" t="str">
            <v>HI-MLZ-ELV-OC-BL</v>
          </cell>
          <cell r="B735" t="str">
            <v>MANILLA ELEVADORA OCULTA ZENIA - BLANCO</v>
          </cell>
          <cell r="C735" t="str">
            <v>PRECIO DE VENTA</v>
          </cell>
          <cell r="D735">
            <v>1</v>
          </cell>
          <cell r="E735">
            <v>4626</v>
          </cell>
          <cell r="F735">
            <v>4626</v>
          </cell>
        </row>
        <row r="736">
          <cell r="A736" t="str">
            <v>HI-MLZ-ELV-OC-CF</v>
          </cell>
          <cell r="B736" t="str">
            <v>MANILLA ELEVADORA OCULTA ZENIA - CAFE</v>
          </cell>
          <cell r="C736" t="str">
            <v>PRECIO DE VENTA</v>
          </cell>
          <cell r="D736">
            <v>1</v>
          </cell>
          <cell r="E736">
            <v>4626</v>
          </cell>
          <cell r="F736">
            <v>4626</v>
          </cell>
        </row>
        <row r="737">
          <cell r="A737" t="str">
            <v>HI-MLZ-ELV-OC-GR</v>
          </cell>
          <cell r="B737" t="str">
            <v>MANILLA ELEVADORA OCULTA ZENIA - GRIS</v>
          </cell>
          <cell r="C737" t="str">
            <v>PRECIO DE VENTA</v>
          </cell>
          <cell r="D737">
            <v>1</v>
          </cell>
          <cell r="E737">
            <v>4626</v>
          </cell>
          <cell r="F737">
            <v>4626</v>
          </cell>
        </row>
        <row r="738">
          <cell r="A738" t="str">
            <v>HI-MLZ-ELV-OC-MR</v>
          </cell>
          <cell r="B738" t="str">
            <v>MANILLA ELEVADORA OCULTA ZENIA - MARRON</v>
          </cell>
          <cell r="C738" t="str">
            <v>PRECIO DE VENTA</v>
          </cell>
          <cell r="D738">
            <v>1</v>
          </cell>
          <cell r="E738">
            <v>4626</v>
          </cell>
          <cell r="F738">
            <v>4626</v>
          </cell>
        </row>
        <row r="739">
          <cell r="A739" t="str">
            <v>HI-MLZ-ELV-OC-NE</v>
          </cell>
          <cell r="B739" t="str">
            <v>MANILLA ELEVADORA OCULTA - ZENIA NEGRO</v>
          </cell>
          <cell r="C739" t="str">
            <v>PRECIO DE VENTA</v>
          </cell>
          <cell r="D739">
            <v>1</v>
          </cell>
          <cell r="E739">
            <v>4626</v>
          </cell>
          <cell r="F739">
            <v>4626</v>
          </cell>
        </row>
        <row r="740">
          <cell r="A740" t="str">
            <v>HI-MM-MQT-1000</v>
          </cell>
          <cell r="B740" t="str">
            <v>MALLA MOSQUITERO GRAFITO DE 1000 mm</v>
          </cell>
          <cell r="C740" t="str">
            <v>PRECIO DE VENTA</v>
          </cell>
          <cell r="D740">
            <v>1</v>
          </cell>
          <cell r="E740">
            <v>1934</v>
          </cell>
          <cell r="F740">
            <v>1934</v>
          </cell>
        </row>
        <row r="741">
          <cell r="A741" t="str">
            <v>HI-MM-MQT-1600</v>
          </cell>
          <cell r="B741" t="str">
            <v>MALLA MOSQUITERO GRAFITO DE 1600 mm</v>
          </cell>
          <cell r="C741" t="str">
            <v>PRECIO DE VENTA</v>
          </cell>
          <cell r="D741">
            <v>1</v>
          </cell>
          <cell r="E741">
            <v>3095</v>
          </cell>
          <cell r="F741">
            <v>3095</v>
          </cell>
        </row>
        <row r="742">
          <cell r="A742" t="str">
            <v>HI-MM-MQT-800</v>
          </cell>
          <cell r="B742" t="str">
            <v>MALLA MOSQUITERO GRAFITO DE 800 mm</v>
          </cell>
          <cell r="C742" t="str">
            <v>PRECIO DE VENTA</v>
          </cell>
          <cell r="D742">
            <v>1</v>
          </cell>
          <cell r="E742">
            <v>1547</v>
          </cell>
          <cell r="F742">
            <v>1547</v>
          </cell>
        </row>
        <row r="743">
          <cell r="A743" t="str">
            <v>HI-OB-1150</v>
          </cell>
          <cell r="B743" t="str">
            <v>TIRANTE 1150 - 1500</v>
          </cell>
          <cell r="C743" t="str">
            <v>PRECIO DE VENTA</v>
          </cell>
          <cell r="D743">
            <v>1</v>
          </cell>
          <cell r="E743">
            <v>3200</v>
          </cell>
          <cell r="F743">
            <v>3200</v>
          </cell>
        </row>
        <row r="744">
          <cell r="A744" t="str">
            <v>HI-OB-13-BLN-SEG</v>
          </cell>
          <cell r="B744" t="str">
            <v>CERRADERO 13 mm PARA BULON DE SEG.</v>
          </cell>
          <cell r="C744" t="str">
            <v>PRECIO DE VENTA</v>
          </cell>
          <cell r="D744">
            <v>1</v>
          </cell>
          <cell r="E744">
            <v>305</v>
          </cell>
          <cell r="F744">
            <v>305</v>
          </cell>
        </row>
        <row r="745">
          <cell r="A745" t="str">
            <v>HI-OB-1350</v>
          </cell>
          <cell r="B745" t="str">
            <v>TIRANTE 1350 - 1600</v>
          </cell>
          <cell r="C745" t="str">
            <v>PRECIO DE VENTA</v>
          </cell>
          <cell r="D745">
            <v>1</v>
          </cell>
          <cell r="E745">
            <v>3605</v>
          </cell>
          <cell r="F745">
            <v>3605</v>
          </cell>
        </row>
        <row r="746">
          <cell r="A746" t="str">
            <v>HI-OB-1850</v>
          </cell>
          <cell r="B746" t="str">
            <v>TIRANTE 1850 - 2100</v>
          </cell>
          <cell r="C746" t="str">
            <v>PRECIO DE VENTA</v>
          </cell>
          <cell r="D746">
            <v>1</v>
          </cell>
          <cell r="E746">
            <v>5602</v>
          </cell>
          <cell r="F746">
            <v>5602</v>
          </cell>
        </row>
        <row r="747">
          <cell r="A747" t="str">
            <v>HI-OB-2100</v>
          </cell>
          <cell r="B747" t="str">
            <v>TIRANTE 2100 - 2400</v>
          </cell>
          <cell r="C747" t="str">
            <v>PRECIO DE VENTA</v>
          </cell>
          <cell r="D747">
            <v>1</v>
          </cell>
          <cell r="E747">
            <v>4304</v>
          </cell>
          <cell r="F747">
            <v>4304</v>
          </cell>
        </row>
        <row r="748">
          <cell r="A748" t="str">
            <v>HI-OB-400</v>
          </cell>
          <cell r="B748" t="str">
            <v>TIRANTE 400 - 800</v>
          </cell>
          <cell r="C748" t="str">
            <v>PRECIO DE VENTA</v>
          </cell>
          <cell r="D748">
            <v>1</v>
          </cell>
          <cell r="E748">
            <v>2577</v>
          </cell>
          <cell r="F748">
            <v>2577</v>
          </cell>
        </row>
        <row r="749">
          <cell r="A749" t="str">
            <v>HI-OB-700</v>
          </cell>
          <cell r="B749" t="str">
            <v>TIRANTE 700 - 1150</v>
          </cell>
          <cell r="C749" t="str">
            <v>PRECIO DE VENTA</v>
          </cell>
          <cell r="D749">
            <v>1</v>
          </cell>
          <cell r="E749">
            <v>2795</v>
          </cell>
          <cell r="F749">
            <v>2795</v>
          </cell>
        </row>
        <row r="750">
          <cell r="A750" t="str">
            <v>HI-OB-AGR</v>
          </cell>
          <cell r="B750" t="str">
            <v>BISAGRA ANGULAR</v>
          </cell>
          <cell r="C750" t="str">
            <v>PRECIO DE VENTA</v>
          </cell>
          <cell r="D750">
            <v>1</v>
          </cell>
          <cell r="E750">
            <v>1742</v>
          </cell>
          <cell r="F750">
            <v>1742</v>
          </cell>
        </row>
        <row r="751">
          <cell r="A751" t="str">
            <v>HI-OB-BIS-CMP</v>
          </cell>
          <cell r="B751" t="str">
            <v>BISAGRA DE COMPAS</v>
          </cell>
          <cell r="C751" t="str">
            <v>PRECIO DE VENTA</v>
          </cell>
          <cell r="D751">
            <v>1</v>
          </cell>
          <cell r="E751">
            <v>932</v>
          </cell>
          <cell r="F751">
            <v>932</v>
          </cell>
        </row>
        <row r="752">
          <cell r="A752" t="str">
            <v>HI-OB-BIS-SBCE</v>
          </cell>
          <cell r="B752" t="str">
            <v>SOPORTE BISAGRA DE COMPAS CON EJE</v>
          </cell>
          <cell r="C752" t="str">
            <v>PRECIO DE VENTA</v>
          </cell>
          <cell r="D752">
            <v>1</v>
          </cell>
          <cell r="E752">
            <v>1085</v>
          </cell>
          <cell r="F752">
            <v>1085</v>
          </cell>
        </row>
        <row r="753">
          <cell r="A753" t="str">
            <v>HI-OB-BSL</v>
          </cell>
          <cell r="B753" t="str">
            <v>MECANISMO DE BASCULACION</v>
          </cell>
          <cell r="C753" t="str">
            <v>PRECIO DE VENTA</v>
          </cell>
          <cell r="D753">
            <v>1</v>
          </cell>
          <cell r="E753">
            <v>1609</v>
          </cell>
          <cell r="F753">
            <v>1609</v>
          </cell>
        </row>
        <row r="754">
          <cell r="A754" t="str">
            <v>HI-OB-CB</v>
          </cell>
          <cell r="B754" t="str">
            <v>ANGULO DE CAMBIO</v>
          </cell>
          <cell r="C754" t="str">
            <v>PRECIO DE VENTA</v>
          </cell>
          <cell r="D754">
            <v>1</v>
          </cell>
          <cell r="E754">
            <v>3168</v>
          </cell>
          <cell r="F754">
            <v>3168</v>
          </cell>
        </row>
        <row r="755">
          <cell r="A755" t="str">
            <v>HI-OB-CB-BS</v>
          </cell>
          <cell r="B755" t="str">
            <v>ANGULO DE CAMBIO CON BULON DE SEGURIDAD</v>
          </cell>
          <cell r="C755" t="str">
            <v>PRECIO DE VENTA</v>
          </cell>
          <cell r="D755">
            <v>1</v>
          </cell>
          <cell r="E755">
            <v>4010</v>
          </cell>
          <cell r="F755">
            <v>4010</v>
          </cell>
        </row>
        <row r="756">
          <cell r="A756" t="str">
            <v>HI-OB-CB-ET</v>
          </cell>
          <cell r="B756" t="str">
            <v>ANGULO DE CAMBIO ESTRECHO</v>
          </cell>
          <cell r="C756" t="str">
            <v>PRECIO DE VENTA</v>
          </cell>
          <cell r="D756">
            <v>1</v>
          </cell>
          <cell r="E756">
            <v>3555</v>
          </cell>
          <cell r="F756">
            <v>3555</v>
          </cell>
        </row>
        <row r="757">
          <cell r="A757" t="str">
            <v>HI-OB-CB-MV</v>
          </cell>
          <cell r="B757" t="str">
            <v>ANGULO DE CAMBIO PARA MICRO VENTILACION</v>
          </cell>
          <cell r="C757" t="str">
            <v>PRECIO DE VENTA</v>
          </cell>
          <cell r="D757">
            <v>1</v>
          </cell>
          <cell r="E757">
            <v>1050</v>
          </cell>
          <cell r="F757">
            <v>1050</v>
          </cell>
        </row>
        <row r="758">
          <cell r="A758" t="str">
            <v>HI-OB-CD-MV</v>
          </cell>
          <cell r="B758" t="str">
            <v>CERRADERO ANGULO DE CAMBIO PARA MICROVENTILACION</v>
          </cell>
          <cell r="C758" t="str">
            <v>PRECIO DE VENTA</v>
          </cell>
          <cell r="D758">
            <v>1</v>
          </cell>
          <cell r="E758">
            <v>156</v>
          </cell>
          <cell r="F758">
            <v>156</v>
          </cell>
        </row>
        <row r="759">
          <cell r="A759" t="str">
            <v>HI-OB-CPS</v>
          </cell>
          <cell r="B759" t="str">
            <v>FALSO COMPAS</v>
          </cell>
          <cell r="C759" t="str">
            <v>PRECIO DE VENTA</v>
          </cell>
          <cell r="D759">
            <v>1</v>
          </cell>
          <cell r="E759">
            <v>2268</v>
          </cell>
          <cell r="F759">
            <v>2268</v>
          </cell>
        </row>
        <row r="760">
          <cell r="A760" t="str">
            <v>HI-OB-CPS-395</v>
          </cell>
          <cell r="B760" t="str">
            <v>COMPAS OB 395-600</v>
          </cell>
          <cell r="C760" t="str">
            <v>PRECIO DE VENTA</v>
          </cell>
          <cell r="D760">
            <v>1</v>
          </cell>
          <cell r="E760">
            <v>5079</v>
          </cell>
          <cell r="F760">
            <v>5079</v>
          </cell>
        </row>
        <row r="761">
          <cell r="A761" t="str">
            <v>HI-OB-CPS-595</v>
          </cell>
          <cell r="B761" t="str">
            <v>COMPAS OB 595-800</v>
          </cell>
          <cell r="C761" t="str">
            <v>PRECIO DE VENTA</v>
          </cell>
          <cell r="D761">
            <v>1</v>
          </cell>
          <cell r="E761">
            <v>5636</v>
          </cell>
          <cell r="F761">
            <v>5636</v>
          </cell>
        </row>
        <row r="762">
          <cell r="A762" t="str">
            <v>HI-OB-CPS-795</v>
          </cell>
          <cell r="B762" t="str">
            <v>COMPAS OB 795-1000</v>
          </cell>
          <cell r="C762" t="str">
            <v>PRECIO DE VENTA</v>
          </cell>
          <cell r="D762">
            <v>1</v>
          </cell>
          <cell r="E762">
            <v>6502</v>
          </cell>
          <cell r="F762">
            <v>6502</v>
          </cell>
        </row>
        <row r="763">
          <cell r="A763" t="str">
            <v>HI-OB-CPS-995</v>
          </cell>
          <cell r="B763" t="str">
            <v>COMPAS OB 995-1200</v>
          </cell>
          <cell r="C763" t="str">
            <v>PRECIO DE VENTA</v>
          </cell>
          <cell r="D763">
            <v>1</v>
          </cell>
          <cell r="E763">
            <v>7415</v>
          </cell>
          <cell r="F763">
            <v>7415</v>
          </cell>
        </row>
        <row r="764">
          <cell r="A764" t="str">
            <v>HI-OB-CPS1195</v>
          </cell>
          <cell r="B764" t="str">
            <v>COMPAS OB 1195-1400</v>
          </cell>
          <cell r="C764" t="str">
            <v>PRECIO DE VENTA</v>
          </cell>
          <cell r="D764">
            <v>1</v>
          </cell>
          <cell r="E764">
            <v>7522</v>
          </cell>
          <cell r="F764">
            <v>7522</v>
          </cell>
        </row>
        <row r="765">
          <cell r="A765" t="str">
            <v>HI-OB-EMB-BL</v>
          </cell>
          <cell r="B765" t="str">
            <v>SET EMBELLECEDOR OB - BLANCO</v>
          </cell>
          <cell r="C765" t="str">
            <v>PRECIO DE VENTA</v>
          </cell>
          <cell r="D765">
            <v>1</v>
          </cell>
          <cell r="E765">
            <v>1085</v>
          </cell>
          <cell r="F765">
            <v>1085</v>
          </cell>
        </row>
        <row r="766">
          <cell r="A766" t="str">
            <v>HI-OB-EMB-GS</v>
          </cell>
          <cell r="B766" t="str">
            <v>SET EMBELLECEDOR OB - GRIS</v>
          </cell>
          <cell r="C766" t="str">
            <v>PRECIO DE VENTA</v>
          </cell>
          <cell r="D766">
            <v>1</v>
          </cell>
          <cell r="E766">
            <v>436</v>
          </cell>
          <cell r="F766">
            <v>436</v>
          </cell>
        </row>
        <row r="767">
          <cell r="A767" t="str">
            <v>HI-OB-EMB-MO</v>
          </cell>
          <cell r="B767" t="str">
            <v>SET EMBELLECEDOR OB - MARRON OSCURO</v>
          </cell>
          <cell r="C767" t="str">
            <v>PRECIO DE VENTA</v>
          </cell>
          <cell r="D767">
            <v>1</v>
          </cell>
          <cell r="E767">
            <v>213</v>
          </cell>
          <cell r="F767">
            <v>213</v>
          </cell>
        </row>
        <row r="768">
          <cell r="A768" t="str">
            <v>HI-OB-EMB-MR</v>
          </cell>
          <cell r="B768" t="str">
            <v>SET EMBELLECEDOR OB - MARRON</v>
          </cell>
          <cell r="C768" t="str">
            <v>PRECIO DE VENTA</v>
          </cell>
          <cell r="D768">
            <v>1</v>
          </cell>
          <cell r="E768">
            <v>1085</v>
          </cell>
          <cell r="F768">
            <v>1085</v>
          </cell>
        </row>
        <row r="769">
          <cell r="A769" t="str">
            <v>HI-OB-EMB-NE</v>
          </cell>
          <cell r="B769" t="str">
            <v>SET EMBELLECEDOR OB - NEGRO</v>
          </cell>
          <cell r="C769" t="str">
            <v>PRECIO DE VENTA</v>
          </cell>
          <cell r="D769">
            <v>1</v>
          </cell>
          <cell r="E769">
            <v>1208</v>
          </cell>
          <cell r="F769">
            <v>1208</v>
          </cell>
        </row>
        <row r="770">
          <cell r="A770" t="str">
            <v>HI-OB-FLS-MNB-13</v>
          </cell>
          <cell r="B770" t="str">
            <v>CERRADERO FALSA MANIOBRA 13 mm</v>
          </cell>
          <cell r="C770" t="str">
            <v>PRECIO DE VENTA</v>
          </cell>
          <cell r="D770">
            <v>1</v>
          </cell>
          <cell r="E770">
            <v>746</v>
          </cell>
          <cell r="F770">
            <v>746</v>
          </cell>
        </row>
        <row r="771">
          <cell r="A771" t="str">
            <v>HI-OB-FLS-MNB-BT</v>
          </cell>
          <cell r="B771" t="str">
            <v>CERRADERO FALSA MANIOBRA BATIENTE</v>
          </cell>
          <cell r="C771" t="str">
            <v>PRECIO DE VENTA</v>
          </cell>
          <cell r="D771">
            <v>1</v>
          </cell>
          <cell r="E771">
            <v>1357</v>
          </cell>
          <cell r="F771">
            <v>1357</v>
          </cell>
        </row>
        <row r="772">
          <cell r="A772" t="str">
            <v>HI-OB-MOH</v>
          </cell>
          <cell r="B772" t="str">
            <v>FALSA MANIOBRA HOJA</v>
          </cell>
          <cell r="C772" t="str">
            <v>PRECIO DE VENTA</v>
          </cell>
          <cell r="D772">
            <v>1</v>
          </cell>
          <cell r="E772">
            <v>1746</v>
          </cell>
          <cell r="F772">
            <v>1746</v>
          </cell>
        </row>
        <row r="773">
          <cell r="A773" t="str">
            <v>HI-OB-OB-SEG</v>
          </cell>
          <cell r="B773" t="str">
            <v>CERRADERO OB SEGURIDAD</v>
          </cell>
          <cell r="C773" t="str">
            <v>PRECIO DE VENTA</v>
          </cell>
          <cell r="D773">
            <v>1</v>
          </cell>
          <cell r="E773">
            <v>98</v>
          </cell>
          <cell r="F773">
            <v>98</v>
          </cell>
        </row>
        <row r="774">
          <cell r="A774" t="str">
            <v>HI-OB-PER-AGR</v>
          </cell>
          <cell r="B774" t="str">
            <v>PERNIO ANGULAR</v>
          </cell>
          <cell r="C774" t="str">
            <v>PRECIO DE VENTA</v>
          </cell>
          <cell r="D774">
            <v>1</v>
          </cell>
          <cell r="E774">
            <v>1626</v>
          </cell>
          <cell r="F774">
            <v>1626</v>
          </cell>
        </row>
        <row r="775">
          <cell r="A775" t="str">
            <v>HI-OB-PIC-13</v>
          </cell>
          <cell r="B775" t="str">
            <v>CERRADERO PICAPORTE OB 13mm</v>
          </cell>
          <cell r="C775" t="str">
            <v>PRECIO DE VENTA</v>
          </cell>
          <cell r="D775">
            <v>1</v>
          </cell>
          <cell r="E775">
            <v>2455</v>
          </cell>
          <cell r="F775">
            <v>2455</v>
          </cell>
        </row>
        <row r="776">
          <cell r="A776" t="str">
            <v>HI-OB-PVT</v>
          </cell>
          <cell r="B776" t="str">
            <v>PIVOTE OB</v>
          </cell>
          <cell r="C776" t="str">
            <v>PRECIO DE VENTA</v>
          </cell>
          <cell r="D776">
            <v>1</v>
          </cell>
          <cell r="E776">
            <v>592</v>
          </cell>
          <cell r="F776">
            <v>592</v>
          </cell>
        </row>
        <row r="777">
          <cell r="A777" t="str">
            <v>HI-OB-RGL-LLV</v>
          </cell>
          <cell r="B777" t="str">
            <v>LLAVE REGULACION OB</v>
          </cell>
          <cell r="C777" t="str">
            <v>PRECIO DE VENTA</v>
          </cell>
          <cell r="D777">
            <v>1</v>
          </cell>
          <cell r="E777">
            <v>3798</v>
          </cell>
          <cell r="F777">
            <v>3798</v>
          </cell>
        </row>
        <row r="778">
          <cell r="A778" t="str">
            <v>HI-OB-SEG-13</v>
          </cell>
          <cell r="B778" t="str">
            <v>CERRADERO SEGURIDAD 13 mm</v>
          </cell>
          <cell r="C778" t="str">
            <v>PRECIO DE VENTA</v>
          </cell>
          <cell r="D778">
            <v>1</v>
          </cell>
          <cell r="E778">
            <v>159</v>
          </cell>
          <cell r="F778">
            <v>159</v>
          </cell>
        </row>
        <row r="779">
          <cell r="A779" t="str">
            <v>HI-OSC-KDER-MLA-BL</v>
          </cell>
          <cell r="B779" t="str">
            <v>KIT MANILLA - DER - OSCILOPARALELA - BLANCO</v>
          </cell>
          <cell r="C779" t="str">
            <v>PRECIO DE VENTA</v>
          </cell>
          <cell r="D779">
            <v>1</v>
          </cell>
          <cell r="E779">
            <v>34663</v>
          </cell>
          <cell r="F779">
            <v>34663</v>
          </cell>
        </row>
        <row r="780">
          <cell r="A780" t="str">
            <v>HI-OSC-KDER-MLA-MR</v>
          </cell>
          <cell r="B780" t="str">
            <v>KIT MANILLA - DER - OSCILOPARALELA - MARRON</v>
          </cell>
          <cell r="C780" t="str">
            <v>PRECIO DE VENTA</v>
          </cell>
          <cell r="D780">
            <v>1</v>
          </cell>
          <cell r="E780">
            <v>34663</v>
          </cell>
          <cell r="F780">
            <v>34663</v>
          </cell>
        </row>
        <row r="781">
          <cell r="A781" t="str">
            <v>HI-OSC-KDER-MLA-NE</v>
          </cell>
          <cell r="B781" t="str">
            <v>KIT MANILLA - DER - OSCILOPARALELA - NEGRO</v>
          </cell>
          <cell r="C781" t="str">
            <v>PRECIO DE VENTA</v>
          </cell>
          <cell r="D781">
            <v>1</v>
          </cell>
          <cell r="E781">
            <v>34663</v>
          </cell>
          <cell r="F781">
            <v>34663</v>
          </cell>
        </row>
        <row r="782">
          <cell r="A782" t="str">
            <v>HI-OSC-KIT-RLS-BL</v>
          </cell>
          <cell r="B782" t="str">
            <v>KIT OSCILOPARALELA 685-1300/1985-2400 - BLANCO</v>
          </cell>
          <cell r="C782" t="str">
            <v>PRECIO DE VENTA</v>
          </cell>
          <cell r="D782">
            <v>1</v>
          </cell>
          <cell r="E782">
            <v>16588</v>
          </cell>
          <cell r="F782">
            <v>16588</v>
          </cell>
        </row>
        <row r="783">
          <cell r="A783" t="str">
            <v>HI-OSC-KIT-RLS-MR</v>
          </cell>
          <cell r="B783" t="str">
            <v>KIT OSCILOPARALELA 685-1300/1985-2400 - MARRON</v>
          </cell>
          <cell r="C783" t="str">
            <v>PRECIO DE VENTA</v>
          </cell>
          <cell r="D783">
            <v>1</v>
          </cell>
          <cell r="E783">
            <v>33817</v>
          </cell>
          <cell r="F783">
            <v>33817</v>
          </cell>
        </row>
        <row r="784">
          <cell r="A784" t="str">
            <v>HI-OSC-KIT-RLS-NE</v>
          </cell>
          <cell r="B784" t="str">
            <v>KIT OSCILOPARALELA 685-1300/1985-2400 - NEGRO</v>
          </cell>
          <cell r="C784" t="str">
            <v>PRECIO DE VENTA</v>
          </cell>
          <cell r="D784">
            <v>1</v>
          </cell>
          <cell r="E784">
            <v>35739</v>
          </cell>
          <cell r="F784">
            <v>35739</v>
          </cell>
        </row>
        <row r="785">
          <cell r="A785" t="str">
            <v>HI-OSC-KIZQ-MLA-BL</v>
          </cell>
          <cell r="B785" t="str">
            <v>KIT MANILLA - IZQ  - OSCILOPARALELA - BLANCO</v>
          </cell>
          <cell r="C785" t="str">
            <v>PRECIO DE VENTA</v>
          </cell>
          <cell r="D785">
            <v>1</v>
          </cell>
          <cell r="E785">
            <v>34663</v>
          </cell>
          <cell r="F785">
            <v>34663</v>
          </cell>
        </row>
        <row r="786">
          <cell r="A786" t="str">
            <v>HI-OSC-KIZQ-MLA-MR</v>
          </cell>
          <cell r="B786" t="str">
            <v>KIT MANILLA - IZQ - OSCILOPARALELA - MARRON</v>
          </cell>
          <cell r="C786" t="str">
            <v>PRECIO DE VENTA</v>
          </cell>
          <cell r="D786">
            <v>1</v>
          </cell>
          <cell r="E786">
            <v>34663</v>
          </cell>
          <cell r="F786">
            <v>34663</v>
          </cell>
        </row>
        <row r="787">
          <cell r="A787" t="str">
            <v>HI-OSC-KIZQ-MLA-NE</v>
          </cell>
          <cell r="B787" t="str">
            <v>KIT MANILLA - IZQ - OSCILOPARALELA - NEGRO</v>
          </cell>
          <cell r="C787" t="str">
            <v>PRECIO DE VENTA</v>
          </cell>
          <cell r="D787">
            <v>1</v>
          </cell>
          <cell r="E787">
            <v>34663</v>
          </cell>
          <cell r="F787">
            <v>34663</v>
          </cell>
        </row>
        <row r="788">
          <cell r="A788" t="str">
            <v>HI-PLA-BIS-100M</v>
          </cell>
          <cell r="B788" t="str">
            <v>PLANTILLA BISAGRA 100 mm</v>
          </cell>
          <cell r="C788" t="str">
            <v>PRECIO DE VENTA</v>
          </cell>
          <cell r="D788">
            <v>1</v>
          </cell>
          <cell r="E788">
            <v>2443</v>
          </cell>
          <cell r="F788">
            <v>2443</v>
          </cell>
        </row>
        <row r="789">
          <cell r="A789" t="str">
            <v>HI-PLA-BIS-3D</v>
          </cell>
          <cell r="B789" t="str">
            <v>PLANTILLA BISAGRA PAVO 3D</v>
          </cell>
          <cell r="C789" t="str">
            <v>PRECIO DE VENTA</v>
          </cell>
          <cell r="D789">
            <v>1</v>
          </cell>
          <cell r="E789">
            <v>6122</v>
          </cell>
          <cell r="F789">
            <v>6122</v>
          </cell>
        </row>
        <row r="790">
          <cell r="A790" t="str">
            <v>HI-PLA-BIS-MLT</v>
          </cell>
          <cell r="B790" t="str">
            <v>PLANTILLA BISAGRA PLEGABLE</v>
          </cell>
          <cell r="C790" t="str">
            <v>PRECIO DE VENTA</v>
          </cell>
          <cell r="D790">
            <v>1</v>
          </cell>
          <cell r="E790">
            <v>4003</v>
          </cell>
          <cell r="F790">
            <v>4003</v>
          </cell>
        </row>
        <row r="791">
          <cell r="A791" t="str">
            <v>HI-PLA-BIS-OBH</v>
          </cell>
          <cell r="B791" t="str">
            <v>PLANTILLA OSCILOBATIENTE HOJA</v>
          </cell>
          <cell r="C791" t="str">
            <v>PRECIO DE VENTA</v>
          </cell>
          <cell r="D791">
            <v>1</v>
          </cell>
          <cell r="E791">
            <v>4214</v>
          </cell>
          <cell r="F791">
            <v>4214</v>
          </cell>
        </row>
        <row r="792">
          <cell r="A792" t="str">
            <v>HI-PLA-BIS-OBM</v>
          </cell>
          <cell r="B792" t="str">
            <v>PLANTILLA OSCILOBATIENTE MARCO</v>
          </cell>
          <cell r="C792" t="str">
            <v>PRECIO DE VENTA</v>
          </cell>
          <cell r="D792">
            <v>1</v>
          </cell>
          <cell r="E792">
            <v>4214</v>
          </cell>
          <cell r="F792">
            <v>4214</v>
          </cell>
        </row>
        <row r="793">
          <cell r="A793" t="str">
            <v>HI-PLA-CRR-MLT</v>
          </cell>
          <cell r="B793" t="str">
            <v>PLANTILLA CARROS PLEGABLE</v>
          </cell>
          <cell r="C793" t="str">
            <v>PRECIO DE VENTA</v>
          </cell>
          <cell r="D793">
            <v>1</v>
          </cell>
          <cell r="E793">
            <v>4003</v>
          </cell>
          <cell r="F793">
            <v>4003</v>
          </cell>
        </row>
        <row r="794">
          <cell r="A794" t="str">
            <v>HI-PLE-BSG-BL</v>
          </cell>
          <cell r="B794" t="str">
            <v>BISAGRA PLEGABLE - BLANCO</v>
          </cell>
          <cell r="C794" t="str">
            <v>PRECIO DE VENTA</v>
          </cell>
          <cell r="D794">
            <v>1</v>
          </cell>
          <cell r="E794">
            <v>29193</v>
          </cell>
          <cell r="F794">
            <v>29193</v>
          </cell>
        </row>
        <row r="795">
          <cell r="A795" t="str">
            <v>HI-PLE-BSG-NE</v>
          </cell>
          <cell r="B795" t="str">
            <v>BISAGRA PLEGABLE - NEGRO</v>
          </cell>
          <cell r="C795" t="str">
            <v>PRECIO DE VENTA</v>
          </cell>
          <cell r="D795">
            <v>1</v>
          </cell>
          <cell r="E795">
            <v>27399</v>
          </cell>
          <cell r="F795">
            <v>27399</v>
          </cell>
        </row>
        <row r="796">
          <cell r="A796" t="str">
            <v>HI-PLE-CRR</v>
          </cell>
          <cell r="B796" t="str">
            <v>CARRO &amp; GUIA PLEGABLE</v>
          </cell>
          <cell r="C796" t="str">
            <v>PRECIO DE VENTA</v>
          </cell>
          <cell r="D796">
            <v>1</v>
          </cell>
          <cell r="E796">
            <v>139013</v>
          </cell>
          <cell r="F796">
            <v>139013</v>
          </cell>
        </row>
        <row r="797">
          <cell r="A797" t="str">
            <v>HI-PLE-GSP-BL</v>
          </cell>
          <cell r="B797" t="str">
            <v>GUIA SUPERIOR PLASTICA PLEGABLE - BLANCO</v>
          </cell>
          <cell r="C797" t="str">
            <v>PRECIO DE VENTA</v>
          </cell>
          <cell r="D797">
            <v>1</v>
          </cell>
          <cell r="E797">
            <v>6952</v>
          </cell>
          <cell r="F797">
            <v>6952</v>
          </cell>
        </row>
        <row r="798">
          <cell r="A798" t="str">
            <v>HI-PLE-GSP-NE</v>
          </cell>
          <cell r="B798" t="str">
            <v>GUIA SUPERIOR PLASTICA PLEGABLE - NEGRO</v>
          </cell>
          <cell r="C798" t="str">
            <v>PRECIO DE VENTA</v>
          </cell>
          <cell r="D798">
            <v>1</v>
          </cell>
          <cell r="E798">
            <v>9134</v>
          </cell>
          <cell r="F798">
            <v>9134</v>
          </cell>
        </row>
        <row r="799">
          <cell r="A799" t="str">
            <v>HI-PLE-KIT-BSG-BL</v>
          </cell>
          <cell r="B799" t="str">
            <v>KIT BISAGRA GUIA PLEGABLE - BLANCA</v>
          </cell>
          <cell r="C799" t="str">
            <v>PRECIO DE VENTA</v>
          </cell>
          <cell r="D799">
            <v>1</v>
          </cell>
          <cell r="E799">
            <v>3362</v>
          </cell>
          <cell r="F799">
            <v>3362</v>
          </cell>
        </row>
        <row r="800">
          <cell r="A800" t="str">
            <v>HI-PLE-KIT-BSG-MR</v>
          </cell>
          <cell r="B800" t="str">
            <v>KIT BISAGRA GUIA PLEGABLE - MARRON</v>
          </cell>
          <cell r="C800" t="str">
            <v>PRECIO DE VENTA</v>
          </cell>
          <cell r="D800">
            <v>1</v>
          </cell>
          <cell r="E800">
            <v>3362</v>
          </cell>
          <cell r="F800">
            <v>3362</v>
          </cell>
        </row>
        <row r="801">
          <cell r="A801" t="str">
            <v>HI-PLE-KIT-BSG-NE</v>
          </cell>
          <cell r="B801" t="str">
            <v>KIT BISAGRA GUIA PLEGABLE - NEGRO</v>
          </cell>
          <cell r="C801" t="str">
            <v>PRECIO DE VENTA</v>
          </cell>
          <cell r="D801">
            <v>1</v>
          </cell>
          <cell r="E801">
            <v>3530</v>
          </cell>
          <cell r="F801">
            <v>3530</v>
          </cell>
        </row>
        <row r="802">
          <cell r="A802" t="str">
            <v>HI-PLE-PLC-1385</v>
          </cell>
          <cell r="B802" t="str">
            <v>PALANCA REENVIO 1385 - 1800</v>
          </cell>
          <cell r="C802" t="str">
            <v>PRECIO DE VENTA</v>
          </cell>
          <cell r="D802">
            <v>1</v>
          </cell>
          <cell r="E802">
            <v>7564</v>
          </cell>
          <cell r="F802">
            <v>7564</v>
          </cell>
        </row>
        <row r="803">
          <cell r="A803" t="str">
            <v>HI-PLE-PLC-1585</v>
          </cell>
          <cell r="B803" t="str">
            <v>PALANCA REENVIO 1585 - 2000</v>
          </cell>
          <cell r="C803" t="str">
            <v>PRECIO DE VENTA</v>
          </cell>
          <cell r="D803">
            <v>1</v>
          </cell>
          <cell r="E803">
            <v>8279</v>
          </cell>
          <cell r="F803">
            <v>8279</v>
          </cell>
        </row>
        <row r="804">
          <cell r="A804" t="str">
            <v>HI-PLE-PLC-985</v>
          </cell>
          <cell r="B804" t="str">
            <v>PALANCA REENVIO 985 - 1400</v>
          </cell>
          <cell r="C804" t="str">
            <v>PRECIO DE VENTA</v>
          </cell>
          <cell r="D804">
            <v>1</v>
          </cell>
          <cell r="E804">
            <v>6094</v>
          </cell>
          <cell r="F804">
            <v>6094</v>
          </cell>
        </row>
        <row r="805">
          <cell r="A805" t="str">
            <v>HI-PLE-RLS-4MT-BL</v>
          </cell>
          <cell r="B805" t="str">
            <v>RIELES SUP. &amp; INF. PLE. 4 MT - BLANCO</v>
          </cell>
          <cell r="C805" t="str">
            <v>PRECIO DE VENTA</v>
          </cell>
          <cell r="D805">
            <v>1</v>
          </cell>
          <cell r="E805">
            <v>292270</v>
          </cell>
          <cell r="F805">
            <v>292270</v>
          </cell>
        </row>
        <row r="806">
          <cell r="A806" t="str">
            <v>HI-PLE-RLS-4MT-NE</v>
          </cell>
          <cell r="B806" t="str">
            <v>RIELES SUP. &amp; INF. PLE. 4 MT - NEGRO</v>
          </cell>
          <cell r="C806" t="str">
            <v>PRECIO DE VENTA</v>
          </cell>
          <cell r="D806">
            <v>1</v>
          </cell>
          <cell r="E806">
            <v>306884</v>
          </cell>
          <cell r="F806">
            <v>306884</v>
          </cell>
        </row>
        <row r="807">
          <cell r="A807" t="str">
            <v>HI-PLE-RLS-6MT-BL</v>
          </cell>
          <cell r="B807" t="str">
            <v>RIELES SUP. &amp; INF. PLE. 6 MT - BLANCO</v>
          </cell>
          <cell r="C807" t="str">
            <v>PRECIO DE VENTA</v>
          </cell>
          <cell r="D807">
            <v>1</v>
          </cell>
          <cell r="E807">
            <v>350313</v>
          </cell>
          <cell r="F807">
            <v>350313</v>
          </cell>
        </row>
        <row r="808">
          <cell r="A808" t="str">
            <v>HI-PLE-RLS-6MT-NE</v>
          </cell>
          <cell r="B808" t="str">
            <v>RIELES SUP. &amp; INF. PLE. 6 MT - NEGRO</v>
          </cell>
          <cell r="C808" t="str">
            <v>PRECIO DE VENTA</v>
          </cell>
          <cell r="D808">
            <v>1</v>
          </cell>
          <cell r="E808">
            <v>460325</v>
          </cell>
          <cell r="F808">
            <v>460325</v>
          </cell>
        </row>
        <row r="809">
          <cell r="A809" t="str">
            <v>HI-PLE-SP-CRR-BL</v>
          </cell>
          <cell r="B809" t="str">
            <v>SOPORTE CARRO &amp; GUIA PLEGABLE - BLANCO</v>
          </cell>
          <cell r="C809" t="str">
            <v>PRECIO DE VENTA</v>
          </cell>
          <cell r="D809">
            <v>1</v>
          </cell>
          <cell r="E809">
            <v>27802</v>
          </cell>
          <cell r="F809">
            <v>27802</v>
          </cell>
        </row>
        <row r="810">
          <cell r="A810" t="str">
            <v>HI-PLE-SP-CRR-NE</v>
          </cell>
          <cell r="B810" t="str">
            <v>SOPORTE CARRO &amp; GUIA PLEGABLE - NEGRO</v>
          </cell>
          <cell r="C810" t="str">
            <v>PRECIO DE VENTA</v>
          </cell>
          <cell r="D810">
            <v>1</v>
          </cell>
          <cell r="E810">
            <v>36534</v>
          </cell>
          <cell r="F810">
            <v>36534</v>
          </cell>
        </row>
        <row r="811">
          <cell r="A811" t="str">
            <v>HI-PLE-SUP-08-NE</v>
          </cell>
          <cell r="B811" t="str">
            <v>SUPLEMENTO 8 MM BISAGRA PLEGABLE - NEGRO</v>
          </cell>
          <cell r="C811" t="str">
            <v>PRECIO DE VENTA</v>
          </cell>
          <cell r="D811">
            <v>1</v>
          </cell>
          <cell r="E811">
            <v>1061</v>
          </cell>
          <cell r="F811">
            <v>1061</v>
          </cell>
        </row>
        <row r="812">
          <cell r="A812" t="str">
            <v>HI-PLE-SUP-13-NE</v>
          </cell>
          <cell r="B812" t="str">
            <v>SUPLEMENTO 13 MM BISAGRA PLEGABLE - NEGRO</v>
          </cell>
          <cell r="C812" t="str">
            <v>PRECIO DE VENTA</v>
          </cell>
          <cell r="D812">
            <v>1</v>
          </cell>
          <cell r="E812">
            <v>1672</v>
          </cell>
          <cell r="F812">
            <v>1672</v>
          </cell>
        </row>
        <row r="813">
          <cell r="A813" t="str">
            <v>HI-PLE-SUP-18-NE</v>
          </cell>
          <cell r="B813" t="str">
            <v>SUPLEMENTO 18 MM BISAGRA PLEGABLE - NEGRO</v>
          </cell>
          <cell r="C813" t="str">
            <v>PRECIO DE VENTA</v>
          </cell>
          <cell r="D813">
            <v>1</v>
          </cell>
          <cell r="E813">
            <v>2101</v>
          </cell>
          <cell r="F813">
            <v>2101</v>
          </cell>
        </row>
        <row r="814">
          <cell r="A814" t="str">
            <v>HI-PLE-SUP-19-BL</v>
          </cell>
          <cell r="B814" t="str">
            <v>SUPLEMENTO 19 MM BISAGRA PLEGABLE - BLANCO</v>
          </cell>
          <cell r="C814" t="str">
            <v>PRECIO DE VENTA</v>
          </cell>
          <cell r="D814">
            <v>1</v>
          </cell>
          <cell r="E814">
            <v>2101</v>
          </cell>
          <cell r="F814">
            <v>2101</v>
          </cell>
        </row>
        <row r="815">
          <cell r="A815" t="str">
            <v>HI-PLE-SUP-19-NE</v>
          </cell>
          <cell r="B815" t="str">
            <v>SUPLEMENTO 19 MM BISAGRA PLEGABLE - NEGRO</v>
          </cell>
          <cell r="C815" t="str">
            <v>PRECIO DE VENTA</v>
          </cell>
          <cell r="D815">
            <v>1</v>
          </cell>
          <cell r="E815">
            <v>2101</v>
          </cell>
          <cell r="F815">
            <v>2101</v>
          </cell>
        </row>
        <row r="816">
          <cell r="A816" t="str">
            <v>HI-RST-BL</v>
          </cell>
          <cell r="B816" t="str">
            <v>ROSETA BLANCA</v>
          </cell>
          <cell r="C816" t="str">
            <v>PRECIO DE VENTA</v>
          </cell>
          <cell r="D816">
            <v>1</v>
          </cell>
          <cell r="E816">
            <v>1632</v>
          </cell>
          <cell r="F816">
            <v>1632</v>
          </cell>
        </row>
        <row r="817">
          <cell r="A817" t="str">
            <v>HI-RST-MR</v>
          </cell>
          <cell r="B817" t="str">
            <v>ROSETA MARRON</v>
          </cell>
          <cell r="C817" t="str">
            <v>PRECIO DE VENTA</v>
          </cell>
          <cell r="D817">
            <v>1</v>
          </cell>
          <cell r="E817">
            <v>1632</v>
          </cell>
          <cell r="F817">
            <v>1632</v>
          </cell>
        </row>
        <row r="818">
          <cell r="A818" t="str">
            <v>HI-RST-NE</v>
          </cell>
          <cell r="B818" t="str">
            <v>ROSETA NEGRA</v>
          </cell>
          <cell r="C818" t="str">
            <v>PRECIO DE VENTA</v>
          </cell>
          <cell r="D818">
            <v>1</v>
          </cell>
          <cell r="E818">
            <v>1632</v>
          </cell>
          <cell r="F818">
            <v>1632</v>
          </cell>
        </row>
        <row r="819">
          <cell r="A819" t="str">
            <v>HI-S60-DL-HV</v>
          </cell>
          <cell r="B819" t="str">
            <v>DISCO LIMPIADOR - HOJAS S60</v>
          </cell>
          <cell r="C819" t="str">
            <v>PRECIO DE VENTA</v>
          </cell>
          <cell r="D819">
            <v>1</v>
          </cell>
          <cell r="E819">
            <v>89233</v>
          </cell>
          <cell r="F819">
            <v>89233</v>
          </cell>
        </row>
        <row r="820">
          <cell r="A820" t="str">
            <v>HI-S60-DR-PT</v>
          </cell>
          <cell r="B820" t="str">
            <v>DISCO RETESTEADOR - POSTE T S60</v>
          </cell>
          <cell r="C820" t="str">
            <v>PRECIO DE VENTA</v>
          </cell>
          <cell r="D820">
            <v>1</v>
          </cell>
          <cell r="E820">
            <v>180458</v>
          </cell>
          <cell r="F820">
            <v>180458</v>
          </cell>
        </row>
        <row r="821">
          <cell r="A821" t="str">
            <v>HI-SEG-ADC-BL</v>
          </cell>
          <cell r="B821" t="str">
            <v>SEGURO ADICIONAL - BLANCO</v>
          </cell>
          <cell r="C821" t="str">
            <v>PRECIO DE VENTA</v>
          </cell>
          <cell r="D821">
            <v>1</v>
          </cell>
          <cell r="E821">
            <v>4702</v>
          </cell>
          <cell r="F821">
            <v>4702</v>
          </cell>
        </row>
        <row r="822">
          <cell r="A822" t="str">
            <v>HI-SEG-ADC-CF</v>
          </cell>
          <cell r="B822" t="str">
            <v>SEGURO ADICIONAL - TOFFE</v>
          </cell>
          <cell r="C822" t="str">
            <v>PRECIO DE VENTA</v>
          </cell>
          <cell r="D822">
            <v>1</v>
          </cell>
          <cell r="E822">
            <v>4544</v>
          </cell>
          <cell r="F822">
            <v>4544</v>
          </cell>
        </row>
        <row r="823">
          <cell r="A823" t="str">
            <v>HI-SEG-ADC-MR</v>
          </cell>
          <cell r="B823" t="str">
            <v>SEGURO ADICIONAL - MARRON</v>
          </cell>
          <cell r="C823" t="str">
            <v>PRECIO DE VENTA</v>
          </cell>
          <cell r="D823">
            <v>1</v>
          </cell>
          <cell r="E823">
            <v>4714</v>
          </cell>
          <cell r="F823">
            <v>4714</v>
          </cell>
        </row>
        <row r="824">
          <cell r="A824" t="str">
            <v>HI-SEG-ADC-NE</v>
          </cell>
          <cell r="B824" t="str">
            <v>SEGURO ADICIONAL - NEGRO</v>
          </cell>
          <cell r="C824" t="str">
            <v>PRECIO DE VENTA</v>
          </cell>
          <cell r="D824">
            <v>1</v>
          </cell>
          <cell r="E824">
            <v>4655</v>
          </cell>
          <cell r="F824">
            <v>4655</v>
          </cell>
        </row>
        <row r="825">
          <cell r="A825" t="str">
            <v>HI-SEG-ANT</v>
          </cell>
          <cell r="B825" t="str">
            <v>SEGURO ANTIELEVACION</v>
          </cell>
          <cell r="C825" t="str">
            <v>PRECIO DE VENTA</v>
          </cell>
          <cell r="D825">
            <v>1</v>
          </cell>
          <cell r="E825">
            <v>281</v>
          </cell>
          <cell r="F825">
            <v>281</v>
          </cell>
        </row>
        <row r="826">
          <cell r="A826" t="str">
            <v>HI-SLA-DL-MC</v>
          </cell>
          <cell r="B826" t="str">
            <v>DISCO LIMPIADOR - MARCOS CORREDERA MULTIPLE</v>
          </cell>
          <cell r="C826" t="str">
            <v>PRECIO DE VENTA</v>
          </cell>
          <cell r="D826">
            <v>1</v>
          </cell>
          <cell r="E826">
            <v>86377</v>
          </cell>
          <cell r="F826">
            <v>86377</v>
          </cell>
        </row>
        <row r="827">
          <cell r="A827" t="str">
            <v>HI-SLA-DR-HPC</v>
          </cell>
          <cell r="B827" t="str">
            <v>DISCO RETESTEADOR - HOJAS ANDES 66</v>
          </cell>
          <cell r="C827" t="str">
            <v>PRECIO DE VENTA</v>
          </cell>
          <cell r="D827">
            <v>1</v>
          </cell>
          <cell r="E827">
            <v>73724</v>
          </cell>
          <cell r="F827">
            <v>73724</v>
          </cell>
        </row>
        <row r="828">
          <cell r="A828" t="str">
            <v>HI-SLA-DR-HVC</v>
          </cell>
          <cell r="B828" t="str">
            <v>DISCO LIMPIADOR - ANDES 66</v>
          </cell>
          <cell r="C828" t="str">
            <v>PRECIO DE VENTA</v>
          </cell>
          <cell r="D828">
            <v>1</v>
          </cell>
          <cell r="E828">
            <v>71082</v>
          </cell>
          <cell r="F828">
            <v>71082</v>
          </cell>
        </row>
        <row r="829">
          <cell r="A829" t="str">
            <v>HI-SLA-DR-MDM</v>
          </cell>
          <cell r="B829" t="str">
            <v>DISCO RETESTEADOR - MARCO DIVISOR</v>
          </cell>
          <cell r="C829" t="str">
            <v>PRECIO DE VENTA</v>
          </cell>
          <cell r="D829">
            <v>1</v>
          </cell>
          <cell r="E829">
            <v>71550</v>
          </cell>
          <cell r="F829">
            <v>71550</v>
          </cell>
        </row>
        <row r="830">
          <cell r="A830" t="str">
            <v>HI-SLA-DR-MDR</v>
          </cell>
          <cell r="B830" t="str">
            <v>DISCO RETESTEADOR - MARCO DOBLE RIEL ANDES</v>
          </cell>
          <cell r="C830" t="str">
            <v>PRECIO DE VENTA</v>
          </cell>
          <cell r="D830">
            <v>1</v>
          </cell>
          <cell r="E830">
            <v>70212</v>
          </cell>
          <cell r="F830">
            <v>70212</v>
          </cell>
        </row>
        <row r="831">
          <cell r="A831" t="str">
            <v>HI-SLC-300-AN</v>
          </cell>
          <cell r="B831" t="str">
            <v>SILICONA SILTEK SELSIL 280 gr - ANTHRACITA</v>
          </cell>
          <cell r="C831" t="str">
            <v>PRECIO DE VENTA</v>
          </cell>
          <cell r="D831">
            <v>1</v>
          </cell>
          <cell r="E831">
            <v>2174</v>
          </cell>
          <cell r="F831">
            <v>2174</v>
          </cell>
        </row>
        <row r="832">
          <cell r="A832" t="str">
            <v>HI-SLC-300-BL</v>
          </cell>
          <cell r="B832" t="str">
            <v>SILICONA SILTEK SELSIL 280 gr - BLANCA</v>
          </cell>
          <cell r="C832" t="str">
            <v>PRECIO DE VENTA</v>
          </cell>
          <cell r="D832">
            <v>1</v>
          </cell>
          <cell r="E832">
            <v>2069</v>
          </cell>
          <cell r="F832">
            <v>2069</v>
          </cell>
        </row>
        <row r="833">
          <cell r="A833" t="str">
            <v>HI-SLC-300-MR</v>
          </cell>
          <cell r="B833" t="str">
            <v>SILICONA SILTEK SELSIL 280 gr - MARRON</v>
          </cell>
          <cell r="C833" t="str">
            <v>PRECIO DE VENTA</v>
          </cell>
          <cell r="D833">
            <v>1</v>
          </cell>
          <cell r="E833">
            <v>2174</v>
          </cell>
          <cell r="F833">
            <v>2174</v>
          </cell>
        </row>
        <row r="834">
          <cell r="A834" t="str">
            <v>HI-SLC-300-NE</v>
          </cell>
          <cell r="B834" t="str">
            <v>SILICONA SILTEK SELSIL 280 gr - NEGRO</v>
          </cell>
          <cell r="C834" t="str">
            <v>PRECIO DE VENTA</v>
          </cell>
          <cell r="D834">
            <v>1</v>
          </cell>
          <cell r="E834">
            <v>2069</v>
          </cell>
          <cell r="F834">
            <v>2069</v>
          </cell>
        </row>
        <row r="835">
          <cell r="A835" t="str">
            <v>HI-SLC-300-TO</v>
          </cell>
          <cell r="B835" t="str">
            <v>SILICONA SILTEK SELSIL 280 gr - TOFFE</v>
          </cell>
          <cell r="C835" t="str">
            <v>PRECIO DE VENTA</v>
          </cell>
          <cell r="D835">
            <v>1</v>
          </cell>
          <cell r="E835">
            <v>2174</v>
          </cell>
          <cell r="F835">
            <v>2174</v>
          </cell>
        </row>
        <row r="836">
          <cell r="A836" t="str">
            <v>HI-SLD-DL-HVC</v>
          </cell>
          <cell r="B836" t="str">
            <v>DISCO LIMPIADOR - HOJAS 80</v>
          </cell>
          <cell r="C836" t="str">
            <v>PRECIO DE VENTA</v>
          </cell>
          <cell r="D836">
            <v>1</v>
          </cell>
          <cell r="E836">
            <v>76382</v>
          </cell>
          <cell r="F836">
            <v>76382</v>
          </cell>
        </row>
        <row r="837">
          <cell r="A837" t="str">
            <v>HI-SUP-CRR-13-CS</v>
          </cell>
          <cell r="B837" t="str">
            <v>SUPLEMENTO CARROS CELSUS 13 mm</v>
          </cell>
          <cell r="C837" t="str">
            <v>PRECIO DE VENTA</v>
          </cell>
          <cell r="D837">
            <v>1</v>
          </cell>
          <cell r="E837">
            <v>254</v>
          </cell>
          <cell r="F837">
            <v>254</v>
          </cell>
        </row>
        <row r="838">
          <cell r="A838" t="str">
            <v>HI-SUP-CRR-165-CS</v>
          </cell>
          <cell r="B838" t="str">
            <v>SUPLEMENTO CARROS CELSUS 16.5 mm</v>
          </cell>
          <cell r="C838" t="str">
            <v>PRECIO DE VENTA</v>
          </cell>
          <cell r="D838">
            <v>1</v>
          </cell>
          <cell r="E838">
            <v>297</v>
          </cell>
          <cell r="F838">
            <v>297</v>
          </cell>
        </row>
        <row r="839">
          <cell r="A839" t="str">
            <v>HI-SUP-CRR-185-CS</v>
          </cell>
          <cell r="B839" t="str">
            <v>SUPLEMENTO CARROS CELSUS 18.5 mm</v>
          </cell>
          <cell r="C839" t="str">
            <v>PRECIO DE VENTA</v>
          </cell>
          <cell r="D839">
            <v>1</v>
          </cell>
          <cell r="E839">
            <v>339</v>
          </cell>
          <cell r="F839">
            <v>339</v>
          </cell>
        </row>
        <row r="840">
          <cell r="A840" t="str">
            <v>HI-SUP-CRR-30-CS</v>
          </cell>
          <cell r="B840" t="str">
            <v>SUPLEMENTO CARROS CELSUS 30 mm</v>
          </cell>
          <cell r="C840" t="str">
            <v>PRECIO DE VENTA</v>
          </cell>
          <cell r="D840">
            <v>1</v>
          </cell>
          <cell r="E840">
            <v>403</v>
          </cell>
          <cell r="F840">
            <v>403</v>
          </cell>
        </row>
        <row r="841">
          <cell r="A841" t="str">
            <v>HI-SUP-CRR-6-CS</v>
          </cell>
          <cell r="B841" t="str">
            <v>SUPLEMENTO CARROS CELSUS 6 mm</v>
          </cell>
          <cell r="C841" t="str">
            <v>PRECIO DE VENTA</v>
          </cell>
          <cell r="D841">
            <v>1</v>
          </cell>
          <cell r="E841">
            <v>170</v>
          </cell>
          <cell r="F841">
            <v>170</v>
          </cell>
        </row>
        <row r="842">
          <cell r="A842" t="str">
            <v>HI-SUP-CRR-CS</v>
          </cell>
          <cell r="B842" t="str">
            <v>SUPLEMENTO CARROS CELSUS</v>
          </cell>
          <cell r="C842" t="str">
            <v>PRECIO DE VENTA</v>
          </cell>
          <cell r="D842">
            <v>1</v>
          </cell>
          <cell r="E842">
            <v>422</v>
          </cell>
          <cell r="F842">
            <v>422</v>
          </cell>
        </row>
        <row r="843">
          <cell r="A843" t="str">
            <v>HI-TIR-EMB-BL-CS</v>
          </cell>
          <cell r="B843" t="str">
            <v>TIRADOR EMBUTIDO - BLANCO CELSUS</v>
          </cell>
          <cell r="C843" t="str">
            <v>PRECIO DE VENTA</v>
          </cell>
          <cell r="D843">
            <v>1</v>
          </cell>
          <cell r="E843">
            <v>2474</v>
          </cell>
          <cell r="F843">
            <v>2474</v>
          </cell>
        </row>
        <row r="844">
          <cell r="A844" t="str">
            <v>HI-TIR-EMB-MR-CS</v>
          </cell>
          <cell r="B844" t="str">
            <v>TIRADOR EMBUTIDO - MARRON CELSUS</v>
          </cell>
          <cell r="C844" t="str">
            <v>PRECIO DE VENTA</v>
          </cell>
          <cell r="D844">
            <v>1</v>
          </cell>
          <cell r="E844">
            <v>2599</v>
          </cell>
          <cell r="F844">
            <v>2599</v>
          </cell>
        </row>
        <row r="845">
          <cell r="A845" t="str">
            <v>HI-TIR-EMB-NE-CS</v>
          </cell>
          <cell r="B845" t="str">
            <v>TIRADOR EMBUTIDO - NEGRO CELSUS</v>
          </cell>
          <cell r="C845" t="str">
            <v>PRECIO DE VENTA</v>
          </cell>
          <cell r="D845">
            <v>1</v>
          </cell>
          <cell r="E845">
            <v>3093</v>
          </cell>
          <cell r="F845">
            <v>3093</v>
          </cell>
        </row>
        <row r="846">
          <cell r="A846" t="str">
            <v>HI-TOR-AMO-75-100</v>
          </cell>
          <cell r="B846" t="str">
            <v>TORNILLO AMO III 7,5 x 100</v>
          </cell>
          <cell r="C846" t="str">
            <v>PRECIO DE VENTA</v>
          </cell>
          <cell r="D846">
            <v>1</v>
          </cell>
          <cell r="E846">
            <v>168</v>
          </cell>
          <cell r="F846">
            <v>168</v>
          </cell>
        </row>
        <row r="847">
          <cell r="A847" t="str">
            <v>HI-TOR-AMO-75-120</v>
          </cell>
          <cell r="B847" t="str">
            <v>TORNILLO AMO III 7,5 x 120</v>
          </cell>
          <cell r="C847" t="str">
            <v>PRECIO DE VENTA</v>
          </cell>
          <cell r="D847">
            <v>1</v>
          </cell>
          <cell r="E847">
            <v>185</v>
          </cell>
          <cell r="F847">
            <v>185</v>
          </cell>
        </row>
        <row r="848">
          <cell r="A848" t="str">
            <v>HI-TOR-AMO-75-80</v>
          </cell>
          <cell r="B848" t="str">
            <v>TORNILLO AMO III 7,5 x 80</v>
          </cell>
          <cell r="C848" t="str">
            <v>PRECIO DE VENTA</v>
          </cell>
          <cell r="D848">
            <v>1</v>
          </cell>
          <cell r="E848">
            <v>106</v>
          </cell>
          <cell r="F848">
            <v>106</v>
          </cell>
        </row>
        <row r="849">
          <cell r="A849" t="str">
            <v>HI-TOR-AUT-39-13</v>
          </cell>
          <cell r="B849" t="str">
            <v>TORNILLO AUTOPERFORANTE 3,9 x 13</v>
          </cell>
          <cell r="C849" t="str">
            <v>PRECIO DE VENTA</v>
          </cell>
          <cell r="D849">
            <v>1</v>
          </cell>
          <cell r="E849">
            <v>16</v>
          </cell>
          <cell r="F849">
            <v>16</v>
          </cell>
        </row>
        <row r="850">
          <cell r="A850" t="str">
            <v>HI-TOR-AUT-39-16</v>
          </cell>
          <cell r="B850" t="str">
            <v>TORNILLO AUTOPERFORANTE 3,9 x 16</v>
          </cell>
          <cell r="C850" t="str">
            <v>PRECIO DE VENTA</v>
          </cell>
          <cell r="D850">
            <v>1</v>
          </cell>
          <cell r="E850">
            <v>18</v>
          </cell>
          <cell r="F850">
            <v>18</v>
          </cell>
        </row>
        <row r="851">
          <cell r="A851" t="str">
            <v>HI-TOR-AUT-39-19</v>
          </cell>
          <cell r="B851" t="str">
            <v>TORNILLO AUTOPERFORANTE 3,9 x 19</v>
          </cell>
          <cell r="C851" t="str">
            <v>PRECIO DE VENTA</v>
          </cell>
          <cell r="D851">
            <v>1</v>
          </cell>
          <cell r="E851">
            <v>19</v>
          </cell>
          <cell r="F851">
            <v>19</v>
          </cell>
        </row>
        <row r="852">
          <cell r="A852" t="str">
            <v>HI-TOR-AUT-39-25</v>
          </cell>
          <cell r="B852" t="str">
            <v>TORNILLO AUTOPERFORANTE 3,9 x 25</v>
          </cell>
          <cell r="C852" t="str">
            <v>PRECIO DE VENTA</v>
          </cell>
          <cell r="D852">
            <v>1</v>
          </cell>
          <cell r="E852">
            <v>24</v>
          </cell>
          <cell r="F852">
            <v>24</v>
          </cell>
        </row>
        <row r="853">
          <cell r="A853" t="str">
            <v>HI-TOR-AUT-42-50</v>
          </cell>
          <cell r="B853" t="str">
            <v>TORNILLO AUTOPERFORANTE 4,2 x 50</v>
          </cell>
          <cell r="C853" t="str">
            <v>PRECIO DE VENTA</v>
          </cell>
          <cell r="D853">
            <v>1</v>
          </cell>
          <cell r="E853">
            <v>106</v>
          </cell>
          <cell r="F853">
            <v>106</v>
          </cell>
        </row>
        <row r="854">
          <cell r="A854" t="str">
            <v>HI-TOR-AUT-42-80</v>
          </cell>
          <cell r="B854" t="str">
            <v>TORNILLO AUTOPERFORNATE 4,2 x 80</v>
          </cell>
          <cell r="C854" t="str">
            <v>PRECIO DE VENTA</v>
          </cell>
          <cell r="D854">
            <v>1</v>
          </cell>
          <cell r="E854">
            <v>67</v>
          </cell>
          <cell r="F854">
            <v>67</v>
          </cell>
        </row>
        <row r="855">
          <cell r="A855" t="str">
            <v>HI-TOR-AUTR-39-13</v>
          </cell>
          <cell r="B855" t="str">
            <v>TORNILLO AUTOPERFORANTE REDONDO  3,9X13</v>
          </cell>
          <cell r="C855" t="str">
            <v>PRECIO DE VENTA</v>
          </cell>
          <cell r="D855">
            <v>1</v>
          </cell>
          <cell r="E855">
            <v>21</v>
          </cell>
          <cell r="F855">
            <v>21</v>
          </cell>
        </row>
        <row r="856">
          <cell r="A856" t="str">
            <v>HI-TOR-PUA-42-20</v>
          </cell>
          <cell r="B856" t="str">
            <v>TORNILLO PUNTA AGUJA 4,2 x 20</v>
          </cell>
          <cell r="C856" t="str">
            <v>PRECIO DE VENTA</v>
          </cell>
          <cell r="D856">
            <v>1</v>
          </cell>
          <cell r="E856">
            <v>16</v>
          </cell>
          <cell r="F856">
            <v>16</v>
          </cell>
        </row>
        <row r="857">
          <cell r="A857" t="str">
            <v>HI-TOR-PUA-42-25</v>
          </cell>
          <cell r="B857" t="str">
            <v>TORNILLO PUNTA AGUJA 4,2 x 25</v>
          </cell>
          <cell r="C857" t="str">
            <v>PRECIO DE VENTA</v>
          </cell>
          <cell r="D857">
            <v>1</v>
          </cell>
          <cell r="E857">
            <v>18</v>
          </cell>
          <cell r="F857">
            <v>18</v>
          </cell>
        </row>
        <row r="858">
          <cell r="A858" t="str">
            <v>HI-TOR-PUA-42-38</v>
          </cell>
          <cell r="B858" t="str">
            <v>TORNILLO PUNTA AGUJA 4,2 x 38</v>
          </cell>
          <cell r="C858" t="str">
            <v>PRECIO DE VENTA</v>
          </cell>
          <cell r="D858">
            <v>1</v>
          </cell>
          <cell r="E858">
            <v>35</v>
          </cell>
          <cell r="F858">
            <v>35</v>
          </cell>
        </row>
        <row r="859">
          <cell r="A859" t="str">
            <v>HI-TOR-PUA-5-80</v>
          </cell>
          <cell r="B859" t="str">
            <v>TORNILLO PUNTA AGUJA 5 x 80</v>
          </cell>
          <cell r="C859" t="str">
            <v>PRECIO DE VENTA</v>
          </cell>
          <cell r="D859">
            <v>1</v>
          </cell>
          <cell r="E859">
            <v>45</v>
          </cell>
          <cell r="F859">
            <v>45</v>
          </cell>
        </row>
        <row r="860">
          <cell r="A860" t="str">
            <v>HL-ACA-PCA-AND-MA</v>
          </cell>
          <cell r="B860" t="str">
            <v>PUENTE DE ACRISTALAR ANDES - M</v>
          </cell>
          <cell r="C860" t="str">
            <v>PRECIO DE VENTA</v>
          </cell>
          <cell r="D860">
            <v>1</v>
          </cell>
          <cell r="E860">
            <v>106</v>
          </cell>
          <cell r="F860">
            <v>106</v>
          </cell>
        </row>
        <row r="861">
          <cell r="A861" t="str">
            <v>HL-ACC-5X5-APOC-MA</v>
          </cell>
          <cell r="B861" t="str">
            <v>APOYO CERRADERO 5 x 5 - M</v>
          </cell>
          <cell r="C861" t="str">
            <v>PRECIO DE VENTA</v>
          </cell>
          <cell r="D861">
            <v>1</v>
          </cell>
          <cell r="E861">
            <v>5557</v>
          </cell>
          <cell r="F861">
            <v>5557</v>
          </cell>
        </row>
        <row r="862">
          <cell r="A862" t="str">
            <v>HL-ACC-7X7-APOC-MA</v>
          </cell>
          <cell r="B862" t="str">
            <v>APOYO CERRADERO 7 x 7 - M</v>
          </cell>
          <cell r="C862" t="str">
            <v>PRECIO DE VENTA</v>
          </cell>
          <cell r="D862">
            <v>1</v>
          </cell>
          <cell r="E862">
            <v>6048</v>
          </cell>
          <cell r="F862">
            <v>6048</v>
          </cell>
        </row>
        <row r="863">
          <cell r="A863" t="str">
            <v>HL-ACC-9X9-APOC-MA</v>
          </cell>
          <cell r="B863" t="str">
            <v>APOYO CERRADERO 9 x 9 - M</v>
          </cell>
          <cell r="C863" t="str">
            <v>PRECIO DE VENTA</v>
          </cell>
          <cell r="D863">
            <v>1</v>
          </cell>
          <cell r="E863">
            <v>8329</v>
          </cell>
          <cell r="F863">
            <v>8329</v>
          </cell>
        </row>
        <row r="864">
          <cell r="A864" t="str">
            <v>HL-ACC-CLZ-2-MA</v>
          </cell>
          <cell r="B864" t="str">
            <v>CALZO CELESTE 100 x 202 x 2 - M</v>
          </cell>
          <cell r="C864" t="str">
            <v>PRECIO DE VENTA</v>
          </cell>
          <cell r="D864">
            <v>1</v>
          </cell>
          <cell r="E864">
            <v>43</v>
          </cell>
          <cell r="F864">
            <v>43</v>
          </cell>
        </row>
        <row r="865">
          <cell r="A865" t="str">
            <v>HL-ACC-CLZ-2-MV</v>
          </cell>
          <cell r="B865" t="str">
            <v>CALZO ACRISTALAR 2MM - AZUL - MV</v>
          </cell>
          <cell r="C865" t="str">
            <v>PRECIO DE VENTA</v>
          </cell>
          <cell r="D865">
            <v>1</v>
          </cell>
          <cell r="E865">
            <v>37</v>
          </cell>
          <cell r="F865">
            <v>37</v>
          </cell>
        </row>
        <row r="866">
          <cell r="A866" t="str">
            <v>HL-ACC-CLZ-3-MA</v>
          </cell>
          <cell r="B866" t="str">
            <v>CALZO ROJO 100 x 20 x 3 - M</v>
          </cell>
          <cell r="C866" t="str">
            <v>PRECIO DE VENTA</v>
          </cell>
          <cell r="D866">
            <v>1</v>
          </cell>
          <cell r="E866">
            <v>48</v>
          </cell>
          <cell r="F866">
            <v>48</v>
          </cell>
        </row>
        <row r="867">
          <cell r="A867" t="str">
            <v>HL-ACC-CLZ-3-MV</v>
          </cell>
          <cell r="B867" t="str">
            <v>CALZO ACRISTALAR 3MM - ROJO - MV</v>
          </cell>
          <cell r="C867" t="str">
            <v>PRECIO DE VENTA</v>
          </cell>
          <cell r="D867">
            <v>1</v>
          </cell>
          <cell r="E867">
            <v>44</v>
          </cell>
          <cell r="F867">
            <v>44</v>
          </cell>
        </row>
        <row r="868">
          <cell r="A868" t="str">
            <v>HL-ACC-CLZ-4-MA</v>
          </cell>
          <cell r="B868" t="str">
            <v>CALZO AMARILLO 100 x 20 x 4 - M</v>
          </cell>
          <cell r="C868" t="str">
            <v>PRECIO DE VENTA</v>
          </cell>
          <cell r="D868">
            <v>1</v>
          </cell>
          <cell r="E868">
            <v>66</v>
          </cell>
          <cell r="F868">
            <v>66</v>
          </cell>
        </row>
        <row r="869">
          <cell r="A869" t="str">
            <v>HL-ACC-CLZ-4-MV</v>
          </cell>
          <cell r="B869" t="str">
            <v>CALZO ACRISTALAR 4MM - AMARILLO - MV</v>
          </cell>
          <cell r="C869" t="str">
            <v>PRECIO DE VENTA</v>
          </cell>
          <cell r="D869">
            <v>1</v>
          </cell>
          <cell r="E869">
            <v>47</v>
          </cell>
          <cell r="F869">
            <v>47</v>
          </cell>
        </row>
        <row r="870">
          <cell r="A870" t="str">
            <v>HL-ACC-CLZ-5-MA</v>
          </cell>
          <cell r="B870" t="str">
            <v>CALZO VERDE 100 x 20 x 5 - M</v>
          </cell>
          <cell r="C870" t="str">
            <v>PRECIO DE VENTA</v>
          </cell>
          <cell r="D870">
            <v>1</v>
          </cell>
          <cell r="E870">
            <v>62</v>
          </cell>
          <cell r="F870">
            <v>62</v>
          </cell>
        </row>
        <row r="871">
          <cell r="A871" t="str">
            <v>HL-ACC-LPR-NE-GH</v>
          </cell>
          <cell r="B871" t="str">
            <v>LAPIZ DE RETOQUE NEGRO - G</v>
          </cell>
          <cell r="C871" t="str">
            <v>PRECIO DE VENTA</v>
          </cell>
          <cell r="D871">
            <v>1</v>
          </cell>
          <cell r="E871">
            <v>23121</v>
          </cell>
          <cell r="F871">
            <v>23121</v>
          </cell>
        </row>
        <row r="872">
          <cell r="A872" t="str">
            <v>HL-ACC-LPR-NO-GH</v>
          </cell>
          <cell r="B872" t="str">
            <v>LAPIZ DE RETOQUE NOGAL - G</v>
          </cell>
          <cell r="C872" t="str">
            <v>PRECIO DE VENTA</v>
          </cell>
          <cell r="D872">
            <v>1</v>
          </cell>
          <cell r="E872">
            <v>21943</v>
          </cell>
          <cell r="F872">
            <v>21943</v>
          </cell>
        </row>
        <row r="873">
          <cell r="A873" t="str">
            <v>HL-ACC-LPR-RD-GH</v>
          </cell>
          <cell r="B873" t="str">
            <v>LAPIZ RETOQUE ROBLE - G</v>
          </cell>
          <cell r="C873" t="str">
            <v>PRECIO DE VENTA</v>
          </cell>
          <cell r="D873">
            <v>1</v>
          </cell>
          <cell r="E873">
            <v>21362</v>
          </cell>
          <cell r="F873">
            <v>21362</v>
          </cell>
        </row>
        <row r="874">
          <cell r="A874" t="str">
            <v>HL-ACC-PAC-SLD-MA</v>
          </cell>
          <cell r="B874" t="str">
            <v>PUENTE DE ACRISTALAR CORREDERA - M</v>
          </cell>
          <cell r="C874" t="str">
            <v>PRECIO DE VENTA</v>
          </cell>
          <cell r="D874">
            <v>1</v>
          </cell>
          <cell r="E874">
            <v>130</v>
          </cell>
          <cell r="F874">
            <v>130</v>
          </cell>
        </row>
        <row r="875">
          <cell r="A875" t="str">
            <v>HL-ACC-PDA-S60-MA</v>
          </cell>
          <cell r="B875" t="str">
            <v>PUENTE DE ACRISTALAR ABATIBLE - M</v>
          </cell>
          <cell r="C875" t="str">
            <v>PRECIO DE VENTA</v>
          </cell>
          <cell r="D875">
            <v>1</v>
          </cell>
          <cell r="E875">
            <v>124</v>
          </cell>
          <cell r="F875">
            <v>124</v>
          </cell>
        </row>
        <row r="876">
          <cell r="A876" t="str">
            <v>HL-ACC-SEP-12-NE</v>
          </cell>
          <cell r="B876" t="str">
            <v>ROLLO SEPARADOR DE 12mm 270MT - NEGRO</v>
          </cell>
          <cell r="C876" t="str">
            <v>PRECIO DE VENTA</v>
          </cell>
          <cell r="D876">
            <v>1</v>
          </cell>
          <cell r="E876">
            <v>204300</v>
          </cell>
          <cell r="F876">
            <v>204300</v>
          </cell>
        </row>
        <row r="877">
          <cell r="A877" t="str">
            <v>HL-ACC-TAM-10-GH</v>
          </cell>
          <cell r="B877" t="str">
            <v>TOPE AMORTIGUADOR 10 mm - G</v>
          </cell>
          <cell r="C877" t="str">
            <v>PRECIO DE VENTA</v>
          </cell>
          <cell r="D877">
            <v>1</v>
          </cell>
          <cell r="E877">
            <v>240</v>
          </cell>
          <cell r="F877">
            <v>240</v>
          </cell>
        </row>
        <row r="878">
          <cell r="A878" t="str">
            <v>HL-ACC-TAM-13-GH</v>
          </cell>
          <cell r="B878" t="str">
            <v>TOPE AMORTIGUADOR 13 mm - G</v>
          </cell>
          <cell r="C878" t="str">
            <v>PRECIO DE VENTA</v>
          </cell>
          <cell r="D878">
            <v>1</v>
          </cell>
          <cell r="E878">
            <v>403</v>
          </cell>
          <cell r="F878">
            <v>403</v>
          </cell>
        </row>
        <row r="879">
          <cell r="A879" t="str">
            <v>HL-ACC-TAMOR-13-MA</v>
          </cell>
          <cell r="B879" t="str">
            <v>TOPE AMORTIGUADOR 13 mm - M</v>
          </cell>
          <cell r="C879" t="str">
            <v>PRECIO DE VENTA</v>
          </cell>
          <cell r="D879">
            <v>1</v>
          </cell>
          <cell r="E879">
            <v>351</v>
          </cell>
          <cell r="F879">
            <v>351</v>
          </cell>
        </row>
        <row r="880">
          <cell r="A880" t="str">
            <v>HL-ACC-TC90-BL-GH</v>
          </cell>
          <cell r="B880" t="str">
            <v>TOPE 90° - BLANCO - G</v>
          </cell>
          <cell r="C880" t="str">
            <v>PRECIO DE VENTA</v>
          </cell>
          <cell r="D880">
            <v>1</v>
          </cell>
          <cell r="E880">
            <v>2401</v>
          </cell>
          <cell r="F880">
            <v>2401</v>
          </cell>
        </row>
        <row r="881">
          <cell r="A881" t="str">
            <v>HL-ACC-TC90-NE-GH</v>
          </cell>
          <cell r="B881" t="str">
            <v>TOPE 90º - NEGRO - G</v>
          </cell>
          <cell r="C881" t="str">
            <v>PRECIO DE VENTA</v>
          </cell>
          <cell r="D881">
            <v>1</v>
          </cell>
          <cell r="E881">
            <v>2401</v>
          </cell>
          <cell r="F881">
            <v>2401</v>
          </cell>
        </row>
        <row r="882">
          <cell r="A882" t="str">
            <v>HL-ACC-TDG-BL-PS</v>
          </cell>
          <cell r="B882" t="str">
            <v>TAPA DESAGUE BLANCO - PS</v>
          </cell>
          <cell r="C882" t="str">
            <v>PRECIO DE VENTA</v>
          </cell>
          <cell r="D882">
            <v>1</v>
          </cell>
          <cell r="E882">
            <v>50</v>
          </cell>
          <cell r="F882">
            <v>50</v>
          </cell>
        </row>
        <row r="883">
          <cell r="A883" t="str">
            <v>HL-ACC-TDG-MR-PS</v>
          </cell>
          <cell r="B883" t="str">
            <v>TAPA DESAGUE MARRON - PS</v>
          </cell>
          <cell r="C883" t="str">
            <v>PRECIO DE VENTA</v>
          </cell>
          <cell r="D883">
            <v>1</v>
          </cell>
          <cell r="E883">
            <v>50</v>
          </cell>
          <cell r="F883">
            <v>50</v>
          </cell>
        </row>
        <row r="884">
          <cell r="A884" t="str">
            <v>HL-ACC-TDG-NE-PS</v>
          </cell>
          <cell r="B884" t="str">
            <v>TAPA DESAGUE NEGRO - PS</v>
          </cell>
          <cell r="C884" t="str">
            <v>PRECIO DE VENTA</v>
          </cell>
          <cell r="D884">
            <v>1</v>
          </cell>
          <cell r="E884">
            <v>50</v>
          </cell>
          <cell r="F884">
            <v>50</v>
          </cell>
        </row>
        <row r="885">
          <cell r="A885" t="str">
            <v>HL-ACC-TTA-BL-MA</v>
          </cell>
          <cell r="B885" t="str">
            <v>TAPA TORNILLO AMO III - BLANCO - M</v>
          </cell>
          <cell r="C885" t="str">
            <v>PRECIO DE VENTA</v>
          </cell>
          <cell r="D885">
            <v>1</v>
          </cell>
          <cell r="E885">
            <v>26</v>
          </cell>
          <cell r="F885">
            <v>26</v>
          </cell>
        </row>
        <row r="886">
          <cell r="A886" t="str">
            <v>HL-ACC-TTA-MR-MA</v>
          </cell>
          <cell r="B886" t="str">
            <v>TAPA TORNILLO AMO III - MARRON - M</v>
          </cell>
          <cell r="C886" t="str">
            <v>PRECIO DE VENTA</v>
          </cell>
          <cell r="D886">
            <v>1</v>
          </cell>
          <cell r="E886">
            <v>26</v>
          </cell>
          <cell r="F886">
            <v>26</v>
          </cell>
        </row>
        <row r="887">
          <cell r="A887" t="str">
            <v>HL-ACC-TTA-NE-MA</v>
          </cell>
          <cell r="B887" t="str">
            <v>TAPA TORNILLO AMO III - NEGRO - M</v>
          </cell>
          <cell r="C887" t="str">
            <v>PRECIO DE VENTA</v>
          </cell>
          <cell r="D887">
            <v>1</v>
          </cell>
          <cell r="E887">
            <v>26</v>
          </cell>
          <cell r="F887">
            <v>26</v>
          </cell>
        </row>
        <row r="888">
          <cell r="A888" t="str">
            <v>HL-ACC-TTM-BL-MA</v>
          </cell>
          <cell r="B888" t="str">
            <v>TAPA TORNILLO MOSQUITERO 10mm BLANCA - MA</v>
          </cell>
          <cell r="C888" t="str">
            <v>PRECIO DE VENTA</v>
          </cell>
          <cell r="D888">
            <v>1</v>
          </cell>
          <cell r="E888">
            <v>31</v>
          </cell>
          <cell r="F888">
            <v>31</v>
          </cell>
        </row>
        <row r="889">
          <cell r="A889" t="str">
            <v>HL-ACC-TTM-MR-MA</v>
          </cell>
          <cell r="B889" t="str">
            <v>TAPA TORNILLO MOSQUITERO 10mm MARRON - MA</v>
          </cell>
          <cell r="C889" t="str">
            <v>PRECIO DE VENTA</v>
          </cell>
          <cell r="D889">
            <v>1</v>
          </cell>
          <cell r="E889">
            <v>31</v>
          </cell>
          <cell r="F889">
            <v>31</v>
          </cell>
        </row>
        <row r="890">
          <cell r="A890" t="str">
            <v>HL-AD-GU-PVC-GU</v>
          </cell>
          <cell r="B890" t="str">
            <v>ADHESIVO DE PVC 200 gr - GU</v>
          </cell>
          <cell r="C890" t="str">
            <v>PRECIO DE VENTA</v>
          </cell>
          <cell r="D890">
            <v>1</v>
          </cell>
          <cell r="E890">
            <v>10990</v>
          </cell>
          <cell r="F890">
            <v>10990</v>
          </cell>
        </row>
        <row r="891">
          <cell r="A891" t="str">
            <v>HL-APS-300-DV-MA</v>
          </cell>
          <cell r="B891" t="str">
            <v>APLICADOR DE SELLANTE 300 ML - MA</v>
          </cell>
          <cell r="C891" t="str">
            <v>PRECIO DE VENTA</v>
          </cell>
          <cell r="D891">
            <v>1</v>
          </cell>
          <cell r="E891">
            <v>7303</v>
          </cell>
          <cell r="F891">
            <v>7303</v>
          </cell>
        </row>
        <row r="892">
          <cell r="A892" t="str">
            <v>HL-BIS-3D-BL-AD</v>
          </cell>
          <cell r="B892" t="str">
            <v>BISAGRA 3D AJUSTABLE - BLANCO - AD</v>
          </cell>
          <cell r="C892" t="str">
            <v>PRECIO DE VENTA</v>
          </cell>
          <cell r="D892">
            <v>1</v>
          </cell>
          <cell r="E892">
            <v>8826</v>
          </cell>
          <cell r="F892">
            <v>8826</v>
          </cell>
        </row>
        <row r="893">
          <cell r="A893" t="str">
            <v>HL-BIS-3D-BL-TT</v>
          </cell>
          <cell r="B893" t="str">
            <v>BISAGRA 3D BLANCO - TT</v>
          </cell>
          <cell r="C893" t="str">
            <v>PRECIO DE VENTA</v>
          </cell>
          <cell r="D893">
            <v>1</v>
          </cell>
          <cell r="E893">
            <v>8638</v>
          </cell>
          <cell r="F893">
            <v>8638</v>
          </cell>
        </row>
        <row r="894">
          <cell r="A894" t="str">
            <v>HL-BIS-3D-MR-AD</v>
          </cell>
          <cell r="B894" t="str">
            <v>BISAGRA 3D AJUSTABLE - MARRON - AD</v>
          </cell>
          <cell r="C894" t="str">
            <v>PRECIO DE VENTA</v>
          </cell>
          <cell r="D894">
            <v>1</v>
          </cell>
          <cell r="E894">
            <v>8826</v>
          </cell>
          <cell r="F894">
            <v>8826</v>
          </cell>
        </row>
        <row r="895">
          <cell r="A895" t="str">
            <v>HL-BIS-3D-MR-TT</v>
          </cell>
          <cell r="B895" t="str">
            <v>BISAGRA 3D MARRON - TT</v>
          </cell>
          <cell r="C895" t="str">
            <v>PRECIO DE VENTA</v>
          </cell>
          <cell r="D895">
            <v>1</v>
          </cell>
          <cell r="E895">
            <v>11056</v>
          </cell>
          <cell r="F895">
            <v>11056</v>
          </cell>
        </row>
        <row r="896">
          <cell r="A896" t="str">
            <v>HL-BIS-3D-NE-FB</v>
          </cell>
          <cell r="B896" t="str">
            <v>BISAGRA 3D NEGRA - FB</v>
          </cell>
          <cell r="C896" t="str">
            <v>PRECIO DE VENTA</v>
          </cell>
          <cell r="D896">
            <v>1</v>
          </cell>
          <cell r="E896">
            <v>13667</v>
          </cell>
          <cell r="F896">
            <v>13667</v>
          </cell>
        </row>
        <row r="897">
          <cell r="A897" t="str">
            <v>HL-BIS-3D-NE-TT</v>
          </cell>
          <cell r="B897" t="str">
            <v>BISAGRA 3D NEGRA - TT</v>
          </cell>
          <cell r="C897" t="str">
            <v>PRECIO DE VENTA</v>
          </cell>
          <cell r="D897">
            <v>1</v>
          </cell>
          <cell r="E897">
            <v>11056</v>
          </cell>
          <cell r="F897">
            <v>11056</v>
          </cell>
        </row>
        <row r="898">
          <cell r="A898" t="str">
            <v>HL-BIS-75-BL-AD</v>
          </cell>
          <cell r="B898" t="str">
            <v>BISAGRA 75 mm BLANCO - AD</v>
          </cell>
          <cell r="C898" t="str">
            <v>PRECIO DE VENTA</v>
          </cell>
          <cell r="D898">
            <v>1</v>
          </cell>
          <cell r="E898">
            <v>1203</v>
          </cell>
          <cell r="F898">
            <v>1203</v>
          </cell>
        </row>
        <row r="899">
          <cell r="A899" t="str">
            <v>HL-BR-AB-12-GU</v>
          </cell>
          <cell r="B899" t="str">
            <v>BRAZO ABATIR DGS 12 - PLG 22K - GU</v>
          </cell>
          <cell r="C899" t="str">
            <v>PRECIO DE VENTA</v>
          </cell>
          <cell r="D899">
            <v>1</v>
          </cell>
          <cell r="E899">
            <v>2556</v>
          </cell>
          <cell r="F899">
            <v>2556</v>
          </cell>
        </row>
        <row r="900">
          <cell r="A900" t="str">
            <v>HL-BR-AB-16-GU</v>
          </cell>
          <cell r="B900" t="str">
            <v>BRAZO ABATIR DGS 16 - PLG 24K - GU</v>
          </cell>
          <cell r="C900" t="str">
            <v>PRECIO DE VENTA</v>
          </cell>
          <cell r="D900">
            <v>1</v>
          </cell>
          <cell r="E900">
            <v>6766</v>
          </cell>
          <cell r="F900">
            <v>6766</v>
          </cell>
        </row>
        <row r="901">
          <cell r="A901" t="str">
            <v>HL-BR-AB-24-GU</v>
          </cell>
          <cell r="B901" t="str">
            <v>BRAZO ABATIR DGS 24 - PLG 50K - GU</v>
          </cell>
          <cell r="C901" t="str">
            <v>PRECIO DE VENTA</v>
          </cell>
          <cell r="D901">
            <v>1</v>
          </cell>
          <cell r="E901">
            <v>13857</v>
          </cell>
          <cell r="F901">
            <v>13857</v>
          </cell>
        </row>
        <row r="902">
          <cell r="A902" t="str">
            <v>HL-BR-PR-10-AD</v>
          </cell>
          <cell r="B902" t="str">
            <v>BRAZO PROYECCION 10 - PLG NICO - AD</v>
          </cell>
          <cell r="C902" t="str">
            <v>PRECIO DE VENTA</v>
          </cell>
          <cell r="D902">
            <v>1</v>
          </cell>
          <cell r="E902">
            <v>2862</v>
          </cell>
          <cell r="F902">
            <v>2862</v>
          </cell>
        </row>
        <row r="903">
          <cell r="A903" t="str">
            <v>HL-BR-PR-10-FB</v>
          </cell>
          <cell r="B903" t="str">
            <v>BRAZO FERRITICO COTSWOLD 10 - PLG (PR) - FB</v>
          </cell>
          <cell r="C903" t="str">
            <v>PRECIO DE VENTA</v>
          </cell>
          <cell r="D903">
            <v>1</v>
          </cell>
          <cell r="E903">
            <v>3175</v>
          </cell>
          <cell r="F903">
            <v>3175</v>
          </cell>
        </row>
        <row r="904">
          <cell r="A904" t="str">
            <v>HL-BR-PR-10-GU</v>
          </cell>
          <cell r="B904" t="str">
            <v>BRAZO PROYECTANTE DGS 10 - PLG 16K - GU</v>
          </cell>
          <cell r="C904" t="str">
            <v>PRECIO DE VENTA</v>
          </cell>
          <cell r="D904">
            <v>1</v>
          </cell>
          <cell r="E904">
            <v>2949</v>
          </cell>
          <cell r="F904">
            <v>2949</v>
          </cell>
        </row>
        <row r="905">
          <cell r="A905" t="str">
            <v>HL-BR-PR-12-GU</v>
          </cell>
          <cell r="B905" t="str">
            <v>BRAZO PROYECTANTE DGS 12 - PLG 21K - GU</v>
          </cell>
          <cell r="C905" t="str">
            <v>PRECIO DE VENTA</v>
          </cell>
          <cell r="D905">
            <v>1</v>
          </cell>
          <cell r="E905">
            <v>3263</v>
          </cell>
          <cell r="F905">
            <v>3263</v>
          </cell>
        </row>
        <row r="906">
          <cell r="A906" t="str">
            <v>HL-BR-PR-16-AD</v>
          </cell>
          <cell r="B906" t="str">
            <v>BRAZO PROYECCION 16 - PLG NICO - AD</v>
          </cell>
          <cell r="C906" t="str">
            <v>PRECIO DE VENTA</v>
          </cell>
          <cell r="D906">
            <v>1</v>
          </cell>
          <cell r="E906">
            <v>4955</v>
          </cell>
          <cell r="F906">
            <v>4955</v>
          </cell>
        </row>
        <row r="907">
          <cell r="A907" t="str">
            <v>HL-BR-PR-16-GU</v>
          </cell>
          <cell r="B907" t="str">
            <v>BRAZO PROYECTANTE DGS 16 - PLG 22K - GU</v>
          </cell>
          <cell r="C907" t="str">
            <v>PRECIO DE VENTA</v>
          </cell>
          <cell r="D907">
            <v>1</v>
          </cell>
          <cell r="E907">
            <v>4047</v>
          </cell>
          <cell r="F907">
            <v>4047</v>
          </cell>
        </row>
        <row r="908">
          <cell r="A908" t="str">
            <v>HL-BR-PR-20-AD</v>
          </cell>
          <cell r="B908" t="str">
            <v>BRAZO PROYECCION 20 - PLG NICO - AD</v>
          </cell>
          <cell r="C908" t="str">
            <v>PRECIO DE VENTA</v>
          </cell>
          <cell r="D908">
            <v>1</v>
          </cell>
          <cell r="E908">
            <v>6225</v>
          </cell>
          <cell r="F908">
            <v>6225</v>
          </cell>
        </row>
        <row r="909">
          <cell r="A909" t="str">
            <v>HL-BR-PR-20-FB</v>
          </cell>
          <cell r="B909" t="str">
            <v>BRAZO FERRITICO COTSWOLD 20 - PLG (PR) - FB</v>
          </cell>
          <cell r="C909" t="str">
            <v>PRECIO DE VENTA</v>
          </cell>
          <cell r="D909">
            <v>1</v>
          </cell>
          <cell r="E909">
            <v>5270</v>
          </cell>
          <cell r="F909">
            <v>5270</v>
          </cell>
        </row>
        <row r="910">
          <cell r="A910" t="str">
            <v>HL-BR-PR-20-GU</v>
          </cell>
          <cell r="B910" t="str">
            <v>BRAZO PROYECTANTE DGS 20 - PLG 24K - GU</v>
          </cell>
          <cell r="C910" t="str">
            <v>PRECIO DE VENTA</v>
          </cell>
          <cell r="D910">
            <v>1</v>
          </cell>
          <cell r="E910">
            <v>3981</v>
          </cell>
          <cell r="F910">
            <v>3981</v>
          </cell>
        </row>
        <row r="911">
          <cell r="A911" t="str">
            <v>HL-BR-PR-24-AD</v>
          </cell>
          <cell r="B911" t="str">
            <v>BRAZO PROYECCION 24 - PLG NICO - AD</v>
          </cell>
          <cell r="C911" t="str">
            <v>PRECIO DE VENTA</v>
          </cell>
          <cell r="D911">
            <v>1</v>
          </cell>
          <cell r="E911">
            <v>7179</v>
          </cell>
          <cell r="F911">
            <v>7179</v>
          </cell>
        </row>
        <row r="912">
          <cell r="A912" t="str">
            <v>HL-BR-PR-24-FB</v>
          </cell>
          <cell r="B912" t="str">
            <v>BRAZO FERRITICO COTSWOLD 24 - PLG (PR) - FB</v>
          </cell>
          <cell r="C912" t="str">
            <v>PRECIO DE VENTA</v>
          </cell>
          <cell r="D912">
            <v>1</v>
          </cell>
          <cell r="E912">
            <v>6464</v>
          </cell>
          <cell r="F912">
            <v>6464</v>
          </cell>
        </row>
        <row r="913">
          <cell r="A913" t="str">
            <v>HL-BR-PR-24-GU</v>
          </cell>
          <cell r="B913" t="str">
            <v>BRAZO PROYECTANTE DGS 24 - PLG 26K - GU</v>
          </cell>
          <cell r="C913" t="str">
            <v>PRECIO DE VENTA</v>
          </cell>
          <cell r="D913">
            <v>1</v>
          </cell>
          <cell r="E913">
            <v>7752</v>
          </cell>
          <cell r="F913">
            <v>7752</v>
          </cell>
        </row>
        <row r="914">
          <cell r="A914" t="str">
            <v>HL-BR-PR-8-AD</v>
          </cell>
          <cell r="B914" t="str">
            <v>BRAZO PROYECCION 8 - PLG NICO - AD</v>
          </cell>
          <cell r="C914" t="str">
            <v>PRECIO DE VENTA</v>
          </cell>
          <cell r="D914">
            <v>1</v>
          </cell>
          <cell r="E914">
            <v>2342</v>
          </cell>
          <cell r="F914">
            <v>2342</v>
          </cell>
        </row>
        <row r="915">
          <cell r="A915" t="str">
            <v>HL-BR-PR-8-GU</v>
          </cell>
          <cell r="B915" t="str">
            <v>BRAZO PROYECTANTE DGS 8 - PLG 12K - GU</v>
          </cell>
          <cell r="C915" t="str">
            <v>PRECIO DE VENTA</v>
          </cell>
          <cell r="D915">
            <v>1</v>
          </cell>
          <cell r="E915">
            <v>2670</v>
          </cell>
          <cell r="F915">
            <v>2670</v>
          </cell>
        </row>
        <row r="916">
          <cell r="A916" t="str">
            <v>HL-BR-PRAB-12-FB</v>
          </cell>
          <cell r="B916" t="str">
            <v>BRAZO FERRITICO COTSWOLD 12 - PLG (PR-AB) - FB</v>
          </cell>
          <cell r="C916" t="str">
            <v>PRECIO DE VENTA</v>
          </cell>
          <cell r="D916">
            <v>1</v>
          </cell>
          <cell r="E916">
            <v>3543</v>
          </cell>
          <cell r="F916">
            <v>3543</v>
          </cell>
        </row>
        <row r="917">
          <cell r="A917" t="str">
            <v>HL-BR-PRAB-16-FB</v>
          </cell>
          <cell r="B917" t="str">
            <v>BRAZO FERRITICO COTSWOLD 16 - PLG (PR-AB) - FB</v>
          </cell>
          <cell r="C917" t="str">
            <v>PRECIO DE VENTA</v>
          </cell>
          <cell r="D917">
            <v>1</v>
          </cell>
          <cell r="E917">
            <v>4559</v>
          </cell>
          <cell r="F917">
            <v>4559</v>
          </cell>
        </row>
        <row r="918">
          <cell r="A918" t="str">
            <v>HL-BR-PRAB-8-FB</v>
          </cell>
          <cell r="B918" t="str">
            <v>BRAZO FERRITICO COTSWOLD 8 - PLG (PR-AB) - FB</v>
          </cell>
          <cell r="C918" t="str">
            <v>PRECIO DE VENTA</v>
          </cell>
          <cell r="D918">
            <v>1</v>
          </cell>
          <cell r="E918">
            <v>2875</v>
          </cell>
          <cell r="F918">
            <v>2875</v>
          </cell>
        </row>
        <row r="919">
          <cell r="A919" t="str">
            <v>HL-BR-RF-22-FB</v>
          </cell>
          <cell r="B919" t="str">
            <v>BRAZO REFORZADO AUST 22 - PLG - FB</v>
          </cell>
          <cell r="C919" t="str">
            <v>PRECIO DE VENTA</v>
          </cell>
          <cell r="D919">
            <v>1</v>
          </cell>
          <cell r="E919">
            <v>16602</v>
          </cell>
          <cell r="F919">
            <v>16602</v>
          </cell>
        </row>
        <row r="920">
          <cell r="A920" t="str">
            <v>HL-BR-RF-26-FB</v>
          </cell>
          <cell r="B920" t="str">
            <v>BRAZO REFORZADO AUST 26 - PLG - FB</v>
          </cell>
          <cell r="C920" t="str">
            <v>PRECIO DE VENTA</v>
          </cell>
          <cell r="D920">
            <v>1</v>
          </cell>
          <cell r="E920">
            <v>21816</v>
          </cell>
          <cell r="F920">
            <v>21816</v>
          </cell>
        </row>
        <row r="921">
          <cell r="A921" t="str">
            <v>HL-CC-E15-1000-TT</v>
          </cell>
          <cell r="B921" t="str">
            <v>CREMONA CORREDERA 1000 mm E15 - TT</v>
          </cell>
          <cell r="C921" t="str">
            <v>PRECIO DE VENTA</v>
          </cell>
          <cell r="D921">
            <v>1</v>
          </cell>
          <cell r="E921">
            <v>4335</v>
          </cell>
          <cell r="F921">
            <v>4335</v>
          </cell>
        </row>
        <row r="922">
          <cell r="A922" t="str">
            <v>HL-CC-E15-1200-AD</v>
          </cell>
          <cell r="B922" t="str">
            <v>CREMONA CORREDERA 1200 mm E15 - AD</v>
          </cell>
          <cell r="C922" t="str">
            <v>PRECIO DE VENTA</v>
          </cell>
          <cell r="D922">
            <v>1</v>
          </cell>
          <cell r="E922">
            <v>3829</v>
          </cell>
          <cell r="F922">
            <v>3829</v>
          </cell>
        </row>
        <row r="923">
          <cell r="A923" t="str">
            <v>HL-CC-E15-1200-TT</v>
          </cell>
          <cell r="B923" t="str">
            <v>CREMONA CORREDERA 1200 mm E15 - TT</v>
          </cell>
          <cell r="C923" t="str">
            <v>PRECIO DE VENTA</v>
          </cell>
          <cell r="D923">
            <v>1</v>
          </cell>
          <cell r="E923">
            <v>4320</v>
          </cell>
          <cell r="F923">
            <v>4320</v>
          </cell>
        </row>
        <row r="924">
          <cell r="A924" t="str">
            <v>HL-CC-E15-1400-AD</v>
          </cell>
          <cell r="B924" t="str">
            <v>CREMONA CORREDERA 1400 mm E15 - AD</v>
          </cell>
          <cell r="C924" t="str">
            <v>PRECIO DE VENTA</v>
          </cell>
          <cell r="D924">
            <v>1</v>
          </cell>
          <cell r="E924">
            <v>3720</v>
          </cell>
          <cell r="F924">
            <v>3720</v>
          </cell>
        </row>
        <row r="925">
          <cell r="A925" t="str">
            <v>HL-CC-E15-1600-AD</v>
          </cell>
          <cell r="B925" t="str">
            <v>CREMONA CORREDERA 1600 mm E15 - AD</v>
          </cell>
          <cell r="C925" t="str">
            <v>PRECIO DE VENTA</v>
          </cell>
          <cell r="D925">
            <v>1</v>
          </cell>
          <cell r="E925">
            <v>4330</v>
          </cell>
          <cell r="F925">
            <v>4330</v>
          </cell>
        </row>
        <row r="926">
          <cell r="A926" t="str">
            <v>HL-CC-E15-1800-AD</v>
          </cell>
          <cell r="B926" t="str">
            <v>CREMONA CORREDERA 1800 mm E15 - AD</v>
          </cell>
          <cell r="C926" t="str">
            <v>PRECIO DE VENTA</v>
          </cell>
          <cell r="D926">
            <v>1</v>
          </cell>
          <cell r="E926">
            <v>6051</v>
          </cell>
          <cell r="F926">
            <v>6051</v>
          </cell>
        </row>
        <row r="927">
          <cell r="A927" t="str">
            <v>HL-CC-E15-1800-TT</v>
          </cell>
          <cell r="B927" t="str">
            <v>CREMONA CORREDERA 1800 mm E15 - TT</v>
          </cell>
          <cell r="C927" t="str">
            <v>PRECIO DE VENTA</v>
          </cell>
          <cell r="D927">
            <v>1</v>
          </cell>
          <cell r="E927">
            <v>7184</v>
          </cell>
          <cell r="F927">
            <v>7184</v>
          </cell>
        </row>
        <row r="928">
          <cell r="A928" t="str">
            <v>HL-CC-E15-2000-AD</v>
          </cell>
          <cell r="B928" t="str">
            <v>CREMONA CORREDERA 2000 mm E15 - AD</v>
          </cell>
          <cell r="C928" t="str">
            <v>PRECIO DE VENTA</v>
          </cell>
          <cell r="D928">
            <v>1</v>
          </cell>
          <cell r="E928">
            <v>6638</v>
          </cell>
          <cell r="F928">
            <v>6638</v>
          </cell>
        </row>
        <row r="929">
          <cell r="A929" t="str">
            <v>HL-CC-E15-400-AD</v>
          </cell>
          <cell r="B929" t="str">
            <v>CREMONA CORREDERA 400 mm E15 - AD</v>
          </cell>
          <cell r="C929" t="str">
            <v>PRECIO DE VENTA</v>
          </cell>
          <cell r="D929">
            <v>1</v>
          </cell>
          <cell r="E929">
            <v>2178</v>
          </cell>
          <cell r="F929">
            <v>2178</v>
          </cell>
        </row>
        <row r="930">
          <cell r="A930" t="str">
            <v>HL-CC-E15-600-TT</v>
          </cell>
          <cell r="B930" t="str">
            <v>CREMONA CORREDERA 600 mm E15 - TT</v>
          </cell>
          <cell r="C930" t="str">
            <v>PRECIO DE VENTA</v>
          </cell>
          <cell r="D930">
            <v>1</v>
          </cell>
          <cell r="E930">
            <v>3186</v>
          </cell>
          <cell r="F930">
            <v>3186</v>
          </cell>
        </row>
        <row r="931">
          <cell r="A931" t="str">
            <v>HL-CC-E15-800-AD</v>
          </cell>
          <cell r="B931" t="str">
            <v>CREMONA CORREDERA 800 mm E15 - AD</v>
          </cell>
          <cell r="C931" t="str">
            <v>PRECIO DE VENTA</v>
          </cell>
          <cell r="D931">
            <v>1</v>
          </cell>
          <cell r="E931">
            <v>2176</v>
          </cell>
          <cell r="F931">
            <v>2176</v>
          </cell>
        </row>
        <row r="932">
          <cell r="A932" t="str">
            <v>HL-CC-E15-800-TT</v>
          </cell>
          <cell r="B932" t="str">
            <v>CREMONA CORREDERA 800 mm E15 - TT</v>
          </cell>
          <cell r="C932" t="str">
            <v>PRECIO DE VENTA</v>
          </cell>
          <cell r="D932">
            <v>1</v>
          </cell>
          <cell r="E932">
            <v>3518</v>
          </cell>
          <cell r="F932">
            <v>3518</v>
          </cell>
        </row>
        <row r="933">
          <cell r="A933" t="str">
            <v>HL-CC-E75-1000-AD</v>
          </cell>
          <cell r="B933" t="str">
            <v>CREMONA CORREDERA 1000 mm E7.5 - AD</v>
          </cell>
          <cell r="C933" t="str">
            <v>PRECIO DE VENTA</v>
          </cell>
          <cell r="D933">
            <v>1</v>
          </cell>
          <cell r="E933">
            <v>6025</v>
          </cell>
          <cell r="F933">
            <v>6025</v>
          </cell>
        </row>
        <row r="934">
          <cell r="A934" t="str">
            <v>HL-CC-E75-1000-TT</v>
          </cell>
          <cell r="B934" t="str">
            <v>CREMONA CORREDERA 1000 mm E7.5 - TT</v>
          </cell>
          <cell r="C934" t="str">
            <v>PRECIO DE VENTA</v>
          </cell>
          <cell r="D934">
            <v>1</v>
          </cell>
          <cell r="E934">
            <v>4171</v>
          </cell>
          <cell r="F934">
            <v>4171</v>
          </cell>
        </row>
        <row r="935">
          <cell r="A935" t="str">
            <v>HL-CC-E75-1200-AD</v>
          </cell>
          <cell r="B935" t="str">
            <v>CREMONA CORREDERA 1200 mm E7.5 - AD</v>
          </cell>
          <cell r="C935" t="str">
            <v>PRECIO DE VENTA</v>
          </cell>
          <cell r="D935">
            <v>1</v>
          </cell>
          <cell r="E935">
            <v>3986</v>
          </cell>
          <cell r="F935">
            <v>3986</v>
          </cell>
        </row>
        <row r="936">
          <cell r="A936" t="str">
            <v>HL-CC-E75-1200-TT</v>
          </cell>
          <cell r="B936" t="str">
            <v>CREMONA CORREDERA 1200 mm E7.5 - TT</v>
          </cell>
          <cell r="C936" t="str">
            <v>PRECIO DE VENTA</v>
          </cell>
          <cell r="D936">
            <v>1</v>
          </cell>
          <cell r="E936">
            <v>4409</v>
          </cell>
          <cell r="F936">
            <v>4409</v>
          </cell>
        </row>
        <row r="937">
          <cell r="A937" t="str">
            <v>HL-CC-E75-1800-AD</v>
          </cell>
          <cell r="B937" t="str">
            <v>CREMONA CORREDERA 1800 mm E7.5 - AD</v>
          </cell>
          <cell r="C937" t="str">
            <v>PRECIO DE VENTA</v>
          </cell>
          <cell r="D937">
            <v>1</v>
          </cell>
          <cell r="E937">
            <v>8307</v>
          </cell>
          <cell r="F937">
            <v>8307</v>
          </cell>
        </row>
        <row r="938">
          <cell r="A938" t="str">
            <v>HL-CC-E75-1800-TT</v>
          </cell>
          <cell r="B938" t="str">
            <v>CREMONA CORREDERA 1800 mm E7.5 - TT</v>
          </cell>
          <cell r="C938" t="str">
            <v>PRECIO DE VENTA</v>
          </cell>
          <cell r="D938">
            <v>1</v>
          </cell>
          <cell r="E938">
            <v>6387</v>
          </cell>
          <cell r="F938">
            <v>6387</v>
          </cell>
        </row>
        <row r="939">
          <cell r="A939" t="str">
            <v>HL-CC-E75-400-AD</v>
          </cell>
          <cell r="B939" t="str">
            <v>CREMONA CORREDERA 400 mm E7.5 - AD</v>
          </cell>
          <cell r="C939" t="str">
            <v>PRECIO DE VENTA</v>
          </cell>
          <cell r="D939">
            <v>1</v>
          </cell>
          <cell r="E939">
            <v>3692</v>
          </cell>
          <cell r="F939">
            <v>3692</v>
          </cell>
        </row>
        <row r="940">
          <cell r="A940" t="str">
            <v>HL-CC-E75-400-TT</v>
          </cell>
          <cell r="B940" t="str">
            <v>CREMONA CORREDERA 400 mm E 7.5 - TT</v>
          </cell>
          <cell r="C940" t="str">
            <v>PRECIO DE VENTA</v>
          </cell>
          <cell r="D940">
            <v>1</v>
          </cell>
          <cell r="E940">
            <v>2524</v>
          </cell>
          <cell r="F940">
            <v>2524</v>
          </cell>
        </row>
        <row r="941">
          <cell r="A941" t="str">
            <v>HL-CC-E75-600-AD</v>
          </cell>
          <cell r="B941" t="str">
            <v>CREMONA CORREDERA 600 mm E7.5 - AD</v>
          </cell>
          <cell r="C941" t="str">
            <v>PRECIO DE VENTA</v>
          </cell>
          <cell r="D941">
            <v>1</v>
          </cell>
          <cell r="E941">
            <v>3101</v>
          </cell>
          <cell r="F941">
            <v>3101</v>
          </cell>
        </row>
        <row r="942">
          <cell r="A942" t="str">
            <v>HL-CC-E75-600-TT</v>
          </cell>
          <cell r="B942" t="str">
            <v>CREMONA CORREDERA 600 mm E 7.5 - TT</v>
          </cell>
          <cell r="C942" t="str">
            <v>PRECIO DE VENTA</v>
          </cell>
          <cell r="D942">
            <v>1</v>
          </cell>
          <cell r="E942">
            <v>3827</v>
          </cell>
          <cell r="F942">
            <v>3827</v>
          </cell>
        </row>
        <row r="943">
          <cell r="A943" t="str">
            <v>HL-CC-E75-800-AD</v>
          </cell>
          <cell r="B943" t="str">
            <v>CREMONA CORREDERA 800 mm E7.5 - AD</v>
          </cell>
          <cell r="C943" t="str">
            <v>PRECIO DE VENTA</v>
          </cell>
          <cell r="D943">
            <v>1</v>
          </cell>
          <cell r="E943">
            <v>5135</v>
          </cell>
          <cell r="F943">
            <v>5135</v>
          </cell>
        </row>
        <row r="944">
          <cell r="A944" t="str">
            <v>HL-CC-E75-800-TT</v>
          </cell>
          <cell r="B944" t="str">
            <v>CREMONA CORREDERA 800 mm E 7.5 - TT</v>
          </cell>
          <cell r="C944" t="str">
            <v>PRECIO DE VENTA</v>
          </cell>
          <cell r="D944">
            <v>1</v>
          </cell>
          <cell r="E944">
            <v>4076</v>
          </cell>
          <cell r="F944">
            <v>4076</v>
          </cell>
        </row>
        <row r="945">
          <cell r="A945" t="str">
            <v>HL-CD-13-AD</v>
          </cell>
          <cell r="B945" t="str">
            <v>CERRADERO 13 mm - AD</v>
          </cell>
          <cell r="C945" t="str">
            <v>PRECIO DE VENTA</v>
          </cell>
          <cell r="D945">
            <v>1</v>
          </cell>
          <cell r="E945">
            <v>186</v>
          </cell>
          <cell r="F945">
            <v>186</v>
          </cell>
        </row>
        <row r="946">
          <cell r="A946" t="str">
            <v>HL-CD-13-TT</v>
          </cell>
          <cell r="B946" t="str">
            <v>CERRADERO 13 mm - TT</v>
          </cell>
          <cell r="C946" t="str">
            <v>PRECIO DE VENTA</v>
          </cell>
          <cell r="D946">
            <v>1</v>
          </cell>
          <cell r="E946">
            <v>219</v>
          </cell>
          <cell r="F946">
            <v>219</v>
          </cell>
        </row>
        <row r="947">
          <cell r="A947" t="str">
            <v>HL-CD-BT-TT</v>
          </cell>
          <cell r="B947" t="str">
            <v>CERRADERO CALUGA BATIENTE - TT</v>
          </cell>
          <cell r="C947" t="str">
            <v>PRECIO DE VENTA</v>
          </cell>
          <cell r="D947">
            <v>1</v>
          </cell>
          <cell r="E947">
            <v>773</v>
          </cell>
          <cell r="F947">
            <v>773</v>
          </cell>
        </row>
        <row r="948">
          <cell r="A948" t="str">
            <v>HL-CD-COR-HS</v>
          </cell>
          <cell r="B948" t="str">
            <v>CERRADERO CORREDERA - HS</v>
          </cell>
          <cell r="C948" t="str">
            <v>PRECIO DE VENTA</v>
          </cell>
          <cell r="D948">
            <v>1</v>
          </cell>
          <cell r="E948">
            <v>400</v>
          </cell>
          <cell r="F948">
            <v>400</v>
          </cell>
        </row>
        <row r="949">
          <cell r="A949" t="str">
            <v>HL-CD-COR-TT</v>
          </cell>
          <cell r="B949" t="str">
            <v>CERRADERO CORREDERA - TT</v>
          </cell>
          <cell r="C949" t="str">
            <v>PRECIO DE VENTA</v>
          </cell>
          <cell r="D949">
            <v>1</v>
          </cell>
          <cell r="E949">
            <v>422</v>
          </cell>
          <cell r="F949">
            <v>422</v>
          </cell>
        </row>
        <row r="950">
          <cell r="A950" t="str">
            <v>HL-CD-CPT-TT</v>
          </cell>
          <cell r="B950" t="str">
            <v>CERRADERO CENTRAL PUERTA - TT</v>
          </cell>
          <cell r="C950" t="str">
            <v>PRECIO DE VENTA</v>
          </cell>
          <cell r="D950">
            <v>1</v>
          </cell>
          <cell r="E950">
            <v>2295</v>
          </cell>
          <cell r="F950">
            <v>2295</v>
          </cell>
        </row>
        <row r="951">
          <cell r="A951" t="str">
            <v>HL-CD-CTR-BT-FB</v>
          </cell>
          <cell r="B951" t="str">
            <v>CERRADERO CENTRAL PUERTA BATIENTE - FB</v>
          </cell>
          <cell r="C951" t="str">
            <v>PRECIO DE VENTA</v>
          </cell>
          <cell r="D951">
            <v>1</v>
          </cell>
          <cell r="E951">
            <v>6083</v>
          </cell>
          <cell r="F951">
            <v>6083</v>
          </cell>
        </row>
        <row r="952">
          <cell r="A952" t="str">
            <v>HL-CDC-GU</v>
          </cell>
          <cell r="B952" t="str">
            <v>CUCHILLO DON CARLO - GU</v>
          </cell>
          <cell r="C952" t="str">
            <v>PRECIO DE VENTA</v>
          </cell>
          <cell r="D952">
            <v>1</v>
          </cell>
          <cell r="E952">
            <v>113445</v>
          </cell>
          <cell r="F952">
            <v>113445</v>
          </cell>
        </row>
        <row r="953">
          <cell r="A953" t="str">
            <v>HL-CE-E15-1200-TT</v>
          </cell>
          <cell r="B953" t="str">
            <v>CREMONA ABATIR INTERIOR 1200 mm E15 - TT</v>
          </cell>
          <cell r="C953" t="str">
            <v>PRECIO DE VENTA</v>
          </cell>
          <cell r="D953">
            <v>1</v>
          </cell>
          <cell r="E953">
            <v>4574</v>
          </cell>
          <cell r="F953">
            <v>4574</v>
          </cell>
        </row>
        <row r="954">
          <cell r="A954" t="str">
            <v>HL-CE-E25-1000-AD</v>
          </cell>
          <cell r="B954" t="str">
            <v>CREMONA ABATIR EXTERIOR 1000 mm E25 - AD</v>
          </cell>
          <cell r="C954" t="str">
            <v>PRECIO DE VENTA</v>
          </cell>
          <cell r="D954">
            <v>1</v>
          </cell>
          <cell r="E954">
            <v>3833</v>
          </cell>
          <cell r="F954">
            <v>3833</v>
          </cell>
        </row>
        <row r="955">
          <cell r="A955" t="str">
            <v>HL-CE-E25-1000-TT</v>
          </cell>
          <cell r="B955" t="str">
            <v>CREMONA ABATIR EXTERIOR 1000 mm E25 - TT</v>
          </cell>
          <cell r="C955" t="str">
            <v>PRECIO DE VENTA</v>
          </cell>
          <cell r="D955">
            <v>1</v>
          </cell>
          <cell r="E955">
            <v>5311</v>
          </cell>
          <cell r="F955">
            <v>5311</v>
          </cell>
        </row>
        <row r="956">
          <cell r="A956" t="str">
            <v>HL-CE-E25-1200-TT</v>
          </cell>
          <cell r="B956" t="str">
            <v>CREMONA ABATIR EXTERIOR 1200 mm E25 - TT</v>
          </cell>
          <cell r="C956" t="str">
            <v>PRECIO DE VENTA</v>
          </cell>
          <cell r="D956">
            <v>1</v>
          </cell>
          <cell r="E956">
            <v>5920</v>
          </cell>
          <cell r="F956">
            <v>5920</v>
          </cell>
        </row>
        <row r="957">
          <cell r="A957" t="str">
            <v>HL-CE-E25-1400-TT</v>
          </cell>
          <cell r="B957" t="str">
            <v>CREMONA ABATIR EXTERIOR 1400 mm E25 - TT</v>
          </cell>
          <cell r="C957" t="str">
            <v>PRECIO DE VENTA</v>
          </cell>
          <cell r="D957">
            <v>1</v>
          </cell>
          <cell r="E957">
            <v>6479</v>
          </cell>
          <cell r="F957">
            <v>6479</v>
          </cell>
        </row>
        <row r="958">
          <cell r="A958" t="str">
            <v>HL-CE-E25-1600-TT</v>
          </cell>
          <cell r="B958" t="str">
            <v>CREMONA ABATIR EXTERIOR 1600 mm E25 - TT</v>
          </cell>
          <cell r="C958" t="str">
            <v>PRECIO DE VENTA</v>
          </cell>
          <cell r="D958">
            <v>1</v>
          </cell>
          <cell r="E958">
            <v>3747</v>
          </cell>
          <cell r="F958">
            <v>3747</v>
          </cell>
        </row>
        <row r="959">
          <cell r="A959" t="str">
            <v>HL-CE-E25-1800-TT</v>
          </cell>
          <cell r="B959" t="str">
            <v>CREMONA ABATIR EXTERIOR 1800 mm E25 - TT</v>
          </cell>
          <cell r="C959" t="str">
            <v>PRECIO DE VENTA</v>
          </cell>
          <cell r="D959">
            <v>1</v>
          </cell>
          <cell r="E959">
            <v>11903</v>
          </cell>
          <cell r="F959">
            <v>11903</v>
          </cell>
        </row>
        <row r="960">
          <cell r="A960" t="str">
            <v>HL-CE-E25-2000-TT</v>
          </cell>
          <cell r="B960" t="str">
            <v>CREMONA ABATIR EXTERIOR 2000 mm E25 - TT</v>
          </cell>
          <cell r="C960" t="str">
            <v>PRECIO DE VENTA</v>
          </cell>
          <cell r="D960">
            <v>1</v>
          </cell>
          <cell r="E960">
            <v>10629</v>
          </cell>
          <cell r="F960">
            <v>10629</v>
          </cell>
        </row>
        <row r="961">
          <cell r="A961" t="str">
            <v>HL-CE-E25-210-AD</v>
          </cell>
          <cell r="B961" t="str">
            <v>CREMONA ABATIR EXTERIOR 210 mm E25 - AD</v>
          </cell>
          <cell r="C961" t="str">
            <v>PRECIO DE VENTA</v>
          </cell>
          <cell r="D961">
            <v>1</v>
          </cell>
          <cell r="E961">
            <v>3548</v>
          </cell>
          <cell r="F961">
            <v>3548</v>
          </cell>
        </row>
        <row r="962">
          <cell r="A962" t="str">
            <v>HL-CE-E25-280-TT</v>
          </cell>
          <cell r="B962" t="str">
            <v>CREMONA ABATIR EXTERIOR 280 mm E25 - TT</v>
          </cell>
          <cell r="C962" t="str">
            <v>PRECIO DE VENTA</v>
          </cell>
          <cell r="D962">
            <v>1</v>
          </cell>
          <cell r="E962">
            <v>3620</v>
          </cell>
          <cell r="F962">
            <v>3620</v>
          </cell>
        </row>
        <row r="963">
          <cell r="A963" t="str">
            <v>HL-CE-E25-400-AD</v>
          </cell>
          <cell r="B963" t="str">
            <v>CREMONA ABATIR EXTERIOR 400 mm E25 - AD</v>
          </cell>
          <cell r="C963" t="str">
            <v>PRECIO DE VENTA</v>
          </cell>
          <cell r="D963">
            <v>1</v>
          </cell>
          <cell r="E963">
            <v>4374</v>
          </cell>
          <cell r="F963">
            <v>4374</v>
          </cell>
        </row>
        <row r="964">
          <cell r="A964" t="str">
            <v>HL-CE-E25-400-TT</v>
          </cell>
          <cell r="B964" t="str">
            <v>CREMONA ABATIR EXTERIOR 400 mm E25 - TT</v>
          </cell>
          <cell r="C964" t="str">
            <v>PRECIO DE VENTA</v>
          </cell>
          <cell r="D964">
            <v>1</v>
          </cell>
          <cell r="E964">
            <v>3733</v>
          </cell>
          <cell r="F964">
            <v>3733</v>
          </cell>
        </row>
        <row r="965">
          <cell r="A965" t="str">
            <v>HL-CE-E25-600-AD</v>
          </cell>
          <cell r="B965" t="str">
            <v>CREMONA ABATIR EXTERIOR 600 mm E25 - AD</v>
          </cell>
          <cell r="C965" t="str">
            <v>PRECIO DE VENTA</v>
          </cell>
          <cell r="D965">
            <v>1</v>
          </cell>
          <cell r="E965">
            <v>4947</v>
          </cell>
          <cell r="F965">
            <v>4947</v>
          </cell>
        </row>
        <row r="966">
          <cell r="A966" t="str">
            <v>HL-CE-E25-600-TT</v>
          </cell>
          <cell r="B966" t="str">
            <v>CREMONA ABATIR EXTERIOR 600 mm E25 - TT</v>
          </cell>
          <cell r="C966" t="str">
            <v>PRECIO DE VENTA</v>
          </cell>
          <cell r="D966">
            <v>1</v>
          </cell>
          <cell r="E966">
            <v>4411</v>
          </cell>
          <cell r="F966">
            <v>4411</v>
          </cell>
        </row>
        <row r="967">
          <cell r="A967" t="str">
            <v>HL-CE-E25-800-AD</v>
          </cell>
          <cell r="B967" t="str">
            <v>CREMONA ABATIR EXTERIOR 800 mm E25 - AD</v>
          </cell>
          <cell r="C967" t="str">
            <v>PRECIO DE VENTA</v>
          </cell>
          <cell r="D967">
            <v>1</v>
          </cell>
          <cell r="E967">
            <v>4369</v>
          </cell>
          <cell r="F967">
            <v>4369</v>
          </cell>
        </row>
        <row r="968">
          <cell r="A968" t="str">
            <v>HL-CE-E25-800-TT</v>
          </cell>
          <cell r="B968" t="str">
            <v>CREMONA ABATIR EXTERIOR 800 mm E25 - TT</v>
          </cell>
          <cell r="C968" t="str">
            <v>PRECIO DE VENTA</v>
          </cell>
          <cell r="D968">
            <v>1</v>
          </cell>
          <cell r="E968">
            <v>4685</v>
          </cell>
          <cell r="F968">
            <v>4685</v>
          </cell>
        </row>
        <row r="969">
          <cell r="A969" t="str">
            <v>HL-CF-HCZ-PP</v>
          </cell>
          <cell r="B969" t="str">
            <v>CONTRA FORMA HOJA SLIDING ZENIA - PP</v>
          </cell>
          <cell r="C969" t="str">
            <v>PRECIO DE VENTA</v>
          </cell>
          <cell r="D969">
            <v>1</v>
          </cell>
          <cell r="E969">
            <v>161489</v>
          </cell>
          <cell r="F969">
            <v>161489</v>
          </cell>
        </row>
        <row r="970">
          <cell r="A970" t="str">
            <v>HL-CF-HJZ-FA-FA</v>
          </cell>
          <cell r="B970" t="str">
            <v>CONTRA FORMA HOJA SLIDING ZENIA - FA</v>
          </cell>
          <cell r="C970" t="str">
            <v>PRECIO DE VENTA</v>
          </cell>
          <cell r="D970">
            <v>1</v>
          </cell>
          <cell r="E970">
            <v>161489</v>
          </cell>
          <cell r="F970">
            <v>161489</v>
          </cell>
        </row>
        <row r="971">
          <cell r="A971" t="str">
            <v>HL-CF-JUQ-B-BT</v>
          </cell>
          <cell r="B971" t="str">
            <v>CONTRA FORMA JUNQUILLOS - BL</v>
          </cell>
          <cell r="C971" t="str">
            <v>PRECIO DE VENTA</v>
          </cell>
          <cell r="D971">
            <v>1</v>
          </cell>
          <cell r="E971">
            <v>456110</v>
          </cell>
          <cell r="F971">
            <v>456110</v>
          </cell>
        </row>
        <row r="972">
          <cell r="A972" t="str">
            <v>HL-CF-JUQ-FA-FA</v>
          </cell>
          <cell r="B972" t="str">
            <v>CONTRA FORMA JUNQUILLOS - FA</v>
          </cell>
          <cell r="C972" t="str">
            <v>PRECIO DE VENTA</v>
          </cell>
          <cell r="D972">
            <v>1</v>
          </cell>
          <cell r="E972">
            <v>241530</v>
          </cell>
          <cell r="F972">
            <v>241530</v>
          </cell>
        </row>
        <row r="973">
          <cell r="A973" t="str">
            <v>HL-CF-JUQ-PP</v>
          </cell>
          <cell r="B973" t="str">
            <v>CONTRA FORMA JUNQUILLOS - PP</v>
          </cell>
          <cell r="C973" t="str">
            <v>PRECIO DE VENTA</v>
          </cell>
          <cell r="D973">
            <v>1</v>
          </cell>
          <cell r="E973">
            <v>241530</v>
          </cell>
          <cell r="F973">
            <v>241530</v>
          </cell>
        </row>
        <row r="974">
          <cell r="A974" t="str">
            <v>HL-CF-MCZ-FA-FA</v>
          </cell>
          <cell r="B974" t="str">
            <v>CONTRA FORMA MARCO SLIDING ZENIA - FA</v>
          </cell>
          <cell r="C974" t="str">
            <v>PRECIO DE VENTA</v>
          </cell>
          <cell r="D974">
            <v>1</v>
          </cell>
          <cell r="E974">
            <v>175530</v>
          </cell>
          <cell r="F974">
            <v>175530</v>
          </cell>
        </row>
        <row r="975">
          <cell r="A975" t="str">
            <v>HL-CF-MCZ-PP</v>
          </cell>
          <cell r="B975" t="str">
            <v>CONTRA FORMA MARCO SLIDING ZENIA - PP</v>
          </cell>
          <cell r="C975" t="str">
            <v>PRECIO DE VENTA</v>
          </cell>
          <cell r="D975">
            <v>1</v>
          </cell>
          <cell r="E975">
            <v>175530</v>
          </cell>
          <cell r="F975">
            <v>175530</v>
          </cell>
        </row>
        <row r="976">
          <cell r="A976" t="str">
            <v>HL-CF-MSQ-HC-BT</v>
          </cell>
          <cell r="B976" t="str">
            <v>CONTRA FORMA HOJA MOSQUITERO - BL</v>
          </cell>
          <cell r="C976" t="str">
            <v>PRECIO DE VENTA</v>
          </cell>
          <cell r="D976">
            <v>1</v>
          </cell>
          <cell r="E976">
            <v>81450</v>
          </cell>
          <cell r="F976">
            <v>81450</v>
          </cell>
        </row>
        <row r="977">
          <cell r="A977" t="str">
            <v>HL-CF-MSQ-MCO-BT</v>
          </cell>
          <cell r="B977" t="str">
            <v>CONTRA FORMA MARCO MOSQUITERO - BL</v>
          </cell>
          <cell r="C977" t="str">
            <v>PRECIO DE VENTA</v>
          </cell>
          <cell r="D977">
            <v>1</v>
          </cell>
          <cell r="E977">
            <v>81450</v>
          </cell>
          <cell r="F977">
            <v>81450</v>
          </cell>
        </row>
        <row r="978">
          <cell r="A978" t="str">
            <v>HL-CF-S38-HVA-BT</v>
          </cell>
          <cell r="B978" t="str">
            <v>CONTRA FORMA HOJA S38 ANDES - BL</v>
          </cell>
          <cell r="C978" t="str">
            <v>PRECIO DE VENTA</v>
          </cell>
          <cell r="D978">
            <v>1</v>
          </cell>
          <cell r="E978">
            <v>128575</v>
          </cell>
          <cell r="F978">
            <v>128575</v>
          </cell>
        </row>
        <row r="979">
          <cell r="A979" t="str">
            <v>HL-CF-S38-HVA-FA</v>
          </cell>
          <cell r="B979" t="str">
            <v>CONTRA FORMA HOJA S38 ANDES - FA</v>
          </cell>
          <cell r="C979" t="str">
            <v>PRECIO DE VENTA</v>
          </cell>
          <cell r="D979">
            <v>1</v>
          </cell>
          <cell r="E979">
            <v>105316</v>
          </cell>
          <cell r="F979">
            <v>105316</v>
          </cell>
        </row>
        <row r="980">
          <cell r="A980" t="str">
            <v>HL-CF-S38-PP</v>
          </cell>
          <cell r="B980" t="str">
            <v>CONTRA FORMA HOJA S38 ANDES - PP</v>
          </cell>
          <cell r="C980" t="str">
            <v>PRECIO DE VENTA</v>
          </cell>
          <cell r="D980">
            <v>1</v>
          </cell>
          <cell r="E980">
            <v>105316</v>
          </cell>
          <cell r="F980">
            <v>105316</v>
          </cell>
        </row>
        <row r="981">
          <cell r="A981" t="str">
            <v>HL-CF-S60-HVF</v>
          </cell>
          <cell r="B981" t="str">
            <v>CONTRA FORMA HOJA S60 - BL</v>
          </cell>
          <cell r="C981" t="str">
            <v>PRECIO DE VENTA</v>
          </cell>
          <cell r="D981">
            <v>1</v>
          </cell>
          <cell r="E981">
            <v>138167</v>
          </cell>
          <cell r="F981">
            <v>138167</v>
          </cell>
        </row>
        <row r="982">
          <cell r="A982" t="str">
            <v>HL-CF-S60-HVF-FA</v>
          </cell>
          <cell r="B982" t="str">
            <v>CONTRA FORMA HOJA S60 - FA</v>
          </cell>
          <cell r="C982" t="str">
            <v>PRECIO DE VENTA</v>
          </cell>
          <cell r="D982">
            <v>1</v>
          </cell>
          <cell r="E982">
            <v>140424</v>
          </cell>
          <cell r="F982">
            <v>140424</v>
          </cell>
        </row>
        <row r="983">
          <cell r="A983" t="str">
            <v>HL-CF-S60-PP</v>
          </cell>
          <cell r="B983" t="str">
            <v>CONTRA FORMA HOJA S60 - PP</v>
          </cell>
          <cell r="C983" t="str">
            <v>PRECIO DE VENTA</v>
          </cell>
          <cell r="D983">
            <v>1</v>
          </cell>
          <cell r="E983">
            <v>140568</v>
          </cell>
          <cell r="F983">
            <v>140568</v>
          </cell>
        </row>
        <row r="984">
          <cell r="A984" t="str">
            <v>HL-CF-SLA-HCA-FA</v>
          </cell>
          <cell r="B984" t="str">
            <v>CONTRA FORMA HOJA ANDES 66 - FA</v>
          </cell>
          <cell r="C984" t="str">
            <v>PRECIO DE VENTA</v>
          </cell>
          <cell r="D984">
            <v>1</v>
          </cell>
          <cell r="E984">
            <v>105316</v>
          </cell>
          <cell r="F984">
            <v>105316</v>
          </cell>
        </row>
        <row r="985">
          <cell r="A985" t="str">
            <v>HL-CF-SLA-HPC-BT</v>
          </cell>
          <cell r="B985" t="str">
            <v>CONTRA FORMA HOJA ANDES 66 - BL</v>
          </cell>
          <cell r="C985" t="str">
            <v>PRECIO DE VENTA</v>
          </cell>
          <cell r="D985">
            <v>1</v>
          </cell>
          <cell r="E985">
            <v>135562</v>
          </cell>
          <cell r="F985">
            <v>135562</v>
          </cell>
        </row>
        <row r="986">
          <cell r="A986" t="str">
            <v>HL-CF-SLA-MDR-BT</v>
          </cell>
          <cell r="B986" t="str">
            <v>CONTRA FORMA MARCO DOBLE RIEL ANDES - BL</v>
          </cell>
          <cell r="C986" t="str">
            <v>PRECIO DE VENTA</v>
          </cell>
          <cell r="D986">
            <v>1</v>
          </cell>
          <cell r="E986">
            <v>116991</v>
          </cell>
          <cell r="F986">
            <v>116991</v>
          </cell>
        </row>
        <row r="987">
          <cell r="A987" t="str">
            <v>HL-CF-SLA-MLT-FA</v>
          </cell>
          <cell r="B987" t="str">
            <v>CONTRA FORMA ALETA MULTIPLE - FA</v>
          </cell>
          <cell r="C987" t="str">
            <v>PRECIO DE VENTA</v>
          </cell>
          <cell r="D987">
            <v>1</v>
          </cell>
          <cell r="E987">
            <v>258293</v>
          </cell>
          <cell r="F987">
            <v>258293</v>
          </cell>
        </row>
        <row r="988">
          <cell r="A988" t="str">
            <v>HL-CF-SLA-MMR-BT</v>
          </cell>
          <cell r="B988" t="str">
            <v>CONTRA FORMA MARCO MONORRIEL ANDES - BL</v>
          </cell>
          <cell r="C988" t="str">
            <v>PRECIO DE VENTA</v>
          </cell>
          <cell r="D988">
            <v>1</v>
          </cell>
          <cell r="E988">
            <v>131920</v>
          </cell>
          <cell r="F988">
            <v>131920</v>
          </cell>
        </row>
        <row r="989">
          <cell r="A989" t="str">
            <v>HL-CF-SLA-PCA-DE-FA</v>
          </cell>
          <cell r="B989" t="str">
            <v>PLANTILLA CORTE ALETA MLT DE - FA</v>
          </cell>
          <cell r="C989" t="str">
            <v>PRECIO DE VENTA</v>
          </cell>
          <cell r="D989">
            <v>1</v>
          </cell>
          <cell r="E989">
            <v>82583</v>
          </cell>
          <cell r="F989">
            <v>82583</v>
          </cell>
        </row>
        <row r="990">
          <cell r="A990" t="str">
            <v>HL-CF-SLA-PCA-GA-FA</v>
          </cell>
          <cell r="B990" t="str">
            <v>PLANTILLA CORTE ALETA MLT GUIA - FA</v>
          </cell>
          <cell r="C990" t="str">
            <v>PRECIO DE VENTA</v>
          </cell>
          <cell r="D990">
            <v>1</v>
          </cell>
          <cell r="E990">
            <v>82583</v>
          </cell>
          <cell r="F990">
            <v>82583</v>
          </cell>
        </row>
        <row r="991">
          <cell r="A991" t="str">
            <v>HL-CF-SLA-PCA-IZ-FA</v>
          </cell>
          <cell r="B991" t="str">
            <v>PLANTILLA CORTE ALETA MLT IZQ - FA</v>
          </cell>
          <cell r="C991" t="str">
            <v>PRECIO DE VENTA</v>
          </cell>
          <cell r="D991">
            <v>1</v>
          </cell>
          <cell r="E991">
            <v>82583</v>
          </cell>
          <cell r="F991">
            <v>82583</v>
          </cell>
        </row>
        <row r="992">
          <cell r="A992" t="str">
            <v>HL-CF-SLA-PP</v>
          </cell>
          <cell r="B992" t="str">
            <v>CONTRA FORMA HOJA ANDES 66 - PP</v>
          </cell>
          <cell r="C992" t="str">
            <v>PRECIO DE VENTA</v>
          </cell>
          <cell r="D992">
            <v>1</v>
          </cell>
          <cell r="E992">
            <v>105316</v>
          </cell>
          <cell r="F992">
            <v>105316</v>
          </cell>
        </row>
        <row r="993">
          <cell r="A993" t="str">
            <v>HL-CF-SLD-HVC-BT</v>
          </cell>
          <cell r="B993" t="str">
            <v>CONTRA FORMA HOJA 80 - BL</v>
          </cell>
          <cell r="C993" t="str">
            <v>PRECIO DE VENTA</v>
          </cell>
          <cell r="D993">
            <v>1</v>
          </cell>
          <cell r="E993">
            <v>145091</v>
          </cell>
          <cell r="F993">
            <v>145091</v>
          </cell>
        </row>
        <row r="994">
          <cell r="A994" t="str">
            <v>HL-CF-SLD-HVC-FA</v>
          </cell>
          <cell r="B994" t="str">
            <v>CONTRA FORMA HOJA 80 - FA</v>
          </cell>
          <cell r="C994" t="str">
            <v>PRECIO DE VENTA</v>
          </cell>
          <cell r="D994">
            <v>1</v>
          </cell>
          <cell r="E994">
            <v>140424</v>
          </cell>
          <cell r="F994">
            <v>140424</v>
          </cell>
        </row>
        <row r="995">
          <cell r="A995" t="str">
            <v>HL-CF-SLD-MC-BT</v>
          </cell>
          <cell r="B995" t="str">
            <v>CONTRA FORMA MARCO DOBLE RIEL - BL</v>
          </cell>
          <cell r="C995" t="str">
            <v>PRECIO DE VENTA</v>
          </cell>
          <cell r="D995">
            <v>1</v>
          </cell>
          <cell r="E995">
            <v>123239</v>
          </cell>
          <cell r="F995">
            <v>123239</v>
          </cell>
        </row>
        <row r="996">
          <cell r="A996" t="str">
            <v>HL-CF-SLD-PP</v>
          </cell>
          <cell r="B996" t="str">
            <v>CONTRA FORMA HOJA 80 - PP</v>
          </cell>
          <cell r="C996" t="str">
            <v>PRECIO DE VENTA</v>
          </cell>
          <cell r="D996">
            <v>1</v>
          </cell>
          <cell r="E996">
            <v>140568</v>
          </cell>
          <cell r="F996">
            <v>140568</v>
          </cell>
        </row>
        <row r="997">
          <cell r="A997" t="str">
            <v>HL-CF-SLZ-HCZ-BT</v>
          </cell>
          <cell r="B997" t="str">
            <v>CONTRA FORMA HOJA SLIDING ZENIA - BL</v>
          </cell>
          <cell r="C997" t="str">
            <v>PRECIO DE VENTA</v>
          </cell>
          <cell r="D997">
            <v>1</v>
          </cell>
          <cell r="E997">
            <v>146955</v>
          </cell>
          <cell r="F997">
            <v>146955</v>
          </cell>
        </row>
        <row r="998">
          <cell r="A998" t="str">
            <v>HL-CF-SLZ-MCZ-BT</v>
          </cell>
          <cell r="B998" t="str">
            <v>CONTRA FORMA MARCO SLIDING ZENIA - BL</v>
          </cell>
          <cell r="C998" t="str">
            <v>PRECIO DE VENTA</v>
          </cell>
          <cell r="D998">
            <v>1</v>
          </cell>
          <cell r="E998">
            <v>170247</v>
          </cell>
          <cell r="F998">
            <v>170247</v>
          </cell>
        </row>
        <row r="999">
          <cell r="A999" t="str">
            <v>HL-CI-E15-1000-TT</v>
          </cell>
          <cell r="B999" t="str">
            <v>CREMONA ABATIR INTERIOR 1000 mm E15 - TT</v>
          </cell>
          <cell r="C999" t="str">
            <v>PRECIO DE VENTA</v>
          </cell>
          <cell r="D999">
            <v>1</v>
          </cell>
          <cell r="E999">
            <v>4343</v>
          </cell>
          <cell r="F999">
            <v>4343</v>
          </cell>
        </row>
        <row r="1000">
          <cell r="A1000" t="str">
            <v>HL-CI-E15-1600-TT</v>
          </cell>
          <cell r="B1000" t="str">
            <v>CREMONA ABATIR INTERIOR 1600 mm E15 - TT</v>
          </cell>
          <cell r="C1000" t="str">
            <v>PRECIO DE VENTA</v>
          </cell>
          <cell r="D1000">
            <v>1</v>
          </cell>
          <cell r="E1000">
            <v>6356</v>
          </cell>
          <cell r="F1000">
            <v>6356</v>
          </cell>
        </row>
        <row r="1001">
          <cell r="A1001" t="str">
            <v>HL-CI-E15-1800-TT</v>
          </cell>
          <cell r="B1001" t="str">
            <v>CREMONA ABATIR INTERIOR 1800 mm E15 - TT</v>
          </cell>
          <cell r="C1001" t="str">
            <v>PRECIO DE VENTA</v>
          </cell>
          <cell r="D1001">
            <v>1</v>
          </cell>
          <cell r="E1001">
            <v>7723</v>
          </cell>
          <cell r="F1001">
            <v>7723</v>
          </cell>
        </row>
        <row r="1002">
          <cell r="A1002" t="str">
            <v>HL-CI-E15-600-TT</v>
          </cell>
          <cell r="B1002" t="str">
            <v>CREMONA ABATIR INTERIOR 600 mm E15 - TT</v>
          </cell>
          <cell r="C1002" t="str">
            <v>PRECIO DE VENTA</v>
          </cell>
          <cell r="D1002">
            <v>1</v>
          </cell>
          <cell r="E1002">
            <v>3571</v>
          </cell>
          <cell r="F1002">
            <v>3571</v>
          </cell>
        </row>
        <row r="1003">
          <cell r="A1003" t="str">
            <v>HL-CI-E15-800-TT</v>
          </cell>
          <cell r="B1003" t="str">
            <v>CREMONA ABATIR INTERIOR 800 mm E15 - TT</v>
          </cell>
          <cell r="C1003" t="str">
            <v>PRECIO DE VENTA</v>
          </cell>
          <cell r="D1003">
            <v>1</v>
          </cell>
          <cell r="E1003">
            <v>3544</v>
          </cell>
          <cell r="F1003">
            <v>3544</v>
          </cell>
        </row>
        <row r="1004">
          <cell r="A1004" t="str">
            <v>HL-CLR-80-GU</v>
          </cell>
          <cell r="B1004" t="str">
            <v>CILINDRO 80 mm - GU</v>
          </cell>
          <cell r="C1004" t="str">
            <v>PRECIO DE VENTA</v>
          </cell>
          <cell r="D1004">
            <v>1</v>
          </cell>
          <cell r="E1004">
            <v>9321</v>
          </cell>
          <cell r="F1004">
            <v>9321</v>
          </cell>
        </row>
        <row r="1005">
          <cell r="A1005" t="str">
            <v>HL-CM-MQT-MV</v>
          </cell>
          <cell r="B1005" t="str">
            <v>CORDON MOSQUITERO NEGRO - MV</v>
          </cell>
          <cell r="C1005" t="str">
            <v>PRECIO DE VENTA</v>
          </cell>
          <cell r="D1005">
            <v>1</v>
          </cell>
          <cell r="E1005">
            <v>250</v>
          </cell>
          <cell r="F1005">
            <v>250</v>
          </cell>
        </row>
        <row r="1006">
          <cell r="A1006" t="str">
            <v>HL-CNT-ST</v>
          </cell>
          <cell r="B1006" t="str">
            <v>CINTA DE EMBALAJE - SEALTEC</v>
          </cell>
          <cell r="C1006" t="str">
            <v>PRECIO DE VENTA</v>
          </cell>
          <cell r="D1006">
            <v>1</v>
          </cell>
          <cell r="E1006">
            <v>1</v>
          </cell>
          <cell r="F1006">
            <v>1</v>
          </cell>
        </row>
        <row r="1007">
          <cell r="A1007" t="str">
            <v>HL-CP-E35-2000-AD</v>
          </cell>
          <cell r="B1007" t="str">
            <v>CREMONA PUERTA E35/92 2000 mm</v>
          </cell>
          <cell r="C1007" t="str">
            <v>PRECIO DE VENTA</v>
          </cell>
          <cell r="D1007">
            <v>1</v>
          </cell>
          <cell r="E1007">
            <v>11808</v>
          </cell>
          <cell r="F1007">
            <v>11808</v>
          </cell>
        </row>
        <row r="1008">
          <cell r="A1008" t="str">
            <v>HL-CR-AJT-140-FB</v>
          </cell>
          <cell r="B1008" t="str">
            <v>CARRO PABOSE 140 KG DOBLE RUEDA AJUSTABLE - FB</v>
          </cell>
          <cell r="C1008" t="str">
            <v>PRECIO DE VENTA</v>
          </cell>
          <cell r="D1008">
            <v>1</v>
          </cell>
          <cell r="E1008">
            <v>9968</v>
          </cell>
          <cell r="F1008">
            <v>9968</v>
          </cell>
        </row>
        <row r="1009">
          <cell r="A1009" t="str">
            <v>HL-CR-AJT-280-FB</v>
          </cell>
          <cell r="B1009" t="str">
            <v>CARRO PABOSE 280 KG DOBLE RUEDA REGULABLE - FB</v>
          </cell>
          <cell r="C1009" t="str">
            <v>PRECIO DE VENTA</v>
          </cell>
          <cell r="D1009">
            <v>1</v>
          </cell>
          <cell r="E1009">
            <v>20034</v>
          </cell>
          <cell r="F1009">
            <v>20034</v>
          </cell>
        </row>
        <row r="1010">
          <cell r="A1010" t="str">
            <v>HL-CR-AJT-40-AD</v>
          </cell>
          <cell r="B1010" t="str">
            <v>CARRO AJUSTABLE 40 KG - AD</v>
          </cell>
          <cell r="C1010" t="str">
            <v>PRECIO DE VENTA</v>
          </cell>
          <cell r="D1010">
            <v>1</v>
          </cell>
          <cell r="E1010">
            <v>2004</v>
          </cell>
          <cell r="F1010">
            <v>2004</v>
          </cell>
        </row>
        <row r="1011">
          <cell r="A1011" t="str">
            <v>HL-CR-AJT-70-AD</v>
          </cell>
          <cell r="B1011" t="str">
            <v>CARRO AJUSTABLE 70 KG NATURAL - AD</v>
          </cell>
          <cell r="C1011" t="str">
            <v>PRECIO DE VENTA</v>
          </cell>
          <cell r="D1011">
            <v>1</v>
          </cell>
          <cell r="E1011">
            <v>3107</v>
          </cell>
          <cell r="F1011">
            <v>3107</v>
          </cell>
        </row>
        <row r="1012">
          <cell r="A1012" t="str">
            <v>HL-CR-PB-120-FB</v>
          </cell>
          <cell r="B1012" t="str">
            <v>CARRO PABOSE 120 KG ANDES - FB</v>
          </cell>
          <cell r="C1012" t="str">
            <v>PRECIO DE VENTA</v>
          </cell>
          <cell r="D1012">
            <v>1</v>
          </cell>
          <cell r="E1012">
            <v>7892</v>
          </cell>
          <cell r="F1012">
            <v>7892</v>
          </cell>
        </row>
        <row r="1013">
          <cell r="A1013" t="str">
            <v>HL-CR-PB-60-FB</v>
          </cell>
          <cell r="B1013" t="str">
            <v>CARRO PABOSE 60 KG ANDES - FB</v>
          </cell>
          <cell r="C1013" t="str">
            <v>PRECIO DE VENTA</v>
          </cell>
          <cell r="D1013">
            <v>1</v>
          </cell>
          <cell r="E1013">
            <v>6032</v>
          </cell>
          <cell r="F1013">
            <v>6032</v>
          </cell>
        </row>
        <row r="1014">
          <cell r="A1014" t="str">
            <v>HL-CR-PB-70-FB</v>
          </cell>
          <cell r="B1014" t="str">
            <v>CARRO PABOSE 70 KG AGUJA - FB</v>
          </cell>
          <cell r="C1014" t="str">
            <v>PRECIO DE VENTA</v>
          </cell>
          <cell r="D1014">
            <v>1</v>
          </cell>
          <cell r="E1014">
            <v>3045</v>
          </cell>
          <cell r="F1014">
            <v>3045</v>
          </cell>
        </row>
        <row r="1015">
          <cell r="A1015" t="str">
            <v>HL-CRT-HL-MA</v>
          </cell>
          <cell r="B1015" t="str">
            <v>CARTONERO HOJA LARGA - MA</v>
          </cell>
          <cell r="C1015" t="str">
            <v>PRECIO DE VENTA</v>
          </cell>
          <cell r="D1015">
            <v>1</v>
          </cell>
          <cell r="E1015">
            <v>6143</v>
          </cell>
          <cell r="F1015">
            <v>6143</v>
          </cell>
        </row>
        <row r="1016">
          <cell r="A1016" t="str">
            <v>HL-EM-MQT-MV</v>
          </cell>
          <cell r="B1016" t="str">
            <v>ENMALLADOR MOSQUITERO - MV</v>
          </cell>
          <cell r="C1016" t="str">
            <v>PRECIO DE VENTA</v>
          </cell>
          <cell r="D1016">
            <v>1</v>
          </cell>
          <cell r="E1016">
            <v>4249</v>
          </cell>
          <cell r="F1016">
            <v>4249</v>
          </cell>
        </row>
        <row r="1017">
          <cell r="A1017" t="str">
            <v>HL-FLP-5X5-NE-FS</v>
          </cell>
          <cell r="B1017" t="str">
            <v>FELPA 5X5 C/FIN SEAL 600 MT - FS</v>
          </cell>
          <cell r="C1017" t="str">
            <v>PRECIO DE VENTA</v>
          </cell>
          <cell r="D1017">
            <v>1</v>
          </cell>
          <cell r="E1017">
            <v>22286</v>
          </cell>
          <cell r="F1017">
            <v>22286</v>
          </cell>
        </row>
        <row r="1018">
          <cell r="A1018" t="str">
            <v>HL-FLP-5X5-NE-SL</v>
          </cell>
          <cell r="B1018" t="str">
            <v>FELPA 5X5 S/FILM SEAL 350 MT- SL</v>
          </cell>
          <cell r="C1018" t="str">
            <v>PRECIO DE VENTA</v>
          </cell>
          <cell r="D1018">
            <v>1</v>
          </cell>
          <cell r="E1018">
            <v>77</v>
          </cell>
          <cell r="F1018">
            <v>77</v>
          </cell>
        </row>
        <row r="1019">
          <cell r="A1019" t="str">
            <v>HL-FLP-7X6-NE-FS</v>
          </cell>
          <cell r="B1019" t="str">
            <v>FELPA 7X6 C/FILM SEAL 400 MTS 4P - FS</v>
          </cell>
          <cell r="C1019" t="str">
            <v>PRECIO DE VENTA</v>
          </cell>
          <cell r="D1019">
            <v>1</v>
          </cell>
          <cell r="E1019">
            <v>23746</v>
          </cell>
          <cell r="F1019">
            <v>23746</v>
          </cell>
        </row>
        <row r="1020">
          <cell r="A1020" t="str">
            <v>HL-FLP-7X8-CF-FS</v>
          </cell>
          <cell r="B1020" t="str">
            <v>FELPA 7X8 C/FIN SEAL 300 MTS 4P - FS</v>
          </cell>
          <cell r="C1020" t="str">
            <v>PRECIO DE VENTA</v>
          </cell>
          <cell r="D1020">
            <v>1</v>
          </cell>
          <cell r="E1020">
            <v>22855</v>
          </cell>
          <cell r="F1020">
            <v>22855</v>
          </cell>
        </row>
        <row r="1021">
          <cell r="A1021" t="str">
            <v>HL-HJA-CRT-HL-MA</v>
          </cell>
          <cell r="B1021" t="str">
            <v>REPUESTO CARTONERO HOJA LARGA 5mm - MA</v>
          </cell>
          <cell r="C1021" t="str">
            <v>PRECIO DE VENTA</v>
          </cell>
          <cell r="D1021">
            <v>1</v>
          </cell>
          <cell r="E1021">
            <v>983</v>
          </cell>
          <cell r="F1021">
            <v>983</v>
          </cell>
        </row>
        <row r="1022">
          <cell r="A1022" t="str">
            <v>HL-LM-GU-PVC-BL-GU</v>
          </cell>
          <cell r="B1022" t="str">
            <v>LIMPIADOR PVC BLANCO - GU</v>
          </cell>
          <cell r="C1022" t="str">
            <v>PRECIO DE VENTA</v>
          </cell>
          <cell r="D1022">
            <v>1</v>
          </cell>
          <cell r="E1022">
            <v>18318</v>
          </cell>
          <cell r="F1022">
            <v>18318</v>
          </cell>
        </row>
        <row r="1023">
          <cell r="A1023" t="str">
            <v>HL-LM-GU-PVC-FL-GU</v>
          </cell>
          <cell r="B1023" t="str">
            <v>LIMPIADOR PVC FOLIADOS - GU</v>
          </cell>
          <cell r="C1023" t="str">
            <v>PRECIO DE VENTA</v>
          </cell>
          <cell r="D1023">
            <v>1</v>
          </cell>
          <cell r="E1023">
            <v>16673</v>
          </cell>
          <cell r="F1023">
            <v>16673</v>
          </cell>
        </row>
        <row r="1024">
          <cell r="A1024" t="str">
            <v>HL-LMD-AP-TT</v>
          </cell>
          <cell r="B1024" t="str">
            <v>LIMITADOR DE APERTURA - T</v>
          </cell>
          <cell r="C1024" t="str">
            <v>PRECIO DE VENTA</v>
          </cell>
          <cell r="D1024">
            <v>1</v>
          </cell>
          <cell r="E1024">
            <v>2138</v>
          </cell>
          <cell r="F1024">
            <v>2138</v>
          </cell>
        </row>
        <row r="1025">
          <cell r="A1025" t="str">
            <v>HL-MCT-ACR-32-MA</v>
          </cell>
          <cell r="B1025" t="str">
            <v>MACETA DE ACRISTALAR 32 mm - MA</v>
          </cell>
          <cell r="C1025" t="str">
            <v>PRECIO DE VENTA</v>
          </cell>
          <cell r="D1025">
            <v>1</v>
          </cell>
          <cell r="E1025">
            <v>29974</v>
          </cell>
          <cell r="F1025">
            <v>29974</v>
          </cell>
        </row>
        <row r="1026">
          <cell r="A1026" t="str">
            <v>HL-MCT-ACR-35-MA</v>
          </cell>
          <cell r="B1026" t="str">
            <v>MACETA DE ACRISTALAR 35 mm - MA</v>
          </cell>
          <cell r="C1026" t="str">
            <v>PRECIO DE VENTA</v>
          </cell>
          <cell r="D1026">
            <v>1</v>
          </cell>
          <cell r="E1026">
            <v>27318</v>
          </cell>
          <cell r="F1026">
            <v>27318</v>
          </cell>
        </row>
        <row r="1027">
          <cell r="A1027" t="str">
            <v>HL-MLA-AGT-BL</v>
          </cell>
          <cell r="B1027" t="str">
            <v>MANILLA ANGOSTA APOLO BLANCO</v>
          </cell>
          <cell r="C1027" t="str">
            <v>PRECIO DE VENTA</v>
          </cell>
          <cell r="D1027">
            <v>1</v>
          </cell>
          <cell r="E1027">
            <v>3254</v>
          </cell>
          <cell r="F1027">
            <v>3254</v>
          </cell>
        </row>
        <row r="1028">
          <cell r="A1028" t="str">
            <v>HL-MLA-AGT-MR</v>
          </cell>
          <cell r="B1028" t="str">
            <v>MANILLA ANGOSTA APOLO MARRON</v>
          </cell>
          <cell r="C1028" t="str">
            <v>PRECIO DE VENTA</v>
          </cell>
          <cell r="D1028">
            <v>1</v>
          </cell>
          <cell r="E1028">
            <v>3254</v>
          </cell>
          <cell r="F1028">
            <v>3254</v>
          </cell>
        </row>
        <row r="1029">
          <cell r="A1029" t="str">
            <v>HL-MLA-AGT-NE</v>
          </cell>
          <cell r="B1029" t="str">
            <v>MANILLA ANGOSTA APOLO NEGRO</v>
          </cell>
          <cell r="C1029" t="str">
            <v>PRECIO DE VENTA</v>
          </cell>
          <cell r="D1029">
            <v>1</v>
          </cell>
          <cell r="E1029">
            <v>3254</v>
          </cell>
          <cell r="F1029">
            <v>3254</v>
          </cell>
        </row>
        <row r="1030">
          <cell r="A1030" t="str">
            <v>HL-MLA-BL-TT</v>
          </cell>
          <cell r="B1030" t="str">
            <v>MANILLA VENTANA - BLANCO - T</v>
          </cell>
          <cell r="C1030" t="str">
            <v>PRECIO DE VENTA</v>
          </cell>
          <cell r="D1030">
            <v>1</v>
          </cell>
          <cell r="E1030">
            <v>1840</v>
          </cell>
          <cell r="F1030">
            <v>1840</v>
          </cell>
        </row>
        <row r="1031">
          <cell r="A1031" t="str">
            <v>HL-MLA-JMB-BL</v>
          </cell>
          <cell r="B1031" t="str">
            <v>MANILLA JUMBO BLANCO</v>
          </cell>
          <cell r="C1031" t="str">
            <v>PRECIO DE VENTA</v>
          </cell>
          <cell r="D1031">
            <v>1</v>
          </cell>
          <cell r="E1031">
            <v>18248</v>
          </cell>
          <cell r="F1031">
            <v>18248</v>
          </cell>
        </row>
        <row r="1032">
          <cell r="A1032" t="str">
            <v>HL-MLA-JMB-MR</v>
          </cell>
          <cell r="B1032" t="str">
            <v>MANILLA JUMBO MARRON</v>
          </cell>
          <cell r="C1032" t="str">
            <v>PRECIO DE VENTA</v>
          </cell>
          <cell r="D1032">
            <v>1</v>
          </cell>
          <cell r="E1032">
            <v>18248</v>
          </cell>
          <cell r="F1032">
            <v>18248</v>
          </cell>
        </row>
        <row r="1033">
          <cell r="A1033" t="str">
            <v>HL-MLA-JMB-NE</v>
          </cell>
          <cell r="B1033" t="str">
            <v>MANILLA JUMBO NEGRO</v>
          </cell>
          <cell r="C1033" t="str">
            <v>PRECIO DE VENTA</v>
          </cell>
          <cell r="D1033">
            <v>1</v>
          </cell>
          <cell r="E1033">
            <v>18248</v>
          </cell>
          <cell r="F1033">
            <v>18248</v>
          </cell>
        </row>
        <row r="1034">
          <cell r="A1034" t="str">
            <v>HL-MLA-MR-TT</v>
          </cell>
          <cell r="B1034" t="str">
            <v>MANILLA VENTANA - MARRON - T</v>
          </cell>
          <cell r="C1034" t="str">
            <v>PRECIO DE VENTA</v>
          </cell>
          <cell r="D1034">
            <v>1</v>
          </cell>
          <cell r="E1034">
            <v>1940</v>
          </cell>
          <cell r="F1034">
            <v>1940</v>
          </cell>
        </row>
        <row r="1035">
          <cell r="A1035" t="str">
            <v>HL-MLA-NE-TT</v>
          </cell>
          <cell r="B1035" t="str">
            <v>MANILLA VENTANA - NEGRO - T</v>
          </cell>
          <cell r="C1035" t="str">
            <v>PRECIO DE VENTA</v>
          </cell>
          <cell r="D1035">
            <v>1</v>
          </cell>
          <cell r="E1035">
            <v>1940</v>
          </cell>
          <cell r="F1035">
            <v>1940</v>
          </cell>
        </row>
        <row r="1036">
          <cell r="A1036" t="str">
            <v>HL-MLA-NPT-BL</v>
          </cell>
          <cell r="B1036" t="str">
            <v>MANILLA NEPTUNO BLANCO</v>
          </cell>
          <cell r="C1036" t="str">
            <v>PRECIO DE VENTA</v>
          </cell>
          <cell r="D1036">
            <v>1</v>
          </cell>
          <cell r="E1036">
            <v>1786</v>
          </cell>
          <cell r="F1036">
            <v>1786</v>
          </cell>
        </row>
        <row r="1037">
          <cell r="A1037" t="str">
            <v>HL-MLA-PTA-MR-FS</v>
          </cell>
          <cell r="B1037" t="str">
            <v>MANILLA PUERTA ABATIR 25/92 mm - MARRON - FB</v>
          </cell>
          <cell r="C1037" t="str">
            <v>PRECIO DE VENTA</v>
          </cell>
          <cell r="D1037">
            <v>1</v>
          </cell>
          <cell r="E1037">
            <v>7857</v>
          </cell>
          <cell r="F1037">
            <v>7857</v>
          </cell>
        </row>
        <row r="1038">
          <cell r="A1038" t="str">
            <v>HL-MLA-PTA-NE-FS</v>
          </cell>
          <cell r="B1038" t="str">
            <v>MANILLA PUERTA ABATIR 25/92 mm - NEGRO - FB</v>
          </cell>
          <cell r="C1038" t="str">
            <v>PRECIO DE VENTA</v>
          </cell>
          <cell r="D1038">
            <v>1</v>
          </cell>
          <cell r="E1038">
            <v>7857</v>
          </cell>
          <cell r="F1038">
            <v>7857</v>
          </cell>
        </row>
        <row r="1039">
          <cell r="A1039" t="str">
            <v>HL-PLA-BIS-3D-AD</v>
          </cell>
          <cell r="B1039" t="str">
            <v>PLANTILLA BISAGRA 3D - AD</v>
          </cell>
          <cell r="C1039" t="str">
            <v>PRECIO DE VENTA</v>
          </cell>
          <cell r="D1039">
            <v>1</v>
          </cell>
          <cell r="E1039">
            <v>3598</v>
          </cell>
          <cell r="F1039">
            <v>3598</v>
          </cell>
        </row>
        <row r="1040">
          <cell r="A1040" t="str">
            <v>HL-PLA-BIS-3D-FB</v>
          </cell>
          <cell r="B1040" t="str">
            <v>PLANTILLA BISAGRA 3D - FB</v>
          </cell>
          <cell r="C1040" t="str">
            <v>PRECIO DE VENTA</v>
          </cell>
          <cell r="D1040">
            <v>1</v>
          </cell>
          <cell r="E1040">
            <v>38286</v>
          </cell>
          <cell r="F1040">
            <v>38286</v>
          </cell>
        </row>
        <row r="1041">
          <cell r="A1041" t="str">
            <v>HL-PLT-ACR-MA</v>
          </cell>
          <cell r="B1041" t="str">
            <v>PALETA DE ACRISTALAR - MA</v>
          </cell>
          <cell r="C1041" t="str">
            <v>PRECIO DE VENTA</v>
          </cell>
          <cell r="D1041">
            <v>1</v>
          </cell>
          <cell r="E1041">
            <v>21063</v>
          </cell>
          <cell r="F1041">
            <v>21063</v>
          </cell>
        </row>
        <row r="1042">
          <cell r="A1042" t="str">
            <v>HL-RCC124-ST</v>
          </cell>
          <cell r="B1042" t="str">
            <v>ROLLO CARTON CORRUGADO</v>
          </cell>
          <cell r="C1042" t="str">
            <v>PRECIO DE VENTA</v>
          </cell>
          <cell r="D1042">
            <v>1</v>
          </cell>
          <cell r="E1042">
            <v>38693</v>
          </cell>
          <cell r="F1042">
            <v>38693</v>
          </cell>
        </row>
        <row r="1043">
          <cell r="A1043" t="str">
            <v>HL-RFS18T-ST</v>
          </cell>
          <cell r="B1043" t="str">
            <v>ROLLO FILM STRECH (TRANSPARENTE)</v>
          </cell>
          <cell r="C1043" t="str">
            <v>PRECIO DE VENTA</v>
          </cell>
          <cell r="D1043">
            <v>1</v>
          </cell>
          <cell r="E1043">
            <v>4158</v>
          </cell>
          <cell r="F1043">
            <v>4158</v>
          </cell>
        </row>
        <row r="1044">
          <cell r="A1044" t="str">
            <v>HL-SLC-290-AN-FS</v>
          </cell>
          <cell r="B1044" t="str">
            <v>SILICONA NEUTRA 290 gr ANTHR - FS</v>
          </cell>
          <cell r="C1044" t="str">
            <v>PRECIO DE VENTA</v>
          </cell>
          <cell r="D1044">
            <v>1</v>
          </cell>
          <cell r="E1044">
            <v>2199</v>
          </cell>
          <cell r="F1044">
            <v>2199</v>
          </cell>
        </row>
        <row r="1045">
          <cell r="A1045" t="str">
            <v>HL-SLC-290-BL-FS</v>
          </cell>
          <cell r="B1045" t="str">
            <v>SILICONA NEUTRA 290 gr BLANCO - FS</v>
          </cell>
          <cell r="C1045" t="str">
            <v>PRECIO DE VENTA</v>
          </cell>
          <cell r="D1045">
            <v>1</v>
          </cell>
          <cell r="E1045">
            <v>2199</v>
          </cell>
          <cell r="F1045">
            <v>2199</v>
          </cell>
        </row>
        <row r="1046">
          <cell r="A1046" t="str">
            <v>HL-SLC-290-MR-FS</v>
          </cell>
          <cell r="B1046" t="str">
            <v>SILICONA NEUTRA 290 gr MARRON - FS</v>
          </cell>
          <cell r="C1046" t="str">
            <v>PRECIO DE VENTA</v>
          </cell>
          <cell r="D1046">
            <v>1</v>
          </cell>
          <cell r="E1046">
            <v>2199</v>
          </cell>
          <cell r="F1046">
            <v>2199</v>
          </cell>
        </row>
        <row r="1047">
          <cell r="A1047" t="str">
            <v>HL-SLC-290-NE-FS</v>
          </cell>
          <cell r="B1047" t="str">
            <v>SILICONA NEUTRA 290 gr NEGRO - FS</v>
          </cell>
          <cell r="C1047" t="str">
            <v>PRECIO DE VENTA</v>
          </cell>
          <cell r="D1047">
            <v>1</v>
          </cell>
          <cell r="E1047">
            <v>2199</v>
          </cell>
          <cell r="F1047">
            <v>2199</v>
          </cell>
        </row>
        <row r="1048">
          <cell r="A1048" t="str">
            <v>HL-SLC-290-TO-FS</v>
          </cell>
          <cell r="B1048" t="str">
            <v>SILICONA NEUTRA 290 gr TOFFE - FS</v>
          </cell>
          <cell r="C1048" t="str">
            <v>PRECIO DE VENTA</v>
          </cell>
          <cell r="D1048">
            <v>1</v>
          </cell>
          <cell r="E1048">
            <v>2199</v>
          </cell>
          <cell r="F1048">
            <v>2199</v>
          </cell>
        </row>
        <row r="1049">
          <cell r="A1049" t="str">
            <v>HL-SLC-300-BK-DV</v>
          </cell>
          <cell r="B1049" t="str">
            <v>SILICONA NEUTRA 300 gr - NEGRO- DV</v>
          </cell>
          <cell r="C1049" t="str">
            <v>PRECIO DE VENTA</v>
          </cell>
          <cell r="D1049">
            <v>1</v>
          </cell>
          <cell r="E1049">
            <v>2742</v>
          </cell>
          <cell r="F1049">
            <v>2742</v>
          </cell>
        </row>
        <row r="1050">
          <cell r="A1050" t="str">
            <v>HL-SLC-300-BK-SP</v>
          </cell>
          <cell r="B1050" t="str">
            <v>SILICONA NEUTRA 300 gr - NEGRO- SP</v>
          </cell>
          <cell r="C1050" t="str">
            <v>PRECIO DE VENTA</v>
          </cell>
          <cell r="D1050">
            <v>1</v>
          </cell>
          <cell r="E1050">
            <v>2678</v>
          </cell>
          <cell r="F1050">
            <v>2678</v>
          </cell>
        </row>
        <row r="1051">
          <cell r="A1051" t="str">
            <v>HL-SLC-300-BL-DV</v>
          </cell>
          <cell r="B1051" t="str">
            <v>SILICONA NEUTRA 300 gr - BLANCO- DV</v>
          </cell>
          <cell r="C1051" t="str">
            <v>PRECIO DE VENTA</v>
          </cell>
          <cell r="D1051">
            <v>1</v>
          </cell>
          <cell r="E1051">
            <v>2742</v>
          </cell>
          <cell r="F1051">
            <v>2742</v>
          </cell>
        </row>
        <row r="1052">
          <cell r="A1052" t="str">
            <v>HL-SLC-300-BL-SP</v>
          </cell>
          <cell r="B1052" t="str">
            <v>SILICONA NEUTRA 300 gr - BLANCO- SP</v>
          </cell>
          <cell r="C1052" t="str">
            <v>PRECIO DE VENTA</v>
          </cell>
          <cell r="D1052">
            <v>1</v>
          </cell>
          <cell r="E1052">
            <v>2678</v>
          </cell>
          <cell r="F1052">
            <v>2678</v>
          </cell>
        </row>
        <row r="1053">
          <cell r="A1053" t="str">
            <v>HL-SLC-300-GR-DV</v>
          </cell>
          <cell r="B1053" t="str">
            <v>SILICONA NEUTRA 300 gr - GRAFITO- DV</v>
          </cell>
          <cell r="C1053" t="str">
            <v>PRECIO DE VENTA</v>
          </cell>
          <cell r="D1053">
            <v>1</v>
          </cell>
          <cell r="E1053">
            <v>3344</v>
          </cell>
          <cell r="F1053">
            <v>3344</v>
          </cell>
        </row>
        <row r="1054">
          <cell r="A1054" t="str">
            <v>HL-SLC-300-GR-SP</v>
          </cell>
          <cell r="B1054" t="str">
            <v>SILICONA NEUTRA 300 gr - GRAFITO- SP</v>
          </cell>
          <cell r="C1054" t="str">
            <v>PRECIO DE VENTA</v>
          </cell>
          <cell r="D1054">
            <v>1</v>
          </cell>
          <cell r="E1054">
            <v>2678</v>
          </cell>
          <cell r="F1054">
            <v>2678</v>
          </cell>
        </row>
        <row r="1055">
          <cell r="A1055" t="str">
            <v>HL-SLC-300-MR-DV</v>
          </cell>
          <cell r="B1055" t="str">
            <v>SILICONA NEUTRA 300 gr - MARRON- DV</v>
          </cell>
          <cell r="C1055" t="str">
            <v>PRECIO DE VENTA</v>
          </cell>
          <cell r="D1055">
            <v>1</v>
          </cell>
          <cell r="E1055">
            <v>2867</v>
          </cell>
          <cell r="F1055">
            <v>2867</v>
          </cell>
        </row>
        <row r="1056">
          <cell r="A1056" t="str">
            <v>HL-SLC-300-MR-SP</v>
          </cell>
          <cell r="B1056" t="str">
            <v>SILICONA NEUTRA 300 gr - MARRON- SP</v>
          </cell>
          <cell r="C1056" t="str">
            <v>PRECIO DE VENTA</v>
          </cell>
          <cell r="D1056">
            <v>1</v>
          </cell>
          <cell r="E1056">
            <v>2678</v>
          </cell>
          <cell r="F1056">
            <v>2678</v>
          </cell>
        </row>
        <row r="1057">
          <cell r="A1057" t="str">
            <v>HL-SLC-300-TO-DV</v>
          </cell>
          <cell r="B1057" t="str">
            <v>SILICONA NEUTRA 300 gr - TOFFE- DV</v>
          </cell>
          <cell r="C1057" t="str">
            <v>PRECIO DE VENTA</v>
          </cell>
          <cell r="D1057">
            <v>1</v>
          </cell>
          <cell r="E1057">
            <v>2991</v>
          </cell>
          <cell r="F1057">
            <v>2991</v>
          </cell>
        </row>
        <row r="1058">
          <cell r="A1058" t="str">
            <v>HL-SLC-300-TO-SP</v>
          </cell>
          <cell r="B1058" t="str">
            <v>SILICONA NEUTRA 300 gr - TOFFE- SP</v>
          </cell>
          <cell r="C1058" t="str">
            <v>PRECIO DE VENTA</v>
          </cell>
          <cell r="D1058">
            <v>1</v>
          </cell>
          <cell r="E1058">
            <v>2678</v>
          </cell>
          <cell r="F1058">
            <v>2678</v>
          </cell>
        </row>
        <row r="1059">
          <cell r="A1059" t="str">
            <v>HL-SUP-140-280-FB</v>
          </cell>
          <cell r="B1059" t="str">
            <v>SUPLEMENTO CARRO PABOSE 140 KG - 280 KG - FB</v>
          </cell>
          <cell r="C1059" t="str">
            <v>PRECIO DE VENTA</v>
          </cell>
          <cell r="D1059">
            <v>1</v>
          </cell>
          <cell r="E1059">
            <v>120</v>
          </cell>
          <cell r="F1059">
            <v>120</v>
          </cell>
        </row>
        <row r="1060">
          <cell r="A1060" t="str">
            <v>HL-SUP-HCF-MA</v>
          </cell>
          <cell r="B1060" t="str">
            <v>SUPLE HOJA CORREDERA A FIJA - MA</v>
          </cell>
          <cell r="C1060" t="str">
            <v>PRECIO DE VENTA</v>
          </cell>
          <cell r="D1060">
            <v>1</v>
          </cell>
          <cell r="E1060">
            <v>610</v>
          </cell>
          <cell r="F1060">
            <v>610</v>
          </cell>
        </row>
        <row r="1061">
          <cell r="A1061" t="str">
            <v>HL-SUP-PT-BL</v>
          </cell>
          <cell r="B1061" t="str">
            <v>SUPLE POSTE T S60 - BL</v>
          </cell>
          <cell r="C1061" t="str">
            <v>PRECIO DE VENTA</v>
          </cell>
          <cell r="D1061">
            <v>1</v>
          </cell>
          <cell r="E1061">
            <v>281</v>
          </cell>
          <cell r="F1061">
            <v>281</v>
          </cell>
        </row>
        <row r="1062">
          <cell r="A1062" t="str">
            <v>HL-TEL-CPTEF-25-MS</v>
          </cell>
          <cell r="B1062" t="str">
            <v>TELA TEFLON C/ PEGAMENTO 0,22 mm MT2 - MS</v>
          </cell>
          <cell r="C1062" t="str">
            <v>PRECIO DE VENTA</v>
          </cell>
          <cell r="D1062">
            <v>1</v>
          </cell>
          <cell r="E1062">
            <v>70298</v>
          </cell>
          <cell r="F1062">
            <v>70298</v>
          </cell>
        </row>
        <row r="1063">
          <cell r="A1063" t="str">
            <v>HL-TEL-TEF-25-MS</v>
          </cell>
          <cell r="B1063" t="str">
            <v>TELA TEFLON 0,22 mm MT2 - MS</v>
          </cell>
          <cell r="C1063" t="str">
            <v>PRECIO DE VENTA</v>
          </cell>
          <cell r="D1063">
            <v>1</v>
          </cell>
          <cell r="E1063">
            <v>59576</v>
          </cell>
          <cell r="F1063">
            <v>59576</v>
          </cell>
        </row>
        <row r="1064">
          <cell r="A1064" t="str">
            <v>HL-TEL-TEF-25-SE</v>
          </cell>
          <cell r="B1064" t="str">
            <v>TELA TEFLON 0,25 mm MT2 - SC</v>
          </cell>
          <cell r="C1064" t="str">
            <v>PRECIO DE VENTA</v>
          </cell>
          <cell r="D1064">
            <v>1</v>
          </cell>
          <cell r="E1064">
            <v>59576</v>
          </cell>
          <cell r="F1064">
            <v>59576</v>
          </cell>
        </row>
        <row r="1065">
          <cell r="A1065" t="str">
            <v>HL-TOR-AMO-75-100-MA</v>
          </cell>
          <cell r="B1065" t="str">
            <v>TORNILLO AMO III 7,5 x 100 - MA</v>
          </cell>
          <cell r="C1065" t="str">
            <v>PRECIO DE VENTA</v>
          </cell>
          <cell r="D1065">
            <v>1</v>
          </cell>
          <cell r="E1065">
            <v>194</v>
          </cell>
          <cell r="F1065">
            <v>194</v>
          </cell>
        </row>
        <row r="1066">
          <cell r="A1066" t="str">
            <v>HL-TOR-AMO-75-80-MA</v>
          </cell>
          <cell r="B1066" t="str">
            <v>TORNILLO AMO III 7,5 x 80 - MA</v>
          </cell>
          <cell r="C1066" t="str">
            <v>PRECIO DE VENTA</v>
          </cell>
          <cell r="D1066">
            <v>1</v>
          </cell>
          <cell r="E1066">
            <v>162</v>
          </cell>
          <cell r="F1066">
            <v>162</v>
          </cell>
        </row>
        <row r="1067">
          <cell r="A1067" t="str">
            <v>HL-TOR-AUT-39-13-MA</v>
          </cell>
          <cell r="B1067" t="str">
            <v>TORNILLO AUTOPERFORANTE 3,9 x 13 - MA</v>
          </cell>
          <cell r="C1067" t="str">
            <v>PRECIO DE VENTA</v>
          </cell>
          <cell r="D1067">
            <v>1</v>
          </cell>
          <cell r="E1067">
            <v>18</v>
          </cell>
          <cell r="F1067">
            <v>18</v>
          </cell>
        </row>
        <row r="1068">
          <cell r="A1068" t="str">
            <v>HL-TOR-AUT-39-16-MA</v>
          </cell>
          <cell r="B1068" t="str">
            <v>TORNILLO AUTOPERFORANTE 3,9 x 16 - MA</v>
          </cell>
          <cell r="C1068" t="str">
            <v>PRECIO DE VENTA</v>
          </cell>
          <cell r="D1068">
            <v>1</v>
          </cell>
          <cell r="E1068">
            <v>20</v>
          </cell>
          <cell r="F1068">
            <v>20</v>
          </cell>
        </row>
        <row r="1069">
          <cell r="A1069" t="str">
            <v>HL-TOR-AUT-39-19-MA</v>
          </cell>
          <cell r="B1069" t="str">
            <v>TORNILLO AUTOPERFORANTE 3,9 x 19 - MA</v>
          </cell>
          <cell r="C1069" t="str">
            <v>PRECIO DE VENTA</v>
          </cell>
          <cell r="D1069">
            <v>1</v>
          </cell>
          <cell r="E1069">
            <v>20</v>
          </cell>
          <cell r="F1069">
            <v>20</v>
          </cell>
        </row>
        <row r="1070">
          <cell r="A1070" t="str">
            <v>HL-TOR-AUT-39-25-MA</v>
          </cell>
          <cell r="B1070" t="str">
            <v>TORNILLO AUTOPERFORANTE 3,9 x 25 - MA</v>
          </cell>
          <cell r="C1070" t="str">
            <v>PRECIO DE VENTA</v>
          </cell>
          <cell r="D1070">
            <v>1</v>
          </cell>
          <cell r="E1070">
            <v>24</v>
          </cell>
          <cell r="F1070">
            <v>24</v>
          </cell>
        </row>
        <row r="1071">
          <cell r="A1071" t="str">
            <v>HL-TOR-AUT-4-75-MA</v>
          </cell>
          <cell r="B1071" t="str">
            <v>TORNILLO AUTOPERFORANTE 4 x 75- MA</v>
          </cell>
          <cell r="C1071" t="str">
            <v>PRECIO DE VENTA</v>
          </cell>
          <cell r="D1071">
            <v>1</v>
          </cell>
          <cell r="E1071">
            <v>64</v>
          </cell>
          <cell r="F1071">
            <v>64</v>
          </cell>
        </row>
        <row r="1072">
          <cell r="A1072" t="str">
            <v>HL-TOR-AUT-42-100-MA</v>
          </cell>
          <cell r="B1072" t="str">
            <v>TORNILLO AUTOPERFORANTE 4,2 x 100 - MA</v>
          </cell>
          <cell r="C1072" t="str">
            <v>PRECIO DE VENTA</v>
          </cell>
          <cell r="D1072">
            <v>1</v>
          </cell>
          <cell r="E1072">
            <v>115</v>
          </cell>
          <cell r="F1072">
            <v>115</v>
          </cell>
        </row>
        <row r="1073">
          <cell r="A1073" t="str">
            <v>HL-TOR-CDB-4-98-MA</v>
          </cell>
          <cell r="B1073" t="str">
            <v>TORNILLO CABEZA DE BARRIL 4 x 9,8 - MA</v>
          </cell>
          <cell r="C1073" t="str">
            <v>PRECIO DE VENTA</v>
          </cell>
          <cell r="D1073">
            <v>1</v>
          </cell>
          <cell r="E1073">
            <v>195</v>
          </cell>
          <cell r="F1073">
            <v>195</v>
          </cell>
        </row>
        <row r="1074">
          <cell r="A1074" t="str">
            <v>HL-TOR-MIL-5-45-MA</v>
          </cell>
          <cell r="B1074" t="str">
            <v>TORNILLO MILIMETRICO 5 x 45 - MA</v>
          </cell>
          <cell r="C1074" t="str">
            <v>PRECIO DE VENTA</v>
          </cell>
          <cell r="D1074">
            <v>1</v>
          </cell>
          <cell r="E1074">
            <v>59</v>
          </cell>
          <cell r="F1074">
            <v>59</v>
          </cell>
        </row>
        <row r="1075">
          <cell r="A1075" t="str">
            <v>HL-TOR-MIL-5-50</v>
          </cell>
          <cell r="B1075" t="str">
            <v>TORNILLO MILIMETRICO 5 x 50 - MA</v>
          </cell>
          <cell r="C1075" t="str">
            <v>PRECIO DE VENTA</v>
          </cell>
          <cell r="D1075">
            <v>1</v>
          </cell>
          <cell r="E1075">
            <v>156</v>
          </cell>
          <cell r="F1075">
            <v>156</v>
          </cell>
        </row>
        <row r="1076">
          <cell r="A1076" t="str">
            <v>HL-TOR-MIL-5-50-MA</v>
          </cell>
          <cell r="B1076" t="str">
            <v>TORNILLO MILIMETRICO M5 x 50 -MA</v>
          </cell>
          <cell r="C1076" t="str">
            <v>PRECIO DE VENTA</v>
          </cell>
          <cell r="D1076">
            <v>1</v>
          </cell>
          <cell r="E1076">
            <v>104</v>
          </cell>
          <cell r="F1076">
            <v>104</v>
          </cell>
        </row>
        <row r="1077">
          <cell r="A1077" t="str">
            <v>HL-TOR-MIL-5-55-MA</v>
          </cell>
          <cell r="B1077" t="str">
            <v>TORNILLO MILIMETRICO M5 x 55 -MA</v>
          </cell>
          <cell r="C1077" t="str">
            <v>PRECIO DE VENTA</v>
          </cell>
          <cell r="D1077">
            <v>1</v>
          </cell>
          <cell r="E1077">
            <v>177</v>
          </cell>
          <cell r="F1077">
            <v>177</v>
          </cell>
        </row>
        <row r="1078">
          <cell r="A1078" t="str">
            <v>HL-TOR-PAU-42-20-MA</v>
          </cell>
          <cell r="B1078" t="str">
            <v>TORNILLO PUNTA AGUJA 4,2 x 20 - MA</v>
          </cell>
          <cell r="C1078" t="str">
            <v>PRECIO DE VENTA</v>
          </cell>
          <cell r="D1078">
            <v>1</v>
          </cell>
          <cell r="E1078">
            <v>21</v>
          </cell>
          <cell r="F1078">
            <v>21</v>
          </cell>
        </row>
        <row r="1079">
          <cell r="A1079" t="str">
            <v>HL-TOR-PAU-42-38-MA</v>
          </cell>
          <cell r="B1079" t="str">
            <v>TORNILLO PUNTA AGUJA 4,2 x 38 - MA</v>
          </cell>
          <cell r="C1079" t="str">
            <v>PRECIO DE VENTA</v>
          </cell>
          <cell r="D1079">
            <v>1</v>
          </cell>
          <cell r="E1079">
            <v>23</v>
          </cell>
          <cell r="F1079">
            <v>23</v>
          </cell>
        </row>
        <row r="1080">
          <cell r="A1080" t="str">
            <v>HL-TOR-PAU-42-75-MA</v>
          </cell>
          <cell r="B1080" t="str">
            <v>TORNILLO PUNTA AGUJA 4,2 x 75 - MA</v>
          </cell>
          <cell r="C1080" t="str">
            <v>PRECIO DE VENTA</v>
          </cell>
          <cell r="D1080">
            <v>1</v>
          </cell>
          <cell r="E1080">
            <v>47</v>
          </cell>
          <cell r="F1080">
            <v>47</v>
          </cell>
        </row>
        <row r="1081">
          <cell r="A1081" t="str">
            <v>HL-TOR-PUA-39-25</v>
          </cell>
          <cell r="B1081" t="str">
            <v>TORNILLO PUNTA AGUJA 3,9 x 25</v>
          </cell>
          <cell r="C1081" t="str">
            <v>PRECIO DE VENTA</v>
          </cell>
          <cell r="D1081">
            <v>1</v>
          </cell>
          <cell r="E1081">
            <v>14</v>
          </cell>
          <cell r="F1081">
            <v>14</v>
          </cell>
        </row>
        <row r="1082">
          <cell r="A1082" t="str">
            <v>HL-TOR-PUA-42-25-MA</v>
          </cell>
          <cell r="B1082" t="str">
            <v>TORNILLO PUNTA AGUJA 4,2 x 25 - MA</v>
          </cell>
          <cell r="C1082" t="str">
            <v>PRECIO DE VENTA</v>
          </cell>
          <cell r="D1082">
            <v>1</v>
          </cell>
          <cell r="E1082">
            <v>18</v>
          </cell>
          <cell r="F1082">
            <v>18</v>
          </cell>
        </row>
        <row r="1083">
          <cell r="A1083" t="str">
            <v>HL-TOR-PUA-42-45</v>
          </cell>
          <cell r="B1083" t="str">
            <v>TORNILLO PUNTA AGUJA 4,2 x 45</v>
          </cell>
          <cell r="C1083" t="str">
            <v>PRECIO DE VENTA</v>
          </cell>
          <cell r="D1083">
            <v>1</v>
          </cell>
          <cell r="E1083">
            <v>27</v>
          </cell>
          <cell r="F1083">
            <v>27</v>
          </cell>
        </row>
        <row r="1084">
          <cell r="A1084" t="str">
            <v>HL-ZP1220B-ST</v>
          </cell>
          <cell r="B1084" t="str">
            <v>ZUNCHO PP 12 mm 0.80 mm 2000 M BLANCO</v>
          </cell>
          <cell r="C1084" t="str">
            <v>PRECIO DE VENTA</v>
          </cell>
          <cell r="D1084">
            <v>1</v>
          </cell>
          <cell r="E1084">
            <v>22194</v>
          </cell>
          <cell r="F1084">
            <v>22194</v>
          </cell>
        </row>
        <row r="1085">
          <cell r="A1085" t="str">
            <v>INSTALAC1</v>
          </cell>
          <cell r="B1085" t="str">
            <v>CONST. MC LTDA. FC/1130 ANTICIPO TRABAJOS DE CIERRE LO BLANCO</v>
          </cell>
          <cell r="C1085" t="str">
            <v>PRECIO DE VENTA</v>
          </cell>
          <cell r="D1085">
            <v>1</v>
          </cell>
        </row>
        <row r="1086">
          <cell r="A1086" t="str">
            <v>INSTALAC10</v>
          </cell>
          <cell r="B1086" t="str">
            <v>CENTRO DE DISTRIBUCION LA PINTANA</v>
          </cell>
          <cell r="C1086" t="str">
            <v>PRECIO DE VENTA</v>
          </cell>
          <cell r="D1086">
            <v>1</v>
          </cell>
        </row>
        <row r="1087">
          <cell r="A1087" t="str">
            <v>INSTALAC11</v>
          </cell>
          <cell r="B1087" t="str">
            <v>CENTRO DE DISTRIBUCION LA PINTANA</v>
          </cell>
          <cell r="C1087" t="str">
            <v>PRECIO DE VENTA</v>
          </cell>
          <cell r="D1087">
            <v>1</v>
          </cell>
        </row>
        <row r="1088">
          <cell r="A1088" t="str">
            <v>INSTALAC12</v>
          </cell>
          <cell r="B1088" t="str">
            <v>SALDO INSTALACION CAMARAS DE SEGURIDAD TUCAPEL</v>
          </cell>
          <cell r="C1088" t="str">
            <v>PRECIO DE VENTA</v>
          </cell>
          <cell r="D1088">
            <v>1</v>
          </cell>
        </row>
        <row r="1089">
          <cell r="A1089" t="str">
            <v>INSTALAC13</v>
          </cell>
          <cell r="B1089" t="str">
            <v>PAGO PERMISO DE CONSTRUCCION TUCAPEL</v>
          </cell>
          <cell r="C1089" t="str">
            <v>PRECIO DE VENTA</v>
          </cell>
          <cell r="D1089">
            <v>1</v>
          </cell>
        </row>
        <row r="1090">
          <cell r="A1090" t="str">
            <v>INSTALAC14</v>
          </cell>
          <cell r="B1090" t="str">
            <v>OBRAS EN CONSTRUCCION TUCAPEL</v>
          </cell>
          <cell r="C1090" t="str">
            <v>PRECIO DE VENTA</v>
          </cell>
          <cell r="D1090">
            <v>1</v>
          </cell>
        </row>
        <row r="1091">
          <cell r="A1091" t="str">
            <v>INSTALAC15</v>
          </cell>
          <cell r="B1091" t="str">
            <v>60% INSTALACION ELECTRICA PARA TRITURADORA PVC</v>
          </cell>
          <cell r="C1091" t="str">
            <v>PRECIO DE VENTA</v>
          </cell>
          <cell r="D1091">
            <v>1</v>
          </cell>
        </row>
        <row r="1092">
          <cell r="A1092" t="str">
            <v>INSTALAC16</v>
          </cell>
          <cell r="B1092" t="str">
            <v>40% FINAL INSTALACION ELECTRICA TRITURADORA DE PVC</v>
          </cell>
          <cell r="C1092" t="str">
            <v>PRECIO DE VENTA</v>
          </cell>
          <cell r="D1092">
            <v>1</v>
          </cell>
        </row>
        <row r="1093">
          <cell r="A1093" t="str">
            <v>INSTALAC17</v>
          </cell>
          <cell r="B1093" t="str">
            <v>MEJORA OBRAS EN CONTRUCCION TUCAPEL 1540</v>
          </cell>
          <cell r="C1093" t="str">
            <v>PRECIO DE VENTA</v>
          </cell>
          <cell r="D1093">
            <v>1</v>
          </cell>
        </row>
        <row r="1094">
          <cell r="A1094" t="str">
            <v>INSTALAC18</v>
          </cell>
          <cell r="B1094" t="str">
            <v>OBRAS EN CONSTRUCCION LAUTARO 2440</v>
          </cell>
          <cell r="C1094" t="str">
            <v>PRECIO DE VENTA</v>
          </cell>
          <cell r="D1094">
            <v>1</v>
          </cell>
        </row>
        <row r="1095">
          <cell r="A1095" t="str">
            <v>INSTALAC19</v>
          </cell>
          <cell r="B1095" t="str">
            <v>OBRAS EN CONSTRUCCION TUCAPEL 1545</v>
          </cell>
          <cell r="C1095" t="str">
            <v>PRECIO DE VENTA</v>
          </cell>
          <cell r="D1095">
            <v>1</v>
          </cell>
        </row>
        <row r="1096">
          <cell r="A1096" t="str">
            <v>INSTALAC2</v>
          </cell>
          <cell r="B1096" t="str">
            <v>CONST. MC LTDA. FC/1135 ESTADO DE PAGO CIERRE LO BLANCO</v>
          </cell>
          <cell r="C1096" t="str">
            <v>PRECIO DE VENTA</v>
          </cell>
          <cell r="D1096">
            <v>1</v>
          </cell>
        </row>
        <row r="1097">
          <cell r="A1097" t="str">
            <v>INSTALAC20</v>
          </cell>
          <cell r="B1097" t="str">
            <v>OBRAS EN CONSTRUCCION LAUTARO 2440</v>
          </cell>
          <cell r="C1097" t="str">
            <v>PRECIO DE VENTA</v>
          </cell>
          <cell r="D1097">
            <v>1</v>
          </cell>
        </row>
        <row r="1098">
          <cell r="A1098" t="str">
            <v>INSTALAC21</v>
          </cell>
          <cell r="B1098" t="str">
            <v>OBRAS EN CONSTRUCCION LAUTARO 2440</v>
          </cell>
          <cell r="C1098" t="str">
            <v>PRECIO DE VENTA</v>
          </cell>
          <cell r="D1098">
            <v>1</v>
          </cell>
        </row>
        <row r="1099">
          <cell r="A1099" t="str">
            <v>INSTALAC22</v>
          </cell>
          <cell r="B1099" t="str">
            <v>OBRAS EN CONSTRUCCION TUCAPEL 1545</v>
          </cell>
          <cell r="C1099" t="str">
            <v>PRECIO DE VENTA</v>
          </cell>
          <cell r="D1099">
            <v>1</v>
          </cell>
        </row>
        <row r="1100">
          <cell r="A1100" t="str">
            <v>INSTALAC23</v>
          </cell>
          <cell r="B1100" t="str">
            <v>OBRAS EN CONSTRUCCION TUCAPEL 1545</v>
          </cell>
          <cell r="C1100" t="str">
            <v>PRECIO DE VENTA</v>
          </cell>
          <cell r="D1100">
            <v>1</v>
          </cell>
        </row>
        <row r="1101">
          <cell r="A1101" t="str">
            <v>INSTALAC3</v>
          </cell>
          <cell r="B1101" t="str">
            <v>REMODELACION OF LO BLANCO Y TUCAPEL  70%</v>
          </cell>
          <cell r="C1101" t="str">
            <v>PRECIO DE VENTA</v>
          </cell>
          <cell r="D1101">
            <v>1</v>
          </cell>
        </row>
        <row r="1102">
          <cell r="A1102" t="str">
            <v>INSTALAC4</v>
          </cell>
          <cell r="B1102" t="str">
            <v>REMODELACION TEMUCO</v>
          </cell>
          <cell r="C1102" t="str">
            <v>PRECIO DE VENTA</v>
          </cell>
          <cell r="D1102">
            <v>1</v>
          </cell>
        </row>
        <row r="1103">
          <cell r="A1103" t="str">
            <v>INSTALAC5</v>
          </cell>
          <cell r="B1103" t="str">
            <v>OFICINA 20 PIES 50% INICIAL</v>
          </cell>
          <cell r="C1103" t="str">
            <v>PRECIO DE VENTA</v>
          </cell>
          <cell r="D1103">
            <v>1</v>
          </cell>
        </row>
        <row r="1104">
          <cell r="A1104" t="str">
            <v>INSTALAC6</v>
          </cell>
          <cell r="B1104" t="str">
            <v>OFICINA 20 PIES 50% SALDO FINAL</v>
          </cell>
          <cell r="C1104" t="str">
            <v>PRECIO DE VENTA</v>
          </cell>
          <cell r="D1104">
            <v>1</v>
          </cell>
        </row>
        <row r="1105">
          <cell r="A1105" t="str">
            <v>INSTALAC7</v>
          </cell>
          <cell r="B1105" t="str">
            <v>INST.PUNTOS DE RED CONTROL ACCESO</v>
          </cell>
          <cell r="C1105" t="str">
            <v>PRECIO DE VENTA</v>
          </cell>
          <cell r="D1105">
            <v>1</v>
          </cell>
        </row>
        <row r="1106">
          <cell r="A1106" t="str">
            <v>INSTALAC8</v>
          </cell>
          <cell r="B1106" t="str">
            <v>INSTALACIONES POSTE METALICO</v>
          </cell>
          <cell r="C1106" t="str">
            <v>PRECIO DE VENTA</v>
          </cell>
          <cell r="D1106">
            <v>1</v>
          </cell>
        </row>
        <row r="1107">
          <cell r="A1107" t="str">
            <v>INSTALAC9</v>
          </cell>
          <cell r="B1107" t="str">
            <v>REMODELACION TEMUCO</v>
          </cell>
          <cell r="C1107" t="str">
            <v>PRECIO DE VENTA</v>
          </cell>
          <cell r="D1107">
            <v>1</v>
          </cell>
        </row>
        <row r="1108">
          <cell r="A1108" t="str">
            <v>KFJ-K2-ADG</v>
          </cell>
          <cell r="B1108" t="str">
            <v>ARANDELAS</v>
          </cell>
          <cell r="C1108" t="str">
            <v>PRECIO DE VENTA</v>
          </cell>
          <cell r="D1108">
            <v>1</v>
          </cell>
          <cell r="E1108">
            <v>458</v>
          </cell>
          <cell r="F1108">
            <v>458</v>
          </cell>
        </row>
        <row r="1109">
          <cell r="A1109" t="str">
            <v>KFJ-K2-BCV-10</v>
          </cell>
          <cell r="B1109" t="str">
            <v>BURLETE CONTRA VIDRIO 10mm</v>
          </cell>
          <cell r="C1109" t="str">
            <v>PRECIO DE VENTA</v>
          </cell>
          <cell r="D1109">
            <v>1</v>
          </cell>
          <cell r="E1109">
            <v>6350</v>
          </cell>
          <cell r="F1109">
            <v>6350</v>
          </cell>
        </row>
        <row r="1110">
          <cell r="A1110" t="str">
            <v>KFJ-K2-BCV-10-B</v>
          </cell>
          <cell r="B1110" t="str">
            <v>BURLETE CONTRA VIDRIO 10mm - B</v>
          </cell>
          <cell r="C1110" t="str">
            <v>PRECIO DE VENTA</v>
          </cell>
          <cell r="D1110">
            <v>1</v>
          </cell>
          <cell r="E1110">
            <v>4063</v>
          </cell>
          <cell r="F1110">
            <v>4063</v>
          </cell>
        </row>
        <row r="1111">
          <cell r="A1111" t="str">
            <v>KFJ-K2-BCV-12</v>
          </cell>
          <cell r="B1111" t="str">
            <v>BURLETE CONTRA VIDRIO 12mm</v>
          </cell>
          <cell r="C1111" t="str">
            <v>PRECIO DE VENTA</v>
          </cell>
          <cell r="D1111">
            <v>1</v>
          </cell>
          <cell r="E1111">
            <v>3060</v>
          </cell>
          <cell r="F1111">
            <v>3060</v>
          </cell>
        </row>
        <row r="1112">
          <cell r="A1112" t="str">
            <v>KFJ-K2-BCV-12-B</v>
          </cell>
          <cell r="B1112" t="str">
            <v>BURLETE CONTRA VIDRIO 12mm - B</v>
          </cell>
          <cell r="C1112" t="str">
            <v>PRECIO DE VENTA</v>
          </cell>
          <cell r="D1112">
            <v>1</v>
          </cell>
          <cell r="E1112">
            <v>4063</v>
          </cell>
          <cell r="F1112">
            <v>4063</v>
          </cell>
        </row>
        <row r="1113">
          <cell r="A1113" t="str">
            <v>KFJ-K2-BCV-16</v>
          </cell>
          <cell r="B1113" t="str">
            <v>BURLETE CONTRA VIDRIO 16mm</v>
          </cell>
          <cell r="C1113" t="str">
            <v>PRECIO DE VENTA</v>
          </cell>
          <cell r="D1113">
            <v>1</v>
          </cell>
          <cell r="E1113">
            <v>1375</v>
          </cell>
          <cell r="F1113">
            <v>1375</v>
          </cell>
        </row>
        <row r="1114">
          <cell r="A1114" t="str">
            <v>KFJ-K2-BCV-16-B</v>
          </cell>
          <cell r="B1114" t="str">
            <v>BURLETE CONTRA VIDRIO 16mm - B</v>
          </cell>
          <cell r="C1114" t="str">
            <v>PRECIO DE VENTA</v>
          </cell>
          <cell r="D1114">
            <v>1</v>
          </cell>
          <cell r="E1114">
            <v>4063</v>
          </cell>
          <cell r="F1114">
            <v>4063</v>
          </cell>
        </row>
        <row r="1115">
          <cell r="A1115" t="str">
            <v>KFJ-K2-BCV-20</v>
          </cell>
          <cell r="B1115" t="str">
            <v>BURLETE CONTRA VIDRIO 20mm</v>
          </cell>
          <cell r="C1115" t="str">
            <v>PRECIO DE VENTA</v>
          </cell>
          <cell r="D1115">
            <v>1</v>
          </cell>
          <cell r="E1115">
            <v>2295</v>
          </cell>
          <cell r="F1115">
            <v>2295</v>
          </cell>
        </row>
        <row r="1116">
          <cell r="A1116" t="str">
            <v>KFJ-K2-BCV-20-B</v>
          </cell>
          <cell r="B1116" t="str">
            <v>BURLETE CONTRA VIDRIO 20mm - B</v>
          </cell>
          <cell r="C1116" t="str">
            <v>PRECIO DE VENTA</v>
          </cell>
          <cell r="D1116">
            <v>1</v>
          </cell>
          <cell r="E1116">
            <v>4063</v>
          </cell>
          <cell r="F1116">
            <v>4063</v>
          </cell>
        </row>
        <row r="1117">
          <cell r="A1117" t="str">
            <v>KFJ-K2-BRL</v>
          </cell>
          <cell r="B1117" t="str">
            <v>BURLETE RESPALDO L ( INFERIOR )</v>
          </cell>
          <cell r="C1117" t="str">
            <v>PRECIO DE VENTA</v>
          </cell>
          <cell r="D1117">
            <v>1</v>
          </cell>
          <cell r="E1117">
            <v>1958</v>
          </cell>
          <cell r="F1117">
            <v>1958</v>
          </cell>
        </row>
        <row r="1118">
          <cell r="A1118" t="str">
            <v>KFJ-K2-BRS</v>
          </cell>
          <cell r="B1118" t="str">
            <v>BURLETE RESPALDO SUPERIOR</v>
          </cell>
          <cell r="C1118" t="str">
            <v>PRECIO DE VENTA</v>
          </cell>
          <cell r="D1118">
            <v>1</v>
          </cell>
          <cell r="E1118">
            <v>1375</v>
          </cell>
          <cell r="F1118">
            <v>1375</v>
          </cell>
        </row>
        <row r="1119">
          <cell r="A1119" t="str">
            <v>KFJ-K2-BRS-B2</v>
          </cell>
          <cell r="B1119" t="str">
            <v>BURLETE RESPALDO SUPERIOR - B2</v>
          </cell>
          <cell r="C1119" t="str">
            <v>PRECIO DE VENTA</v>
          </cell>
          <cell r="D1119">
            <v>1</v>
          </cell>
          <cell r="E1119">
            <v>1375</v>
          </cell>
          <cell r="F1119">
            <v>1375</v>
          </cell>
        </row>
        <row r="1120">
          <cell r="A1120" t="str">
            <v>KFJ-K2-CZP-10</v>
          </cell>
          <cell r="B1120" t="str">
            <v>CALZOS PLÁSTICOS 10mm</v>
          </cell>
          <cell r="C1120" t="str">
            <v>PRECIO DE VENTA</v>
          </cell>
          <cell r="D1120">
            <v>1</v>
          </cell>
          <cell r="E1120">
            <v>1530</v>
          </cell>
          <cell r="F1120">
            <v>1530</v>
          </cell>
        </row>
        <row r="1121">
          <cell r="A1121" t="str">
            <v>KFJ-K2-CZP-12</v>
          </cell>
          <cell r="B1121" t="str">
            <v>CALZOS PLÁSTICOS 12mm</v>
          </cell>
          <cell r="C1121" t="str">
            <v>PRECIO DE VENTA</v>
          </cell>
          <cell r="D1121">
            <v>1</v>
          </cell>
          <cell r="E1121">
            <v>1530</v>
          </cell>
          <cell r="F1121">
            <v>1530</v>
          </cell>
        </row>
        <row r="1122">
          <cell r="A1122" t="str">
            <v>KFJ-K2-CZP-16</v>
          </cell>
          <cell r="B1122" t="str">
            <v>CALZOS PLÁSTICOS 16mm</v>
          </cell>
          <cell r="C1122" t="str">
            <v>PRECIO DE VENTA</v>
          </cell>
          <cell r="D1122">
            <v>1</v>
          </cell>
          <cell r="E1122">
            <v>764</v>
          </cell>
          <cell r="F1122">
            <v>764</v>
          </cell>
        </row>
        <row r="1123">
          <cell r="A1123" t="str">
            <v>KFJ-K2-CZP-20</v>
          </cell>
          <cell r="B1123" t="str">
            <v>CALZOS PLÁSTICOS 20mm</v>
          </cell>
          <cell r="C1123" t="str">
            <v>PRECIO DE VENTA</v>
          </cell>
          <cell r="D1123">
            <v>1</v>
          </cell>
          <cell r="E1123">
            <v>1530</v>
          </cell>
          <cell r="F1123">
            <v>1530</v>
          </cell>
        </row>
        <row r="1124">
          <cell r="A1124" t="str">
            <v>KFJ-K2-HERR</v>
          </cell>
          <cell r="B1124" t="str">
            <v>ESPATULA TRABA CALZOS</v>
          </cell>
          <cell r="C1124" t="str">
            <v>PRECIO DE VENTA</v>
          </cell>
          <cell r="D1124">
            <v>1</v>
          </cell>
          <cell r="E1124">
            <v>32080</v>
          </cell>
          <cell r="F1124">
            <v>32080</v>
          </cell>
        </row>
        <row r="1125">
          <cell r="A1125" t="str">
            <v>KFJ-K2-PAL</v>
          </cell>
          <cell r="B1125" t="str">
            <v>PERNO ALINEACION</v>
          </cell>
          <cell r="C1125" t="str">
            <v>PRECIO DE VENTA</v>
          </cell>
          <cell r="D1125">
            <v>1</v>
          </cell>
          <cell r="E1125">
            <v>1146</v>
          </cell>
          <cell r="F1125">
            <v>1146</v>
          </cell>
        </row>
        <row r="1126">
          <cell r="A1126" t="str">
            <v>KFJ-K2-TPV</v>
          </cell>
          <cell r="B1126" t="str">
            <v>TUERCAS PARA VARILLAS</v>
          </cell>
          <cell r="C1126" t="str">
            <v>PRECIO DE VENTA</v>
          </cell>
          <cell r="D1126">
            <v>1</v>
          </cell>
          <cell r="E1126">
            <v>458</v>
          </cell>
          <cell r="F1126">
            <v>458</v>
          </cell>
        </row>
        <row r="1127">
          <cell r="A1127" t="str">
            <v>KFJ-K2-VRA</v>
          </cell>
          <cell r="B1127" t="str">
            <v>VARILLA ROSCADAS 3/8</v>
          </cell>
          <cell r="C1127" t="str">
            <v>PRECIO DE VENTA</v>
          </cell>
          <cell r="D1127">
            <v>1</v>
          </cell>
          <cell r="E1127">
            <v>764</v>
          </cell>
          <cell r="F1127">
            <v>764</v>
          </cell>
        </row>
        <row r="1128">
          <cell r="A1128" t="str">
            <v>LEASING1</v>
          </cell>
          <cell r="B1128" t="str">
            <v>CTTO LEASEBACK LINEA DE PRODUCCION PARA VIDRIO BESTMAKINA</v>
          </cell>
          <cell r="C1128" t="str">
            <v>PRECIO DE VENTA</v>
          </cell>
          <cell r="D1128">
            <v>1</v>
          </cell>
        </row>
        <row r="1129">
          <cell r="A1129" t="str">
            <v>LEASING2</v>
          </cell>
          <cell r="B1129" t="str">
            <v>CTTO.LEASING CENTRO DE MECANIZADO DE PERFILES MARCA HAFFNER MODELO DMC 053</v>
          </cell>
          <cell r="C1129" t="str">
            <v>PRECIO DE VENTA</v>
          </cell>
          <cell r="D1129">
            <v>1</v>
          </cell>
        </row>
        <row r="1130">
          <cell r="A1130" t="str">
            <v>LEASING3</v>
          </cell>
          <cell r="B1130" t="str">
            <v>CTTO.LEASING 1025494 CAMION TEMUCO</v>
          </cell>
          <cell r="C1130" t="str">
            <v>PRECIO DE VENTA</v>
          </cell>
          <cell r="D1130">
            <v>1</v>
          </cell>
        </row>
        <row r="1131">
          <cell r="A1131" t="str">
            <v>LEASING4</v>
          </cell>
          <cell r="B1131" t="str">
            <v>CTTO.OPERACION LEASING 123135 CAMION MARCA HINO TEMUCO</v>
          </cell>
          <cell r="C1131" t="str">
            <v>PRECIO DE VENTA</v>
          </cell>
          <cell r="D1131">
            <v>1</v>
          </cell>
        </row>
        <row r="1132">
          <cell r="A1132" t="str">
            <v>MAQHERR1</v>
          </cell>
          <cell r="B1132" t="str">
            <v>COMPR.SCHULTZ FC/47814 TORNILLO SOMAR</v>
          </cell>
          <cell r="C1132" t="str">
            <v>PRECIO DE VENTA</v>
          </cell>
          <cell r="D1132">
            <v>1</v>
          </cell>
        </row>
        <row r="1133">
          <cell r="A1133" t="str">
            <v>MAQHERR10</v>
          </cell>
          <cell r="B1133" t="str">
            <v>SOLDADORA DOBLE CABEZAL KC 258 MARCA MURAT</v>
          </cell>
          <cell r="C1133" t="str">
            <v>PRECIO DE VENTA</v>
          </cell>
          <cell r="D1133">
            <v>1</v>
          </cell>
        </row>
        <row r="1134">
          <cell r="A1134" t="str">
            <v>MAQHERR11</v>
          </cell>
          <cell r="B1134" t="str">
            <v>MAQUINA S. HUINCHA HOR. MANUAL CAP</v>
          </cell>
          <cell r="C1134" t="str">
            <v>PRECIO DE VENTA</v>
          </cell>
          <cell r="D1134">
            <v>1</v>
          </cell>
        </row>
        <row r="1135">
          <cell r="A1135" t="str">
            <v>MAQHERR12</v>
          </cell>
          <cell r="B1135" t="str">
            <v>DV-404 ATORNILLADOR AUTOMATICO</v>
          </cell>
          <cell r="C1135" t="str">
            <v>PRECIO DE VENTA</v>
          </cell>
          <cell r="D1135">
            <v>1</v>
          </cell>
        </row>
        <row r="1136">
          <cell r="A1136" t="str">
            <v>MAQHERR13</v>
          </cell>
          <cell r="B1136" t="str">
            <v>TROZADORA MONO CABEZAL</v>
          </cell>
          <cell r="C1136" t="str">
            <v>PRECIO DE VENTA</v>
          </cell>
          <cell r="D1136">
            <v>1</v>
          </cell>
        </row>
        <row r="1137">
          <cell r="A1137" t="str">
            <v>MAQHERR14</v>
          </cell>
          <cell r="B1137" t="str">
            <v>TRASPALETA 685*1150*85 BOMBA GALVANIZADA</v>
          </cell>
          <cell r="C1137" t="str">
            <v>PRECIO DE VENTA</v>
          </cell>
          <cell r="D1137">
            <v>1</v>
          </cell>
        </row>
        <row r="1138">
          <cell r="A1138" t="str">
            <v>MAQHERR15</v>
          </cell>
          <cell r="B1138" t="str">
            <v>BANCO DE SIERRA 12*3HP 380V8070101</v>
          </cell>
          <cell r="C1138" t="str">
            <v>PRECIO DE VENTA</v>
          </cell>
          <cell r="D1138">
            <v>1</v>
          </cell>
        </row>
        <row r="1139">
          <cell r="A1139" t="str">
            <v>MAQHERR16</v>
          </cell>
          <cell r="B1139" t="str">
            <v>HIDROLAVADORA</v>
          </cell>
          <cell r="C1139" t="str">
            <v>PRECIO DE VENTA</v>
          </cell>
          <cell r="D1139">
            <v>1</v>
          </cell>
        </row>
        <row r="1140">
          <cell r="A1140" t="str">
            <v>MAQHERR17</v>
          </cell>
          <cell r="B1140" t="str">
            <v>SIERRA HM 380X3,8/3,2X32+2 Z=110 ALU-NEG</v>
          </cell>
          <cell r="C1140" t="str">
            <v>PRECIO DE VENTA</v>
          </cell>
          <cell r="D1140">
            <v>1</v>
          </cell>
        </row>
        <row r="1141">
          <cell r="A1141" t="str">
            <v>MAQHERR18</v>
          </cell>
          <cell r="B1141" t="str">
            <v>EYECTOR DE VACIO</v>
          </cell>
          <cell r="C1141" t="str">
            <v>PRECIO DE VENTA</v>
          </cell>
          <cell r="D1141">
            <v>1</v>
          </cell>
        </row>
        <row r="1142">
          <cell r="A1142" t="str">
            <v>MAQHERR19</v>
          </cell>
          <cell r="B1142" t="str">
            <v>TRONZADORA AUTOMATICA DOBLE CABEZAL</v>
          </cell>
          <cell r="C1142" t="str">
            <v>PRECIO DE VENTA</v>
          </cell>
          <cell r="D1142">
            <v>1</v>
          </cell>
        </row>
        <row r="1143">
          <cell r="A1143" t="str">
            <v>MAQHERR2</v>
          </cell>
          <cell r="B1143" t="str">
            <v>TALADRO PEDESTAL MARCA DRILL PRES</v>
          </cell>
          <cell r="C1143" t="str">
            <v>PRECIO DE VENTA</v>
          </cell>
          <cell r="D1143">
            <v>1</v>
          </cell>
        </row>
        <row r="1144">
          <cell r="A1144" t="str">
            <v>MAQHERR20</v>
          </cell>
          <cell r="B1144" t="str">
            <v>GRUA HORQUILLA MITSUBISHI</v>
          </cell>
          <cell r="C1144" t="str">
            <v>PRECIO DE VENTA</v>
          </cell>
          <cell r="D1144">
            <v>1</v>
          </cell>
        </row>
        <row r="1145">
          <cell r="A1145" t="str">
            <v>MAQHERR21</v>
          </cell>
          <cell r="B1145" t="str">
            <v>FACTURA 161 MURAT ANTICIPO MAQUINA TRONZADORA</v>
          </cell>
          <cell r="C1145" t="str">
            <v>PRECIO DE VENTA</v>
          </cell>
          <cell r="D1145">
            <v>1</v>
          </cell>
        </row>
        <row r="1146">
          <cell r="A1146" t="str">
            <v>MAQHERR22</v>
          </cell>
          <cell r="B1146" t="str">
            <v>Factura 41245 TODO STORE S.A. GENERADOR EUROPARD</v>
          </cell>
          <cell r="C1146" t="str">
            <v>PRECIO DE VENTA</v>
          </cell>
          <cell r="D1146">
            <v>1</v>
          </cell>
        </row>
        <row r="1147">
          <cell r="A1147" t="str">
            <v>MAQHERR23</v>
          </cell>
          <cell r="B1147" t="str">
            <v>FACTURA 466 LOS TRAPENSES SPA MAQUINA JUNQUILLADORA</v>
          </cell>
          <cell r="C1147" t="str">
            <v>PRECIO DE VENTA</v>
          </cell>
          <cell r="D1147">
            <v>1</v>
          </cell>
        </row>
        <row r="1148">
          <cell r="A1148" t="str">
            <v>MAQHERR24</v>
          </cell>
          <cell r="B1148" t="str">
            <v>TRONZADORA AUTOMATICA DOBLE</v>
          </cell>
          <cell r="C1148" t="str">
            <v>PRECIO DE VENTA</v>
          </cell>
          <cell r="D1148">
            <v>1</v>
          </cell>
        </row>
        <row r="1149">
          <cell r="A1149" t="str">
            <v>MAQHERR25</v>
          </cell>
          <cell r="B1149" t="str">
            <v>SELLADORA PEDESTAL</v>
          </cell>
          <cell r="C1149" t="str">
            <v>PRECIO DE VENTA</v>
          </cell>
          <cell r="D1149">
            <v>1</v>
          </cell>
        </row>
        <row r="1150">
          <cell r="A1150" t="str">
            <v>MAQHERR26</v>
          </cell>
          <cell r="B1150" t="str">
            <v>TRASPALETA FAC 19177 RIGA</v>
          </cell>
          <cell r="C1150" t="str">
            <v>PRECIO DE VENTA</v>
          </cell>
          <cell r="D1150">
            <v>1</v>
          </cell>
        </row>
        <row r="1151">
          <cell r="A1151" t="str">
            <v>MAQHERR27</v>
          </cell>
          <cell r="B1151" t="str">
            <v>CORTADORA ELUMATEC DOBLE</v>
          </cell>
          <cell r="C1151" t="str">
            <v>PRECIO DE VENTA</v>
          </cell>
          <cell r="D1151">
            <v>1</v>
          </cell>
        </row>
        <row r="1152">
          <cell r="A1152" t="str">
            <v>MAQHERR28</v>
          </cell>
          <cell r="B1152" t="str">
            <v>RETESTADORA DE POSTES PVC FAC 512</v>
          </cell>
          <cell r="C1152" t="str">
            <v>PRECIO DE VENTA</v>
          </cell>
          <cell r="D1152">
            <v>1</v>
          </cell>
        </row>
        <row r="1153">
          <cell r="A1153" t="str">
            <v>MAQHERR29</v>
          </cell>
          <cell r="B1153" t="str">
            <v>MARTILLO ELECTRICO</v>
          </cell>
          <cell r="C1153" t="str">
            <v>PRECIO DE VENTA</v>
          </cell>
          <cell r="D1153">
            <v>1</v>
          </cell>
        </row>
        <row r="1154">
          <cell r="A1154" t="str">
            <v>MAQHERR3</v>
          </cell>
          <cell r="B1154" t="str">
            <v>MAQUINA BUTYL EXTRUDER MARCA BASSRA</v>
          </cell>
          <cell r="C1154" t="str">
            <v>PRECIO DE VENTA</v>
          </cell>
          <cell r="D1154">
            <v>1</v>
          </cell>
        </row>
        <row r="1155">
          <cell r="A1155" t="str">
            <v>MAQHERR30</v>
          </cell>
          <cell r="B1155" t="str">
            <v>SOLDADORA MONO MARCA SAHINTEK FAC 845</v>
          </cell>
          <cell r="C1155" t="str">
            <v>PRECIO DE VENTA</v>
          </cell>
          <cell r="D1155">
            <v>1</v>
          </cell>
        </row>
        <row r="1156">
          <cell r="A1156" t="str">
            <v>MAQHERR31</v>
          </cell>
          <cell r="B1156" t="str">
            <v>PANTOGRAFO CREMONERO MARCA SAHINTEK FAC 845</v>
          </cell>
          <cell r="C1156" t="str">
            <v>PRECIO DE VENTA</v>
          </cell>
          <cell r="D1156">
            <v>1</v>
          </cell>
        </row>
        <row r="1157">
          <cell r="A1157" t="str">
            <v>MAQHERR32</v>
          </cell>
          <cell r="B1157" t="str">
            <v>JUNQUILLADORA MARCA SAHINTEK  FAC 845</v>
          </cell>
          <cell r="C1157" t="str">
            <v>PRECIO DE VENTA</v>
          </cell>
          <cell r="D1157">
            <v>1</v>
          </cell>
        </row>
        <row r="1158">
          <cell r="A1158" t="str">
            <v>MAQHERR33</v>
          </cell>
          <cell r="B1158" t="str">
            <v>RETESTADORA DE MESON MARCA FORM FAC 845</v>
          </cell>
          <cell r="C1158" t="str">
            <v>PRECIO DE VENTA</v>
          </cell>
          <cell r="D1158">
            <v>1</v>
          </cell>
        </row>
        <row r="1159">
          <cell r="A1159" t="str">
            <v>MAQHERR34</v>
          </cell>
          <cell r="B1159" t="str">
            <v>PRENSAS HIDRAULICAS MIMAKSAN 01 USD 12322,07</v>
          </cell>
          <cell r="C1159" t="str">
            <v>PRECIO DE VENTA</v>
          </cell>
          <cell r="D1159">
            <v>1</v>
          </cell>
        </row>
        <row r="1160">
          <cell r="A1160" t="str">
            <v>MAQHERR35</v>
          </cell>
          <cell r="B1160" t="str">
            <v>MAKINA EXTRUSORA BESTMAKINA</v>
          </cell>
          <cell r="C1160" t="str">
            <v>PRECIO DE VENTA</v>
          </cell>
          <cell r="D1160">
            <v>1</v>
          </cell>
        </row>
        <row r="1161">
          <cell r="A1161" t="str">
            <v>MAQHERR36</v>
          </cell>
          <cell r="B1161" t="str">
            <v>RETESTADORA ESPECIAL</v>
          </cell>
          <cell r="C1161" t="str">
            <v>PRECIO DE VENTA</v>
          </cell>
          <cell r="D1161">
            <v>1</v>
          </cell>
        </row>
        <row r="1162">
          <cell r="A1162" t="str">
            <v>MAQHERR37</v>
          </cell>
          <cell r="B1162" t="str">
            <v>MOLDES MIMAKSAN DE METAL MAQUINA PRENSADORA USD 4086,85</v>
          </cell>
          <cell r="C1162" t="str">
            <v>PRECIO DE VENTA</v>
          </cell>
          <cell r="D1162">
            <v>1</v>
          </cell>
        </row>
        <row r="1163">
          <cell r="A1163" t="str">
            <v>MAQHERR38</v>
          </cell>
          <cell r="B1163" t="str">
            <v>MAQUINA DE CORTE AUTOMATICA PARA BASTIDORES</v>
          </cell>
          <cell r="C1163" t="str">
            <v>PRECIO DE VENTA</v>
          </cell>
          <cell r="D1163">
            <v>1</v>
          </cell>
        </row>
        <row r="1164">
          <cell r="A1164" t="str">
            <v>MAQHERR39</v>
          </cell>
          <cell r="B1164" t="str">
            <v>TROZADORA DE JUNQUILLOS MODELO TC 294</v>
          </cell>
          <cell r="C1164" t="str">
            <v>PRECIO DE VENTA</v>
          </cell>
          <cell r="D1164">
            <v>1</v>
          </cell>
        </row>
        <row r="1165">
          <cell r="A1165" t="str">
            <v>MAQHERR4</v>
          </cell>
          <cell r="B1165" t="str">
            <v>FR480 COPIADORA DESAGUADORA CREMONERA</v>
          </cell>
          <cell r="C1165" t="str">
            <v>PRECIO DE VENTA</v>
          </cell>
          <cell r="D1165">
            <v>1</v>
          </cell>
        </row>
        <row r="1166">
          <cell r="A1166" t="str">
            <v>MAQHERR40</v>
          </cell>
          <cell r="B1166" t="str">
            <v>MAQUINA PERFILADORA OZTURK</v>
          </cell>
          <cell r="C1166" t="str">
            <v>PRECIO DE VENTA</v>
          </cell>
          <cell r="D1166">
            <v>1</v>
          </cell>
        </row>
        <row r="1167">
          <cell r="A1167" t="str">
            <v>MAQHERR41</v>
          </cell>
          <cell r="B1167" t="str">
            <v>MESA CORTE CRISTALES INTERMAC GENIUS 37 CT FAC 1228</v>
          </cell>
          <cell r="C1167" t="str">
            <v>PRECIO DE VENTA</v>
          </cell>
          <cell r="D1167">
            <v>1</v>
          </cell>
        </row>
        <row r="1168">
          <cell r="A1168" t="str">
            <v>MAQHERR42</v>
          </cell>
          <cell r="B1168" t="str">
            <v>GRUA HORQUILLA MARCA HYUNDAI FAC 607</v>
          </cell>
          <cell r="C1168" t="str">
            <v>PRECIO DE VENTA</v>
          </cell>
          <cell r="D1168">
            <v>1</v>
          </cell>
        </row>
        <row r="1169">
          <cell r="A1169" t="str">
            <v>MAQHERR43</v>
          </cell>
          <cell r="B1169" t="str">
            <v>CLASIFICADOR AUTOMATICO TECNOCAT Y EQUIPO DE VACIO</v>
          </cell>
          <cell r="C1169" t="str">
            <v>PRECIO DE VENTA</v>
          </cell>
          <cell r="D1169">
            <v>1</v>
          </cell>
        </row>
        <row r="1170">
          <cell r="A1170" t="str">
            <v>MAQHERR44</v>
          </cell>
          <cell r="B1170" t="str">
            <v>DOS MESAS DE CORTE TUROMAS 01/21</v>
          </cell>
          <cell r="C1170" t="str">
            <v>PRECIO DE VENTA</v>
          </cell>
          <cell r="D1170">
            <v>1</v>
          </cell>
        </row>
        <row r="1171">
          <cell r="A1171" t="str">
            <v>MAQHERR45</v>
          </cell>
          <cell r="B1171" t="str">
            <v>GRUA HORQUILLA MARCA TOYOTA FAC 17740</v>
          </cell>
          <cell r="C1171" t="str">
            <v>PRECIO DE VENTA</v>
          </cell>
          <cell r="D1171">
            <v>1</v>
          </cell>
        </row>
        <row r="1172">
          <cell r="A1172" t="str">
            <v>MAQHERR46</v>
          </cell>
          <cell r="B1172" t="str">
            <v>ESMERIL DE BANCO 8 EJE 15,88 MM</v>
          </cell>
          <cell r="C1172" t="str">
            <v>PRECIO DE VENTA</v>
          </cell>
          <cell r="D1172">
            <v>1</v>
          </cell>
        </row>
        <row r="1173">
          <cell r="A1173" t="str">
            <v>MAQHERR47</v>
          </cell>
          <cell r="B1173" t="str">
            <v>TALADRO PERCUTOR FACE 25130371</v>
          </cell>
          <cell r="C1173" t="str">
            <v>PRECIO DE VENTA</v>
          </cell>
          <cell r="D1173">
            <v>1</v>
          </cell>
        </row>
        <row r="1174">
          <cell r="A1174" t="str">
            <v>MAQHERR48</v>
          </cell>
          <cell r="B1174" t="str">
            <v>MAQUINA CORTADORA FACE 14</v>
          </cell>
          <cell r="C1174" t="str">
            <v>PRECIO DE VENTA</v>
          </cell>
          <cell r="D1174">
            <v>1</v>
          </cell>
        </row>
        <row r="1175">
          <cell r="A1175" t="str">
            <v>MAQHERR5</v>
          </cell>
          <cell r="B1175" t="str">
            <v>SIERRA HM 350X3,2/2,5X30Z=108 TCG 6 NEG CMT</v>
          </cell>
          <cell r="C1175" t="str">
            <v>PRECIO DE VENTA</v>
          </cell>
          <cell r="D1175">
            <v>1</v>
          </cell>
        </row>
        <row r="1176">
          <cell r="A1176" t="str">
            <v>MAQHERR50</v>
          </cell>
          <cell r="B1176" t="str">
            <v>MAQUINA RECICLADORA DE PVC</v>
          </cell>
          <cell r="C1176" t="str">
            <v>PRECIO DE VENTA</v>
          </cell>
          <cell r="D1176">
            <v>1</v>
          </cell>
        </row>
        <row r="1177">
          <cell r="A1177" t="str">
            <v>MAQHERR51</v>
          </cell>
          <cell r="B1177" t="str">
            <v>MAQUINA RECICLADORA DE PVC</v>
          </cell>
          <cell r="C1177" t="str">
            <v>PRECIO DE VENTA</v>
          </cell>
          <cell r="D1177">
            <v>1</v>
          </cell>
        </row>
        <row r="1178">
          <cell r="A1178" t="str">
            <v>MAQHERR52</v>
          </cell>
          <cell r="B1178" t="str">
            <v>MAQUINA RECICLADORA DE PVC</v>
          </cell>
          <cell r="C1178" t="str">
            <v>PRECIO DE VENTA</v>
          </cell>
          <cell r="D1178">
            <v>1</v>
          </cell>
        </row>
        <row r="1179">
          <cell r="A1179" t="str">
            <v>MAQHERR53</v>
          </cell>
          <cell r="B1179" t="str">
            <v>TRONZADORA 2000 W</v>
          </cell>
          <cell r="C1179" t="str">
            <v>PRECIO DE VENTA</v>
          </cell>
          <cell r="D1179">
            <v>1</v>
          </cell>
        </row>
        <row r="1180">
          <cell r="A1180" t="str">
            <v>MAQHERR54</v>
          </cell>
          <cell r="B1180" t="str">
            <v>EXTRUSORA AUTOMATICA DE DOS COMPONENTES CON BOMBA ACCIONADA POR SERVOMOTOR</v>
          </cell>
          <cell r="C1180" t="str">
            <v>PRECIO DE VENTA</v>
          </cell>
          <cell r="D1180">
            <v>1</v>
          </cell>
        </row>
        <row r="1181">
          <cell r="A1181" t="str">
            <v>MAQHERR55</v>
          </cell>
          <cell r="B1181" t="str">
            <v>MESA DE CORTE SEMI NUEVA AUTOMATICA MARCA TUROMAS MODELO RUBI 303 VA</v>
          </cell>
          <cell r="C1181" t="str">
            <v>PRECIO DE VENTA</v>
          </cell>
          <cell r="D1181">
            <v>1</v>
          </cell>
        </row>
        <row r="1182">
          <cell r="A1182" t="str">
            <v>MAQHERR56</v>
          </cell>
          <cell r="B1182" t="str">
            <v>HIDROLAVADORA KARCHER K3 1400W</v>
          </cell>
          <cell r="C1182" t="str">
            <v>PRECIO DE VENTA</v>
          </cell>
          <cell r="D1182">
            <v>1</v>
          </cell>
        </row>
        <row r="1183">
          <cell r="A1183" t="str">
            <v>MAQHERR57</v>
          </cell>
          <cell r="B1183" t="str">
            <v>SIERRA INGLETADORA MAKITA LS1040 10"</v>
          </cell>
          <cell r="C1183" t="str">
            <v>PRECIO DE VENTA</v>
          </cell>
          <cell r="D1183">
            <v>1</v>
          </cell>
        </row>
        <row r="1184">
          <cell r="A1184" t="str">
            <v>MAQHERR58</v>
          </cell>
          <cell r="B1184" t="str">
            <v>TRONZADORA BOSCH GCO 14-24</v>
          </cell>
          <cell r="C1184" t="str">
            <v>PRECIO DE VENTA</v>
          </cell>
          <cell r="D1184">
            <v>1</v>
          </cell>
        </row>
        <row r="1185">
          <cell r="A1185" t="str">
            <v>MAQHERR6</v>
          </cell>
          <cell r="B1185" t="str">
            <v>FRESADORA ANGULAR NEUMATICA 1/4</v>
          </cell>
          <cell r="C1185" t="str">
            <v>PRECIO DE VENTA</v>
          </cell>
          <cell r="D1185">
            <v>1</v>
          </cell>
        </row>
        <row r="1186">
          <cell r="A1186" t="str">
            <v>MAQHERR7</v>
          </cell>
          <cell r="B1186" t="str">
            <v>MAQUINA PARA FILTRAR AGUA LAVADO VIDRIOS</v>
          </cell>
          <cell r="C1186" t="str">
            <v>PRECIO DE VENTA</v>
          </cell>
          <cell r="D1186">
            <v>1</v>
          </cell>
        </row>
        <row r="1187">
          <cell r="A1187" t="str">
            <v>MAQHERR8</v>
          </cell>
          <cell r="B1187" t="str">
            <v>SIERRA INGLETADORA</v>
          </cell>
          <cell r="C1187" t="str">
            <v>PRECIO DE VENTA</v>
          </cell>
          <cell r="D1187">
            <v>1</v>
          </cell>
        </row>
        <row r="1188">
          <cell r="A1188" t="str">
            <v>MAQHERR9</v>
          </cell>
          <cell r="B1188" t="str">
            <v>SOLDADORA INDURA 180CV EVOLUTION</v>
          </cell>
          <cell r="C1188" t="str">
            <v>PRECIO DE VENTA</v>
          </cell>
          <cell r="D1188">
            <v>1</v>
          </cell>
        </row>
        <row r="1189">
          <cell r="A1189" t="str">
            <v>MYU1</v>
          </cell>
          <cell r="B1189" t="str">
            <v>COMEDOR TEMUCO</v>
          </cell>
          <cell r="C1189" t="str">
            <v>PRECIO DE VENTA</v>
          </cell>
          <cell r="D1189">
            <v>1</v>
          </cell>
        </row>
        <row r="1190">
          <cell r="A1190" t="str">
            <v>MYU10</v>
          </cell>
          <cell r="B1190" t="str">
            <v>ATRIL PARA TEMUCO</v>
          </cell>
          <cell r="C1190" t="str">
            <v>PRECIO DE VENTA</v>
          </cell>
          <cell r="D1190">
            <v>1</v>
          </cell>
        </row>
        <row r="1191">
          <cell r="A1191" t="str">
            <v>MYU100</v>
          </cell>
          <cell r="B1191" t="str">
            <v>CUBIERTA POSFORMADA INCLUYE LAVAPLATO GRIFERIA ESTRUCTURA METALICA</v>
          </cell>
          <cell r="C1191" t="str">
            <v>PRECIO DE VENTA</v>
          </cell>
          <cell r="D1191">
            <v>1</v>
          </cell>
        </row>
        <row r="1192">
          <cell r="A1192" t="str">
            <v>MYU101</v>
          </cell>
          <cell r="B1192" t="str">
            <v>MUEBLE AEREO</v>
          </cell>
          <cell r="C1192" t="str">
            <v>PRECIO DE VENTA</v>
          </cell>
          <cell r="D1192">
            <v>1</v>
          </cell>
        </row>
        <row r="1193">
          <cell r="A1193" t="str">
            <v>MYU102</v>
          </cell>
          <cell r="B1193" t="str">
            <v>MESA DE REUNION DE 220X120 ESTORIL</v>
          </cell>
          <cell r="C1193" t="str">
            <v>PRECIO DE VENTA</v>
          </cell>
          <cell r="D1193">
            <v>1</v>
          </cell>
        </row>
        <row r="1194">
          <cell r="A1194" t="str">
            <v>MYU103</v>
          </cell>
          <cell r="B1194" t="str">
            <v>BUFFET BLAIR 3 PUERTAS</v>
          </cell>
          <cell r="C1194" t="str">
            <v>PRECIO DE VENTA</v>
          </cell>
          <cell r="D1194">
            <v>1</v>
          </cell>
        </row>
        <row r="1195">
          <cell r="A1195" t="str">
            <v>MYU104</v>
          </cell>
          <cell r="B1195" t="str">
            <v>SOFA TRES CUERPOS SI GRIS OSCURO</v>
          </cell>
          <cell r="C1195" t="str">
            <v>PRECIO DE VENTA</v>
          </cell>
          <cell r="D1195">
            <v>1</v>
          </cell>
        </row>
        <row r="1196">
          <cell r="A1196" t="str">
            <v>MYU105</v>
          </cell>
          <cell r="B1196" t="str">
            <v>RACK METALICO 200X150X50CM METAL NARANJO Y AZUL 4 NIV</v>
          </cell>
          <cell r="C1196" t="str">
            <v>PRECIO DE VENTA</v>
          </cell>
          <cell r="D1196">
            <v>1</v>
          </cell>
        </row>
        <row r="1197">
          <cell r="A1197" t="str">
            <v>MYU106</v>
          </cell>
          <cell r="B1197" t="str">
            <v>SILLAS PC MALLA RESPALDO ALTO</v>
          </cell>
          <cell r="C1197" t="str">
            <v>PRECIO DE VENTA</v>
          </cell>
          <cell r="D1197">
            <v>1</v>
          </cell>
        </row>
        <row r="1198">
          <cell r="A1198" t="str">
            <v>MYU107</v>
          </cell>
          <cell r="B1198" t="str">
            <v>RACK METALICO 200X150X50CM  METAL NARANJO Y AZUL</v>
          </cell>
          <cell r="C1198" t="str">
            <v>PRECIO DE VENTA</v>
          </cell>
          <cell r="D1198">
            <v>1</v>
          </cell>
        </row>
        <row r="1199">
          <cell r="A1199" t="str">
            <v>MYU11</v>
          </cell>
          <cell r="B1199" t="str">
            <v>ATRIL PARA TEMUCO</v>
          </cell>
          <cell r="C1199" t="str">
            <v>PRECIO DE VENTA</v>
          </cell>
          <cell r="D1199">
            <v>1</v>
          </cell>
        </row>
        <row r="1200">
          <cell r="A1200" t="str">
            <v>MYU12</v>
          </cell>
          <cell r="B1200" t="str">
            <v>12 SILLAS BEND BF BRAZO FIJO RESPALDO MALLA NEGRA PARA TUCAPEL</v>
          </cell>
          <cell r="C1200" t="str">
            <v>PRECIO DE VENTA</v>
          </cell>
          <cell r="D1200">
            <v>1</v>
          </cell>
        </row>
        <row r="1201">
          <cell r="A1201" t="str">
            <v>MYU13</v>
          </cell>
          <cell r="B1201" t="str">
            <v>01 SILLON PC (RICARDO BECERRA) SGTO. ALDEA</v>
          </cell>
          <cell r="C1201" t="str">
            <v>PRECIO DE VENTA</v>
          </cell>
          <cell r="D1201">
            <v>1</v>
          </cell>
        </row>
        <row r="1202">
          <cell r="A1202" t="str">
            <v>MYU14</v>
          </cell>
          <cell r="B1202" t="str">
            <v>6 PUNTOS DE ATRILES PARA ACOPIO DE TIRAS DE PVC DE 40/40/2 mm</v>
          </cell>
          <cell r="C1202" t="str">
            <v>PRECIO DE VENTA</v>
          </cell>
          <cell r="D1202">
            <v>1</v>
          </cell>
        </row>
        <row r="1203">
          <cell r="A1203" t="str">
            <v>MYU15</v>
          </cell>
          <cell r="B1203" t="str">
            <v>100%  SALDO FINAL MUEBLES MOB ILIARIO OFICINAS TUCAPEL , FAC5824 FERNANDO MAYER S.A.</v>
          </cell>
          <cell r="C1203" t="str">
            <v>PRECIO DE VENTA</v>
          </cell>
          <cell r="D1203">
            <v>1</v>
          </cell>
        </row>
        <row r="1204">
          <cell r="A1204" t="str">
            <v>MYU16</v>
          </cell>
          <cell r="B1204" t="str">
            <v>SILLA OFICINA, FRANCISCO ELIZALDE, FAC15286 EUROMOB</v>
          </cell>
          <cell r="C1204" t="str">
            <v>PRECIO DE VENTA</v>
          </cell>
          <cell r="D1204">
            <v>1</v>
          </cell>
        </row>
        <row r="1205">
          <cell r="A1205" t="str">
            <v>MYU17</v>
          </cell>
          <cell r="B1205" t="str">
            <v>50% ANTICIPO MUEBLES OFICINA, TUCAPEL, FAC 928 MUEBLES DE LA CUADRA</v>
          </cell>
          <cell r="C1205" t="str">
            <v>PRECIO DE VENTA</v>
          </cell>
          <cell r="D1205">
            <v>1</v>
          </cell>
        </row>
        <row r="1206">
          <cell r="A1206" t="str">
            <v>MYU18</v>
          </cell>
          <cell r="B1206" t="str">
            <v>SILLA MANUEL IGNACIO AGUIRRE,FAC15301 EUROMOB</v>
          </cell>
          <cell r="C1206" t="str">
            <v>PRECIO DE VENTA</v>
          </cell>
          <cell r="D1206">
            <v>1</v>
          </cell>
        </row>
        <row r="1207">
          <cell r="A1207" t="str">
            <v>MYU19</v>
          </cell>
          <cell r="B1207" t="str">
            <v>10 SILLAS TUCAPEL , FAC15301 EUROMOB</v>
          </cell>
          <cell r="C1207" t="str">
            <v>PRECIO DE VENTA</v>
          </cell>
          <cell r="D1207">
            <v>1</v>
          </cell>
        </row>
        <row r="1208">
          <cell r="A1208" t="str">
            <v>MYU2</v>
          </cell>
          <cell r="B1208" t="str">
            <v>ESCRITORIO TEMUCO</v>
          </cell>
          <cell r="C1208" t="str">
            <v>PRECIO DE VENTA</v>
          </cell>
          <cell r="D1208">
            <v>1</v>
          </cell>
        </row>
        <row r="1209">
          <cell r="A1209" t="str">
            <v>MYU20</v>
          </cell>
          <cell r="B1209" t="str">
            <v>CONFECCION DE ATRILES, TUCAPEL</v>
          </cell>
          <cell r="C1209" t="str">
            <v>PRECIO DE VENTA</v>
          </cell>
          <cell r="D1209">
            <v>1</v>
          </cell>
        </row>
        <row r="1210">
          <cell r="A1210" t="str">
            <v>MYU21</v>
          </cell>
          <cell r="B1210" t="str">
            <v>ESCALERAS ATRILES TUCAPEL, FAC62188 SOC.COML METAL.CACERES</v>
          </cell>
          <cell r="C1210" t="str">
            <v>PRECIO DE VENTA</v>
          </cell>
          <cell r="D1210">
            <v>1</v>
          </cell>
        </row>
        <row r="1211">
          <cell r="A1211" t="str">
            <v>MYU22</v>
          </cell>
          <cell r="B1211" t="str">
            <v>ESCALERA ALUMINIO TUCAPEL, FAC40285 COML TECHNO PLUS LTDA</v>
          </cell>
          <cell r="C1211" t="str">
            <v>PRECIO DE VENTA</v>
          </cell>
          <cell r="D1211">
            <v>1</v>
          </cell>
        </row>
        <row r="1212">
          <cell r="A1212" t="str">
            <v>MYU23</v>
          </cell>
          <cell r="B1212" t="str">
            <v>CAJONERA RICARDO BECERRA, S.ALDEA FAC 822  MUEBLES PASS LTDA.</v>
          </cell>
          <cell r="C1212" t="str">
            <v>PRECIO DE VENTA</v>
          </cell>
          <cell r="D1212">
            <v>1</v>
          </cell>
        </row>
        <row r="1213">
          <cell r="A1213" t="str">
            <v>MYU24</v>
          </cell>
          <cell r="B1213" t="str">
            <v>ESTANTERIA BODEGA HERRAJES S.ALDEA, FAC 3943 DACHANG ESTANTER</v>
          </cell>
          <cell r="C1213" t="str">
            <v>PRECIO DE VENTA</v>
          </cell>
          <cell r="D1213">
            <v>1</v>
          </cell>
        </row>
        <row r="1214">
          <cell r="A1214" t="str">
            <v>MYU25</v>
          </cell>
          <cell r="B1214" t="str">
            <v>MUEBLES TUCAPEL</v>
          </cell>
          <cell r="C1214" t="str">
            <v>PRECIO DE VENTA</v>
          </cell>
          <cell r="D1214">
            <v>1</v>
          </cell>
        </row>
        <row r="1215">
          <cell r="A1215" t="str">
            <v>MYU26</v>
          </cell>
          <cell r="B1215" t="str">
            <v>MUEBLES TUCAPEL</v>
          </cell>
          <cell r="C1215" t="str">
            <v>PRECIO DE VENTA</v>
          </cell>
          <cell r="D1215">
            <v>1</v>
          </cell>
        </row>
        <row r="1216">
          <cell r="A1216" t="str">
            <v>MYU27</v>
          </cell>
          <cell r="B1216" t="str">
            <v>MUEBLES TUCAPEL</v>
          </cell>
          <cell r="C1216" t="str">
            <v>PRECIO DE VENTA</v>
          </cell>
          <cell r="D1216">
            <v>1</v>
          </cell>
        </row>
        <row r="1217">
          <cell r="A1217" t="str">
            <v>MYU28</v>
          </cell>
          <cell r="B1217" t="str">
            <v>SILLA ESCRITORIO TEMUCO</v>
          </cell>
          <cell r="C1217" t="str">
            <v>PRECIO DE VENTA</v>
          </cell>
          <cell r="D1217">
            <v>1</v>
          </cell>
        </row>
        <row r="1218">
          <cell r="A1218" t="str">
            <v>MYU29</v>
          </cell>
          <cell r="B1218" t="str">
            <v>RACK MUEBLE PERFILES  TUCAPEL</v>
          </cell>
          <cell r="C1218" t="str">
            <v>PRECIO DE VENTA</v>
          </cell>
          <cell r="D1218">
            <v>1</v>
          </cell>
        </row>
        <row r="1219">
          <cell r="A1219" t="str">
            <v>MYU3</v>
          </cell>
          <cell r="B1219" t="str">
            <v>SITIAL TEMUCO</v>
          </cell>
          <cell r="C1219" t="str">
            <v>PRECIO DE VENTA</v>
          </cell>
          <cell r="D1219">
            <v>1</v>
          </cell>
        </row>
        <row r="1220">
          <cell r="A1220" t="str">
            <v>MYU30</v>
          </cell>
          <cell r="B1220" t="str">
            <v>ESCRITORIO CRISTIAN PEÑALOZA</v>
          </cell>
          <cell r="C1220" t="str">
            <v>PRECIO DE VENTA</v>
          </cell>
          <cell r="D1220">
            <v>1</v>
          </cell>
        </row>
        <row r="1221">
          <cell r="A1221" t="str">
            <v>MYU31</v>
          </cell>
          <cell r="B1221" t="str">
            <v>MOBILIARIO CRISTIAN PEÑALOZA,SALDO FINAL</v>
          </cell>
          <cell r="C1221" t="str">
            <v>PRECIO DE VENTA</v>
          </cell>
          <cell r="D1221">
            <v>1</v>
          </cell>
        </row>
        <row r="1222">
          <cell r="A1222" t="str">
            <v>MYU32</v>
          </cell>
          <cell r="B1222" t="str">
            <v>2 MESAS DE TRABAJO, TEMUCO FAC 5280 6,189,318-0</v>
          </cell>
          <cell r="C1222" t="str">
            <v>PRECIO DE VENTA</v>
          </cell>
          <cell r="D1222">
            <v>1</v>
          </cell>
        </row>
        <row r="1223">
          <cell r="A1223" t="str">
            <v>MYU33</v>
          </cell>
          <cell r="B1223" t="str">
            <v>1 ESTACION DE TRABAJO CUBIERTA  CON CAJONERA , FAC 5280</v>
          </cell>
          <cell r="C1223" t="str">
            <v>PRECIO DE VENTA</v>
          </cell>
          <cell r="D1223">
            <v>1</v>
          </cell>
        </row>
        <row r="1224">
          <cell r="A1224" t="str">
            <v>MYU34</v>
          </cell>
          <cell r="B1224" t="str">
            <v>3 CAJONERAS, TEMUCO FAC 5280 6189318-0</v>
          </cell>
          <cell r="C1224" t="str">
            <v>PRECIO DE VENTA</v>
          </cell>
          <cell r="D1224">
            <v>1</v>
          </cell>
        </row>
        <row r="1225">
          <cell r="A1225" t="str">
            <v>MYU35</v>
          </cell>
          <cell r="B1225" t="str">
            <v>10 SILLAS ALICE ASIENTO TAPIZADO  FAC 5278 RUT 6189318-0</v>
          </cell>
          <cell r="C1225" t="str">
            <v>PRECIO DE VENTA</v>
          </cell>
          <cell r="D1225">
            <v>1</v>
          </cell>
        </row>
        <row r="1226">
          <cell r="A1226" t="str">
            <v>MYU36</v>
          </cell>
          <cell r="B1226" t="str">
            <v>1 BUTACA ALICE 3 ASIENTOS FAC5278 RUT 6189318-0</v>
          </cell>
          <cell r="C1226" t="str">
            <v>PRECIO DE VENTA</v>
          </cell>
          <cell r="D1226">
            <v>1</v>
          </cell>
        </row>
        <row r="1227">
          <cell r="A1227" t="str">
            <v>MYU37</v>
          </cell>
          <cell r="B1227" t="str">
            <v>1 ESCRITORIO EN L TEMUCO FAC558 76550922-K</v>
          </cell>
          <cell r="C1227" t="str">
            <v>PRECIO DE VENTA</v>
          </cell>
          <cell r="D1227">
            <v>1</v>
          </cell>
        </row>
        <row r="1228">
          <cell r="A1228" t="str">
            <v>MYU38</v>
          </cell>
          <cell r="B1228" t="str">
            <v>50% ANTICIPO MUEBLES  OFICINA, ESTORIL , FAC 536 JUAN CARLOS CONTRERAS</v>
          </cell>
          <cell r="C1228" t="str">
            <v>PRECIO DE VENTA</v>
          </cell>
          <cell r="D1228">
            <v>1</v>
          </cell>
        </row>
        <row r="1229">
          <cell r="A1229" t="str">
            <v>MYU39</v>
          </cell>
          <cell r="B1229" t="str">
            <v>1 MUEBLE ARCHIVADOR OFICINA, 1 MUEBLE BASE OFICINA</v>
          </cell>
          <cell r="C1229" t="str">
            <v>PRECIO DE VENTA</v>
          </cell>
          <cell r="D1229">
            <v>1</v>
          </cell>
        </row>
        <row r="1230">
          <cell r="A1230" t="str">
            <v>MYU4</v>
          </cell>
          <cell r="B1230" t="str">
            <v>MUEBLE KARDEX 4 CAJONES (CESAR MARAMBIO)</v>
          </cell>
          <cell r="C1230" t="str">
            <v>PRECIO DE VENTA</v>
          </cell>
          <cell r="D1230">
            <v>1</v>
          </cell>
        </row>
        <row r="1231">
          <cell r="A1231" t="str">
            <v>MYU40</v>
          </cell>
          <cell r="B1231" t="str">
            <v>SILLA PC ESCRITORIO DANILO , FAC 9489606 SODIMAC</v>
          </cell>
          <cell r="C1231" t="str">
            <v>PRECIO DE VENTA</v>
          </cell>
          <cell r="D1231">
            <v>1</v>
          </cell>
        </row>
        <row r="1232">
          <cell r="A1232" t="str">
            <v>MYU41</v>
          </cell>
          <cell r="B1232" t="str">
            <v>SALDO MUEBLES ESTORIL , FAC 593 JUAN CARLOS CONTRERAS</v>
          </cell>
          <cell r="C1232" t="str">
            <v>PRECIO DE VENTA</v>
          </cell>
          <cell r="D1232">
            <v>1</v>
          </cell>
        </row>
        <row r="1233">
          <cell r="A1233" t="str">
            <v>MYU42</v>
          </cell>
          <cell r="B1233" t="str">
            <v>ANTICIPO MUEBLES SHOWROOM</v>
          </cell>
          <cell r="C1233" t="str">
            <v>PRECIO DE VENTA</v>
          </cell>
          <cell r="D1233">
            <v>1</v>
          </cell>
        </row>
        <row r="1234">
          <cell r="A1234" t="str">
            <v>MYU43</v>
          </cell>
          <cell r="B1234" t="str">
            <v>RACK MUEBLE PERFILES  TUCAPEL</v>
          </cell>
          <cell r="C1234" t="str">
            <v>PRECIO DE VENTA</v>
          </cell>
          <cell r="D1234">
            <v>1</v>
          </cell>
        </row>
        <row r="1235">
          <cell r="A1235" t="str">
            <v>MYU44</v>
          </cell>
          <cell r="B1235" t="str">
            <v>SALDO MUEBLES ESTORIL , FAC 649 JUAN CARLOS CONTRERAS</v>
          </cell>
          <cell r="C1235" t="str">
            <v>PRECIO DE VENTA</v>
          </cell>
          <cell r="D1235">
            <v>1</v>
          </cell>
        </row>
        <row r="1236">
          <cell r="A1236" t="str">
            <v>MYU45</v>
          </cell>
          <cell r="B1236" t="str">
            <v>1 ESCRITORIO EN L TUCAPEL OF.BODEGA   FAC511309590 96792430-K</v>
          </cell>
          <cell r="C1236" t="str">
            <v>PRECIO DE VENTA</v>
          </cell>
          <cell r="D1236">
            <v>1</v>
          </cell>
        </row>
        <row r="1237">
          <cell r="A1237" t="str">
            <v>MYU46</v>
          </cell>
          <cell r="B1237" t="str">
            <v>1 ESCRITORIO EN L TUCAPEL OF.BODEGA   FAC511309590 96792430-K</v>
          </cell>
          <cell r="C1237" t="str">
            <v>PRECIO DE VENTA</v>
          </cell>
          <cell r="D1237">
            <v>1</v>
          </cell>
        </row>
        <row r="1238">
          <cell r="A1238" t="str">
            <v>MYU47</v>
          </cell>
          <cell r="B1238" t="str">
            <v>1 BIBLIOTECA EN L TUCAPEL OF.BODEGA   FAC511309590 96792430-K</v>
          </cell>
          <cell r="C1238" t="str">
            <v>PRECIO DE VENTA</v>
          </cell>
          <cell r="D1238">
            <v>1</v>
          </cell>
        </row>
        <row r="1239">
          <cell r="A1239" t="str">
            <v>MYU48</v>
          </cell>
          <cell r="B1239" t="str">
            <v>CONTENEDOR MARITIMO VEINTE PIES  TUCAPEL</v>
          </cell>
          <cell r="C1239" t="str">
            <v>PRECIO DE VENTA</v>
          </cell>
          <cell r="D1239">
            <v>1</v>
          </cell>
        </row>
        <row r="1240">
          <cell r="A1240" t="str">
            <v>MYU49</v>
          </cell>
          <cell r="B1240" t="str">
            <v>1 SILLA GERENCIAL PHOENIX FAC 23326</v>
          </cell>
          <cell r="C1240" t="str">
            <v>PRECIO DE VENTA</v>
          </cell>
          <cell r="D1240">
            <v>1</v>
          </cell>
        </row>
        <row r="1241">
          <cell r="A1241" t="str">
            <v>MYU5</v>
          </cell>
          <cell r="B1241" t="str">
            <v>SILLON PC</v>
          </cell>
          <cell r="C1241" t="str">
            <v>PRECIO DE VENTA</v>
          </cell>
          <cell r="D1241">
            <v>1</v>
          </cell>
        </row>
        <row r="1242">
          <cell r="A1242" t="str">
            <v>MYU50</v>
          </cell>
          <cell r="B1242" t="str">
            <v>2 SILLAS OPERATIVA RESPALDO MALLA NEGRA FAC 23326</v>
          </cell>
          <cell r="C1242" t="str">
            <v>PRECIO DE VENTA</v>
          </cell>
          <cell r="D1242">
            <v>1</v>
          </cell>
        </row>
        <row r="1243">
          <cell r="A1243" t="str">
            <v>MYU51</v>
          </cell>
          <cell r="B1243" t="str">
            <v>FERIA EDIFICA 2019 STAND WINHOUSE</v>
          </cell>
          <cell r="C1243" t="str">
            <v>PRECIO DE VENTA</v>
          </cell>
          <cell r="D1243">
            <v>1</v>
          </cell>
        </row>
        <row r="1244">
          <cell r="A1244" t="str">
            <v>MYU52</v>
          </cell>
          <cell r="B1244" t="str">
            <v>SILLA LOOP CABECERA</v>
          </cell>
          <cell r="C1244" t="str">
            <v>PRECIO DE VENTA</v>
          </cell>
          <cell r="D1244">
            <v>1</v>
          </cell>
        </row>
        <row r="1245">
          <cell r="A1245" t="str">
            <v>MYU53</v>
          </cell>
          <cell r="B1245" t="str">
            <v>FERIA EDIFICA 2019 STAND WINHOUSE TEMUCO</v>
          </cell>
          <cell r="C1245" t="str">
            <v>PRECIO DE VENTA</v>
          </cell>
          <cell r="D1245">
            <v>1</v>
          </cell>
        </row>
        <row r="1246">
          <cell r="A1246" t="str">
            <v>MYU54</v>
          </cell>
          <cell r="B1246" t="str">
            <v>FERIA EDIFICA 2019 STAND WINHOUSE TEMUCO</v>
          </cell>
          <cell r="C1246" t="str">
            <v>PRECIO DE VENTA</v>
          </cell>
          <cell r="D1246">
            <v>1</v>
          </cell>
        </row>
        <row r="1247">
          <cell r="A1247" t="str">
            <v>MYU55</v>
          </cell>
          <cell r="B1247" t="str">
            <v>SILLA PC CRATER NEGRO  TEMUCO</v>
          </cell>
          <cell r="C1247" t="str">
            <v>PRECIO DE VENTA</v>
          </cell>
          <cell r="D1247">
            <v>1</v>
          </cell>
        </row>
        <row r="1248">
          <cell r="A1248" t="str">
            <v>MYU56</v>
          </cell>
          <cell r="B1248" t="str">
            <v>ESCRITORIO EUROPA</v>
          </cell>
          <cell r="C1248" t="str">
            <v>PRECIO DE VENTA</v>
          </cell>
          <cell r="D1248">
            <v>1</v>
          </cell>
        </row>
        <row r="1249">
          <cell r="A1249" t="str">
            <v>MYU57</v>
          </cell>
          <cell r="B1249" t="str">
            <v>ESTANTE -SILLA PC</v>
          </cell>
          <cell r="C1249" t="str">
            <v>PRECIO DE VENTA</v>
          </cell>
          <cell r="D1249">
            <v>1</v>
          </cell>
        </row>
        <row r="1250">
          <cell r="A1250" t="str">
            <v>MYU58</v>
          </cell>
          <cell r="B1250" t="str">
            <v>SILLA GERENCIAL LOOP</v>
          </cell>
          <cell r="C1250" t="str">
            <v>PRECIO DE VENTA</v>
          </cell>
          <cell r="D1250">
            <v>1</v>
          </cell>
        </row>
        <row r="1251">
          <cell r="A1251" t="str">
            <v>MYU59</v>
          </cell>
          <cell r="B1251" t="str">
            <v>ESCRITORIO OFICINA GLADYS AROS FAC21495531</v>
          </cell>
          <cell r="C1251" t="str">
            <v>PRECIO DE VENTA</v>
          </cell>
          <cell r="D1251">
            <v>1</v>
          </cell>
        </row>
        <row r="1252">
          <cell r="A1252" t="str">
            <v>MYU6</v>
          </cell>
          <cell r="B1252" t="str">
            <v>LOCKERS 6 PUERTAS FABRICA</v>
          </cell>
          <cell r="C1252" t="str">
            <v>PRECIO DE VENTA</v>
          </cell>
          <cell r="D1252">
            <v>1</v>
          </cell>
        </row>
        <row r="1253">
          <cell r="A1253" t="str">
            <v>MYU60</v>
          </cell>
          <cell r="B1253" t="str">
            <v>DOS ESCRITORIO RECTO 160*60*75H, CUBIERTA MELAMINA 24mm Fac 2577</v>
          </cell>
          <cell r="C1253" t="str">
            <v>PRECIO DE VENTA</v>
          </cell>
          <cell r="D1253">
            <v>1</v>
          </cell>
        </row>
        <row r="1254">
          <cell r="A1254" t="str">
            <v>MYU61</v>
          </cell>
          <cell r="B1254" t="str">
            <v>CONTENEDOR VEINTE PIES  TUCAPEL FAC 3748</v>
          </cell>
          <cell r="C1254" t="str">
            <v>PRECIO DE VENTA</v>
          </cell>
          <cell r="D1254">
            <v>1</v>
          </cell>
        </row>
        <row r="1255">
          <cell r="A1255" t="str">
            <v>MYU62</v>
          </cell>
          <cell r="B1255" t="str">
            <v>ESCRITORIO OFF8 C</v>
          </cell>
          <cell r="C1255" t="str">
            <v>PRECIO DE VENTA</v>
          </cell>
          <cell r="D1255">
            <v>1</v>
          </cell>
        </row>
        <row r="1256">
          <cell r="A1256" t="str">
            <v>MYU63</v>
          </cell>
          <cell r="B1256" t="str">
            <v>SILLA PC MALLA RESPALDO ALTO</v>
          </cell>
          <cell r="C1256" t="str">
            <v>PRECIO DE VENTA</v>
          </cell>
          <cell r="D1256">
            <v>1</v>
          </cell>
        </row>
        <row r="1257">
          <cell r="A1257" t="str">
            <v>MYU64</v>
          </cell>
          <cell r="B1257" t="str">
            <v>LOCKERS METALICO 20 CASILLEROS</v>
          </cell>
          <cell r="C1257" t="str">
            <v>PRECIO DE VENTA</v>
          </cell>
          <cell r="D1257">
            <v>1</v>
          </cell>
        </row>
        <row r="1258">
          <cell r="A1258" t="str">
            <v>MYU65</v>
          </cell>
          <cell r="B1258" t="str">
            <v>COMEDOR 4 SILLAS FAC23416108</v>
          </cell>
          <cell r="C1258" t="str">
            <v>PRECIO DE VENTA</v>
          </cell>
          <cell r="D1258">
            <v>1</v>
          </cell>
        </row>
        <row r="1259">
          <cell r="A1259" t="str">
            <v>MYU66</v>
          </cell>
          <cell r="B1259" t="str">
            <v>ESCALERA TIPO AVION 350 M. FAC 78180</v>
          </cell>
          <cell r="C1259" t="str">
            <v>PRECIO DE VENTA</v>
          </cell>
          <cell r="D1259">
            <v>1</v>
          </cell>
        </row>
        <row r="1260">
          <cell r="A1260" t="str">
            <v>MYU67</v>
          </cell>
          <cell r="B1260" t="str">
            <v>10 SILLAS GERENCIAL ERGONOMICA FAC 86981</v>
          </cell>
          <cell r="C1260" t="str">
            <v>PRECIO DE VENTA</v>
          </cell>
          <cell r="D1260">
            <v>1</v>
          </cell>
        </row>
        <row r="1261">
          <cell r="A1261" t="str">
            <v>MYU68</v>
          </cell>
          <cell r="B1261" t="str">
            <v>9 SILLAS GERENCIAL ERGONOMICA FAC 87324</v>
          </cell>
          <cell r="C1261" t="str">
            <v>PRECIO DE VENTA</v>
          </cell>
          <cell r="D1261">
            <v>1</v>
          </cell>
        </row>
        <row r="1262">
          <cell r="A1262" t="str">
            <v>MYU69</v>
          </cell>
          <cell r="B1262" t="str">
            <v>CENTRO DE TRABAJO MAS COMPLEMENTO FAC12720 ENILDA FIGUEROA</v>
          </cell>
          <cell r="C1262" t="str">
            <v>PRECIO DE VENTA</v>
          </cell>
          <cell r="D1262">
            <v>1</v>
          </cell>
        </row>
        <row r="1263">
          <cell r="A1263" t="str">
            <v>MYU7</v>
          </cell>
          <cell r="B1263" t="str">
            <v>RACK EQUIPO CENTRAL DE ADMINISTRACION</v>
          </cell>
          <cell r="C1263" t="str">
            <v>PRECIO DE VENTA</v>
          </cell>
          <cell r="D1263">
            <v>1</v>
          </cell>
        </row>
        <row r="1264">
          <cell r="A1264" t="str">
            <v>MYU70</v>
          </cell>
          <cell r="B1264" t="str">
            <v>SILLAS GERENCIALES FACE88068</v>
          </cell>
          <cell r="C1264" t="str">
            <v>PRECIO DE VENTA</v>
          </cell>
          <cell r="D1264">
            <v>1</v>
          </cell>
        </row>
        <row r="1265">
          <cell r="A1265" t="str">
            <v>MYU71</v>
          </cell>
          <cell r="B1265" t="str">
            <v>MUEBLES  ANTICIPO COTIZACION 0721-16 FAC 54 MODOLI SPA</v>
          </cell>
          <cell r="C1265" t="str">
            <v>PRECIO DE VENTA</v>
          </cell>
          <cell r="D1265">
            <v>1</v>
          </cell>
        </row>
        <row r="1266">
          <cell r="A1266" t="str">
            <v>MYU72</v>
          </cell>
          <cell r="B1266" t="str">
            <v>MUEBLES  SALDO COTIZACION 0721-16 FAC 97 MODOLI SPA</v>
          </cell>
          <cell r="C1266" t="str">
            <v>PRECIO DE VENTA</v>
          </cell>
          <cell r="D1266">
            <v>1</v>
          </cell>
        </row>
        <row r="1267">
          <cell r="A1267" t="str">
            <v>MYU73</v>
          </cell>
          <cell r="B1267" t="str">
            <v>ESCRITORIO DE TRABAJO CON COMPLEMENTO Y FALDON, MEDIDAS 150*60*79 CMS</v>
          </cell>
          <cell r="C1267" t="str">
            <v>PRECIO DE VENTA</v>
          </cell>
          <cell r="D1267">
            <v>1</v>
          </cell>
        </row>
        <row r="1268">
          <cell r="A1268" t="str">
            <v>MYU74</v>
          </cell>
          <cell r="B1268" t="str">
            <v>SILLA EJECUTIVA RESPALDO ALTO CON MALLA BRAZOS FIJOS DE POLIURETANO NEGRO</v>
          </cell>
          <cell r="C1268" t="str">
            <v>PRECIO DE VENTA</v>
          </cell>
          <cell r="D1268">
            <v>1</v>
          </cell>
        </row>
        <row r="1269">
          <cell r="A1269" t="str">
            <v>MYU75</v>
          </cell>
          <cell r="B1269" t="str">
            <v>CONTENEDOR DE BASURA 1100 LITROS COLOR GRIS</v>
          </cell>
          <cell r="C1269" t="str">
            <v>PRECIO DE VENTA</v>
          </cell>
          <cell r="D1269">
            <v>1</v>
          </cell>
        </row>
        <row r="1270">
          <cell r="A1270" t="str">
            <v>MYU76</v>
          </cell>
          <cell r="B1270" t="str">
            <v>KARDEX CON DOS CAJONES</v>
          </cell>
          <cell r="C1270" t="str">
            <v>PRECIO DE VENTA</v>
          </cell>
          <cell r="D1270">
            <v>1</v>
          </cell>
        </row>
        <row r="1271">
          <cell r="A1271" t="str">
            <v>MYU77</v>
          </cell>
          <cell r="B1271" t="str">
            <v>DOS PUESTOS DE TRABAJOS CON VIDRIO</v>
          </cell>
          <cell r="C1271" t="str">
            <v>PRECIO DE VENTA</v>
          </cell>
          <cell r="D1271">
            <v>1</v>
          </cell>
        </row>
        <row r="1272">
          <cell r="A1272" t="str">
            <v>MYU78</v>
          </cell>
          <cell r="B1272" t="str">
            <v>LOCKER METALICO 15 PTAS.</v>
          </cell>
          <cell r="C1272" t="str">
            <v>PRECIO DE VENTA</v>
          </cell>
          <cell r="D1272">
            <v>1</v>
          </cell>
        </row>
        <row r="1273">
          <cell r="A1273" t="str">
            <v>MYU79</v>
          </cell>
          <cell r="B1273" t="str">
            <v>RACK COMUNICACIONES</v>
          </cell>
          <cell r="C1273" t="str">
            <v>PRECIO DE VENTA</v>
          </cell>
          <cell r="D1273">
            <v>1</v>
          </cell>
        </row>
        <row r="1274">
          <cell r="A1274" t="str">
            <v>MYU8</v>
          </cell>
          <cell r="B1274" t="str">
            <v>3 SILLAS OFICINA ADMINISTRACION</v>
          </cell>
          <cell r="C1274" t="str">
            <v>PRECIO DE VENTA</v>
          </cell>
          <cell r="D1274">
            <v>1</v>
          </cell>
        </row>
        <row r="1275">
          <cell r="A1275" t="str">
            <v>MYU80</v>
          </cell>
          <cell r="B1275" t="str">
            <v>ATRILES PARA ALMACENAJE DE PERFILES PVC</v>
          </cell>
          <cell r="C1275" t="str">
            <v>PRECIO DE VENTA</v>
          </cell>
          <cell r="D1275">
            <v>1</v>
          </cell>
        </row>
        <row r="1276">
          <cell r="A1276" t="str">
            <v>MYU81</v>
          </cell>
          <cell r="B1276" t="str">
            <v>ESCALERAS TIPO AVION 3,5 MTS</v>
          </cell>
          <cell r="C1276" t="str">
            <v>PRECIO DE VENTA</v>
          </cell>
          <cell r="D1276">
            <v>1</v>
          </cell>
        </row>
        <row r="1277">
          <cell r="A1277" t="str">
            <v>MYU82</v>
          </cell>
          <cell r="B1277" t="str">
            <v>ESCALERA TIPO AVION 4,5 MTS</v>
          </cell>
          <cell r="C1277" t="str">
            <v>PRECIO DE VENTA</v>
          </cell>
          <cell r="D1277">
            <v>1</v>
          </cell>
        </row>
        <row r="1278">
          <cell r="A1278" t="str">
            <v>MYU83</v>
          </cell>
          <cell r="B1278" t="str">
            <v>BANCA ESTRUCTURA METALICA FIERRO 40X40</v>
          </cell>
          <cell r="C1278" t="str">
            <v>PRECIO DE VENTA</v>
          </cell>
          <cell r="D1278">
            <v>1</v>
          </cell>
        </row>
        <row r="1279">
          <cell r="A1279" t="str">
            <v>MYU84</v>
          </cell>
          <cell r="B1279" t="str">
            <v>RACK DE ALMACENAMIENTO DE PVC RAFTURK</v>
          </cell>
          <cell r="C1279" t="str">
            <v>PRECIO DE VENTA</v>
          </cell>
          <cell r="D1279">
            <v>1</v>
          </cell>
        </row>
        <row r="1280">
          <cell r="A1280" t="str">
            <v>MYU85</v>
          </cell>
          <cell r="B1280" t="str">
            <v>SOFA A MEDIDA</v>
          </cell>
          <cell r="C1280" t="str">
            <v>PRECIO DE VENTA</v>
          </cell>
          <cell r="D1280">
            <v>1</v>
          </cell>
        </row>
        <row r="1281">
          <cell r="A1281" t="str">
            <v>MYU86</v>
          </cell>
          <cell r="B1281" t="str">
            <v>MUEBLE A MEDIDA CON ILUMINACION LED</v>
          </cell>
          <cell r="C1281" t="str">
            <v>PRECIO DE VENTA</v>
          </cell>
          <cell r="D1281">
            <v>1</v>
          </cell>
        </row>
        <row r="1282">
          <cell r="A1282" t="str">
            <v>MYU87</v>
          </cell>
          <cell r="B1282" t="str">
            <v>CONTENEDOR BAÑO 20P</v>
          </cell>
          <cell r="C1282" t="str">
            <v>PRECIO DE VENTA</v>
          </cell>
          <cell r="D1282">
            <v>1</v>
          </cell>
        </row>
        <row r="1283">
          <cell r="A1283" t="str">
            <v>MYU88</v>
          </cell>
          <cell r="B1283" t="str">
            <v>OFICINA 20P</v>
          </cell>
          <cell r="C1283" t="str">
            <v>PRECIO DE VENTA</v>
          </cell>
          <cell r="D1283">
            <v>1</v>
          </cell>
        </row>
        <row r="1284">
          <cell r="A1284" t="str">
            <v>MYU89</v>
          </cell>
          <cell r="B1284" t="str">
            <v>CASETA 2X2;5</v>
          </cell>
          <cell r="C1284" t="str">
            <v>PRECIO DE VENTA</v>
          </cell>
          <cell r="D1284">
            <v>1</v>
          </cell>
        </row>
        <row r="1285">
          <cell r="A1285" t="str">
            <v>MYU9</v>
          </cell>
          <cell r="B1285" t="str">
            <v>RAFTURK RACK (LA PINTANA)</v>
          </cell>
          <cell r="C1285" t="str">
            <v>PRECIO DE VENTA</v>
          </cell>
          <cell r="D1285">
            <v>1</v>
          </cell>
        </row>
        <row r="1286">
          <cell r="A1286" t="str">
            <v>MYU90</v>
          </cell>
          <cell r="B1286" t="str">
            <v>ESTANTERIA 4 NIVELES PROFESIONAL2000X1500X500MM</v>
          </cell>
          <cell r="C1286" t="str">
            <v>PRECIO DE VENTA</v>
          </cell>
          <cell r="D1286">
            <v>1</v>
          </cell>
        </row>
        <row r="1287">
          <cell r="A1287" t="str">
            <v>MYU91</v>
          </cell>
          <cell r="B1287" t="str">
            <v>ESTANTERIA 4 NIVELES PROFESIONAL2000X1500X500MM</v>
          </cell>
          <cell r="C1287" t="str">
            <v>PRECIO DE VENTA</v>
          </cell>
          <cell r="D1287">
            <v>1</v>
          </cell>
        </row>
        <row r="1288">
          <cell r="A1288" t="str">
            <v>MYU92</v>
          </cell>
          <cell r="B1288" t="str">
            <v>MUEBLES INSTALACION Y HABILITACION CASINO  TUCAPEL 1545</v>
          </cell>
          <cell r="C1288" t="str">
            <v>PRECIO DE VENTA</v>
          </cell>
          <cell r="D1288">
            <v>1</v>
          </cell>
        </row>
        <row r="1289">
          <cell r="A1289" t="str">
            <v>MYU93</v>
          </cell>
          <cell r="B1289" t="str">
            <v>MUEBLES INSTALACION Y HABILITACION CASINO  TUCAPEL 1545</v>
          </cell>
          <cell r="C1289" t="str">
            <v>PRECIO DE VENTA</v>
          </cell>
          <cell r="D1289">
            <v>1</v>
          </cell>
        </row>
        <row r="1290">
          <cell r="A1290" t="str">
            <v>MYU94</v>
          </cell>
          <cell r="B1290" t="str">
            <v>CUBIERTA DE 232X60 INCLUYE ESTRUCUTURA METALICA EN FIERRO 50 50 CUBIERTA DE 232X60</v>
          </cell>
          <cell r="C1290" t="str">
            <v>PRECIO DE VENTA</v>
          </cell>
          <cell r="D1290">
            <v>1</v>
          </cell>
        </row>
        <row r="1291">
          <cell r="A1291" t="str">
            <v>MYU95</v>
          </cell>
          <cell r="B1291" t="str">
            <v>MUEBLE DE 175X62X75 MARCA DUSCASSE 30MM</v>
          </cell>
          <cell r="C1291" t="str">
            <v>PRECIO DE VENTA</v>
          </cell>
          <cell r="D1291">
            <v>1</v>
          </cell>
        </row>
        <row r="1292">
          <cell r="A1292" t="str">
            <v>MYU96</v>
          </cell>
          <cell r="B1292" t="str">
            <v>CUBIERTA POSFORMADA INCLUYE LAVAPLATO GRIFERIA  ESTRUCUTURA METALICA</v>
          </cell>
          <cell r="C1292" t="str">
            <v>PRECIO DE VENTA</v>
          </cell>
          <cell r="D1292">
            <v>1</v>
          </cell>
        </row>
        <row r="1293">
          <cell r="A1293" t="str">
            <v>MYU97</v>
          </cell>
          <cell r="B1293" t="str">
            <v>MUEBLE AEREO</v>
          </cell>
          <cell r="C1293" t="str">
            <v>PRECIO DE VENTA</v>
          </cell>
          <cell r="D1293">
            <v>1</v>
          </cell>
        </row>
        <row r="1294">
          <cell r="A1294" t="str">
            <v>MYU98</v>
          </cell>
          <cell r="B1294" t="str">
            <v>CUBIERTA DE 232X60 INCLUYE ESTRUCTURA METALICA EN FIERRO 50 50</v>
          </cell>
          <cell r="C1294" t="str">
            <v>PRECIO DE VENTA</v>
          </cell>
          <cell r="D1294">
            <v>1</v>
          </cell>
        </row>
        <row r="1295">
          <cell r="A1295" t="str">
            <v>MYU99</v>
          </cell>
          <cell r="B1295" t="str">
            <v>MUEBLE DE 175X62X75 UTIL LLEVA RUEDAS MARCA DUSCASSE TODO EN 30 MM</v>
          </cell>
          <cell r="C1295" t="str">
            <v>PRECIO DE VENTA</v>
          </cell>
          <cell r="D1295">
            <v>1</v>
          </cell>
        </row>
        <row r="1296">
          <cell r="A1296" t="str">
            <v>P-1024-BK</v>
          </cell>
          <cell r="B1296" t="str">
            <v>PERFIL SOBRE LOSA N-50 - BLACK MATTE</v>
          </cell>
          <cell r="C1296" t="str">
            <v>PRECIO DE VENTA</v>
          </cell>
          <cell r="D1296">
            <v>1</v>
          </cell>
          <cell r="E1296">
            <v>22990</v>
          </cell>
          <cell r="F1296">
            <v>22990</v>
          </cell>
        </row>
        <row r="1297">
          <cell r="A1297" t="str">
            <v>PASM-BUR-10</v>
          </cell>
          <cell r="B1297" t="str">
            <v>BURLETE OMEGA 10 MM</v>
          </cell>
          <cell r="C1297" t="str">
            <v>PRECIO DE VENTA</v>
          </cell>
          <cell r="D1297">
            <v>1</v>
          </cell>
          <cell r="E1297">
            <v>3055</v>
          </cell>
          <cell r="F1297">
            <v>3055</v>
          </cell>
        </row>
        <row r="1298">
          <cell r="A1298" t="str">
            <v>PASM-BUR-12</v>
          </cell>
          <cell r="B1298" t="str">
            <v>BURLETE OMEGA 12 MM</v>
          </cell>
          <cell r="C1298" t="str">
            <v>PRECIO DE VENTA</v>
          </cell>
          <cell r="D1298">
            <v>1</v>
          </cell>
          <cell r="E1298">
            <v>3055</v>
          </cell>
          <cell r="F1298">
            <v>3055</v>
          </cell>
        </row>
        <row r="1299">
          <cell r="A1299" t="str">
            <v>PASM-BUR-16</v>
          </cell>
          <cell r="B1299" t="str">
            <v>BURLETE OMEGA 16 MM</v>
          </cell>
          <cell r="C1299" t="str">
            <v>PRECIO DE VENTA</v>
          </cell>
          <cell r="D1299">
            <v>1</v>
          </cell>
          <cell r="E1299">
            <v>9379</v>
          </cell>
          <cell r="F1299">
            <v>9379</v>
          </cell>
        </row>
        <row r="1300">
          <cell r="A1300" t="str">
            <v>PASM-BUR-20</v>
          </cell>
          <cell r="B1300" t="str">
            <v>BURLETE OMEGA 20 MM</v>
          </cell>
          <cell r="C1300" t="str">
            <v>PRECIO DE VENTA</v>
          </cell>
          <cell r="D1300">
            <v>1</v>
          </cell>
          <cell r="E1300">
            <v>3055</v>
          </cell>
          <cell r="F1300">
            <v>3055</v>
          </cell>
        </row>
        <row r="1301">
          <cell r="A1301" t="str">
            <v>PASM-K7-10-6MT</v>
          </cell>
          <cell r="B1301" t="str">
            <v>PASAMANO K7 - 10 mm</v>
          </cell>
          <cell r="C1301" t="str">
            <v>PRECIO DE VENTA</v>
          </cell>
          <cell r="D1301">
            <v>1</v>
          </cell>
          <cell r="E1301">
            <v>114570</v>
          </cell>
          <cell r="F1301">
            <v>114570</v>
          </cell>
        </row>
        <row r="1302">
          <cell r="A1302" t="str">
            <v>PASM-K7-12-6MT</v>
          </cell>
          <cell r="B1302" t="str">
            <v>PASAMANO K7 - 12 mm</v>
          </cell>
          <cell r="C1302" t="str">
            <v>PRECIO DE VENTA</v>
          </cell>
          <cell r="D1302">
            <v>1</v>
          </cell>
          <cell r="E1302">
            <v>114570</v>
          </cell>
          <cell r="F1302">
            <v>114570</v>
          </cell>
        </row>
        <row r="1303">
          <cell r="A1303" t="str">
            <v>PASM-K7-16-6MT</v>
          </cell>
          <cell r="B1303" t="str">
            <v>PASAMANO K7 - 16 mm</v>
          </cell>
          <cell r="C1303" t="str">
            <v>PRECIO DE VENTA</v>
          </cell>
          <cell r="D1303">
            <v>1</v>
          </cell>
          <cell r="E1303">
            <v>114570</v>
          </cell>
          <cell r="F1303">
            <v>114570</v>
          </cell>
        </row>
        <row r="1304">
          <cell r="A1304" t="str">
            <v>PASM-K7-20-6MT</v>
          </cell>
          <cell r="B1304" t="str">
            <v>PASAMANO K7 - 20 mm</v>
          </cell>
          <cell r="C1304" t="str">
            <v>PRECIO DE VENTA</v>
          </cell>
          <cell r="D1304">
            <v>1</v>
          </cell>
          <cell r="E1304">
            <v>114570</v>
          </cell>
          <cell r="F1304">
            <v>114570</v>
          </cell>
        </row>
        <row r="1305">
          <cell r="A1305" t="str">
            <v>PASM-K7-PM</v>
          </cell>
          <cell r="B1305" t="str">
            <v>PASAMANOS K7 - 6 MT - C/LED</v>
          </cell>
          <cell r="C1305" t="str">
            <v>PRECIO DE VENTA</v>
          </cell>
          <cell r="D1305">
            <v>1</v>
          </cell>
          <cell r="E1305">
            <v>108818</v>
          </cell>
          <cell r="F1305">
            <v>108818</v>
          </cell>
        </row>
        <row r="1306">
          <cell r="A1306" t="str">
            <v>PASM-K8-10-6MT</v>
          </cell>
          <cell r="B1306" t="str">
            <v>PASAMANO K8  -10 mm</v>
          </cell>
          <cell r="C1306" t="str">
            <v>PRECIO DE VENTA</v>
          </cell>
          <cell r="D1306">
            <v>1</v>
          </cell>
          <cell r="E1306">
            <v>89820</v>
          </cell>
          <cell r="F1306">
            <v>89820</v>
          </cell>
        </row>
        <row r="1307">
          <cell r="A1307" t="str">
            <v>PASM-K8-12-6MT</v>
          </cell>
          <cell r="B1307" t="str">
            <v>PASAMANO K8 - 12 mm</v>
          </cell>
          <cell r="C1307" t="str">
            <v>PRECIO DE VENTA</v>
          </cell>
          <cell r="D1307">
            <v>1</v>
          </cell>
          <cell r="E1307">
            <v>89820</v>
          </cell>
          <cell r="F1307">
            <v>89820</v>
          </cell>
        </row>
        <row r="1308">
          <cell r="A1308" t="str">
            <v>PASM-K8-16-6MT</v>
          </cell>
          <cell r="B1308" t="str">
            <v>PASAMANO K8 - 16 mm</v>
          </cell>
          <cell r="C1308" t="str">
            <v>PRECIO DE VENTA</v>
          </cell>
          <cell r="D1308">
            <v>1</v>
          </cell>
          <cell r="E1308">
            <v>89820</v>
          </cell>
          <cell r="F1308">
            <v>89820</v>
          </cell>
        </row>
        <row r="1309">
          <cell r="A1309" t="str">
            <v>PASM-K8-20-6MT</v>
          </cell>
          <cell r="B1309" t="str">
            <v>PASAMANO K8 - 20 mm</v>
          </cell>
          <cell r="C1309" t="str">
            <v>PRECIO DE VENTA</v>
          </cell>
          <cell r="D1309">
            <v>1</v>
          </cell>
          <cell r="E1309">
            <v>89820</v>
          </cell>
          <cell r="F1309">
            <v>89820</v>
          </cell>
        </row>
        <row r="1310">
          <cell r="A1310" t="str">
            <v>PASM-K8-PM</v>
          </cell>
          <cell r="B1310" t="str">
            <v>PASAMANOS K8 - 6 MT</v>
          </cell>
          <cell r="C1310" t="str">
            <v>PRECIO DE VENTA</v>
          </cell>
          <cell r="D1310">
            <v>1</v>
          </cell>
          <cell r="E1310">
            <v>80836</v>
          </cell>
          <cell r="F1310">
            <v>80836</v>
          </cell>
        </row>
        <row r="1311">
          <cell r="A1311" t="str">
            <v>PASM-K9-10-6MT</v>
          </cell>
          <cell r="B1311" t="str">
            <v>PASAMANO K9 - 10 mm</v>
          </cell>
          <cell r="C1311" t="str">
            <v>PRECIO DE VENTA</v>
          </cell>
          <cell r="D1311">
            <v>1</v>
          </cell>
          <cell r="E1311">
            <v>106320</v>
          </cell>
          <cell r="F1311">
            <v>106320</v>
          </cell>
        </row>
        <row r="1312">
          <cell r="A1312" t="str">
            <v>PASM-K9-12-6MT</v>
          </cell>
          <cell r="B1312" t="str">
            <v>PASAMANO K9 - 12 mm</v>
          </cell>
          <cell r="C1312" t="str">
            <v>PRECIO DE VENTA</v>
          </cell>
          <cell r="D1312">
            <v>1</v>
          </cell>
          <cell r="E1312">
            <v>106320</v>
          </cell>
          <cell r="F1312">
            <v>106320</v>
          </cell>
        </row>
        <row r="1313">
          <cell r="A1313" t="str">
            <v>PASM-K9-16-6MT</v>
          </cell>
          <cell r="B1313" t="str">
            <v>PASAMANO K9 - 16 mm</v>
          </cell>
          <cell r="C1313" t="str">
            <v>PRECIO DE VENTA</v>
          </cell>
          <cell r="D1313">
            <v>1</v>
          </cell>
          <cell r="E1313">
            <v>106320</v>
          </cell>
          <cell r="F1313">
            <v>106320</v>
          </cell>
        </row>
        <row r="1314">
          <cell r="A1314" t="str">
            <v>PASM-K9-20-6MT</v>
          </cell>
          <cell r="B1314" t="str">
            <v>PASAMANO K9 - 20 mm</v>
          </cell>
          <cell r="C1314" t="str">
            <v>PRECIO DE VENTA</v>
          </cell>
          <cell r="D1314">
            <v>1</v>
          </cell>
          <cell r="E1314">
            <v>106320</v>
          </cell>
          <cell r="F1314">
            <v>106320</v>
          </cell>
        </row>
        <row r="1315">
          <cell r="A1315" t="str">
            <v>PASM-K9-PM</v>
          </cell>
          <cell r="B1315" t="str">
            <v>PASAMANOS K9 - 6 MT</v>
          </cell>
          <cell r="C1315" t="str">
            <v>PRECIO DE VENTA</v>
          </cell>
          <cell r="D1315">
            <v>1</v>
          </cell>
          <cell r="E1315">
            <v>123535</v>
          </cell>
          <cell r="F1315">
            <v>123535</v>
          </cell>
        </row>
        <row r="1316">
          <cell r="A1316" t="str">
            <v>PI-AME-HCA-BL</v>
          </cell>
          <cell r="B1316" t="str">
            <v>HOJA CORREDERA AMERICANA SILTEK</v>
          </cell>
          <cell r="C1316" t="str">
            <v>PRECIO DE VENTA</v>
          </cell>
          <cell r="D1316">
            <v>1</v>
          </cell>
          <cell r="E1316">
            <v>4463</v>
          </cell>
          <cell r="F1316">
            <v>4463</v>
          </cell>
        </row>
        <row r="1317">
          <cell r="A1317" t="str">
            <v>PI-AME-JDA-BL</v>
          </cell>
          <cell r="B1317" t="str">
            <v>JUNQUILLO DVH AMERICANA SILTEK</v>
          </cell>
          <cell r="C1317" t="str">
            <v>PRECIO DE VENTA</v>
          </cell>
          <cell r="D1317">
            <v>1</v>
          </cell>
          <cell r="E1317">
            <v>956</v>
          </cell>
          <cell r="F1317">
            <v>956</v>
          </cell>
        </row>
        <row r="1318">
          <cell r="A1318" t="str">
            <v>PI-AME-JSA-BL</v>
          </cell>
          <cell r="B1318" t="str">
            <v>JUNQUILLO SIMPLE AMENICANA SILTEK</v>
          </cell>
          <cell r="C1318" t="str">
            <v>PRECIO DE VENTA</v>
          </cell>
          <cell r="D1318">
            <v>1</v>
          </cell>
          <cell r="E1318">
            <v>877</v>
          </cell>
          <cell r="F1318">
            <v>877</v>
          </cell>
        </row>
        <row r="1319">
          <cell r="A1319" t="str">
            <v>PI-AME-MCA-BL</v>
          </cell>
          <cell r="B1319" t="str">
            <v>MARCO CORREDERA AMERICANA SILTEK</v>
          </cell>
          <cell r="C1319" t="str">
            <v>PRECIO DE VENTA</v>
          </cell>
          <cell r="D1319">
            <v>1</v>
          </cell>
          <cell r="E1319">
            <v>10879</v>
          </cell>
          <cell r="F1319">
            <v>10879</v>
          </cell>
        </row>
        <row r="1320">
          <cell r="A1320" t="str">
            <v>PI-AME-RAM-BL</v>
          </cell>
          <cell r="B1320" t="str">
            <v>RIEL AMERICANA SILTEK</v>
          </cell>
          <cell r="C1320" t="str">
            <v>PRECIO DE VENTA</v>
          </cell>
          <cell r="D1320">
            <v>1</v>
          </cell>
          <cell r="E1320">
            <v>1913</v>
          </cell>
          <cell r="F1320">
            <v>1913</v>
          </cell>
        </row>
        <row r="1321">
          <cell r="A1321" t="str">
            <v>PI-AME-TFA-BL</v>
          </cell>
          <cell r="B1321" t="str">
            <v>TRASLAPO FIJO AMERICANA SILTEK</v>
          </cell>
          <cell r="C1321" t="str">
            <v>PRECIO DE VENTA</v>
          </cell>
          <cell r="D1321">
            <v>1</v>
          </cell>
          <cell r="E1321">
            <v>7173</v>
          </cell>
          <cell r="F1321">
            <v>7173</v>
          </cell>
        </row>
        <row r="1322">
          <cell r="A1322" t="str">
            <v>PI-AME-TMA-BL</v>
          </cell>
          <cell r="B1322" t="str">
            <v>TRASLAPO MOVIL AMARICANA SILTEK</v>
          </cell>
          <cell r="C1322" t="str">
            <v>PRECIO DE VENTA</v>
          </cell>
          <cell r="D1322">
            <v>1</v>
          </cell>
          <cell r="E1322">
            <v>5101</v>
          </cell>
          <cell r="F1322">
            <v>5101</v>
          </cell>
        </row>
        <row r="1323">
          <cell r="A1323" t="str">
            <v>PI-CMP-50-50-BK</v>
          </cell>
          <cell r="B1323" t="str">
            <v>ANGULO REVESTIMIENTO 50/50 mm - BLACK</v>
          </cell>
          <cell r="C1323" t="str">
            <v>PRECIO DE VENTA</v>
          </cell>
          <cell r="D1323">
            <v>1</v>
          </cell>
          <cell r="E1323">
            <v>9900</v>
          </cell>
          <cell r="F1323">
            <v>9900</v>
          </cell>
        </row>
        <row r="1324">
          <cell r="A1324" t="str">
            <v>PI-CMP-50-50-BL</v>
          </cell>
          <cell r="B1324" t="str">
            <v>ANGULO REVESTIMIENTO 50/50 mm - BLANCO</v>
          </cell>
          <cell r="C1324" t="str">
            <v>PRECIO DE VENTA</v>
          </cell>
          <cell r="D1324">
            <v>1</v>
          </cell>
          <cell r="E1324">
            <v>10284</v>
          </cell>
          <cell r="F1324">
            <v>10284</v>
          </cell>
        </row>
        <row r="1325">
          <cell r="A1325" t="str">
            <v>PI-CMP-50-50-GR</v>
          </cell>
          <cell r="B1325" t="str">
            <v>ANGULO REVESTIMIENTO 50/50 mm - GRAFITO</v>
          </cell>
          <cell r="C1325" t="str">
            <v>PRECIO DE VENTA</v>
          </cell>
          <cell r="D1325">
            <v>1</v>
          </cell>
          <cell r="E1325">
            <v>19217</v>
          </cell>
          <cell r="F1325">
            <v>19217</v>
          </cell>
        </row>
        <row r="1326">
          <cell r="A1326" t="str">
            <v>PI-CMP-50-50-NB</v>
          </cell>
          <cell r="B1326" t="str">
            <v>ANGULO REVESTIMIENTO 50/50 mm - NEW BLACK</v>
          </cell>
          <cell r="C1326" t="str">
            <v>PRECIO DE VENTA</v>
          </cell>
          <cell r="D1326">
            <v>1</v>
          </cell>
          <cell r="E1326">
            <v>22161</v>
          </cell>
          <cell r="F1326">
            <v>22161</v>
          </cell>
        </row>
        <row r="1327">
          <cell r="A1327" t="str">
            <v>PI-CMP-50-50-NO</v>
          </cell>
          <cell r="B1327" t="str">
            <v>ANGULO REVESTIMIENTO 50/50 mm - NOGAL</v>
          </cell>
          <cell r="C1327" t="str">
            <v>PRECIO DE VENTA</v>
          </cell>
          <cell r="D1327">
            <v>1</v>
          </cell>
          <cell r="E1327">
            <v>17959</v>
          </cell>
          <cell r="F1327">
            <v>17959</v>
          </cell>
        </row>
        <row r="1328">
          <cell r="A1328" t="str">
            <v>PI-CMP-50-50-RD</v>
          </cell>
          <cell r="B1328" t="str">
            <v>ANGULO REVESTIMIENTO 50/50 mm - ROBLE</v>
          </cell>
          <cell r="C1328" t="str">
            <v>PRECIO DE VENTA</v>
          </cell>
          <cell r="D1328">
            <v>1</v>
          </cell>
          <cell r="E1328">
            <v>17959</v>
          </cell>
          <cell r="F1328">
            <v>17959</v>
          </cell>
        </row>
        <row r="1329">
          <cell r="A1329" t="str">
            <v>PI-CMP-75-170-BK</v>
          </cell>
          <cell r="B1329" t="str">
            <v>ANGULO REVESTIMIENTO 75/170 mm - BLACK</v>
          </cell>
          <cell r="C1329" t="str">
            <v>PRECIO DE VENTA</v>
          </cell>
          <cell r="D1329">
            <v>1</v>
          </cell>
          <cell r="E1329">
            <v>26150</v>
          </cell>
          <cell r="F1329">
            <v>26150</v>
          </cell>
        </row>
        <row r="1330">
          <cell r="A1330" t="str">
            <v>PI-CMP-75-170-BL</v>
          </cell>
          <cell r="B1330" t="str">
            <v>ANGULO REVESTIMIENTO 75/170 mm - BLANCO</v>
          </cell>
          <cell r="C1330" t="str">
            <v>PRECIO DE VENTA</v>
          </cell>
          <cell r="D1330">
            <v>1</v>
          </cell>
          <cell r="E1330">
            <v>36785</v>
          </cell>
          <cell r="F1330">
            <v>36785</v>
          </cell>
        </row>
        <row r="1331">
          <cell r="A1331" t="str">
            <v>PI-CMP-75-170-GR</v>
          </cell>
          <cell r="B1331" t="str">
            <v>ANGULO REVESTIMIENTO 75/170 mm - GRAFITO</v>
          </cell>
          <cell r="C1331" t="str">
            <v>PRECIO DE VENTA</v>
          </cell>
          <cell r="D1331">
            <v>1</v>
          </cell>
          <cell r="E1331">
            <v>54430</v>
          </cell>
          <cell r="F1331">
            <v>54430</v>
          </cell>
        </row>
        <row r="1332">
          <cell r="A1332" t="str">
            <v>PI-CMP-75-170-NB</v>
          </cell>
          <cell r="B1332" t="str">
            <v>ANGULO REVESTIMIENTO 75/170 mm - NEW BLACK</v>
          </cell>
          <cell r="C1332" t="str">
            <v>PRECIO DE VENTA</v>
          </cell>
          <cell r="D1332">
            <v>1</v>
          </cell>
          <cell r="E1332">
            <v>55454</v>
          </cell>
          <cell r="F1332">
            <v>55454</v>
          </cell>
        </row>
        <row r="1333">
          <cell r="A1333" t="str">
            <v>PI-CMP-75-170-NO</v>
          </cell>
          <cell r="B1333" t="str">
            <v>ANGULO REVESTIMIENTO 75/170 mm - NOGAL</v>
          </cell>
          <cell r="C1333" t="str">
            <v>PRECIO DE VENTA</v>
          </cell>
          <cell r="D1333">
            <v>1</v>
          </cell>
          <cell r="E1333">
            <v>50869</v>
          </cell>
          <cell r="F1333">
            <v>50869</v>
          </cell>
        </row>
        <row r="1334">
          <cell r="A1334" t="str">
            <v>PI-CMP-75-170-RD</v>
          </cell>
          <cell r="B1334" t="str">
            <v>ANGULO REVESTIMIENTO 75/170 mm - ROBLE</v>
          </cell>
          <cell r="C1334" t="str">
            <v>PRECIO DE VENTA</v>
          </cell>
          <cell r="D1334">
            <v>1</v>
          </cell>
          <cell r="E1334">
            <v>50869</v>
          </cell>
          <cell r="F1334">
            <v>50869</v>
          </cell>
        </row>
        <row r="1335">
          <cell r="A1335" t="str">
            <v>PI-CMP-ACM-BK</v>
          </cell>
          <cell r="B1335" t="str">
            <v>ACOPLE MINI - BLACK</v>
          </cell>
          <cell r="C1335" t="str">
            <v>PRECIO DE VENTA</v>
          </cell>
          <cell r="D1335">
            <v>1</v>
          </cell>
          <cell r="E1335">
            <v>2796</v>
          </cell>
          <cell r="F1335">
            <v>2796</v>
          </cell>
        </row>
        <row r="1336">
          <cell r="A1336" t="str">
            <v>PI-CMP-ACM-BL</v>
          </cell>
          <cell r="B1336" t="str">
            <v>ACOPLE MINI - BLANCO</v>
          </cell>
          <cell r="C1336" t="str">
            <v>PRECIO DE VENTA</v>
          </cell>
          <cell r="D1336">
            <v>1</v>
          </cell>
          <cell r="E1336">
            <v>3839</v>
          </cell>
          <cell r="F1336">
            <v>3839</v>
          </cell>
        </row>
        <row r="1337">
          <cell r="A1337" t="str">
            <v>PI-CMP-ACM-GR</v>
          </cell>
          <cell r="B1337" t="str">
            <v>ACOPLE MINI - GRAFITO</v>
          </cell>
          <cell r="C1337" t="str">
            <v>PRECIO DE VENTA</v>
          </cell>
          <cell r="D1337">
            <v>1</v>
          </cell>
          <cell r="E1337">
            <v>5737</v>
          </cell>
          <cell r="F1337">
            <v>5737</v>
          </cell>
        </row>
        <row r="1338">
          <cell r="A1338" t="str">
            <v>PI-CMP-ACM-NB</v>
          </cell>
          <cell r="B1338" t="str">
            <v>ACOPLE MINI - NEW BLACK</v>
          </cell>
          <cell r="C1338" t="str">
            <v>PRECIO DE VENTA</v>
          </cell>
          <cell r="D1338">
            <v>1</v>
          </cell>
          <cell r="E1338">
            <v>6592</v>
          </cell>
          <cell r="F1338">
            <v>6592</v>
          </cell>
        </row>
        <row r="1339">
          <cell r="A1339" t="str">
            <v>PI-CMP-ACM-NO</v>
          </cell>
          <cell r="B1339" t="str">
            <v>ACOPLE MINI - NOGAL</v>
          </cell>
          <cell r="C1339" t="str">
            <v>PRECIO DE VENTA</v>
          </cell>
          <cell r="D1339">
            <v>1</v>
          </cell>
          <cell r="E1339">
            <v>5737</v>
          </cell>
          <cell r="F1339">
            <v>5737</v>
          </cell>
        </row>
        <row r="1340">
          <cell r="A1340" t="str">
            <v>PI-CMP-ACM-RD</v>
          </cell>
          <cell r="B1340" t="str">
            <v>ACOPLE MINI - ROBLE</v>
          </cell>
          <cell r="C1340" t="str">
            <v>PRECIO DE VENTA</v>
          </cell>
          <cell r="D1340">
            <v>1</v>
          </cell>
          <cell r="E1340">
            <v>5737</v>
          </cell>
          <cell r="F1340">
            <v>5737</v>
          </cell>
        </row>
        <row r="1341">
          <cell r="A1341" t="str">
            <v>PI-CMP-ALE-BL</v>
          </cell>
          <cell r="B1341" t="str">
            <v>ALETA SIDING - BLANCO</v>
          </cell>
          <cell r="C1341" t="str">
            <v>PRECIO DE VENTA</v>
          </cell>
          <cell r="D1341">
            <v>1</v>
          </cell>
          <cell r="E1341">
            <v>2963</v>
          </cell>
          <cell r="F1341">
            <v>2963</v>
          </cell>
        </row>
        <row r="1342">
          <cell r="A1342" t="str">
            <v>PI-CMP-ALT-BK</v>
          </cell>
          <cell r="B1342" t="str">
            <v>ALETA SIDING MULTIPLE - BLACK</v>
          </cell>
          <cell r="C1342" t="str">
            <v>PRECIO DE VENTA</v>
          </cell>
          <cell r="D1342">
            <v>1</v>
          </cell>
          <cell r="E1342">
            <v>5000</v>
          </cell>
          <cell r="F1342">
            <v>5000</v>
          </cell>
        </row>
        <row r="1343">
          <cell r="A1343" t="str">
            <v>PI-CMP-ALT-BL</v>
          </cell>
          <cell r="B1343" t="str">
            <v>ALETA SIDING MULTIPLE - BLANCO</v>
          </cell>
          <cell r="C1343" t="str">
            <v>PRECIO DE VENTA</v>
          </cell>
          <cell r="D1343">
            <v>1</v>
          </cell>
          <cell r="E1343">
            <v>1000</v>
          </cell>
          <cell r="F1343">
            <v>1000</v>
          </cell>
        </row>
        <row r="1344">
          <cell r="A1344" t="str">
            <v>PI-CMP-ALT-GR</v>
          </cell>
          <cell r="B1344" t="str">
            <v>ALETA SIDING MULTIPLE - GRAFITO</v>
          </cell>
          <cell r="C1344" t="str">
            <v>PRECIO DE VENTA</v>
          </cell>
          <cell r="D1344">
            <v>1</v>
          </cell>
          <cell r="E1344">
            <v>2000</v>
          </cell>
          <cell r="F1344">
            <v>2000</v>
          </cell>
        </row>
        <row r="1345">
          <cell r="A1345" t="str">
            <v>PI-CMP-ALT-MR</v>
          </cell>
          <cell r="B1345" t="str">
            <v>ALETA SIDING - MARRON</v>
          </cell>
          <cell r="C1345" t="str">
            <v>PRECIO DE VENTA</v>
          </cell>
          <cell r="D1345">
            <v>1</v>
          </cell>
          <cell r="E1345">
            <v>3468</v>
          </cell>
          <cell r="F1345">
            <v>3468</v>
          </cell>
        </row>
        <row r="1346">
          <cell r="A1346" t="str">
            <v>PI-CMP-ALT-NB</v>
          </cell>
          <cell r="B1346" t="str">
            <v>ALETA SIDING MULTIPLE - NEW BLACK</v>
          </cell>
          <cell r="C1346" t="str">
            <v>PRECIO DE VENTA</v>
          </cell>
          <cell r="D1346">
            <v>1</v>
          </cell>
          <cell r="E1346">
            <v>2000</v>
          </cell>
          <cell r="F1346">
            <v>2000</v>
          </cell>
        </row>
        <row r="1347">
          <cell r="A1347" t="str">
            <v>PI-CMP-ALT-NO</v>
          </cell>
          <cell r="B1347" t="str">
            <v>ALETA SIDING MULTIPLE - NOGAL</v>
          </cell>
          <cell r="C1347" t="str">
            <v>PRECIO DE VENTA</v>
          </cell>
          <cell r="D1347">
            <v>1</v>
          </cell>
          <cell r="E1347">
            <v>2000</v>
          </cell>
          <cell r="F1347">
            <v>2000</v>
          </cell>
        </row>
        <row r="1348">
          <cell r="A1348" t="str">
            <v>PI-CMP-ALT-RD</v>
          </cell>
          <cell r="B1348" t="str">
            <v>ALETA SIDING MULTIPLE - ROBLE</v>
          </cell>
          <cell r="C1348" t="str">
            <v>PRECIO DE VENTA</v>
          </cell>
          <cell r="D1348">
            <v>1</v>
          </cell>
          <cell r="E1348">
            <v>2000</v>
          </cell>
          <cell r="F1348">
            <v>2000</v>
          </cell>
        </row>
        <row r="1349">
          <cell r="A1349" t="str">
            <v>PI-CMP-CMC-BL</v>
          </cell>
          <cell r="B1349" t="str">
            <v>PERFIL CONTRA MARCO - BLANCO</v>
          </cell>
          <cell r="C1349" t="str">
            <v>PRECIO DE VENTA</v>
          </cell>
          <cell r="D1349">
            <v>1</v>
          </cell>
          <cell r="E1349">
            <v>16295</v>
          </cell>
          <cell r="F1349">
            <v>16295</v>
          </cell>
        </row>
        <row r="1350">
          <cell r="A1350" t="str">
            <v>PI-CMP-HS-CTF-2</v>
          </cell>
          <cell r="B1350" t="str">
            <v>REFUERZO CONTRA FLECHA 2mm - HS</v>
          </cell>
          <cell r="C1350" t="str">
            <v>PRECIO DE VENTA</v>
          </cell>
          <cell r="D1350">
            <v>1</v>
          </cell>
          <cell r="E1350">
            <v>6449</v>
          </cell>
          <cell r="F1350">
            <v>6449</v>
          </cell>
        </row>
        <row r="1351">
          <cell r="A1351" t="str">
            <v>PI-CMP-HS-E45-15</v>
          </cell>
          <cell r="B1351" t="str">
            <v>REFUERZO ESQUINERO 45º  1,5 mm  - HS</v>
          </cell>
          <cell r="C1351" t="str">
            <v>PRECIO DE VENTA</v>
          </cell>
          <cell r="D1351">
            <v>1</v>
          </cell>
          <cell r="E1351">
            <v>12260</v>
          </cell>
          <cell r="F1351">
            <v>12260</v>
          </cell>
        </row>
        <row r="1352">
          <cell r="A1352" t="str">
            <v>PI-CMP-NALT-BL</v>
          </cell>
          <cell r="B1352" t="str">
            <v>NEW ALETA SIDING MULTIPLE - BLANCO</v>
          </cell>
          <cell r="C1352" t="str">
            <v>PRECIO DE VENTA</v>
          </cell>
          <cell r="D1352">
            <v>1</v>
          </cell>
          <cell r="E1352">
            <v>9502</v>
          </cell>
          <cell r="F1352">
            <v>9502</v>
          </cell>
        </row>
        <row r="1353">
          <cell r="A1353" t="str">
            <v>PI-CMP-NALT-GR</v>
          </cell>
          <cell r="B1353" t="str">
            <v>NEW ALETA SIDING MULTIPLE - GRAFITO</v>
          </cell>
          <cell r="C1353" t="str">
            <v>PRECIO DE VENTA</v>
          </cell>
          <cell r="D1353">
            <v>1</v>
          </cell>
          <cell r="E1353">
            <v>13095</v>
          </cell>
          <cell r="F1353">
            <v>13095</v>
          </cell>
        </row>
        <row r="1354">
          <cell r="A1354" t="str">
            <v>PI-CMP-NALT-NB</v>
          </cell>
          <cell r="B1354" t="str">
            <v>NEW ALETA SIDING MULTIPLE - NEW BLACK</v>
          </cell>
          <cell r="C1354" t="str">
            <v>PRECIO DE VENTA</v>
          </cell>
          <cell r="D1354">
            <v>1</v>
          </cell>
          <cell r="E1354">
            <v>13850</v>
          </cell>
          <cell r="F1354">
            <v>13850</v>
          </cell>
        </row>
        <row r="1355">
          <cell r="A1355" t="str">
            <v>PI-CMP-NALT-NO</v>
          </cell>
          <cell r="B1355" t="str">
            <v>NEW ALETA SIDING MULTIPLE - NOGAL</v>
          </cell>
          <cell r="C1355" t="str">
            <v>PRECIO DE VENTA</v>
          </cell>
          <cell r="D1355">
            <v>1</v>
          </cell>
          <cell r="E1355">
            <v>12843</v>
          </cell>
          <cell r="F1355">
            <v>12843</v>
          </cell>
        </row>
        <row r="1356">
          <cell r="A1356" t="str">
            <v>PI-CMP-NALT-RD</v>
          </cell>
          <cell r="B1356" t="str">
            <v>NEW ALETA SIDING MULTIPLE - ROBLE</v>
          </cell>
          <cell r="C1356" t="str">
            <v>PRECIO DE VENTA</v>
          </cell>
          <cell r="D1356">
            <v>1</v>
          </cell>
          <cell r="E1356">
            <v>12843</v>
          </cell>
          <cell r="F1356">
            <v>12843</v>
          </cell>
        </row>
        <row r="1357">
          <cell r="A1357" t="str">
            <v>PI-MQT-HCM-BL</v>
          </cell>
          <cell r="B1357" t="str">
            <v>HOJA CORREDERA MOSQUITERO - BLANCO</v>
          </cell>
          <cell r="C1357" t="str">
            <v>PRECIO DE VENTA</v>
          </cell>
          <cell r="D1357">
            <v>1</v>
          </cell>
          <cell r="E1357">
            <v>22495</v>
          </cell>
          <cell r="F1357">
            <v>22495</v>
          </cell>
        </row>
        <row r="1358">
          <cell r="A1358" t="str">
            <v>PI-MQT-HCM-GR</v>
          </cell>
          <cell r="B1358" t="str">
            <v>HOJA CORREDERA MOSQUITERO - GRAFITO</v>
          </cell>
          <cell r="C1358" t="str">
            <v>PRECIO DE VENTA</v>
          </cell>
          <cell r="D1358">
            <v>1</v>
          </cell>
          <cell r="E1358">
            <v>24877</v>
          </cell>
          <cell r="F1358">
            <v>24877</v>
          </cell>
        </row>
        <row r="1359">
          <cell r="A1359" t="str">
            <v>PI-MQT-HCM-NB</v>
          </cell>
          <cell r="B1359" t="str">
            <v>HOJA CORREDERA MOSQUITERO - NEW BLACK</v>
          </cell>
          <cell r="C1359" t="str">
            <v>PRECIO DE VENTA</v>
          </cell>
          <cell r="D1359">
            <v>1</v>
          </cell>
          <cell r="E1359">
            <v>26120</v>
          </cell>
          <cell r="F1359">
            <v>26120</v>
          </cell>
        </row>
        <row r="1360">
          <cell r="A1360" t="str">
            <v>PI-MQT-HCM-NO</v>
          </cell>
          <cell r="B1360" t="str">
            <v>HOJA CORREDERA MOSQUITERO - NOGAL</v>
          </cell>
          <cell r="C1360" t="str">
            <v>PRECIO DE VENTA</v>
          </cell>
          <cell r="D1360">
            <v>1</v>
          </cell>
          <cell r="E1360">
            <v>24152</v>
          </cell>
          <cell r="F1360">
            <v>24152</v>
          </cell>
        </row>
        <row r="1361">
          <cell r="A1361" t="str">
            <v>PI-MQT-HCM-RD</v>
          </cell>
          <cell r="B1361" t="str">
            <v>HOJA CORREDERA MOSQUITERO - ROBLE</v>
          </cell>
          <cell r="C1361" t="str">
            <v>PRECIO DE VENTA</v>
          </cell>
          <cell r="D1361">
            <v>1</v>
          </cell>
          <cell r="E1361">
            <v>24152</v>
          </cell>
          <cell r="F1361">
            <v>24152</v>
          </cell>
        </row>
        <row r="1362">
          <cell r="A1362" t="str">
            <v>PI-MQT-MCM-BL</v>
          </cell>
          <cell r="B1362" t="str">
            <v>MARCO CORREDERA MOSQUITERO - BLANCO</v>
          </cell>
          <cell r="C1362" t="str">
            <v>PRECIO DE VENTA</v>
          </cell>
          <cell r="D1362">
            <v>1</v>
          </cell>
          <cell r="E1362">
            <v>17623</v>
          </cell>
          <cell r="F1362">
            <v>17623</v>
          </cell>
        </row>
        <row r="1363">
          <cell r="A1363" t="str">
            <v>PI-MQT-MCM-GR</v>
          </cell>
          <cell r="B1363" t="str">
            <v>MARCO CORREDERA MOSQUITERO - GRAFITO</v>
          </cell>
          <cell r="C1363" t="str">
            <v>PRECIO DE VENTA</v>
          </cell>
          <cell r="D1363">
            <v>1</v>
          </cell>
          <cell r="E1363">
            <v>19445</v>
          </cell>
          <cell r="F1363">
            <v>19445</v>
          </cell>
        </row>
        <row r="1364">
          <cell r="A1364" t="str">
            <v>PI-MQT-MCM-NB</v>
          </cell>
          <cell r="B1364" t="str">
            <v>MARCO CORREDERA MOSQUITERO - NEW BLACK</v>
          </cell>
          <cell r="C1364" t="str">
            <v>PRECIO DE VENTA</v>
          </cell>
          <cell r="D1364">
            <v>1</v>
          </cell>
          <cell r="E1364">
            <v>20418</v>
          </cell>
          <cell r="F1364">
            <v>20418</v>
          </cell>
        </row>
        <row r="1365">
          <cell r="A1365" t="str">
            <v>PI-MQT-MCM-NO</v>
          </cell>
          <cell r="B1365" t="str">
            <v>MARCO CORREDERA MOSQUITERO - NOGAL</v>
          </cell>
          <cell r="C1365" t="str">
            <v>PRECIO DE VENTA</v>
          </cell>
          <cell r="D1365">
            <v>1</v>
          </cell>
          <cell r="E1365">
            <v>18879</v>
          </cell>
          <cell r="F1365">
            <v>18879</v>
          </cell>
        </row>
        <row r="1366">
          <cell r="A1366" t="str">
            <v>PI-MQT-MCM-RD</v>
          </cell>
          <cell r="B1366" t="str">
            <v>MARCO CORREDERA MOSQUITERO - ROBLE</v>
          </cell>
          <cell r="C1366" t="str">
            <v>PRECIO DE VENTA</v>
          </cell>
          <cell r="D1366">
            <v>1</v>
          </cell>
          <cell r="E1366">
            <v>18879</v>
          </cell>
          <cell r="F1366">
            <v>18879</v>
          </cell>
        </row>
        <row r="1367">
          <cell r="A1367" t="str">
            <v>PI-MQT-PTM-BL</v>
          </cell>
          <cell r="B1367" t="str">
            <v>POSTE T MOSQUITERO - BLANCO</v>
          </cell>
          <cell r="C1367" t="str">
            <v>PRECIO DE VENTA</v>
          </cell>
          <cell r="D1367">
            <v>1</v>
          </cell>
          <cell r="E1367">
            <v>18278</v>
          </cell>
          <cell r="F1367">
            <v>18278</v>
          </cell>
        </row>
        <row r="1368">
          <cell r="A1368" t="str">
            <v>PI-MQT-PTM-GR</v>
          </cell>
          <cell r="B1368" t="str">
            <v>POSTE T MOSQUITERO - GRAFITO</v>
          </cell>
          <cell r="C1368" t="str">
            <v>PRECIO DE VENTA</v>
          </cell>
          <cell r="D1368">
            <v>1</v>
          </cell>
          <cell r="E1368">
            <v>18330</v>
          </cell>
          <cell r="F1368">
            <v>18330</v>
          </cell>
        </row>
        <row r="1369">
          <cell r="A1369" t="str">
            <v>PI-MQT-PTM-NB</v>
          </cell>
          <cell r="B1369" t="str">
            <v>POSTE T MOSQUITERO - NEW BLACK</v>
          </cell>
          <cell r="C1369" t="str">
            <v>PRECIO DE VENTA</v>
          </cell>
          <cell r="D1369">
            <v>1</v>
          </cell>
          <cell r="E1369">
            <v>19246</v>
          </cell>
          <cell r="F1369">
            <v>19246</v>
          </cell>
        </row>
        <row r="1370">
          <cell r="A1370" t="str">
            <v>PI-MQT-PTM-NO</v>
          </cell>
          <cell r="B1370" t="str">
            <v>POSTE T MOSQUITERO - NOGAL</v>
          </cell>
          <cell r="C1370" t="str">
            <v>PRECIO DE VENTA</v>
          </cell>
          <cell r="D1370">
            <v>1</v>
          </cell>
          <cell r="E1370">
            <v>17796</v>
          </cell>
          <cell r="F1370">
            <v>17796</v>
          </cell>
        </row>
        <row r="1371">
          <cell r="A1371" t="str">
            <v>PI-MQT-PTM-RD</v>
          </cell>
          <cell r="B1371" t="str">
            <v>POSTE T MOSQUITERO - ROBLE</v>
          </cell>
          <cell r="C1371" t="str">
            <v>PRECIO DE VENTA</v>
          </cell>
          <cell r="D1371">
            <v>1</v>
          </cell>
          <cell r="E1371">
            <v>17796</v>
          </cell>
          <cell r="F1371">
            <v>17796</v>
          </cell>
        </row>
        <row r="1372">
          <cell r="A1372" t="str">
            <v>PI-REF-BHP-NA</v>
          </cell>
          <cell r="B1372" t="str">
            <v>REFUERZO BISAGRA HOJA PUERTA S60 1.2 mm</v>
          </cell>
          <cell r="C1372" t="str">
            <v>PRECIO DE VENTA</v>
          </cell>
          <cell r="D1372">
            <v>1</v>
          </cell>
          <cell r="E1372">
            <v>7827</v>
          </cell>
          <cell r="F1372">
            <v>7827</v>
          </cell>
        </row>
        <row r="1373">
          <cell r="A1373" t="str">
            <v>PI-REF-HS-MLT-12</v>
          </cell>
          <cell r="B1373" t="str">
            <v>REFUERZO NEW MULTIPLE 1,2 mm - HS</v>
          </cell>
          <cell r="C1373" t="str">
            <v>PRECIO DE VENTA</v>
          </cell>
          <cell r="D1373">
            <v>1</v>
          </cell>
          <cell r="E1373">
            <v>12103</v>
          </cell>
          <cell r="F1373">
            <v>12103</v>
          </cell>
        </row>
        <row r="1374">
          <cell r="A1374" t="str">
            <v>PI-REF-ZAL-60</v>
          </cell>
          <cell r="B1374" t="str">
            <v>ZAPATA PUERTA ALUMINIO 60mm - 3MT</v>
          </cell>
          <cell r="C1374" t="str">
            <v>PRECIO DE VENTA</v>
          </cell>
          <cell r="D1374">
            <v>1</v>
          </cell>
          <cell r="E1374">
            <v>43549</v>
          </cell>
          <cell r="F1374">
            <v>43549</v>
          </cell>
        </row>
        <row r="1375">
          <cell r="A1375" t="str">
            <v>PI-REF-ZAL-70</v>
          </cell>
          <cell r="B1375" t="str">
            <v>ZAPATA PUERTA ALUMINIO 70 mm - 3MT</v>
          </cell>
          <cell r="C1375" t="str">
            <v>PRECIO DE VENTA</v>
          </cell>
          <cell r="D1375">
            <v>1</v>
          </cell>
          <cell r="E1375">
            <v>17084</v>
          </cell>
          <cell r="F1375">
            <v>17084</v>
          </cell>
        </row>
        <row r="1376">
          <cell r="A1376" t="str">
            <v>PI-S38-ALT-BL</v>
          </cell>
          <cell r="B1376" t="str">
            <v>ALETA SIDING MARCO FIJO ANDES - BLANCO</v>
          </cell>
          <cell r="C1376" t="str">
            <v>PRECIO DE VENTA</v>
          </cell>
          <cell r="D1376">
            <v>1</v>
          </cell>
          <cell r="E1376">
            <v>5611</v>
          </cell>
          <cell r="F1376">
            <v>5611</v>
          </cell>
        </row>
        <row r="1377">
          <cell r="A1377" t="str">
            <v>PI-S38-ART-BL</v>
          </cell>
          <cell r="B1377" t="str">
            <v>ADAPTADOR ROTULA ANDES 38 - BLANCO</v>
          </cell>
          <cell r="C1377" t="str">
            <v>PRECIO DE VENTA</v>
          </cell>
          <cell r="D1377">
            <v>1</v>
          </cell>
          <cell r="E1377">
            <v>7956</v>
          </cell>
          <cell r="F1377">
            <v>7956</v>
          </cell>
        </row>
        <row r="1378">
          <cell r="A1378" t="str">
            <v>PI-S38-ART-NO</v>
          </cell>
          <cell r="B1378" t="str">
            <v>ADAPTADOR ROTULA ANDES 38 - NOGAL</v>
          </cell>
          <cell r="C1378" t="str">
            <v>PRECIO DE VENTA</v>
          </cell>
          <cell r="D1378">
            <v>1</v>
          </cell>
          <cell r="E1378">
            <v>9213</v>
          </cell>
          <cell r="F1378">
            <v>9213</v>
          </cell>
        </row>
        <row r="1379">
          <cell r="A1379" t="str">
            <v>PI-S38-ART-RD</v>
          </cell>
          <cell r="B1379" t="str">
            <v>ADAPTADOR ROTULA ANDES 38 - ROBLE</v>
          </cell>
          <cell r="C1379" t="str">
            <v>PRECIO DE VENTA</v>
          </cell>
          <cell r="D1379">
            <v>1</v>
          </cell>
          <cell r="E1379">
            <v>9213</v>
          </cell>
          <cell r="F1379">
            <v>9213</v>
          </cell>
        </row>
        <row r="1380">
          <cell r="A1380" t="str">
            <v>PI-S38-MF-BL</v>
          </cell>
          <cell r="B1380" t="str">
            <v>MARCO FIJO ANDES S38 - BLANCO</v>
          </cell>
          <cell r="C1380" t="str">
            <v>PRECIO DE VENTA</v>
          </cell>
          <cell r="D1380">
            <v>1</v>
          </cell>
          <cell r="E1380">
            <v>17158</v>
          </cell>
          <cell r="F1380">
            <v>17158</v>
          </cell>
        </row>
        <row r="1381">
          <cell r="A1381" t="str">
            <v>PI-S38-MF-GR</v>
          </cell>
          <cell r="B1381" t="str">
            <v>MARCO FIJO ANDES S38 - GRAFITO</v>
          </cell>
          <cell r="C1381" t="str">
            <v>PRECIO DE VENTA</v>
          </cell>
          <cell r="D1381">
            <v>1</v>
          </cell>
          <cell r="E1381">
            <v>27684</v>
          </cell>
          <cell r="F1381">
            <v>27684</v>
          </cell>
        </row>
        <row r="1382">
          <cell r="A1382" t="str">
            <v>PI-S38-MF-NB</v>
          </cell>
          <cell r="B1382" t="str">
            <v>MARCO FIJO ANDES S38 - NEW BLACK</v>
          </cell>
          <cell r="C1382" t="str">
            <v>PRECIO DE VENTA</v>
          </cell>
          <cell r="D1382">
            <v>1</v>
          </cell>
          <cell r="E1382">
            <v>29068</v>
          </cell>
          <cell r="F1382">
            <v>29068</v>
          </cell>
        </row>
        <row r="1383">
          <cell r="A1383" t="str">
            <v>PI-S38-MF-NO</v>
          </cell>
          <cell r="B1383" t="str">
            <v>MARCO FIJO ANDES S38 - NOGAL</v>
          </cell>
          <cell r="C1383" t="str">
            <v>PRECIO DE VENTA</v>
          </cell>
          <cell r="D1383">
            <v>1</v>
          </cell>
          <cell r="E1383">
            <v>25765</v>
          </cell>
          <cell r="F1383">
            <v>25765</v>
          </cell>
        </row>
        <row r="1384">
          <cell r="A1384" t="str">
            <v>PI-S38-MF-RD</v>
          </cell>
          <cell r="B1384" t="str">
            <v>MARCO FIJO ANDES S38 - ROBLE</v>
          </cell>
          <cell r="C1384" t="str">
            <v>PRECIO DE VENTA</v>
          </cell>
          <cell r="D1384">
            <v>1</v>
          </cell>
          <cell r="E1384">
            <v>25765</v>
          </cell>
          <cell r="F1384">
            <v>25765</v>
          </cell>
        </row>
        <row r="1385">
          <cell r="A1385" t="str">
            <v>PI-S38-PT-BL</v>
          </cell>
          <cell r="B1385" t="str">
            <v>POSTE T &amp; HOJA EXTERIOR ANDES S38 - BLANCO</v>
          </cell>
          <cell r="C1385" t="str">
            <v>PRECIO DE VENTA</v>
          </cell>
          <cell r="D1385">
            <v>1</v>
          </cell>
          <cell r="E1385">
            <v>19455</v>
          </cell>
          <cell r="F1385">
            <v>19455</v>
          </cell>
        </row>
        <row r="1386">
          <cell r="A1386" t="str">
            <v>PI-S38-PT-GR</v>
          </cell>
          <cell r="B1386" t="str">
            <v>POSTE T &amp; HOJA EXTERIOR ANDES S38 - GRAFITO</v>
          </cell>
          <cell r="C1386" t="str">
            <v>PRECIO DE VENTA</v>
          </cell>
          <cell r="D1386">
            <v>1</v>
          </cell>
          <cell r="E1386">
            <v>32348</v>
          </cell>
          <cell r="F1386">
            <v>32348</v>
          </cell>
        </row>
        <row r="1387">
          <cell r="A1387" t="str">
            <v>PI-S38-PT-NB</v>
          </cell>
          <cell r="B1387" t="str">
            <v>POSTE T &amp; HOJA EXTERIOR ANDES S38 - NEW BLACK</v>
          </cell>
          <cell r="C1387" t="str">
            <v>PRECIO DE VENTA</v>
          </cell>
          <cell r="D1387">
            <v>1</v>
          </cell>
          <cell r="E1387">
            <v>33965</v>
          </cell>
          <cell r="F1387">
            <v>33965</v>
          </cell>
        </row>
        <row r="1388">
          <cell r="A1388" t="str">
            <v>PI-S38-PT-NO</v>
          </cell>
          <cell r="B1388" t="str">
            <v>POSTE T &amp; HOJA EXTERIOR ANDES S38 - NOGAL</v>
          </cell>
          <cell r="C1388" t="str">
            <v>PRECIO DE VENTA</v>
          </cell>
          <cell r="D1388">
            <v>1</v>
          </cell>
          <cell r="E1388">
            <v>30095</v>
          </cell>
          <cell r="F1388">
            <v>30095</v>
          </cell>
        </row>
        <row r="1389">
          <cell r="A1389" t="str">
            <v>PI-S38-PT-RD</v>
          </cell>
          <cell r="B1389" t="str">
            <v>POSTE T &amp; HOJA EXTERIOR ANDES S38 - ROBLE</v>
          </cell>
          <cell r="C1389" t="str">
            <v>PRECIO DE VENTA</v>
          </cell>
          <cell r="D1389">
            <v>1</v>
          </cell>
          <cell r="E1389">
            <v>30095</v>
          </cell>
          <cell r="F1389">
            <v>30095</v>
          </cell>
        </row>
        <row r="1390">
          <cell r="A1390" t="str">
            <v>PI-S38-RTA-BL</v>
          </cell>
          <cell r="B1390" t="str">
            <v>ROTULA ANDES 38 - BLANCO</v>
          </cell>
          <cell r="C1390" t="str">
            <v>PRECIO DE VENTA</v>
          </cell>
          <cell r="D1390">
            <v>1</v>
          </cell>
          <cell r="E1390">
            <v>9455</v>
          </cell>
          <cell r="F1390">
            <v>9455</v>
          </cell>
        </row>
        <row r="1391">
          <cell r="A1391" t="str">
            <v>PI-S38-RTA-NO</v>
          </cell>
          <cell r="B1391" t="str">
            <v>ROTULA ANDES 38 - NOGAL</v>
          </cell>
          <cell r="C1391" t="str">
            <v>PRECIO DE VENTA</v>
          </cell>
          <cell r="D1391">
            <v>1</v>
          </cell>
          <cell r="E1391">
            <v>15972</v>
          </cell>
          <cell r="F1391">
            <v>15972</v>
          </cell>
        </row>
        <row r="1392">
          <cell r="A1392" t="str">
            <v>PI-S38-RTA-RD</v>
          </cell>
          <cell r="B1392" t="str">
            <v>ROTULA ANDES 38 - ROBLE</v>
          </cell>
          <cell r="C1392" t="str">
            <v>PRECIO DE VENTA</v>
          </cell>
          <cell r="D1392">
            <v>1</v>
          </cell>
          <cell r="E1392">
            <v>15972</v>
          </cell>
          <cell r="F1392">
            <v>15972</v>
          </cell>
        </row>
        <row r="1393">
          <cell r="A1393" t="str">
            <v>PI-S60-ART-BK</v>
          </cell>
          <cell r="B1393" t="str">
            <v>ADAPTADOR ROTULA S60 - BLACK</v>
          </cell>
          <cell r="C1393" t="str">
            <v>PRECIO DE VENTA</v>
          </cell>
          <cell r="D1393">
            <v>1</v>
          </cell>
          <cell r="E1393">
            <v>11399</v>
          </cell>
          <cell r="F1393">
            <v>11399</v>
          </cell>
        </row>
        <row r="1394">
          <cell r="A1394" t="str">
            <v>PI-S60-ART-BL</v>
          </cell>
          <cell r="B1394" t="str">
            <v>ADAPTADOR ROTULA S60 - BLANCO</v>
          </cell>
          <cell r="C1394" t="str">
            <v>PRECIO DE VENTA</v>
          </cell>
          <cell r="D1394">
            <v>1</v>
          </cell>
          <cell r="E1394">
            <v>16513</v>
          </cell>
          <cell r="F1394">
            <v>16513</v>
          </cell>
        </row>
        <row r="1395">
          <cell r="A1395" t="str">
            <v>PI-S60-ART-GR</v>
          </cell>
          <cell r="B1395" t="str">
            <v>ADAPTADOR ROTULA S60 - GRAFITO</v>
          </cell>
          <cell r="C1395" t="str">
            <v>PRECIO DE VENTA</v>
          </cell>
          <cell r="D1395">
            <v>1</v>
          </cell>
          <cell r="E1395">
            <v>23898</v>
          </cell>
          <cell r="F1395">
            <v>23898</v>
          </cell>
        </row>
        <row r="1396">
          <cell r="A1396" t="str">
            <v>PI-S60-ART-NB</v>
          </cell>
          <cell r="B1396" t="str">
            <v>ADAPTADOR ROTULA S60 - NEW BLACK</v>
          </cell>
          <cell r="C1396" t="str">
            <v>PRECIO DE VENTA</v>
          </cell>
          <cell r="D1396">
            <v>1</v>
          </cell>
          <cell r="E1396">
            <v>24178</v>
          </cell>
          <cell r="F1396">
            <v>24178</v>
          </cell>
        </row>
        <row r="1397">
          <cell r="A1397" t="str">
            <v>PI-S60-ART-NO</v>
          </cell>
          <cell r="B1397" t="str">
            <v>ADAPTADOR ROTULA S60 - NOGAL</v>
          </cell>
          <cell r="C1397" t="str">
            <v>PRECIO DE VENTA</v>
          </cell>
          <cell r="D1397">
            <v>1</v>
          </cell>
          <cell r="E1397">
            <v>22334</v>
          </cell>
          <cell r="F1397">
            <v>22334</v>
          </cell>
        </row>
        <row r="1398">
          <cell r="A1398" t="str">
            <v>PI-S60-ART-RD</v>
          </cell>
          <cell r="B1398" t="str">
            <v>ADAPTADOR ROTULA S60 - ROBLE</v>
          </cell>
          <cell r="C1398" t="str">
            <v>PRECIO DE VENTA</v>
          </cell>
          <cell r="D1398">
            <v>1</v>
          </cell>
          <cell r="E1398">
            <v>22334</v>
          </cell>
          <cell r="F1398">
            <v>22334</v>
          </cell>
        </row>
        <row r="1399">
          <cell r="A1399" t="str">
            <v>PI-S60-BTE-BK</v>
          </cell>
          <cell r="B1399" t="str">
            <v>POSTE INVERSOR O BATIENTE - BLACK</v>
          </cell>
          <cell r="C1399" t="str">
            <v>PRECIO DE VENTA</v>
          </cell>
          <cell r="D1399">
            <v>1</v>
          </cell>
          <cell r="E1399">
            <v>25614</v>
          </cell>
          <cell r="F1399">
            <v>25614</v>
          </cell>
        </row>
        <row r="1400">
          <cell r="A1400" t="str">
            <v>PI-S60-BTE-BL</v>
          </cell>
          <cell r="B1400" t="str">
            <v>POSTE INVERSOR O BATIENTE - BLANCO</v>
          </cell>
          <cell r="C1400" t="str">
            <v>PRECIO DE VENTA</v>
          </cell>
          <cell r="D1400">
            <v>1</v>
          </cell>
          <cell r="E1400">
            <v>27107</v>
          </cell>
          <cell r="F1400">
            <v>27107</v>
          </cell>
        </row>
        <row r="1401">
          <cell r="A1401" t="str">
            <v>PI-S60-BTE-GR</v>
          </cell>
          <cell r="B1401" t="str">
            <v>POSTE INVERSOR O BATIENTE - GRAFITO</v>
          </cell>
          <cell r="C1401" t="str">
            <v>PRECIO DE VENTA</v>
          </cell>
          <cell r="D1401">
            <v>1</v>
          </cell>
          <cell r="E1401">
            <v>42282</v>
          </cell>
          <cell r="F1401">
            <v>42282</v>
          </cell>
        </row>
        <row r="1402">
          <cell r="A1402" t="str">
            <v>PI-S60-BTE-NB</v>
          </cell>
          <cell r="B1402" t="str">
            <v>POSTE INVERSOR O BATIENTE - NEW BLACK</v>
          </cell>
          <cell r="C1402" t="str">
            <v>PRECIO DE VENTA</v>
          </cell>
          <cell r="D1402">
            <v>1</v>
          </cell>
          <cell r="E1402">
            <v>49031</v>
          </cell>
          <cell r="F1402">
            <v>49031</v>
          </cell>
        </row>
        <row r="1403">
          <cell r="A1403" t="str">
            <v>PI-S60-BTE-NO</v>
          </cell>
          <cell r="B1403" t="str">
            <v>POSTE INVERSOR O BATIENTE - NOGAL</v>
          </cell>
          <cell r="C1403" t="str">
            <v>PRECIO DE VENTA</v>
          </cell>
          <cell r="D1403">
            <v>1</v>
          </cell>
          <cell r="E1403">
            <v>39496</v>
          </cell>
          <cell r="F1403">
            <v>39496</v>
          </cell>
        </row>
        <row r="1404">
          <cell r="A1404" t="str">
            <v>PI-S60-BTE-RD</v>
          </cell>
          <cell r="B1404" t="str">
            <v>POSTE INVERSOR O BATIENTE - ROBLE</v>
          </cell>
          <cell r="C1404" t="str">
            <v>PRECIO DE VENTA</v>
          </cell>
          <cell r="D1404">
            <v>1</v>
          </cell>
          <cell r="E1404">
            <v>39496</v>
          </cell>
          <cell r="F1404">
            <v>39496</v>
          </cell>
        </row>
        <row r="1405">
          <cell r="A1405" t="str">
            <v>PI-S60-E45-BL</v>
          </cell>
          <cell r="B1405" t="str">
            <v>ESQUINERO 45° S60 - BLANCO</v>
          </cell>
          <cell r="C1405" t="str">
            <v>PRECIO DE VENTA</v>
          </cell>
          <cell r="D1405">
            <v>1</v>
          </cell>
          <cell r="E1405">
            <v>16712</v>
          </cell>
          <cell r="F1405">
            <v>16712</v>
          </cell>
        </row>
        <row r="1406">
          <cell r="A1406" t="str">
            <v>PI-S60-E45-GR</v>
          </cell>
          <cell r="B1406" t="str">
            <v>ESQUINERO 45° S60 - GRAFITO</v>
          </cell>
          <cell r="C1406" t="str">
            <v>PRECIO DE VENTA</v>
          </cell>
          <cell r="D1406">
            <v>1</v>
          </cell>
          <cell r="E1406">
            <v>27977</v>
          </cell>
          <cell r="F1406">
            <v>27977</v>
          </cell>
        </row>
        <row r="1407">
          <cell r="A1407" t="str">
            <v>PI-S60-E45-NO</v>
          </cell>
          <cell r="B1407" t="str">
            <v>ESQUINERO 45° S60 - NOGAL</v>
          </cell>
          <cell r="C1407" t="str">
            <v>PRECIO DE VENTA</v>
          </cell>
          <cell r="D1407">
            <v>1</v>
          </cell>
          <cell r="E1407">
            <v>28042</v>
          </cell>
          <cell r="F1407">
            <v>28042</v>
          </cell>
        </row>
        <row r="1408">
          <cell r="A1408" t="str">
            <v>PI-S60-E45-RD</v>
          </cell>
          <cell r="B1408" t="str">
            <v>ESQUINERO 45° S60 - ROBLE</v>
          </cell>
          <cell r="C1408" t="str">
            <v>PRECIO DE VENTA</v>
          </cell>
          <cell r="D1408">
            <v>1</v>
          </cell>
          <cell r="E1408">
            <v>28042</v>
          </cell>
          <cell r="F1408">
            <v>28042</v>
          </cell>
        </row>
        <row r="1409">
          <cell r="A1409" t="str">
            <v>PI-S60-EQF-BK</v>
          </cell>
          <cell r="B1409" t="str">
            <v>ESQUINERO 90° - 60 mm S60 - BLACK</v>
          </cell>
          <cell r="C1409" t="str">
            <v>PRECIO DE VENTA</v>
          </cell>
          <cell r="D1409">
            <v>1</v>
          </cell>
          <cell r="E1409">
            <v>27579</v>
          </cell>
          <cell r="F1409">
            <v>27579</v>
          </cell>
        </row>
        <row r="1410">
          <cell r="A1410" t="str">
            <v>PI-S60-EQF-BL</v>
          </cell>
          <cell r="B1410" t="str">
            <v>ESQUINERO 90° - 60 mm S60 - BLANCO</v>
          </cell>
          <cell r="C1410" t="str">
            <v>PRECIO DE VENTA</v>
          </cell>
          <cell r="D1410">
            <v>1</v>
          </cell>
          <cell r="E1410">
            <v>24025</v>
          </cell>
          <cell r="F1410">
            <v>24025</v>
          </cell>
        </row>
        <row r="1411">
          <cell r="A1411" t="str">
            <v>PI-S60-EQF-GR</v>
          </cell>
          <cell r="B1411" t="str">
            <v>ESQUINERO 90° - 60 mm S60 - GRAFITO</v>
          </cell>
          <cell r="C1411" t="str">
            <v>PRECIO DE VENTA</v>
          </cell>
          <cell r="D1411">
            <v>1</v>
          </cell>
          <cell r="E1411">
            <v>47748</v>
          </cell>
          <cell r="F1411">
            <v>47748</v>
          </cell>
        </row>
        <row r="1412">
          <cell r="A1412" t="str">
            <v>PI-S60-EQF-NB</v>
          </cell>
          <cell r="B1412" t="str">
            <v>ESQUINERO 90° - 60 mm S60 - NEW BLACK</v>
          </cell>
          <cell r="C1412" t="str">
            <v>PRECIO DE VENTA</v>
          </cell>
          <cell r="D1412">
            <v>1</v>
          </cell>
          <cell r="E1412">
            <v>48542</v>
          </cell>
          <cell r="F1412">
            <v>48542</v>
          </cell>
        </row>
        <row r="1413">
          <cell r="A1413" t="str">
            <v>PI-S60-EQF-NO</v>
          </cell>
          <cell r="B1413" t="str">
            <v>ESQUINERO 90° - 60 mm S60 - NOGAL</v>
          </cell>
          <cell r="C1413" t="str">
            <v>PRECIO DE VENTA</v>
          </cell>
          <cell r="D1413">
            <v>1</v>
          </cell>
          <cell r="E1413">
            <v>41707</v>
          </cell>
          <cell r="F1413">
            <v>41707</v>
          </cell>
        </row>
        <row r="1414">
          <cell r="A1414" t="str">
            <v>PI-S60-EQF-RD</v>
          </cell>
          <cell r="B1414" t="str">
            <v>ESQUINERO 90° - 60 mm S60 - ROBLE</v>
          </cell>
          <cell r="C1414" t="str">
            <v>PRECIO DE VENTA</v>
          </cell>
          <cell r="D1414">
            <v>1</v>
          </cell>
          <cell r="E1414">
            <v>41707</v>
          </cell>
          <cell r="F1414">
            <v>41707</v>
          </cell>
        </row>
        <row r="1415">
          <cell r="A1415" t="str">
            <v>PI-S60-HPE-BK</v>
          </cell>
          <cell r="B1415" t="str">
            <v>HOJA PUERTA EXTERIOR - BLACK</v>
          </cell>
          <cell r="C1415" t="str">
            <v>PRECIO DE VENTA</v>
          </cell>
          <cell r="D1415">
            <v>1</v>
          </cell>
          <cell r="E1415">
            <v>42054</v>
          </cell>
          <cell r="F1415">
            <v>42054</v>
          </cell>
        </row>
        <row r="1416">
          <cell r="A1416" t="str">
            <v>PI-S60-HPE-BL</v>
          </cell>
          <cell r="B1416" t="str">
            <v>HOJA PUERTA EXTERIOR - BLANCO</v>
          </cell>
          <cell r="C1416" t="str">
            <v>PRECIO DE VENTA</v>
          </cell>
          <cell r="D1416">
            <v>1</v>
          </cell>
          <cell r="E1416">
            <v>37300</v>
          </cell>
          <cell r="F1416">
            <v>37300</v>
          </cell>
        </row>
        <row r="1417">
          <cell r="A1417" t="str">
            <v>PI-S60-HPE-GR</v>
          </cell>
          <cell r="B1417" t="str">
            <v>HOJA PUERTA EXTERIOR - GRAFITO</v>
          </cell>
          <cell r="C1417" t="str">
            <v>PRECIO DE VENTA</v>
          </cell>
          <cell r="D1417">
            <v>1</v>
          </cell>
          <cell r="E1417">
            <v>67521</v>
          </cell>
          <cell r="F1417">
            <v>67521</v>
          </cell>
        </row>
        <row r="1418">
          <cell r="A1418" t="str">
            <v>PI-S60-HPE-NB</v>
          </cell>
          <cell r="B1418" t="str">
            <v>HOJA PUERTA EXTERIOR - NEW BLACK</v>
          </cell>
          <cell r="C1418" t="str">
            <v>PRECIO DE VENTA</v>
          </cell>
          <cell r="D1418">
            <v>1</v>
          </cell>
          <cell r="E1418">
            <v>77676</v>
          </cell>
          <cell r="F1418">
            <v>77676</v>
          </cell>
        </row>
        <row r="1419">
          <cell r="A1419" t="str">
            <v>PI-S60-HPE-NO</v>
          </cell>
          <cell r="B1419" t="str">
            <v>HOJA PUERTA EXTERIOR - NOGAL</v>
          </cell>
          <cell r="C1419" t="str">
            <v>PRECIO DE VENTA</v>
          </cell>
          <cell r="D1419">
            <v>1</v>
          </cell>
          <cell r="E1419">
            <v>63105</v>
          </cell>
          <cell r="F1419">
            <v>63105</v>
          </cell>
        </row>
        <row r="1420">
          <cell r="A1420" t="str">
            <v>PI-S60-HPE-RD</v>
          </cell>
          <cell r="B1420" t="str">
            <v>HOJA PUERTA EXTERIOR - ROBLE</v>
          </cell>
          <cell r="C1420" t="str">
            <v>PRECIO DE VENTA</v>
          </cell>
          <cell r="D1420">
            <v>1</v>
          </cell>
          <cell r="E1420">
            <v>63105</v>
          </cell>
          <cell r="F1420">
            <v>63105</v>
          </cell>
        </row>
        <row r="1421">
          <cell r="A1421" t="str">
            <v>PI-S60-HPI-BK</v>
          </cell>
          <cell r="B1421" t="str">
            <v>HOJA PUERTA INTERIOR - BLACK</v>
          </cell>
          <cell r="C1421" t="str">
            <v>PRECIO DE VENTA</v>
          </cell>
          <cell r="D1421">
            <v>1</v>
          </cell>
          <cell r="E1421">
            <v>36304</v>
          </cell>
          <cell r="F1421">
            <v>36304</v>
          </cell>
        </row>
        <row r="1422">
          <cell r="A1422" t="str">
            <v>PI-S60-HPI-BL</v>
          </cell>
          <cell r="B1422" t="str">
            <v>HOJA PUERTA INTERIOR - BLANCO</v>
          </cell>
          <cell r="C1422" t="str">
            <v>PRECIO DE VENTA</v>
          </cell>
          <cell r="D1422">
            <v>1</v>
          </cell>
          <cell r="E1422">
            <v>39942</v>
          </cell>
          <cell r="F1422">
            <v>39942</v>
          </cell>
        </row>
        <row r="1423">
          <cell r="A1423" t="str">
            <v>PI-S60-HPI-GR</v>
          </cell>
          <cell r="B1423" t="str">
            <v>HOJA PUERTA INTERIOR - GRAFITO</v>
          </cell>
          <cell r="C1423" t="str">
            <v>PRECIO DE VENTA</v>
          </cell>
          <cell r="D1423">
            <v>1</v>
          </cell>
          <cell r="E1423">
            <v>67521</v>
          </cell>
          <cell r="F1423">
            <v>67521</v>
          </cell>
        </row>
        <row r="1424">
          <cell r="A1424" t="str">
            <v>PI-S60-HPI-NB</v>
          </cell>
          <cell r="B1424" t="str">
            <v>HOJA PUERTA INTERIOR - NEW BLACK</v>
          </cell>
          <cell r="C1424" t="str">
            <v>PRECIO DE VENTA</v>
          </cell>
          <cell r="D1424">
            <v>1</v>
          </cell>
          <cell r="E1424">
            <v>77050</v>
          </cell>
          <cell r="F1424">
            <v>77050</v>
          </cell>
        </row>
        <row r="1425">
          <cell r="A1425" t="str">
            <v>PI-S60-HPI-NO</v>
          </cell>
          <cell r="B1425" t="str">
            <v>HOJA PUERTA INTERIOR - NOGAL</v>
          </cell>
          <cell r="C1425" t="str">
            <v>PRECIO DE VENTA</v>
          </cell>
          <cell r="D1425">
            <v>1</v>
          </cell>
          <cell r="E1425">
            <v>63105</v>
          </cell>
          <cell r="F1425">
            <v>63105</v>
          </cell>
        </row>
        <row r="1426">
          <cell r="A1426" t="str">
            <v>PI-S60-HPI-RD</v>
          </cell>
          <cell r="B1426" t="str">
            <v>HOJA PUERTA INTERIOR - ROBLE</v>
          </cell>
          <cell r="C1426" t="str">
            <v>PRECIO DE VENTA</v>
          </cell>
          <cell r="D1426">
            <v>1</v>
          </cell>
          <cell r="E1426">
            <v>63105</v>
          </cell>
          <cell r="F1426">
            <v>63105</v>
          </cell>
        </row>
        <row r="1427">
          <cell r="A1427" t="str">
            <v>PI-S60-HS-BMF-12</v>
          </cell>
          <cell r="B1427" t="str">
            <v>REFUERZO BOX MARCO FIJO S60 1,2 mm - HS</v>
          </cell>
          <cell r="C1427" t="str">
            <v>PRECIO DE VENTA</v>
          </cell>
          <cell r="D1427">
            <v>1</v>
          </cell>
          <cell r="E1427">
            <v>16394</v>
          </cell>
          <cell r="F1427">
            <v>16394</v>
          </cell>
        </row>
        <row r="1428">
          <cell r="A1428" t="str">
            <v>PI-S60-HVE-BK</v>
          </cell>
          <cell r="B1428" t="str">
            <v>HOJA VENTANA EXTERIOR - BLACK</v>
          </cell>
          <cell r="C1428" t="str">
            <v>PRECIO DE VENTA</v>
          </cell>
          <cell r="D1428">
            <v>1</v>
          </cell>
          <cell r="E1428">
            <v>27729</v>
          </cell>
          <cell r="F1428">
            <v>27729</v>
          </cell>
        </row>
        <row r="1429">
          <cell r="A1429" t="str">
            <v>PI-S60-HVE-BL</v>
          </cell>
          <cell r="B1429" t="str">
            <v>HOJA VENTANA EXTERIOR - BLANCO</v>
          </cell>
          <cell r="C1429" t="str">
            <v>PRECIO DE VENTA</v>
          </cell>
          <cell r="D1429">
            <v>1</v>
          </cell>
          <cell r="E1429">
            <v>30249</v>
          </cell>
          <cell r="F1429">
            <v>30249</v>
          </cell>
        </row>
        <row r="1430">
          <cell r="A1430" t="str">
            <v>PI-S60-HVE-GR</v>
          </cell>
          <cell r="B1430" t="str">
            <v>HOJA VENTANA EXTERIOR - GRAFITO</v>
          </cell>
          <cell r="C1430" t="str">
            <v>PRECIO DE VENTA</v>
          </cell>
          <cell r="D1430">
            <v>1</v>
          </cell>
          <cell r="E1430">
            <v>50614</v>
          </cell>
          <cell r="F1430">
            <v>50614</v>
          </cell>
        </row>
        <row r="1431">
          <cell r="A1431" t="str">
            <v>PI-S60-HVE-NB</v>
          </cell>
          <cell r="B1431" t="str">
            <v>HOJA VENTANA EXTERIOR - NEW BLACK</v>
          </cell>
          <cell r="C1431" t="str">
            <v>PRECIO DE VENTA</v>
          </cell>
          <cell r="D1431">
            <v>1</v>
          </cell>
          <cell r="E1431">
            <v>55899</v>
          </cell>
          <cell r="F1431">
            <v>55899</v>
          </cell>
        </row>
        <row r="1432">
          <cell r="A1432" t="str">
            <v>PI-S60-HVE-NO</v>
          </cell>
          <cell r="B1432" t="str">
            <v>HOJA VENTANA EXTERIOR - NOGAL</v>
          </cell>
          <cell r="C1432" t="str">
            <v>PRECIO DE VENTA</v>
          </cell>
          <cell r="D1432">
            <v>1</v>
          </cell>
          <cell r="E1432">
            <v>47300</v>
          </cell>
          <cell r="F1432">
            <v>47300</v>
          </cell>
        </row>
        <row r="1433">
          <cell r="A1433" t="str">
            <v>PI-S60-HVE-RD</v>
          </cell>
          <cell r="B1433" t="str">
            <v>HOJA VENTANA EXTERIOR - ROBLE</v>
          </cell>
          <cell r="C1433" t="str">
            <v>PRECIO DE VENTA</v>
          </cell>
          <cell r="D1433">
            <v>1</v>
          </cell>
          <cell r="E1433">
            <v>47300</v>
          </cell>
          <cell r="F1433">
            <v>47300</v>
          </cell>
        </row>
        <row r="1434">
          <cell r="A1434" t="str">
            <v>PI-S60-HVI-BK</v>
          </cell>
          <cell r="B1434" t="str">
            <v>HOJA VENTANA INTERIOR - BLACK</v>
          </cell>
          <cell r="C1434" t="str">
            <v>PRECIO DE VENTA</v>
          </cell>
          <cell r="D1434">
            <v>1</v>
          </cell>
          <cell r="E1434">
            <v>26463</v>
          </cell>
          <cell r="F1434">
            <v>26463</v>
          </cell>
        </row>
        <row r="1435">
          <cell r="A1435" t="str">
            <v>PI-S60-HVI-BL</v>
          </cell>
          <cell r="B1435" t="str">
            <v>HOJA VENTANA INTERIOR - BLANCO</v>
          </cell>
          <cell r="C1435" t="str">
            <v>PRECIO DE VENTA</v>
          </cell>
          <cell r="D1435">
            <v>1</v>
          </cell>
          <cell r="E1435">
            <v>28556</v>
          </cell>
          <cell r="F1435">
            <v>28556</v>
          </cell>
        </row>
        <row r="1436">
          <cell r="A1436" t="str">
            <v>PI-S60-HVI-GR</v>
          </cell>
          <cell r="B1436" t="str">
            <v>HOJA VENTANA INTERIOR - GRAFITO</v>
          </cell>
          <cell r="C1436" t="str">
            <v>PRECIO DE VENTA</v>
          </cell>
          <cell r="D1436">
            <v>1</v>
          </cell>
          <cell r="E1436">
            <v>45775</v>
          </cell>
          <cell r="F1436">
            <v>45775</v>
          </cell>
        </row>
        <row r="1437">
          <cell r="A1437" t="str">
            <v>PI-S60-HVI-NB</v>
          </cell>
          <cell r="B1437" t="str">
            <v>HOJA VENTANA INTERIOR - NEW BLACK</v>
          </cell>
          <cell r="C1437" t="str">
            <v>PRECIO DE VENTA</v>
          </cell>
          <cell r="D1437">
            <v>1</v>
          </cell>
          <cell r="E1437">
            <v>53344</v>
          </cell>
          <cell r="F1437">
            <v>53344</v>
          </cell>
        </row>
        <row r="1438">
          <cell r="A1438" t="str">
            <v>PI-S60-HVI-NO</v>
          </cell>
          <cell r="B1438" t="str">
            <v>HOJA VENTANA INTERIOR - NOGAL</v>
          </cell>
          <cell r="C1438" t="str">
            <v>PRECIO DE VENTA</v>
          </cell>
          <cell r="D1438">
            <v>1</v>
          </cell>
          <cell r="E1438">
            <v>42780</v>
          </cell>
          <cell r="F1438">
            <v>42780</v>
          </cell>
        </row>
        <row r="1439">
          <cell r="A1439" t="str">
            <v>PI-S60-HVI-RD</v>
          </cell>
          <cell r="B1439" t="str">
            <v>HOJA VENTANA INTERIOR - ROBLE</v>
          </cell>
          <cell r="C1439" t="str">
            <v>PRECIO DE VENTA</v>
          </cell>
          <cell r="D1439">
            <v>1</v>
          </cell>
          <cell r="E1439">
            <v>42780</v>
          </cell>
          <cell r="F1439">
            <v>42780</v>
          </cell>
        </row>
        <row r="1440">
          <cell r="A1440" t="str">
            <v>PI-S60-INT-BK</v>
          </cell>
          <cell r="B1440" t="str">
            <v>INERCIA T - BLACK</v>
          </cell>
          <cell r="C1440" t="str">
            <v>PRECIO DE VENTA</v>
          </cell>
          <cell r="D1440">
            <v>1</v>
          </cell>
          <cell r="E1440">
            <v>23871</v>
          </cell>
          <cell r="F1440">
            <v>23871</v>
          </cell>
        </row>
        <row r="1441">
          <cell r="A1441" t="str">
            <v>PI-S60-INT-BL</v>
          </cell>
          <cell r="B1441" t="str">
            <v>INERCIA T - BLANCO</v>
          </cell>
          <cell r="C1441" t="str">
            <v>PRECIO DE VENTA</v>
          </cell>
          <cell r="D1441">
            <v>1</v>
          </cell>
          <cell r="E1441">
            <v>22095</v>
          </cell>
          <cell r="F1441">
            <v>22095</v>
          </cell>
        </row>
        <row r="1442">
          <cell r="A1442" t="str">
            <v>PI-S60-INT-GR</v>
          </cell>
          <cell r="B1442" t="str">
            <v>INERCIA T - GRAFITO</v>
          </cell>
          <cell r="C1442" t="str">
            <v>PRECIO DE VENTA</v>
          </cell>
          <cell r="D1442">
            <v>1</v>
          </cell>
          <cell r="E1442">
            <v>32821</v>
          </cell>
          <cell r="F1442">
            <v>32821</v>
          </cell>
        </row>
        <row r="1443">
          <cell r="A1443" t="str">
            <v>PI-S60-INT-NB</v>
          </cell>
          <cell r="B1443" t="str">
            <v>INERCIA T - NEW BLACK</v>
          </cell>
          <cell r="C1443" t="str">
            <v>PRECIO DE VENTA</v>
          </cell>
          <cell r="D1443">
            <v>1</v>
          </cell>
          <cell r="E1443">
            <v>44228</v>
          </cell>
          <cell r="F1443">
            <v>44228</v>
          </cell>
        </row>
        <row r="1444">
          <cell r="A1444" t="str">
            <v>PI-S60-INT-NO</v>
          </cell>
          <cell r="B1444" t="str">
            <v>INERCIA T - NOGAL</v>
          </cell>
          <cell r="C1444" t="str">
            <v>PRECIO DE VENTA</v>
          </cell>
          <cell r="D1444">
            <v>1</v>
          </cell>
          <cell r="E1444">
            <v>32821</v>
          </cell>
          <cell r="F1444">
            <v>32821</v>
          </cell>
        </row>
        <row r="1445">
          <cell r="A1445" t="str">
            <v>PI-S60-INT-RD</v>
          </cell>
          <cell r="B1445" t="str">
            <v>INERCIA T - ROBLE</v>
          </cell>
          <cell r="C1445" t="str">
            <v>PRECIO DE VENTA</v>
          </cell>
          <cell r="D1445">
            <v>1</v>
          </cell>
          <cell r="E1445">
            <v>32821</v>
          </cell>
          <cell r="F1445">
            <v>32821</v>
          </cell>
        </row>
        <row r="1446">
          <cell r="A1446" t="str">
            <v>PI-S60-J17-20-BK</v>
          </cell>
          <cell r="B1446" t="str">
            <v>JUNQUILLO 17-20 mm S60 - BLACK</v>
          </cell>
          <cell r="C1446" t="str">
            <v>PRECIO DE VENTA</v>
          </cell>
          <cell r="D1446">
            <v>1</v>
          </cell>
          <cell r="E1446">
            <v>6222</v>
          </cell>
          <cell r="F1446">
            <v>6222</v>
          </cell>
        </row>
        <row r="1447">
          <cell r="A1447" t="str">
            <v>PI-S60-J17-20-BL</v>
          </cell>
          <cell r="B1447" t="str">
            <v>JUNQUILLO 17-20 mm S60 - BLANCO</v>
          </cell>
          <cell r="C1447" t="str">
            <v>PRECIO DE VENTA</v>
          </cell>
          <cell r="D1447">
            <v>1</v>
          </cell>
          <cell r="E1447">
            <v>6131</v>
          </cell>
          <cell r="F1447">
            <v>6131</v>
          </cell>
        </row>
        <row r="1448">
          <cell r="A1448" t="str">
            <v>PI-S60-J17-20-GR</v>
          </cell>
          <cell r="B1448" t="str">
            <v>JUNQUILLO 17-20 mm S60 - GRAFITO</v>
          </cell>
          <cell r="C1448" t="str">
            <v>PRECIO DE VENTA</v>
          </cell>
          <cell r="D1448">
            <v>1</v>
          </cell>
          <cell r="E1448">
            <v>12961</v>
          </cell>
          <cell r="F1448">
            <v>12961</v>
          </cell>
        </row>
        <row r="1449">
          <cell r="A1449" t="str">
            <v>PI-S60-J17-20-NB</v>
          </cell>
          <cell r="B1449" t="str">
            <v>JUNQUILLO 17-20 mm S60 - NEW BLACK</v>
          </cell>
          <cell r="C1449" t="str">
            <v>PRECIO DE VENTA</v>
          </cell>
          <cell r="D1449">
            <v>1</v>
          </cell>
          <cell r="E1449">
            <v>12573</v>
          </cell>
          <cell r="F1449">
            <v>12573</v>
          </cell>
        </row>
        <row r="1450">
          <cell r="A1450" t="str">
            <v>PI-S60-J17-20-NO</v>
          </cell>
          <cell r="B1450" t="str">
            <v>JUNQUILLO 17-20 mm S60 - NOGAL</v>
          </cell>
          <cell r="C1450" t="str">
            <v>PRECIO DE VENTA</v>
          </cell>
          <cell r="D1450">
            <v>1</v>
          </cell>
          <cell r="E1450">
            <v>12111</v>
          </cell>
          <cell r="F1450">
            <v>12111</v>
          </cell>
        </row>
        <row r="1451">
          <cell r="A1451" t="str">
            <v>PI-S60-J17-20-RD</v>
          </cell>
          <cell r="B1451" t="str">
            <v>JUNQUILLO 17-20 mm S60 - ROBLE</v>
          </cell>
          <cell r="C1451" t="str">
            <v>PRECIO DE VENTA</v>
          </cell>
          <cell r="D1451">
            <v>1</v>
          </cell>
          <cell r="E1451">
            <v>12111</v>
          </cell>
          <cell r="F1451">
            <v>12111</v>
          </cell>
        </row>
        <row r="1452">
          <cell r="A1452" t="str">
            <v>PI-S60-J22-24-BK</v>
          </cell>
          <cell r="B1452" t="str">
            <v>JUNQUILLO 22-24 mm S60 - BLACK</v>
          </cell>
          <cell r="C1452" t="str">
            <v>PRECIO DE VENTA</v>
          </cell>
          <cell r="D1452">
            <v>1</v>
          </cell>
          <cell r="E1452">
            <v>5938</v>
          </cell>
          <cell r="F1452">
            <v>5938</v>
          </cell>
        </row>
        <row r="1453">
          <cell r="A1453" t="str">
            <v>PI-S60-J22-24-BL</v>
          </cell>
          <cell r="B1453" t="str">
            <v>JUNQUILLO 22-24 mm S60 - BLANCO</v>
          </cell>
          <cell r="C1453" t="str">
            <v>PRECIO DE VENTA</v>
          </cell>
          <cell r="D1453">
            <v>1</v>
          </cell>
          <cell r="E1453">
            <v>5824</v>
          </cell>
          <cell r="F1453">
            <v>5824</v>
          </cell>
        </row>
        <row r="1454">
          <cell r="A1454" t="str">
            <v>PI-S60-J22-24-GR</v>
          </cell>
          <cell r="B1454" t="str">
            <v>JUNQUILLO 22-24 mm S60 - GRAFITO</v>
          </cell>
          <cell r="C1454" t="str">
            <v>PRECIO DE VENTA</v>
          </cell>
          <cell r="D1454">
            <v>1</v>
          </cell>
          <cell r="E1454">
            <v>12309</v>
          </cell>
          <cell r="F1454">
            <v>12309</v>
          </cell>
        </row>
        <row r="1455">
          <cell r="A1455" t="str">
            <v>PI-S60-J22-24-NB</v>
          </cell>
          <cell r="B1455" t="str">
            <v>JUNQUILLO 22-24 mm S60 - NEW BLACK</v>
          </cell>
          <cell r="C1455" t="str">
            <v>PRECIO DE VENTA</v>
          </cell>
          <cell r="D1455">
            <v>1</v>
          </cell>
          <cell r="E1455">
            <v>11975</v>
          </cell>
          <cell r="F1455">
            <v>11975</v>
          </cell>
        </row>
        <row r="1456">
          <cell r="A1456" t="str">
            <v>PI-S60-J22-24-NO</v>
          </cell>
          <cell r="B1456" t="str">
            <v>JUNQUILLO 22-24 mm S60 - NOGAL</v>
          </cell>
          <cell r="C1456" t="str">
            <v>PRECIO DE VENTA</v>
          </cell>
          <cell r="D1456">
            <v>1</v>
          </cell>
          <cell r="E1456">
            <v>11506</v>
          </cell>
          <cell r="F1456">
            <v>11506</v>
          </cell>
        </row>
        <row r="1457">
          <cell r="A1457" t="str">
            <v>PI-S60-J22-24-RD</v>
          </cell>
          <cell r="B1457" t="str">
            <v>JUNQUILLO 22-24 mm S60 - ROBLE</v>
          </cell>
          <cell r="C1457" t="str">
            <v>PRECIO DE VENTA</v>
          </cell>
          <cell r="D1457">
            <v>1</v>
          </cell>
          <cell r="E1457">
            <v>11506</v>
          </cell>
          <cell r="F1457">
            <v>11506</v>
          </cell>
        </row>
        <row r="1458">
          <cell r="A1458" t="str">
            <v>PI-S60-J3-5-BK</v>
          </cell>
          <cell r="B1458" t="str">
            <v>JUNQUILLO 4-5 mm S60 - BLACK</v>
          </cell>
          <cell r="C1458" t="str">
            <v>PRECIO DE VENTA</v>
          </cell>
          <cell r="D1458">
            <v>1</v>
          </cell>
          <cell r="E1458">
            <v>9503</v>
          </cell>
          <cell r="F1458">
            <v>9503</v>
          </cell>
        </row>
        <row r="1459">
          <cell r="A1459" t="str">
            <v>PI-S60-J3-5-BL</v>
          </cell>
          <cell r="B1459" t="str">
            <v>JUNQUILLO 4-5 mm S60 - BLANCO</v>
          </cell>
          <cell r="C1459" t="str">
            <v>PRECIO DE VENTA</v>
          </cell>
          <cell r="D1459">
            <v>1</v>
          </cell>
          <cell r="E1459">
            <v>9023</v>
          </cell>
          <cell r="F1459">
            <v>9023</v>
          </cell>
        </row>
        <row r="1460">
          <cell r="A1460" t="str">
            <v>PI-S60-J3-5-GR</v>
          </cell>
          <cell r="B1460" t="str">
            <v>JUNQUILLO 4-5 mm S60 - GRAFITO</v>
          </cell>
          <cell r="C1460" t="str">
            <v>PRECIO DE VENTA</v>
          </cell>
          <cell r="D1460">
            <v>1</v>
          </cell>
          <cell r="E1460">
            <v>16438</v>
          </cell>
          <cell r="F1460">
            <v>16438</v>
          </cell>
        </row>
        <row r="1461">
          <cell r="A1461" t="str">
            <v>PI-S60-J3-5-NB</v>
          </cell>
          <cell r="B1461" t="str">
            <v>JUNQUILLO 4-5 mm S60 - NEW BLACK</v>
          </cell>
          <cell r="C1461" t="str">
            <v>PRECIO DE VENTA</v>
          </cell>
          <cell r="D1461">
            <v>1</v>
          </cell>
          <cell r="E1461">
            <v>18260</v>
          </cell>
          <cell r="F1461">
            <v>18260</v>
          </cell>
        </row>
        <row r="1462">
          <cell r="A1462" t="str">
            <v>PI-S60-J3-5-NO</v>
          </cell>
          <cell r="B1462" t="str">
            <v>JUNQUILLO 4-5 mm S60 - NOGAL</v>
          </cell>
          <cell r="C1462" t="str">
            <v>PRECIO DE VENTA</v>
          </cell>
          <cell r="D1462">
            <v>1</v>
          </cell>
          <cell r="E1462">
            <v>15360</v>
          </cell>
          <cell r="F1462">
            <v>15360</v>
          </cell>
        </row>
        <row r="1463">
          <cell r="A1463" t="str">
            <v>PI-S60-J3-5-RD</v>
          </cell>
          <cell r="B1463" t="str">
            <v>JUNQUILLO 4-5 mm S60 - ROBLE</v>
          </cell>
          <cell r="C1463" t="str">
            <v>PRECIO DE VENTA</v>
          </cell>
          <cell r="D1463">
            <v>1</v>
          </cell>
          <cell r="E1463">
            <v>15360</v>
          </cell>
          <cell r="F1463">
            <v>15360</v>
          </cell>
        </row>
        <row r="1464">
          <cell r="A1464" t="str">
            <v>PI-S60-MF-BK</v>
          </cell>
          <cell r="B1464" t="str">
            <v>MARCO FIJO S60 - BLACK</v>
          </cell>
          <cell r="C1464" t="str">
            <v>PRECIO DE VENTA</v>
          </cell>
          <cell r="D1464">
            <v>1</v>
          </cell>
          <cell r="E1464">
            <v>23240</v>
          </cell>
          <cell r="F1464">
            <v>23240</v>
          </cell>
        </row>
        <row r="1465">
          <cell r="A1465" t="str">
            <v>PI-S60-MF-BL</v>
          </cell>
          <cell r="B1465" t="str">
            <v>MARCO FIJO S60 - BLANCO</v>
          </cell>
          <cell r="C1465" t="str">
            <v>PRECIO DE VENTA</v>
          </cell>
          <cell r="D1465">
            <v>1</v>
          </cell>
          <cell r="E1465">
            <v>25072</v>
          </cell>
          <cell r="F1465">
            <v>25072</v>
          </cell>
        </row>
        <row r="1466">
          <cell r="A1466" t="str">
            <v>PI-S60-MF-GR</v>
          </cell>
          <cell r="B1466" t="str">
            <v>MARCO FIJO S60 - GRAFITO</v>
          </cell>
          <cell r="C1466" t="str">
            <v>PRECIO DE VENTA</v>
          </cell>
          <cell r="D1466">
            <v>1</v>
          </cell>
          <cell r="E1466">
            <v>38036</v>
          </cell>
          <cell r="F1466">
            <v>38036</v>
          </cell>
        </row>
        <row r="1467">
          <cell r="A1467" t="str">
            <v>PI-S60-MF-NB</v>
          </cell>
          <cell r="B1467" t="str">
            <v>MARCO FIJO S60 - NEW BLACK</v>
          </cell>
          <cell r="C1467" t="str">
            <v>PRECIO DE VENTA</v>
          </cell>
          <cell r="D1467">
            <v>1</v>
          </cell>
          <cell r="E1467">
            <v>46876</v>
          </cell>
          <cell r="F1467">
            <v>46876</v>
          </cell>
        </row>
        <row r="1468">
          <cell r="A1468" t="str">
            <v>PI-S60-MF-NO</v>
          </cell>
          <cell r="B1468" t="str">
            <v>MARCO FIJO S60 - NOGAL</v>
          </cell>
          <cell r="C1468" t="str">
            <v>PRECIO DE VENTA</v>
          </cell>
          <cell r="D1468">
            <v>1</v>
          </cell>
          <cell r="E1468">
            <v>35547</v>
          </cell>
          <cell r="F1468">
            <v>35547</v>
          </cell>
        </row>
        <row r="1469">
          <cell r="A1469" t="str">
            <v>PI-S60-MF-RD</v>
          </cell>
          <cell r="B1469" t="str">
            <v>MARCO FIJO S60 - ROBLE</v>
          </cell>
          <cell r="C1469" t="str">
            <v>PRECIO DE VENTA</v>
          </cell>
          <cell r="D1469">
            <v>1</v>
          </cell>
          <cell r="E1469">
            <v>35547</v>
          </cell>
          <cell r="F1469">
            <v>35547</v>
          </cell>
        </row>
        <row r="1470">
          <cell r="A1470" t="str">
            <v>PI-S60-P30-BK</v>
          </cell>
          <cell r="B1470" t="str">
            <v>PERFIL ELEVACION S60 30 mm - BLACK</v>
          </cell>
          <cell r="C1470" t="str">
            <v>PRECIO DE VENTA</v>
          </cell>
          <cell r="D1470">
            <v>1</v>
          </cell>
          <cell r="E1470">
            <v>25972</v>
          </cell>
          <cell r="F1470">
            <v>25972</v>
          </cell>
        </row>
        <row r="1471">
          <cell r="A1471" t="str">
            <v>PI-S60-P30-BL</v>
          </cell>
          <cell r="B1471" t="str">
            <v>PERFIL ELEVACION S60 30 mm - BLANCO</v>
          </cell>
          <cell r="C1471" t="str">
            <v>PRECIO DE VENTA</v>
          </cell>
          <cell r="D1471">
            <v>1</v>
          </cell>
          <cell r="E1471">
            <v>25018</v>
          </cell>
          <cell r="F1471">
            <v>25018</v>
          </cell>
        </row>
        <row r="1472">
          <cell r="A1472" t="str">
            <v>PI-S60-P30-GR</v>
          </cell>
          <cell r="B1472" t="str">
            <v>PERFIL ELEVACION S60 30 mm - GRAFITO</v>
          </cell>
          <cell r="C1472" t="str">
            <v>PRECIO DE VENTA</v>
          </cell>
          <cell r="D1472">
            <v>1</v>
          </cell>
          <cell r="E1472">
            <v>51942</v>
          </cell>
          <cell r="F1472">
            <v>51942</v>
          </cell>
        </row>
        <row r="1473">
          <cell r="A1473" t="str">
            <v>PI-S60-P30-NB</v>
          </cell>
          <cell r="B1473" t="str">
            <v>PERFIL ELEVACION S60 30 mm - NEW BLACK</v>
          </cell>
          <cell r="C1473" t="str">
            <v>PRECIO DE VENTA</v>
          </cell>
          <cell r="D1473">
            <v>1</v>
          </cell>
          <cell r="E1473">
            <v>32499</v>
          </cell>
          <cell r="F1473">
            <v>32499</v>
          </cell>
        </row>
        <row r="1474">
          <cell r="A1474" t="str">
            <v>PI-S60-P30-NO</v>
          </cell>
          <cell r="B1474" t="str">
            <v>PERFIL ELEVACION S60 30 mm - NOGAL</v>
          </cell>
          <cell r="C1474" t="str">
            <v>PRECIO DE VENTA</v>
          </cell>
          <cell r="D1474">
            <v>1</v>
          </cell>
          <cell r="E1474">
            <v>48104</v>
          </cell>
          <cell r="F1474">
            <v>48104</v>
          </cell>
        </row>
        <row r="1475">
          <cell r="A1475" t="str">
            <v>PI-S60-P30-RD</v>
          </cell>
          <cell r="B1475" t="str">
            <v>PERFIL ELEVACION S60 30 mm - ROBLE</v>
          </cell>
          <cell r="C1475" t="str">
            <v>PRECIO DE VENTA</v>
          </cell>
          <cell r="D1475">
            <v>1</v>
          </cell>
          <cell r="E1475">
            <v>48104</v>
          </cell>
          <cell r="F1475">
            <v>48104</v>
          </cell>
        </row>
        <row r="1476">
          <cell r="A1476" t="str">
            <v>PI-S60-P60-BK</v>
          </cell>
          <cell r="B1476" t="str">
            <v>PERFIL ELEVACION S60 60 mm - BLACK</v>
          </cell>
          <cell r="C1476" t="str">
            <v>PRECIO DE VENTA</v>
          </cell>
          <cell r="D1476">
            <v>1</v>
          </cell>
          <cell r="E1476">
            <v>29321</v>
          </cell>
          <cell r="F1476">
            <v>29321</v>
          </cell>
        </row>
        <row r="1477">
          <cell r="A1477" t="str">
            <v>PI-S60-P60-BL</v>
          </cell>
          <cell r="B1477" t="str">
            <v>PERFIL ELEVACION S60 60 mm - BLANCO</v>
          </cell>
          <cell r="C1477" t="str">
            <v>PRECIO DE VENTA</v>
          </cell>
          <cell r="D1477">
            <v>1</v>
          </cell>
          <cell r="E1477">
            <v>32789</v>
          </cell>
          <cell r="F1477">
            <v>32789</v>
          </cell>
        </row>
        <row r="1478">
          <cell r="A1478" t="str">
            <v>PI-S60-P60-GR</v>
          </cell>
          <cell r="B1478" t="str">
            <v>PERFIL ELEVACION S60 60 mm - GRAFITO</v>
          </cell>
          <cell r="C1478" t="str">
            <v>PRECIO DE VENTA</v>
          </cell>
          <cell r="D1478">
            <v>1</v>
          </cell>
          <cell r="E1478">
            <v>58640</v>
          </cell>
          <cell r="F1478">
            <v>58640</v>
          </cell>
        </row>
        <row r="1479">
          <cell r="A1479" t="str">
            <v>PI-S60-P60-NB</v>
          </cell>
          <cell r="B1479" t="str">
            <v>PERFIL ELEVACION S60 60 mm - NEW BLACK</v>
          </cell>
          <cell r="C1479" t="str">
            <v>PRECIO DE VENTA</v>
          </cell>
          <cell r="D1479">
            <v>1</v>
          </cell>
          <cell r="E1479">
            <v>49291</v>
          </cell>
          <cell r="F1479">
            <v>49291</v>
          </cell>
        </row>
        <row r="1480">
          <cell r="A1480" t="str">
            <v>PI-S60-P60-NO</v>
          </cell>
          <cell r="B1480" t="str">
            <v>PERFIL ELEVACION S60 60 mm - NOGAL</v>
          </cell>
          <cell r="C1480" t="str">
            <v>PRECIO DE VENTA</v>
          </cell>
          <cell r="D1480">
            <v>1</v>
          </cell>
          <cell r="E1480">
            <v>54804</v>
          </cell>
          <cell r="F1480">
            <v>54804</v>
          </cell>
        </row>
        <row r="1481">
          <cell r="A1481" t="str">
            <v>PI-S60-P60-RD</v>
          </cell>
          <cell r="B1481" t="str">
            <v>PERFIL ELEVACION S60 60 mm - ROBLE</v>
          </cell>
          <cell r="C1481" t="str">
            <v>PRECIO DE VENTA</v>
          </cell>
          <cell r="D1481">
            <v>1</v>
          </cell>
          <cell r="E1481">
            <v>54804</v>
          </cell>
          <cell r="F1481">
            <v>54804</v>
          </cell>
        </row>
        <row r="1482">
          <cell r="A1482" t="str">
            <v>PI-S60-PME-BK</v>
          </cell>
          <cell r="B1482" t="str">
            <v>PLACA MACHIEMBRE 18 mm - BLACK</v>
          </cell>
          <cell r="C1482" t="str">
            <v>PRECIO DE VENTA</v>
          </cell>
          <cell r="D1482">
            <v>1</v>
          </cell>
          <cell r="E1482">
            <v>17348</v>
          </cell>
          <cell r="F1482">
            <v>17348</v>
          </cell>
        </row>
        <row r="1483">
          <cell r="A1483" t="str">
            <v>PI-S60-PME-BL</v>
          </cell>
          <cell r="B1483" t="str">
            <v>PLACA MACHIEMBRE 18 mm - BLANCO</v>
          </cell>
          <cell r="C1483" t="str">
            <v>PRECIO DE VENTA</v>
          </cell>
          <cell r="D1483">
            <v>1</v>
          </cell>
          <cell r="E1483">
            <v>13590</v>
          </cell>
          <cell r="F1483">
            <v>13590</v>
          </cell>
        </row>
        <row r="1484">
          <cell r="A1484" t="str">
            <v>PI-S60-PME-GR</v>
          </cell>
          <cell r="B1484" t="str">
            <v>PLACA MACHIEMBRE 18 mm - GRAFITO</v>
          </cell>
          <cell r="C1484" t="str">
            <v>PRECIO DE VENTA</v>
          </cell>
          <cell r="D1484">
            <v>1</v>
          </cell>
          <cell r="E1484">
            <v>29359</v>
          </cell>
          <cell r="F1484">
            <v>29359</v>
          </cell>
        </row>
        <row r="1485">
          <cell r="A1485" t="str">
            <v>PI-S60-PME-NB</v>
          </cell>
          <cell r="B1485" t="str">
            <v>PLACA MACHIEMBRE 18 mm - NEW BLACK</v>
          </cell>
          <cell r="C1485" t="str">
            <v>PRECIO DE VENTA</v>
          </cell>
          <cell r="D1485">
            <v>1</v>
          </cell>
          <cell r="E1485">
            <v>31305</v>
          </cell>
          <cell r="F1485">
            <v>31305</v>
          </cell>
        </row>
        <row r="1486">
          <cell r="A1486" t="str">
            <v>PI-S60-PME-NO</v>
          </cell>
          <cell r="B1486" t="str">
            <v>PLACA MACHIEMBRE 18 mm - NOGAL</v>
          </cell>
          <cell r="C1486" t="str">
            <v>PRECIO DE VENTA</v>
          </cell>
          <cell r="D1486">
            <v>1</v>
          </cell>
          <cell r="E1486">
            <v>27179</v>
          </cell>
          <cell r="F1486">
            <v>27179</v>
          </cell>
        </row>
        <row r="1487">
          <cell r="A1487" t="str">
            <v>PI-S60-PME-RD</v>
          </cell>
          <cell r="B1487" t="str">
            <v>PLACA MACHIEMBRE 18 mm - ROBLE</v>
          </cell>
          <cell r="C1487" t="str">
            <v>PRECIO DE VENTA</v>
          </cell>
          <cell r="D1487">
            <v>1</v>
          </cell>
          <cell r="E1487">
            <v>27179</v>
          </cell>
          <cell r="F1487">
            <v>27179</v>
          </cell>
        </row>
        <row r="1488">
          <cell r="A1488" t="str">
            <v>PI-S60-PT-BK</v>
          </cell>
          <cell r="B1488" t="str">
            <v>POSTE T S60 - BLACK</v>
          </cell>
          <cell r="C1488" t="str">
            <v>PRECIO DE VENTA</v>
          </cell>
          <cell r="D1488">
            <v>1</v>
          </cell>
          <cell r="E1488">
            <v>27378</v>
          </cell>
          <cell r="F1488">
            <v>27378</v>
          </cell>
        </row>
        <row r="1489">
          <cell r="A1489" t="str">
            <v>PI-S60-PT-BL</v>
          </cell>
          <cell r="B1489" t="str">
            <v>POSTE T S60 - BLANCO</v>
          </cell>
          <cell r="C1489" t="str">
            <v>PRECIO DE VENTA</v>
          </cell>
          <cell r="D1489">
            <v>1</v>
          </cell>
          <cell r="E1489">
            <v>29197</v>
          </cell>
          <cell r="F1489">
            <v>29197</v>
          </cell>
        </row>
        <row r="1490">
          <cell r="A1490" t="str">
            <v>PI-S60-PT-GR</v>
          </cell>
          <cell r="B1490" t="str">
            <v>POSTE T S60 - GRAFITO</v>
          </cell>
          <cell r="C1490" t="str">
            <v>PRECIO DE VENTA</v>
          </cell>
          <cell r="D1490">
            <v>1</v>
          </cell>
          <cell r="E1490">
            <v>45214</v>
          </cell>
          <cell r="F1490">
            <v>45214</v>
          </cell>
        </row>
        <row r="1491">
          <cell r="A1491" t="str">
            <v>PI-S60-PT-NB</v>
          </cell>
          <cell r="B1491" t="str">
            <v>POSTE T S60 - NEW BLACK</v>
          </cell>
          <cell r="C1491" t="str">
            <v>PRECIO DE VENTA</v>
          </cell>
          <cell r="D1491">
            <v>1</v>
          </cell>
          <cell r="E1491">
            <v>55149</v>
          </cell>
          <cell r="F1491">
            <v>55149</v>
          </cell>
        </row>
        <row r="1492">
          <cell r="A1492" t="str">
            <v>PI-S60-PT-NO</v>
          </cell>
          <cell r="B1492" t="str">
            <v>POSTE T S60 - NOGAL</v>
          </cell>
          <cell r="C1492" t="str">
            <v>PRECIO DE VENTA</v>
          </cell>
          <cell r="D1492">
            <v>1</v>
          </cell>
          <cell r="E1492">
            <v>42254</v>
          </cell>
          <cell r="F1492">
            <v>42254</v>
          </cell>
        </row>
        <row r="1493">
          <cell r="A1493" t="str">
            <v>PI-S60-PT-RD</v>
          </cell>
          <cell r="B1493" t="str">
            <v>POSTE T S60 - ROBLE</v>
          </cell>
          <cell r="C1493" t="str">
            <v>PRECIO DE VENTA</v>
          </cell>
          <cell r="D1493">
            <v>1</v>
          </cell>
          <cell r="E1493">
            <v>42254</v>
          </cell>
          <cell r="F1493">
            <v>42254</v>
          </cell>
        </row>
        <row r="1494">
          <cell r="A1494" t="str">
            <v>PI-S60-RTA-BK</v>
          </cell>
          <cell r="B1494" t="str">
            <v>ROTULA S60 - BLACK</v>
          </cell>
          <cell r="C1494" t="str">
            <v>PRECIO DE VENTA</v>
          </cell>
          <cell r="D1494">
            <v>1</v>
          </cell>
          <cell r="E1494">
            <v>26272</v>
          </cell>
          <cell r="F1494">
            <v>26272</v>
          </cell>
        </row>
        <row r="1495">
          <cell r="A1495" t="str">
            <v>PI-S60-RTA-BL</v>
          </cell>
          <cell r="B1495" t="str">
            <v>ROTULA S60 - BLANCO</v>
          </cell>
          <cell r="C1495" t="str">
            <v>PRECIO DE VENTA</v>
          </cell>
          <cell r="D1495">
            <v>1</v>
          </cell>
          <cell r="E1495">
            <v>18567</v>
          </cell>
          <cell r="F1495">
            <v>18567</v>
          </cell>
        </row>
        <row r="1496">
          <cell r="A1496" t="str">
            <v>PI-S60-RTA-GR</v>
          </cell>
          <cell r="B1496" t="str">
            <v>ROTULA S60 - GRAFITO</v>
          </cell>
          <cell r="C1496" t="str">
            <v>PRECIO DE VENTA</v>
          </cell>
          <cell r="D1496">
            <v>1</v>
          </cell>
          <cell r="E1496">
            <v>44936</v>
          </cell>
          <cell r="F1496">
            <v>44936</v>
          </cell>
        </row>
        <row r="1497">
          <cell r="A1497" t="str">
            <v>PI-S60-RTA-NB</v>
          </cell>
          <cell r="B1497" t="str">
            <v>ROTULA S60 - NEW BLACK</v>
          </cell>
          <cell r="C1497" t="str">
            <v>PRECIO DE VENTA</v>
          </cell>
          <cell r="D1497">
            <v>1</v>
          </cell>
          <cell r="E1497">
            <v>48969</v>
          </cell>
          <cell r="F1497">
            <v>48969</v>
          </cell>
        </row>
        <row r="1498">
          <cell r="A1498" t="str">
            <v>PI-S60-RTA-NO</v>
          </cell>
          <cell r="B1498" t="str">
            <v>ROTULA S60 - NOGAL</v>
          </cell>
          <cell r="C1498" t="str">
            <v>PRECIO DE VENTA</v>
          </cell>
          <cell r="D1498">
            <v>1</v>
          </cell>
          <cell r="E1498">
            <v>41995</v>
          </cell>
          <cell r="F1498">
            <v>41995</v>
          </cell>
        </row>
        <row r="1499">
          <cell r="A1499" t="str">
            <v>PI-S60-RTA-RD</v>
          </cell>
          <cell r="B1499" t="str">
            <v>ROTULA S60 - ROBLE</v>
          </cell>
          <cell r="C1499" t="str">
            <v>PRECIO DE VENTA</v>
          </cell>
          <cell r="D1499">
            <v>1</v>
          </cell>
          <cell r="E1499">
            <v>41995</v>
          </cell>
          <cell r="F1499">
            <v>41995</v>
          </cell>
        </row>
        <row r="1500">
          <cell r="A1500" t="str">
            <v>PI-S60-TUB-BK</v>
          </cell>
          <cell r="B1500" t="str">
            <v>TUBULAR 60 x 100 - BLACK</v>
          </cell>
          <cell r="C1500" t="str">
            <v>PRECIO DE VENTA</v>
          </cell>
          <cell r="D1500">
            <v>1</v>
          </cell>
          <cell r="E1500">
            <v>26353</v>
          </cell>
          <cell r="F1500">
            <v>26353</v>
          </cell>
        </row>
        <row r="1501">
          <cell r="A1501" t="str">
            <v>PI-S60-TUB-BL</v>
          </cell>
          <cell r="B1501" t="str">
            <v>TUBULAR 60 x 100 - BLANCO</v>
          </cell>
          <cell r="C1501" t="str">
            <v>PRECIO DE VENTA</v>
          </cell>
          <cell r="D1501">
            <v>1</v>
          </cell>
          <cell r="E1501">
            <v>27316</v>
          </cell>
          <cell r="F1501">
            <v>27316</v>
          </cell>
        </row>
        <row r="1502">
          <cell r="A1502" t="str">
            <v>PI-S60-TUB-GR</v>
          </cell>
          <cell r="B1502" t="str">
            <v>TUBULAR 60 x 100 - GRAFITO</v>
          </cell>
          <cell r="C1502" t="str">
            <v>PRECIO DE VENTA</v>
          </cell>
          <cell r="D1502">
            <v>1</v>
          </cell>
          <cell r="E1502">
            <v>46158</v>
          </cell>
          <cell r="F1502">
            <v>46158</v>
          </cell>
        </row>
        <row r="1503">
          <cell r="A1503" t="str">
            <v>PI-S60-TUB-NB</v>
          </cell>
          <cell r="B1503" t="str">
            <v>TUBULAR 60 x 100 - NEW BLACK</v>
          </cell>
          <cell r="C1503" t="str">
            <v>PRECIO DE VENTA</v>
          </cell>
          <cell r="D1503">
            <v>1</v>
          </cell>
          <cell r="E1503">
            <v>62168</v>
          </cell>
          <cell r="F1503">
            <v>62168</v>
          </cell>
        </row>
        <row r="1504">
          <cell r="A1504" t="str">
            <v>PI-S60-TUB-NO</v>
          </cell>
          <cell r="B1504" t="str">
            <v>TUBULAR 60 x 100 - NOGAL</v>
          </cell>
          <cell r="C1504" t="str">
            <v>PRECIO DE VENTA</v>
          </cell>
          <cell r="D1504">
            <v>1</v>
          </cell>
          <cell r="E1504">
            <v>46158</v>
          </cell>
          <cell r="F1504">
            <v>46158</v>
          </cell>
        </row>
        <row r="1505">
          <cell r="A1505" t="str">
            <v>PI-S60-TUB-RD</v>
          </cell>
          <cell r="B1505" t="str">
            <v>TUBULAR 60 x 100 - ROBLE</v>
          </cell>
          <cell r="C1505" t="str">
            <v>PRECIO DE VENTA</v>
          </cell>
          <cell r="D1505">
            <v>1</v>
          </cell>
          <cell r="E1505">
            <v>45377</v>
          </cell>
          <cell r="F1505">
            <v>45377</v>
          </cell>
        </row>
        <row r="1506">
          <cell r="A1506" t="str">
            <v>PI-SLA-4TA-BL</v>
          </cell>
          <cell r="B1506" t="str">
            <v>ADAPTADOR CUARTA HOJA ANDES - BLANCO</v>
          </cell>
          <cell r="C1506" t="str">
            <v>PRECIO DE VENTA</v>
          </cell>
          <cell r="D1506">
            <v>1</v>
          </cell>
          <cell r="E1506">
            <v>13930</v>
          </cell>
          <cell r="F1506">
            <v>13930</v>
          </cell>
        </row>
        <row r="1507">
          <cell r="A1507" t="str">
            <v>PI-SLA-4TA-GS</v>
          </cell>
          <cell r="B1507" t="str">
            <v>ADAPTADOR CUARTA HOJA ANDES - GRIS</v>
          </cell>
          <cell r="C1507" t="str">
            <v>PRECIO DE VENTA</v>
          </cell>
          <cell r="D1507">
            <v>1</v>
          </cell>
          <cell r="E1507">
            <v>24103</v>
          </cell>
          <cell r="F1507">
            <v>24103</v>
          </cell>
        </row>
        <row r="1508">
          <cell r="A1508" t="str">
            <v>PI-SLA-4TA-NO</v>
          </cell>
          <cell r="B1508" t="str">
            <v>ADAPTADOR CUARTA HOJA ANDES - CAFE</v>
          </cell>
          <cell r="C1508" t="str">
            <v>PRECIO DE VENTA</v>
          </cell>
          <cell r="D1508">
            <v>1</v>
          </cell>
          <cell r="E1508">
            <v>15370</v>
          </cell>
          <cell r="F1508">
            <v>15370</v>
          </cell>
        </row>
        <row r="1509">
          <cell r="A1509" t="str">
            <v>PI-SLA-A54-BL</v>
          </cell>
          <cell r="B1509" t="str">
            <v>HOJA ANDES 54 - BLANCO</v>
          </cell>
          <cell r="C1509" t="str">
            <v>PRECIO DE VENTA</v>
          </cell>
          <cell r="D1509">
            <v>1</v>
          </cell>
          <cell r="E1509">
            <v>20793</v>
          </cell>
          <cell r="F1509">
            <v>20793</v>
          </cell>
        </row>
        <row r="1510">
          <cell r="A1510" t="str">
            <v>PI-SLA-A66-BL</v>
          </cell>
          <cell r="B1510" t="str">
            <v>HOJA CORREDERA ANDES 66 - BLANCO</v>
          </cell>
          <cell r="C1510" t="str">
            <v>PRECIO DE VENTA</v>
          </cell>
          <cell r="D1510">
            <v>1</v>
          </cell>
          <cell r="E1510">
            <v>23998</v>
          </cell>
          <cell r="F1510">
            <v>23998</v>
          </cell>
        </row>
        <row r="1511">
          <cell r="A1511" t="str">
            <v>PI-SLA-A66-GR</v>
          </cell>
          <cell r="B1511" t="str">
            <v>HOJA CORREDERA ANDES 66 - GRAFITO</v>
          </cell>
          <cell r="C1511" t="str">
            <v>PRECIO DE VENTA</v>
          </cell>
          <cell r="D1511">
            <v>1</v>
          </cell>
          <cell r="E1511">
            <v>37914</v>
          </cell>
          <cell r="F1511">
            <v>37914</v>
          </cell>
        </row>
        <row r="1512">
          <cell r="A1512" t="str">
            <v>PI-SLA-A66-NB</v>
          </cell>
          <cell r="B1512" t="str">
            <v>HOJA CORREDERA ANDES 66 - NEW BLACK</v>
          </cell>
          <cell r="C1512" t="str">
            <v>PRECIO DE VENTA</v>
          </cell>
          <cell r="D1512">
            <v>1</v>
          </cell>
          <cell r="E1512">
            <v>39810</v>
          </cell>
          <cell r="F1512">
            <v>39810</v>
          </cell>
        </row>
        <row r="1513">
          <cell r="A1513" t="str">
            <v>PI-SLA-A66-NO</v>
          </cell>
          <cell r="B1513" t="str">
            <v>HOJA CORREDERA ANDES 66 - NOGAL</v>
          </cell>
          <cell r="C1513" t="str">
            <v>PRECIO DE VENTA</v>
          </cell>
          <cell r="D1513">
            <v>1</v>
          </cell>
          <cell r="E1513">
            <v>36374</v>
          </cell>
          <cell r="F1513">
            <v>36374</v>
          </cell>
        </row>
        <row r="1514">
          <cell r="A1514" t="str">
            <v>PI-SLA-A66-RD</v>
          </cell>
          <cell r="B1514" t="str">
            <v>HOJA CORREDERA ANDES 66 - ROBLE</v>
          </cell>
          <cell r="C1514" t="str">
            <v>PRECIO DE VENTA</v>
          </cell>
          <cell r="D1514">
            <v>1</v>
          </cell>
          <cell r="E1514">
            <v>36374</v>
          </cell>
          <cell r="F1514">
            <v>36374</v>
          </cell>
        </row>
        <row r="1515">
          <cell r="A1515" t="str">
            <v>PI-SLA-DVS-BL</v>
          </cell>
          <cell r="B1515" t="str">
            <v>DIVISOR VERTICAL MONORRIEL SLIDING - BLANCO</v>
          </cell>
          <cell r="C1515" t="str">
            <v>PRECIO DE VENTA</v>
          </cell>
          <cell r="D1515">
            <v>1</v>
          </cell>
          <cell r="E1515">
            <v>33009</v>
          </cell>
          <cell r="F1515">
            <v>33009</v>
          </cell>
        </row>
        <row r="1516">
          <cell r="A1516" t="str">
            <v>PI-SLA-HS-H54-12</v>
          </cell>
          <cell r="B1516" t="str">
            <v>REFUERZO HOJA ANDES 54 2 mm - HS</v>
          </cell>
          <cell r="C1516" t="str">
            <v>PRECIO DE VENTA</v>
          </cell>
          <cell r="D1516">
            <v>1</v>
          </cell>
          <cell r="E1516">
            <v>4677</v>
          </cell>
          <cell r="F1516">
            <v>4677</v>
          </cell>
        </row>
        <row r="1517">
          <cell r="A1517" t="str">
            <v>PI-SLA-HS-H66-12</v>
          </cell>
          <cell r="B1517" t="str">
            <v>REFUERZO HOJA ANDES 66 1,2mm - HS</v>
          </cell>
          <cell r="C1517" t="str">
            <v>PRECIO DE VENTA</v>
          </cell>
          <cell r="D1517">
            <v>1</v>
          </cell>
          <cell r="E1517">
            <v>8362</v>
          </cell>
          <cell r="F1517">
            <v>8362</v>
          </cell>
        </row>
        <row r="1518">
          <cell r="A1518" t="str">
            <v>PI-SLA-HS-MCA-12</v>
          </cell>
          <cell r="B1518" t="str">
            <v>REFUERZO MARCO CORREDERA ANDES 1,2 mm - HS</v>
          </cell>
          <cell r="C1518" t="str">
            <v>PRECIO DE VENTA</v>
          </cell>
          <cell r="D1518">
            <v>1</v>
          </cell>
          <cell r="E1518">
            <v>6345</v>
          </cell>
          <cell r="F1518">
            <v>6345</v>
          </cell>
        </row>
        <row r="1519">
          <cell r="A1519" t="str">
            <v>PI-SLA-JM5-BL</v>
          </cell>
          <cell r="B1519" t="str">
            <v>JUNQUILLO MONOLITICO 5 mm ANDES - BLANCO</v>
          </cell>
          <cell r="C1519" t="str">
            <v>PRECIO DE VENTA</v>
          </cell>
          <cell r="D1519">
            <v>1</v>
          </cell>
          <cell r="E1519">
            <v>4979</v>
          </cell>
          <cell r="F1519">
            <v>4979</v>
          </cell>
        </row>
        <row r="1520">
          <cell r="A1520" t="str">
            <v>PI-SLA-JM5-GR</v>
          </cell>
          <cell r="B1520" t="str">
            <v>JUNQUILLO MONOLITICO 5 mm ANDES - GRAFITO</v>
          </cell>
          <cell r="C1520" t="str">
            <v>PRECIO DE VENTA</v>
          </cell>
          <cell r="D1520">
            <v>1</v>
          </cell>
          <cell r="E1520">
            <v>9445</v>
          </cell>
          <cell r="F1520">
            <v>9445</v>
          </cell>
        </row>
        <row r="1521">
          <cell r="A1521" t="str">
            <v>PI-SLA-JM5-NB</v>
          </cell>
          <cell r="B1521" t="str">
            <v>JUNQUILLO MONOLITICO 5 mm ANDES - NEW BLACK</v>
          </cell>
          <cell r="C1521" t="str">
            <v>PRECIO DE VENTA</v>
          </cell>
          <cell r="D1521">
            <v>1</v>
          </cell>
          <cell r="E1521">
            <v>9917</v>
          </cell>
          <cell r="F1521">
            <v>9917</v>
          </cell>
        </row>
        <row r="1522">
          <cell r="A1522" t="str">
            <v>PI-SLA-JM5-NO</v>
          </cell>
          <cell r="B1522" t="str">
            <v>JUNQUILLO MONOLITICO 5 mm ANDES - NOGAL</v>
          </cell>
          <cell r="C1522" t="str">
            <v>PRECIO DE VENTA</v>
          </cell>
          <cell r="D1522">
            <v>1</v>
          </cell>
          <cell r="E1522">
            <v>8366</v>
          </cell>
          <cell r="F1522">
            <v>8366</v>
          </cell>
        </row>
        <row r="1523">
          <cell r="A1523" t="str">
            <v>PI-SLA-JM5-RD</v>
          </cell>
          <cell r="B1523" t="str">
            <v>JUNQUILLO MONOLITICO 5 mm ANDES - ROBLE</v>
          </cell>
          <cell r="C1523" t="str">
            <v>PRECIO DE VENTA</v>
          </cell>
          <cell r="D1523">
            <v>1</v>
          </cell>
          <cell r="E1523">
            <v>8366</v>
          </cell>
          <cell r="F1523">
            <v>8366</v>
          </cell>
        </row>
        <row r="1524">
          <cell r="A1524" t="str">
            <v>PI-SLA-JT19-BL</v>
          </cell>
          <cell r="B1524" t="str">
            <v>JUNQUILLO TERMOPANEL 19 mm ANDES - BLANCO</v>
          </cell>
          <cell r="C1524" t="str">
            <v>PRECIO DE VENTA</v>
          </cell>
          <cell r="D1524">
            <v>1</v>
          </cell>
          <cell r="E1524">
            <v>4377</v>
          </cell>
          <cell r="F1524">
            <v>4377</v>
          </cell>
        </row>
        <row r="1525">
          <cell r="A1525" t="str">
            <v>PI-SLA-JT19-GR</v>
          </cell>
          <cell r="B1525" t="str">
            <v>JUNQUILLO TERMOPANEL 19 mm ANDES - GRAFITO</v>
          </cell>
          <cell r="C1525" t="str">
            <v>PRECIO DE VENTA</v>
          </cell>
          <cell r="D1525">
            <v>1</v>
          </cell>
          <cell r="E1525">
            <v>7523</v>
          </cell>
          <cell r="F1525">
            <v>7523</v>
          </cell>
        </row>
        <row r="1526">
          <cell r="A1526" t="str">
            <v>PI-SLA-JT19-NB</v>
          </cell>
          <cell r="B1526" t="str">
            <v>JUNQUILLO TERMOPANEL 19 mm ANDES - NEW BLACK</v>
          </cell>
          <cell r="C1526" t="str">
            <v>PRECIO DE VENTA</v>
          </cell>
          <cell r="D1526">
            <v>1</v>
          </cell>
          <cell r="E1526">
            <v>7899</v>
          </cell>
          <cell r="F1526">
            <v>7899</v>
          </cell>
        </row>
        <row r="1527">
          <cell r="A1527" t="str">
            <v>PI-SLA-JT19-NO</v>
          </cell>
          <cell r="B1527" t="str">
            <v>JUNQUILLO TERMOPANEL 19 mm ANDES - NOGAL</v>
          </cell>
          <cell r="C1527" t="str">
            <v>PRECIO DE VENTA</v>
          </cell>
          <cell r="D1527">
            <v>1</v>
          </cell>
          <cell r="E1527">
            <v>7221</v>
          </cell>
          <cell r="F1527">
            <v>7221</v>
          </cell>
        </row>
        <row r="1528">
          <cell r="A1528" t="str">
            <v>PI-SLA-JT19-RD</v>
          </cell>
          <cell r="B1528" t="str">
            <v>JUNQUILLO TERMOPANEL 19 mm ANDES - ROBLE</v>
          </cell>
          <cell r="C1528" t="str">
            <v>PRECIO DE VENTA</v>
          </cell>
          <cell r="D1528">
            <v>1</v>
          </cell>
          <cell r="E1528">
            <v>7221</v>
          </cell>
          <cell r="F1528">
            <v>7221</v>
          </cell>
        </row>
        <row r="1529">
          <cell r="A1529" t="str">
            <v>PI-SLA-MDM-BL</v>
          </cell>
          <cell r="B1529" t="str">
            <v>MARCO DIVISOR MONORRIEL ANDES - BLANCO</v>
          </cell>
          <cell r="C1529" t="str">
            <v>PRECIO DE VENTA</v>
          </cell>
          <cell r="D1529">
            <v>1</v>
          </cell>
          <cell r="E1529">
            <v>31437</v>
          </cell>
          <cell r="F1529">
            <v>31437</v>
          </cell>
        </row>
        <row r="1530">
          <cell r="A1530" t="str">
            <v>PI-SLA-MDM-NO</v>
          </cell>
          <cell r="B1530" t="str">
            <v>MARCO DIVISOR MONORRIEL ANDES - NOGAL</v>
          </cell>
          <cell r="C1530" t="str">
            <v>PRECIO DE VENTA</v>
          </cell>
          <cell r="D1530">
            <v>1</v>
          </cell>
          <cell r="E1530">
            <v>45980</v>
          </cell>
          <cell r="F1530">
            <v>45980</v>
          </cell>
        </row>
        <row r="1531">
          <cell r="A1531" t="str">
            <v>PI-SLA-MDM-RD</v>
          </cell>
          <cell r="B1531" t="str">
            <v>MARCO DIVISOR MONORRIEL ANDES - ROBLE</v>
          </cell>
          <cell r="C1531" t="str">
            <v>PRECIO DE VENTA</v>
          </cell>
          <cell r="D1531">
            <v>1</v>
          </cell>
          <cell r="E1531">
            <v>45980</v>
          </cell>
          <cell r="F1531">
            <v>45980</v>
          </cell>
        </row>
        <row r="1532">
          <cell r="A1532" t="str">
            <v>PI-SLA-MDR-BL</v>
          </cell>
          <cell r="B1532" t="str">
            <v>MARCO DOBLE RIEL CORREDERA ANDES - BLANCO</v>
          </cell>
          <cell r="C1532" t="str">
            <v>PRECIO DE VENTA</v>
          </cell>
          <cell r="D1532">
            <v>1</v>
          </cell>
          <cell r="E1532">
            <v>27726</v>
          </cell>
          <cell r="F1532">
            <v>27726</v>
          </cell>
        </row>
        <row r="1533">
          <cell r="A1533" t="str">
            <v>PI-SLA-MDR-GR</v>
          </cell>
          <cell r="B1533" t="str">
            <v>MARCO DOBLE RIEL CORREDERA ANDES - GRAFITO</v>
          </cell>
          <cell r="C1533" t="str">
            <v>PRECIO DE VENTA</v>
          </cell>
          <cell r="D1533">
            <v>1</v>
          </cell>
          <cell r="E1533">
            <v>43869</v>
          </cell>
          <cell r="F1533">
            <v>43869</v>
          </cell>
        </row>
        <row r="1534">
          <cell r="A1534" t="str">
            <v>PI-SLA-MDR-NB</v>
          </cell>
          <cell r="B1534" t="str">
            <v>MARCO DOBLE RIEL CORREDERA ANDES - NEW BLACK</v>
          </cell>
          <cell r="C1534" t="str">
            <v>PRECIO DE VENTA</v>
          </cell>
          <cell r="D1534">
            <v>1</v>
          </cell>
          <cell r="E1534">
            <v>43511</v>
          </cell>
          <cell r="F1534">
            <v>43511</v>
          </cell>
        </row>
        <row r="1535">
          <cell r="A1535" t="str">
            <v>PI-SLA-MDR-NO</v>
          </cell>
          <cell r="B1535" t="str">
            <v>MARCO DOBLE RIEL CORREDERA ANDES - NOGAL</v>
          </cell>
          <cell r="C1535" t="str">
            <v>PRECIO DE VENTA</v>
          </cell>
          <cell r="D1535">
            <v>1</v>
          </cell>
          <cell r="E1535">
            <v>40232</v>
          </cell>
          <cell r="F1535">
            <v>40232</v>
          </cell>
        </row>
        <row r="1536">
          <cell r="A1536" t="str">
            <v>PI-SLA-MDR-RD</v>
          </cell>
          <cell r="B1536" t="str">
            <v>MARCO DOBLE RIEL CORREDERA ANDES - ROBLE</v>
          </cell>
          <cell r="C1536" t="str">
            <v>PRECIO DE VENTA</v>
          </cell>
          <cell r="D1536">
            <v>1</v>
          </cell>
          <cell r="E1536">
            <v>40232</v>
          </cell>
          <cell r="F1536">
            <v>40232</v>
          </cell>
        </row>
        <row r="1537">
          <cell r="A1537" t="str">
            <v>PI-SLA-MMC-BL</v>
          </cell>
          <cell r="B1537" t="str">
            <v>MARCO MONORRIEL CORREDERA ANDES - BLANCO</v>
          </cell>
          <cell r="C1537" t="str">
            <v>PRECIO DE VENTA</v>
          </cell>
          <cell r="D1537">
            <v>1</v>
          </cell>
          <cell r="E1537">
            <v>28867</v>
          </cell>
          <cell r="F1537">
            <v>28867</v>
          </cell>
        </row>
        <row r="1538">
          <cell r="A1538" t="str">
            <v>PI-SLA-MMC-GR</v>
          </cell>
          <cell r="B1538" t="str">
            <v>MARCO MONORRIEL CORREDERA ANDES - GRAFITO</v>
          </cell>
          <cell r="C1538" t="str">
            <v>PRECIO DE VENTA</v>
          </cell>
          <cell r="D1538">
            <v>1</v>
          </cell>
          <cell r="E1538">
            <v>41921</v>
          </cell>
          <cell r="F1538">
            <v>41921</v>
          </cell>
        </row>
        <row r="1539">
          <cell r="A1539" t="str">
            <v>PI-SLA-MMC-NB</v>
          </cell>
          <cell r="B1539" t="str">
            <v>MARCO MONORRIEL CORREDERA ANDES - NEW BLACK</v>
          </cell>
          <cell r="C1539" t="str">
            <v>PRECIO DE VENTA</v>
          </cell>
          <cell r="D1539">
            <v>1</v>
          </cell>
          <cell r="E1539">
            <v>45686</v>
          </cell>
          <cell r="F1539">
            <v>45686</v>
          </cell>
        </row>
        <row r="1540">
          <cell r="A1540" t="str">
            <v>PI-SLA-MMC-NO</v>
          </cell>
          <cell r="B1540" t="str">
            <v>MARCO MONORRIEL CORREDERA ANDES - NOGAL</v>
          </cell>
          <cell r="C1540" t="str">
            <v>PRECIO DE VENTA</v>
          </cell>
          <cell r="D1540">
            <v>1</v>
          </cell>
          <cell r="E1540">
            <v>41281</v>
          </cell>
          <cell r="F1540">
            <v>41281</v>
          </cell>
        </row>
        <row r="1541">
          <cell r="A1541" t="str">
            <v>PI-SLA-MMC-RD</v>
          </cell>
          <cell r="B1541" t="str">
            <v>MARCO MONORRIEL CORREDERA ANDES - ROBLE</v>
          </cell>
          <cell r="C1541" t="str">
            <v>PRECIO DE VENTA</v>
          </cell>
          <cell r="D1541">
            <v>1</v>
          </cell>
          <cell r="E1541">
            <v>41281</v>
          </cell>
          <cell r="F1541">
            <v>41281</v>
          </cell>
        </row>
        <row r="1542">
          <cell r="A1542" t="str">
            <v>PI-SLA-MMS-BL</v>
          </cell>
          <cell r="B1542" t="str">
            <v>MARCO CORREDERA MONORRIEL SLIDING - BLANCO</v>
          </cell>
          <cell r="C1542" t="str">
            <v>PRECIO DE VENTA</v>
          </cell>
          <cell r="D1542">
            <v>1</v>
          </cell>
          <cell r="E1542">
            <v>34640</v>
          </cell>
          <cell r="F1542">
            <v>34640</v>
          </cell>
        </row>
        <row r="1543">
          <cell r="A1543" t="str">
            <v>PI-SLA-TA54-BL</v>
          </cell>
          <cell r="B1543" t="str">
            <v>TRASLAPO ANDES 54 - BLANCO</v>
          </cell>
          <cell r="C1543" t="str">
            <v>PRECIO DE VENTA</v>
          </cell>
          <cell r="D1543">
            <v>1</v>
          </cell>
          <cell r="E1543">
            <v>6553</v>
          </cell>
          <cell r="F1543">
            <v>6553</v>
          </cell>
        </row>
        <row r="1544">
          <cell r="A1544" t="str">
            <v>PI-SLA-TA66-BL</v>
          </cell>
          <cell r="B1544" t="str">
            <v>TRASLAPO ANDES 66 - BLANCO</v>
          </cell>
          <cell r="C1544" t="str">
            <v>PRECIO DE VENTA</v>
          </cell>
          <cell r="D1544">
            <v>1</v>
          </cell>
          <cell r="E1544">
            <v>7806</v>
          </cell>
          <cell r="F1544">
            <v>7806</v>
          </cell>
        </row>
        <row r="1545">
          <cell r="A1545" t="str">
            <v>PI-SLA-TA66-GR</v>
          </cell>
          <cell r="B1545" t="str">
            <v>TRASLAPO ANDES 66 - GRAFITO</v>
          </cell>
          <cell r="C1545" t="str">
            <v>PRECIO DE VENTA</v>
          </cell>
          <cell r="D1545">
            <v>1</v>
          </cell>
          <cell r="E1545">
            <v>19402</v>
          </cell>
          <cell r="F1545">
            <v>19402</v>
          </cell>
        </row>
        <row r="1546">
          <cell r="A1546" t="str">
            <v>PI-SLA-TA66-NB</v>
          </cell>
          <cell r="B1546" t="str">
            <v>TRASLAPO ANDES 66 - NEW BLACK</v>
          </cell>
          <cell r="C1546" t="str">
            <v>PRECIO DE VENTA</v>
          </cell>
          <cell r="D1546">
            <v>1</v>
          </cell>
          <cell r="E1546">
            <v>20372</v>
          </cell>
          <cell r="F1546">
            <v>20372</v>
          </cell>
        </row>
        <row r="1547">
          <cell r="A1547" t="str">
            <v>PI-SLA-TA66-NO</v>
          </cell>
          <cell r="B1547" t="str">
            <v>TRASLAPO ANDES 66 - NOGAL</v>
          </cell>
          <cell r="C1547" t="str">
            <v>PRECIO DE VENTA</v>
          </cell>
          <cell r="D1547">
            <v>1</v>
          </cell>
          <cell r="E1547">
            <v>16186</v>
          </cell>
          <cell r="F1547">
            <v>16186</v>
          </cell>
        </row>
        <row r="1548">
          <cell r="A1548" t="str">
            <v>PI-SLA-TA66-RD</v>
          </cell>
          <cell r="B1548" t="str">
            <v>TRASLAPO ANDES 66 - ROBLE</v>
          </cell>
          <cell r="C1548" t="str">
            <v>PRECIO DE VENTA</v>
          </cell>
          <cell r="D1548">
            <v>1</v>
          </cell>
          <cell r="E1548">
            <v>16186</v>
          </cell>
          <cell r="F1548">
            <v>16186</v>
          </cell>
        </row>
        <row r="1549">
          <cell r="A1549" t="str">
            <v>PI-SLA-TMM-BL</v>
          </cell>
          <cell r="B1549" t="str">
            <v>TAPA MARCO MONORRIEL ANDES - BLANCO</v>
          </cell>
          <cell r="C1549" t="str">
            <v>PRECIO DE VENTA</v>
          </cell>
          <cell r="D1549">
            <v>1</v>
          </cell>
          <cell r="E1549">
            <v>8126</v>
          </cell>
          <cell r="F1549">
            <v>8126</v>
          </cell>
        </row>
        <row r="1550">
          <cell r="A1550" t="str">
            <v>PI-SLA-TMM-GR</v>
          </cell>
          <cell r="B1550" t="str">
            <v>TAPA MARCO MONORRIEL ANDES - GRAFITO</v>
          </cell>
          <cell r="C1550" t="str">
            <v>PRECIO DE VENTA</v>
          </cell>
          <cell r="D1550">
            <v>1</v>
          </cell>
          <cell r="E1550">
            <v>13084</v>
          </cell>
          <cell r="F1550">
            <v>13084</v>
          </cell>
        </row>
        <row r="1551">
          <cell r="A1551" t="str">
            <v>PI-SLA-TMM-NB</v>
          </cell>
          <cell r="B1551" t="str">
            <v>TAPA MARCO MONORRIEL ANDES - NEW BLACK</v>
          </cell>
          <cell r="C1551" t="str">
            <v>PRECIO DE VENTA</v>
          </cell>
          <cell r="D1551">
            <v>1</v>
          </cell>
          <cell r="E1551">
            <v>13738</v>
          </cell>
          <cell r="F1551">
            <v>13738</v>
          </cell>
        </row>
        <row r="1552">
          <cell r="A1552" t="str">
            <v>PI-SLA-TMM-NO</v>
          </cell>
          <cell r="B1552" t="str">
            <v>TAPA MARCO MONORRIEL ANDES - NOGAL</v>
          </cell>
          <cell r="C1552" t="str">
            <v>PRECIO DE VENTA</v>
          </cell>
          <cell r="D1552">
            <v>1</v>
          </cell>
          <cell r="E1552">
            <v>11895</v>
          </cell>
          <cell r="F1552">
            <v>11895</v>
          </cell>
        </row>
        <row r="1553">
          <cell r="A1553" t="str">
            <v>PI-SLA-TMM-RD</v>
          </cell>
          <cell r="B1553" t="str">
            <v>TAPA MARCO MONORRIEL ANDES - ROBLE</v>
          </cell>
          <cell r="C1553" t="str">
            <v>PRECIO DE VENTA</v>
          </cell>
          <cell r="D1553">
            <v>1</v>
          </cell>
          <cell r="E1553">
            <v>11895</v>
          </cell>
          <cell r="F1553">
            <v>11895</v>
          </cell>
        </row>
        <row r="1554">
          <cell r="A1554" t="str">
            <v>PI-SLA-TMS-BL</v>
          </cell>
          <cell r="B1554" t="str">
            <v>TAPA MARCO MONORRIEL SLIDING - BLANCO</v>
          </cell>
          <cell r="C1554" t="str">
            <v>PRECIO DE VENTA</v>
          </cell>
          <cell r="D1554">
            <v>1</v>
          </cell>
          <cell r="E1554">
            <v>8939</v>
          </cell>
          <cell r="F1554">
            <v>8939</v>
          </cell>
        </row>
        <row r="1555">
          <cell r="A1555" t="str">
            <v>PI-SLD-4FL-BL</v>
          </cell>
          <cell r="B1555" t="str">
            <v>ADAPTADOR CUARTA HOJA BLANCO - C/ FELPA</v>
          </cell>
          <cell r="C1555" t="str">
            <v>PRECIO DE VENTA</v>
          </cell>
          <cell r="D1555">
            <v>1</v>
          </cell>
          <cell r="E1555">
            <v>68685</v>
          </cell>
          <cell r="F1555">
            <v>68685</v>
          </cell>
        </row>
        <row r="1556">
          <cell r="A1556" t="str">
            <v>PI-SLD-4FL-GR</v>
          </cell>
          <cell r="B1556" t="str">
            <v>ADAPTADOR CUARTA HOJA GRAFITO - C/ FELPA</v>
          </cell>
          <cell r="C1556" t="str">
            <v>PRECIO DE VENTA</v>
          </cell>
          <cell r="D1556">
            <v>1</v>
          </cell>
          <cell r="E1556">
            <v>37849</v>
          </cell>
          <cell r="F1556">
            <v>37849</v>
          </cell>
        </row>
        <row r="1557">
          <cell r="A1557" t="str">
            <v>PI-SLD-4FL-NB</v>
          </cell>
          <cell r="B1557" t="str">
            <v>ADAPTADOR CUARTA HOJA NEW BLACK - C/ FELPA</v>
          </cell>
          <cell r="C1557" t="str">
            <v>PRECIO DE VENTA</v>
          </cell>
          <cell r="D1557">
            <v>1</v>
          </cell>
          <cell r="E1557">
            <v>37849</v>
          </cell>
          <cell r="F1557">
            <v>37849</v>
          </cell>
        </row>
        <row r="1558">
          <cell r="A1558" t="str">
            <v>PI-SLD-4FL-NO</v>
          </cell>
          <cell r="B1558" t="str">
            <v>ADAPTADOR CUARTA HOJA NOGAL - C/ FELPA</v>
          </cell>
          <cell r="C1558" t="str">
            <v>PRECIO DE VENTA</v>
          </cell>
          <cell r="D1558">
            <v>1</v>
          </cell>
          <cell r="E1558">
            <v>43784</v>
          </cell>
          <cell r="F1558">
            <v>43784</v>
          </cell>
        </row>
        <row r="1559">
          <cell r="A1559" t="str">
            <v>PI-SLD-4FL-RD</v>
          </cell>
          <cell r="B1559" t="str">
            <v>ADAPTADOR CUARTA HOJA ROBLE - C/ FELPA</v>
          </cell>
          <cell r="C1559" t="str">
            <v>PRECIO DE VENTA</v>
          </cell>
          <cell r="D1559">
            <v>1</v>
          </cell>
          <cell r="E1559">
            <v>43784</v>
          </cell>
          <cell r="F1559">
            <v>43784</v>
          </cell>
        </row>
        <row r="1560">
          <cell r="A1560" t="str">
            <v>PI-SLD-4TA-BK</v>
          </cell>
          <cell r="B1560" t="str">
            <v>ADAPTADOR CUARTA HOJA - BLACK</v>
          </cell>
          <cell r="C1560" t="str">
            <v>PRECIO DE VENTA</v>
          </cell>
          <cell r="D1560">
            <v>1</v>
          </cell>
          <cell r="E1560">
            <v>78104</v>
          </cell>
          <cell r="F1560">
            <v>78104</v>
          </cell>
        </row>
        <row r="1561">
          <cell r="A1561" t="str">
            <v>PI-SLD-4TA-BL</v>
          </cell>
          <cell r="B1561" t="str">
            <v>ADAPTADOR CUARTA HOJA - BLANCO</v>
          </cell>
          <cell r="C1561" t="str">
            <v>PRECIO DE VENTA</v>
          </cell>
          <cell r="D1561">
            <v>1</v>
          </cell>
          <cell r="E1561">
            <v>49207</v>
          </cell>
          <cell r="F1561">
            <v>49207</v>
          </cell>
        </row>
        <row r="1562">
          <cell r="A1562" t="str">
            <v>PI-SLD-4TA-GR</v>
          </cell>
          <cell r="B1562" t="str">
            <v>ADAPTADOR CUARTA HOJA - GRAFITO</v>
          </cell>
          <cell r="C1562" t="str">
            <v>PRECIO DE VENTA</v>
          </cell>
          <cell r="D1562">
            <v>1</v>
          </cell>
          <cell r="E1562">
            <v>39053</v>
          </cell>
          <cell r="F1562">
            <v>39053</v>
          </cell>
        </row>
        <row r="1563">
          <cell r="A1563" t="str">
            <v>PI-SLD-4TA-NB</v>
          </cell>
          <cell r="B1563" t="str">
            <v>ADAPTADOR CUARTA HOJA - NEW BLACK</v>
          </cell>
          <cell r="C1563" t="str">
            <v>PRECIO DE VENTA</v>
          </cell>
          <cell r="D1563">
            <v>1</v>
          </cell>
          <cell r="E1563">
            <v>50898</v>
          </cell>
          <cell r="F1563">
            <v>50898</v>
          </cell>
        </row>
        <row r="1564">
          <cell r="A1564" t="str">
            <v>PI-SLD-4TA-NO</v>
          </cell>
          <cell r="B1564" t="str">
            <v>ADAPTADOR CUARTA HOJA - NOGAL</v>
          </cell>
          <cell r="C1564" t="str">
            <v>PRECIO DE VENTA</v>
          </cell>
          <cell r="D1564">
            <v>1</v>
          </cell>
          <cell r="E1564">
            <v>39053</v>
          </cell>
          <cell r="F1564">
            <v>39053</v>
          </cell>
        </row>
        <row r="1565">
          <cell r="A1565" t="str">
            <v>PI-SLD-4TA-RD</v>
          </cell>
          <cell r="B1565" t="str">
            <v>ADAPTADOR CUARTA HOJA - ROBLE</v>
          </cell>
          <cell r="C1565" t="str">
            <v>PRECIO DE VENTA</v>
          </cell>
          <cell r="D1565">
            <v>1</v>
          </cell>
          <cell r="E1565">
            <v>39053</v>
          </cell>
          <cell r="F1565">
            <v>39053</v>
          </cell>
        </row>
        <row r="1566">
          <cell r="A1566" t="str">
            <v>PI-SLD-EQC-BK</v>
          </cell>
          <cell r="B1566" t="str">
            <v>ESQUINERO 90° - 70 mm CORREDERA - BLACK</v>
          </cell>
          <cell r="C1566" t="str">
            <v>PRECIO DE VENTA</v>
          </cell>
          <cell r="D1566">
            <v>1</v>
          </cell>
          <cell r="E1566">
            <v>34539</v>
          </cell>
          <cell r="F1566">
            <v>34539</v>
          </cell>
        </row>
        <row r="1567">
          <cell r="A1567" t="str">
            <v>PI-SLD-EQC-BL</v>
          </cell>
          <cell r="B1567" t="str">
            <v>ESQUINERO 90° - 70 mm CORREDERA - BLANCO</v>
          </cell>
          <cell r="C1567" t="str">
            <v>PRECIO DE VENTA</v>
          </cell>
          <cell r="D1567">
            <v>1</v>
          </cell>
          <cell r="E1567">
            <v>30056</v>
          </cell>
          <cell r="F1567">
            <v>30056</v>
          </cell>
        </row>
        <row r="1568">
          <cell r="A1568" t="str">
            <v>PI-SLD-EQC-GR</v>
          </cell>
          <cell r="B1568" t="str">
            <v>ESQUINERO 90° - 70 mm CORREDERA - GRAFITO</v>
          </cell>
          <cell r="C1568" t="str">
            <v>PRECIO DE VENTA</v>
          </cell>
          <cell r="D1568">
            <v>1</v>
          </cell>
          <cell r="E1568">
            <v>58748</v>
          </cell>
          <cell r="F1568">
            <v>58748</v>
          </cell>
        </row>
        <row r="1569">
          <cell r="A1569" t="str">
            <v>PI-SLD-EQC-NB</v>
          </cell>
          <cell r="B1569" t="str">
            <v>ESQUINERO 90° - 70 mm CORREDERA - NEW BLACK</v>
          </cell>
          <cell r="C1569" t="str">
            <v>PRECIO DE VENTA</v>
          </cell>
          <cell r="D1569">
            <v>1</v>
          </cell>
          <cell r="E1569">
            <v>66267</v>
          </cell>
          <cell r="F1569">
            <v>66267</v>
          </cell>
        </row>
        <row r="1570">
          <cell r="A1570" t="str">
            <v>PI-SLD-EQC-NO</v>
          </cell>
          <cell r="B1570" t="str">
            <v>ESQUINERO 90° - 70 mm CORREDERA - NOGAL</v>
          </cell>
          <cell r="C1570" t="str">
            <v>PRECIO DE VENTA</v>
          </cell>
          <cell r="D1570">
            <v>1</v>
          </cell>
          <cell r="E1570">
            <v>54906</v>
          </cell>
          <cell r="F1570">
            <v>54906</v>
          </cell>
        </row>
        <row r="1571">
          <cell r="A1571" t="str">
            <v>PI-SLD-EQC-RD</v>
          </cell>
          <cell r="B1571" t="str">
            <v>ESQUINERO 90° - 70 mm CORREDERA - ROBLE</v>
          </cell>
          <cell r="C1571" t="str">
            <v>PRECIO DE VENTA</v>
          </cell>
          <cell r="D1571">
            <v>1</v>
          </cell>
          <cell r="E1571">
            <v>54906</v>
          </cell>
          <cell r="F1571">
            <v>54906</v>
          </cell>
        </row>
        <row r="1572">
          <cell r="A1572" t="str">
            <v>PI-SLD-EQC-S75-BL</v>
          </cell>
          <cell r="B1572" t="str">
            <v>ESQUINERO 90° - 75 mm CORREDERA - BLANCO</v>
          </cell>
          <cell r="C1572" t="str">
            <v>PRECIO DE VENTA</v>
          </cell>
          <cell r="D1572">
            <v>1</v>
          </cell>
          <cell r="E1572">
            <v>30056</v>
          </cell>
          <cell r="F1572">
            <v>30056</v>
          </cell>
        </row>
        <row r="1573">
          <cell r="A1573" t="str">
            <v>PI-SLD-EQC-S75-GR</v>
          </cell>
          <cell r="B1573" t="str">
            <v>ESQUINERO 90° - 75 mm CORREDERA - GRAFITO</v>
          </cell>
          <cell r="C1573" t="str">
            <v>PRECIO DE VENTA</v>
          </cell>
          <cell r="D1573">
            <v>1</v>
          </cell>
          <cell r="E1573">
            <v>58748</v>
          </cell>
          <cell r="F1573">
            <v>58748</v>
          </cell>
        </row>
        <row r="1574">
          <cell r="A1574" t="str">
            <v>PI-SLD-EQC-S75-NB</v>
          </cell>
          <cell r="B1574" t="str">
            <v>ESQUINERO 90° - 75 mm CORREDERA - NEW BLACK</v>
          </cell>
          <cell r="C1574" t="str">
            <v>PRECIO DE VENTA</v>
          </cell>
          <cell r="D1574">
            <v>1</v>
          </cell>
          <cell r="E1574">
            <v>66267</v>
          </cell>
          <cell r="F1574">
            <v>66267</v>
          </cell>
        </row>
        <row r="1575">
          <cell r="A1575" t="str">
            <v>PI-SLD-EQC-S75-NO</v>
          </cell>
          <cell r="B1575" t="str">
            <v>ESQUINERO 90° - 75 mm CORREDERA - NOGAL</v>
          </cell>
          <cell r="C1575" t="str">
            <v>PRECIO DE VENTA</v>
          </cell>
          <cell r="D1575">
            <v>1</v>
          </cell>
          <cell r="E1575">
            <v>54906</v>
          </cell>
          <cell r="F1575">
            <v>54906</v>
          </cell>
        </row>
        <row r="1576">
          <cell r="A1576" t="str">
            <v>PI-SLD-EQC-S75-RD</v>
          </cell>
          <cell r="B1576" t="str">
            <v>ESQUINERO 90° - 75 mm CORREDERA - ROBLE</v>
          </cell>
          <cell r="C1576" t="str">
            <v>PRECIO DE VENTA</v>
          </cell>
          <cell r="D1576">
            <v>1</v>
          </cell>
          <cell r="E1576">
            <v>54906</v>
          </cell>
          <cell r="F1576">
            <v>54906</v>
          </cell>
        </row>
        <row r="1577">
          <cell r="A1577" t="str">
            <v>PI-SLD-H80-BK</v>
          </cell>
          <cell r="B1577" t="str">
            <v>HOJA CORREDERA 80 - BLACK</v>
          </cell>
          <cell r="C1577" t="str">
            <v>PRECIO DE VENTA</v>
          </cell>
          <cell r="D1577">
            <v>1</v>
          </cell>
          <cell r="E1577">
            <v>28278</v>
          </cell>
          <cell r="F1577">
            <v>28278</v>
          </cell>
        </row>
        <row r="1578">
          <cell r="A1578" t="str">
            <v>PI-SLD-H80-BL</v>
          </cell>
          <cell r="B1578" t="str">
            <v>HOJA CORREDERA 80 - BLANCO</v>
          </cell>
          <cell r="C1578" t="str">
            <v>PRECIO DE VENTA</v>
          </cell>
          <cell r="D1578">
            <v>1</v>
          </cell>
          <cell r="E1578">
            <v>33068</v>
          </cell>
          <cell r="F1578">
            <v>33068</v>
          </cell>
        </row>
        <row r="1579">
          <cell r="A1579" t="str">
            <v>PI-SLD-H80-GR</v>
          </cell>
          <cell r="B1579" t="str">
            <v>HOJA CORREDERA 80 - GRAFITO</v>
          </cell>
          <cell r="C1579" t="str">
            <v>PRECIO DE VENTA</v>
          </cell>
          <cell r="D1579">
            <v>1</v>
          </cell>
          <cell r="E1579">
            <v>54781</v>
          </cell>
          <cell r="F1579">
            <v>54781</v>
          </cell>
        </row>
        <row r="1580">
          <cell r="A1580" t="str">
            <v>PI-SLD-H80-NB</v>
          </cell>
          <cell r="B1580" t="str">
            <v>HOJA CORREDERA 80 - NEW BLACK</v>
          </cell>
          <cell r="C1580" t="str">
            <v>PRECIO DE VENTA</v>
          </cell>
          <cell r="D1580">
            <v>1</v>
          </cell>
          <cell r="E1580">
            <v>50607</v>
          </cell>
          <cell r="F1580">
            <v>50607</v>
          </cell>
        </row>
        <row r="1581">
          <cell r="A1581" t="str">
            <v>PI-SLD-H80-NO</v>
          </cell>
          <cell r="B1581" t="str">
            <v>HOJA CORREDERA 80 - NOGAL</v>
          </cell>
          <cell r="C1581" t="str">
            <v>PRECIO DE VENTA</v>
          </cell>
          <cell r="D1581">
            <v>1</v>
          </cell>
          <cell r="E1581">
            <v>51200</v>
          </cell>
          <cell r="F1581">
            <v>51200</v>
          </cell>
        </row>
        <row r="1582">
          <cell r="A1582" t="str">
            <v>PI-SLD-H80-RD</v>
          </cell>
          <cell r="B1582" t="str">
            <v>HOJA CORREDERA 80 - ROBLE</v>
          </cell>
          <cell r="C1582" t="str">
            <v>PRECIO DE VENTA</v>
          </cell>
          <cell r="D1582">
            <v>1</v>
          </cell>
          <cell r="E1582">
            <v>51200</v>
          </cell>
          <cell r="F1582">
            <v>51200</v>
          </cell>
        </row>
        <row r="1583">
          <cell r="A1583" t="str">
            <v>PI-SLD-H98-BK</v>
          </cell>
          <cell r="B1583" t="str">
            <v>HOJA CORREDERA 98 - BLACK</v>
          </cell>
          <cell r="C1583" t="str">
            <v>PRECIO DE VENTA</v>
          </cell>
          <cell r="D1583">
            <v>1</v>
          </cell>
          <cell r="E1583">
            <v>35104</v>
          </cell>
          <cell r="F1583">
            <v>35104</v>
          </cell>
        </row>
        <row r="1584">
          <cell r="A1584" t="str">
            <v>PI-SLD-H98-BL</v>
          </cell>
          <cell r="B1584" t="str">
            <v>HOJA CORREDERA 98 - BLANCO</v>
          </cell>
          <cell r="C1584" t="str">
            <v>PRECIO DE VENTA</v>
          </cell>
          <cell r="D1584">
            <v>1</v>
          </cell>
          <cell r="E1584">
            <v>39676</v>
          </cell>
          <cell r="F1584">
            <v>39676</v>
          </cell>
        </row>
        <row r="1585">
          <cell r="A1585" t="str">
            <v>PI-SLD-H98-GR</v>
          </cell>
          <cell r="B1585" t="str">
            <v>HOJA CORREDERA 98 - GRAFITO</v>
          </cell>
          <cell r="C1585" t="str">
            <v>PRECIO DE VENTA</v>
          </cell>
          <cell r="D1585">
            <v>1</v>
          </cell>
          <cell r="E1585">
            <v>65739</v>
          </cell>
          <cell r="F1585">
            <v>65739</v>
          </cell>
        </row>
        <row r="1586">
          <cell r="A1586" t="str">
            <v>PI-SLD-H98-NB</v>
          </cell>
          <cell r="B1586" t="str">
            <v>HOJA CORREDERA 98 - NEW BLACK</v>
          </cell>
          <cell r="C1586" t="str">
            <v>PRECIO DE VENTA</v>
          </cell>
          <cell r="D1586">
            <v>1</v>
          </cell>
          <cell r="E1586">
            <v>63790</v>
          </cell>
          <cell r="F1586">
            <v>63790</v>
          </cell>
        </row>
        <row r="1587">
          <cell r="A1587" t="str">
            <v>PI-SLD-H98-NO</v>
          </cell>
          <cell r="B1587" t="str">
            <v>HOJA CORREDERA 98 - NOGAL</v>
          </cell>
          <cell r="C1587" t="str">
            <v>PRECIO DE VENTA</v>
          </cell>
          <cell r="D1587">
            <v>1</v>
          </cell>
          <cell r="E1587">
            <v>61438</v>
          </cell>
          <cell r="F1587">
            <v>61438</v>
          </cell>
        </row>
        <row r="1588">
          <cell r="A1588" t="str">
            <v>PI-SLD-H98-RD</v>
          </cell>
          <cell r="B1588" t="str">
            <v>HOJA CORREDERA 98 - ROBLE</v>
          </cell>
          <cell r="C1588" t="str">
            <v>PRECIO DE VENTA</v>
          </cell>
          <cell r="D1588">
            <v>1</v>
          </cell>
          <cell r="E1588">
            <v>61438</v>
          </cell>
          <cell r="F1588">
            <v>61438</v>
          </cell>
        </row>
        <row r="1589">
          <cell r="A1589" t="str">
            <v>PI-SLD-HS-MC-12</v>
          </cell>
          <cell r="B1589" t="str">
            <v>REFUERZO MARCO CORREDERA 1.2 mm - HS</v>
          </cell>
          <cell r="C1589" t="str">
            <v>PRECIO DE VENTA</v>
          </cell>
          <cell r="D1589">
            <v>1</v>
          </cell>
          <cell r="E1589">
            <v>11003</v>
          </cell>
          <cell r="F1589">
            <v>11003</v>
          </cell>
        </row>
        <row r="1590">
          <cell r="A1590" t="str">
            <v>PI-SLD-J17-20-BK</v>
          </cell>
          <cell r="B1590" t="str">
            <v>JUNQUILLO 17-20 mm CORREDERA - BLACK</v>
          </cell>
          <cell r="C1590" t="str">
            <v>PRECIO DE VENTA</v>
          </cell>
          <cell r="D1590">
            <v>1</v>
          </cell>
          <cell r="E1590">
            <v>5138</v>
          </cell>
          <cell r="F1590">
            <v>5138</v>
          </cell>
        </row>
        <row r="1591">
          <cell r="A1591" t="str">
            <v>PI-SLD-J17-20-BL</v>
          </cell>
          <cell r="B1591" t="str">
            <v>JUNQUILLO 17-20 mm CORREDERA - BLANCO</v>
          </cell>
          <cell r="C1591" t="str">
            <v>PRECIO DE VENTA</v>
          </cell>
          <cell r="D1591">
            <v>1</v>
          </cell>
          <cell r="E1591">
            <v>5894</v>
          </cell>
          <cell r="F1591">
            <v>5894</v>
          </cell>
        </row>
        <row r="1592">
          <cell r="A1592" t="str">
            <v>PI-SLD-J17-20-GR</v>
          </cell>
          <cell r="B1592" t="str">
            <v>JUNQUILLO 17-20 mm CORREDERA - GRAFITO</v>
          </cell>
          <cell r="C1592" t="str">
            <v>PRECIO DE VENTA</v>
          </cell>
          <cell r="D1592">
            <v>1</v>
          </cell>
          <cell r="E1592">
            <v>11743</v>
          </cell>
          <cell r="F1592">
            <v>11743</v>
          </cell>
        </row>
        <row r="1593">
          <cell r="A1593" t="str">
            <v>PI-SLD-J17-20-NB</v>
          </cell>
          <cell r="B1593" t="str">
            <v>JUNQUILLO 17-20 mm CORREDERA - NEW BLACK</v>
          </cell>
          <cell r="C1593" t="str">
            <v>PRECIO DE VENTA</v>
          </cell>
          <cell r="D1593">
            <v>1</v>
          </cell>
          <cell r="E1593">
            <v>10383</v>
          </cell>
          <cell r="F1593">
            <v>10383</v>
          </cell>
        </row>
        <row r="1594">
          <cell r="A1594" t="str">
            <v>PI-SLD-J17-20-NO</v>
          </cell>
          <cell r="B1594" t="str">
            <v>JUNQUILLO 17-20 mm CORREDERA - NOGAL</v>
          </cell>
          <cell r="C1594" t="str">
            <v>PRECIO DE VENTA</v>
          </cell>
          <cell r="D1594">
            <v>1</v>
          </cell>
          <cell r="E1594">
            <v>10977</v>
          </cell>
          <cell r="F1594">
            <v>10977</v>
          </cell>
        </row>
        <row r="1595">
          <cell r="A1595" t="str">
            <v>PI-SLD-J17-20-RD</v>
          </cell>
          <cell r="B1595" t="str">
            <v>JUNQUILLO 17-20 mm CORREDERA - ROBLE</v>
          </cell>
          <cell r="C1595" t="str">
            <v>PRECIO DE VENTA</v>
          </cell>
          <cell r="D1595">
            <v>1</v>
          </cell>
          <cell r="E1595">
            <v>10977</v>
          </cell>
          <cell r="F1595">
            <v>10977</v>
          </cell>
        </row>
        <row r="1596">
          <cell r="A1596" t="str">
            <v>PI-SLD-J20-22-BK</v>
          </cell>
          <cell r="B1596" t="str">
            <v>JUNQUILLO 20-22 mm CORREDERA - BLACK</v>
          </cell>
          <cell r="C1596" t="str">
            <v>PRECIO DE VENTA</v>
          </cell>
          <cell r="D1596">
            <v>1</v>
          </cell>
          <cell r="E1596">
            <v>6136</v>
          </cell>
          <cell r="F1596">
            <v>6136</v>
          </cell>
        </row>
        <row r="1597">
          <cell r="A1597" t="str">
            <v>PI-SLD-J20-22-BL</v>
          </cell>
          <cell r="B1597" t="str">
            <v>JUNQUILLO 20-22 mm CORREDERA - BLANCO</v>
          </cell>
          <cell r="C1597" t="str">
            <v>PRECIO DE VENTA</v>
          </cell>
          <cell r="D1597">
            <v>1</v>
          </cell>
          <cell r="E1597">
            <v>5528</v>
          </cell>
          <cell r="F1597">
            <v>5528</v>
          </cell>
        </row>
        <row r="1598">
          <cell r="A1598" t="str">
            <v>PI-SLD-J20-22-GR</v>
          </cell>
          <cell r="B1598" t="str">
            <v>JUNQUILLO 20-22 mm CORREDERA - GRAFITO</v>
          </cell>
          <cell r="C1598" t="str">
            <v>PRECIO DE VENTA</v>
          </cell>
          <cell r="D1598">
            <v>1</v>
          </cell>
          <cell r="E1598">
            <v>12399</v>
          </cell>
          <cell r="F1598">
            <v>12399</v>
          </cell>
        </row>
        <row r="1599">
          <cell r="A1599" t="str">
            <v>PI-SLD-J20-22-NB</v>
          </cell>
          <cell r="B1599" t="str">
            <v>JUNQUILLO 20-22 mm CORREDERA - NEW BLACK</v>
          </cell>
          <cell r="C1599" t="str">
            <v>PRECIO DE VENTA</v>
          </cell>
          <cell r="D1599">
            <v>1</v>
          </cell>
          <cell r="E1599">
            <v>11409</v>
          </cell>
          <cell r="F1599">
            <v>11409</v>
          </cell>
        </row>
        <row r="1600">
          <cell r="A1600" t="str">
            <v>PI-SLD-J20-22-NO</v>
          </cell>
          <cell r="B1600" t="str">
            <v>JUNQUILLO 20-22 mm CORREDERA - NOGAL</v>
          </cell>
          <cell r="C1600" t="str">
            <v>PRECIO DE VENTA</v>
          </cell>
          <cell r="D1600">
            <v>1</v>
          </cell>
          <cell r="E1600">
            <v>11587</v>
          </cell>
          <cell r="F1600">
            <v>11587</v>
          </cell>
        </row>
        <row r="1601">
          <cell r="A1601" t="str">
            <v>PI-SLD-J20-22-RD</v>
          </cell>
          <cell r="B1601" t="str">
            <v>JUNQUILLO 20-22 mm CORREDERA - ROBLE</v>
          </cell>
          <cell r="C1601" t="str">
            <v>PRECIO DE VENTA</v>
          </cell>
          <cell r="D1601">
            <v>1</v>
          </cell>
          <cell r="E1601">
            <v>11587</v>
          </cell>
          <cell r="F1601">
            <v>11587</v>
          </cell>
        </row>
        <row r="1602">
          <cell r="A1602" t="str">
            <v>PI-SLD-J3-5-BK</v>
          </cell>
          <cell r="B1602" t="str">
            <v>JUNQUILLO 4-5 mm CORREDERA - BLACK</v>
          </cell>
          <cell r="C1602" t="str">
            <v>PRECIO DE VENTA</v>
          </cell>
          <cell r="D1602">
            <v>1</v>
          </cell>
          <cell r="E1602">
            <v>7099</v>
          </cell>
          <cell r="F1602">
            <v>7099</v>
          </cell>
        </row>
        <row r="1603">
          <cell r="A1603" t="str">
            <v>PI-SLD-J3-5-BL</v>
          </cell>
          <cell r="B1603" t="str">
            <v>JUNQUILLO 4-5 mm CORREDERA - BLANCO</v>
          </cell>
          <cell r="C1603" t="str">
            <v>PRECIO DE VENTA</v>
          </cell>
          <cell r="D1603">
            <v>1</v>
          </cell>
          <cell r="E1603">
            <v>7615</v>
          </cell>
          <cell r="F1603">
            <v>7615</v>
          </cell>
        </row>
        <row r="1604">
          <cell r="A1604" t="str">
            <v>PI-SLD-J3-5-GR</v>
          </cell>
          <cell r="B1604" t="str">
            <v>JUNQUILLO 4-5 mm CORREDERA - GRAFITO</v>
          </cell>
          <cell r="C1604" t="str">
            <v>PRECIO DE VENTA</v>
          </cell>
          <cell r="D1604">
            <v>1</v>
          </cell>
          <cell r="E1604">
            <v>13872</v>
          </cell>
          <cell r="F1604">
            <v>13872</v>
          </cell>
        </row>
        <row r="1605">
          <cell r="A1605" t="str">
            <v>PI-SLD-J3-5-NB</v>
          </cell>
          <cell r="B1605" t="str">
            <v>JUNQUILLO 4-5 mm CORREDERA - NEW BLACK</v>
          </cell>
          <cell r="C1605" t="str">
            <v>PRECIO DE VENTA</v>
          </cell>
          <cell r="D1605">
            <v>1</v>
          </cell>
          <cell r="E1605">
            <v>13610</v>
          </cell>
          <cell r="F1605">
            <v>13610</v>
          </cell>
        </row>
        <row r="1606">
          <cell r="A1606" t="str">
            <v>PI-SLD-J3-5-NO</v>
          </cell>
          <cell r="B1606" t="str">
            <v>JUNQUILLO 4-5 mm CORREDERA - NOGAL</v>
          </cell>
          <cell r="C1606" t="str">
            <v>PRECIO DE VENTA</v>
          </cell>
          <cell r="D1606">
            <v>1</v>
          </cell>
          <cell r="E1606">
            <v>12966</v>
          </cell>
          <cell r="F1606">
            <v>12966</v>
          </cell>
        </row>
        <row r="1607">
          <cell r="A1607" t="str">
            <v>PI-SLD-J3-5-RD</v>
          </cell>
          <cell r="B1607" t="str">
            <v>JUNQUILLO 4-5 mm CORREDERA - ROBLE</v>
          </cell>
          <cell r="C1607" t="str">
            <v>PRECIO DE VENTA</v>
          </cell>
          <cell r="D1607">
            <v>1</v>
          </cell>
          <cell r="E1607">
            <v>12966</v>
          </cell>
          <cell r="F1607">
            <v>12966</v>
          </cell>
        </row>
        <row r="1608">
          <cell r="A1608" t="str">
            <v>PI-SLD-MDR-BK</v>
          </cell>
          <cell r="B1608" t="str">
            <v>MARCO DOBLE RIEL CORREDERA S70 - BLACK</v>
          </cell>
          <cell r="C1608" t="str">
            <v>PRECIO DE VENTA</v>
          </cell>
          <cell r="D1608">
            <v>1</v>
          </cell>
          <cell r="E1608">
            <v>26096</v>
          </cell>
          <cell r="F1608">
            <v>26096</v>
          </cell>
        </row>
        <row r="1609">
          <cell r="A1609" t="str">
            <v>PI-SLD-MDR-BL</v>
          </cell>
          <cell r="B1609" t="str">
            <v>MARCO DOBLE RIEL CORREDERA S70 - BLANCO</v>
          </cell>
          <cell r="C1609" t="str">
            <v>PRECIO DE VENTA</v>
          </cell>
          <cell r="D1609">
            <v>1</v>
          </cell>
          <cell r="E1609">
            <v>28939</v>
          </cell>
          <cell r="F1609">
            <v>28939</v>
          </cell>
        </row>
        <row r="1610">
          <cell r="A1610" t="str">
            <v>PI-SLD-MDR-CM-GR</v>
          </cell>
          <cell r="B1610" t="str">
            <v>MARCO DOBLE RIEL CON MOSQUITERO - GRAFITO</v>
          </cell>
          <cell r="C1610" t="str">
            <v>PRECIO DE VENTA</v>
          </cell>
          <cell r="D1610">
            <v>1</v>
          </cell>
          <cell r="E1610">
            <v>66915</v>
          </cell>
          <cell r="F1610">
            <v>66915</v>
          </cell>
        </row>
        <row r="1611">
          <cell r="A1611" t="str">
            <v>PI-SLD-MDR-CM-NO</v>
          </cell>
          <cell r="B1611" t="str">
            <v>MARCO DOBLE RIEL CON MOSQUITERO - NOGAL</v>
          </cell>
          <cell r="C1611" t="str">
            <v>PRECIO DE VENTA</v>
          </cell>
          <cell r="D1611">
            <v>1</v>
          </cell>
          <cell r="E1611">
            <v>74564</v>
          </cell>
          <cell r="F1611">
            <v>74564</v>
          </cell>
        </row>
        <row r="1612">
          <cell r="A1612" t="str">
            <v>PI-SLD-MDR-GR</v>
          </cell>
          <cell r="B1612" t="str">
            <v>MARCO DOBLE RIEL CORREDERA S70 - GRAFITO</v>
          </cell>
          <cell r="C1612" t="str">
            <v>PRECIO DE VENTA</v>
          </cell>
          <cell r="D1612">
            <v>1</v>
          </cell>
          <cell r="E1612">
            <v>50928</v>
          </cell>
          <cell r="F1612">
            <v>50928</v>
          </cell>
        </row>
        <row r="1613">
          <cell r="A1613" t="str">
            <v>PI-SLD-MDR-NB</v>
          </cell>
          <cell r="B1613" t="str">
            <v>MARCO DOBLE RIEL CORREDERA S70 - NEW BLACK</v>
          </cell>
          <cell r="C1613" t="str">
            <v>PRECIO DE VENTA</v>
          </cell>
          <cell r="D1613">
            <v>1</v>
          </cell>
          <cell r="E1613">
            <v>51768</v>
          </cell>
          <cell r="F1613">
            <v>51768</v>
          </cell>
        </row>
        <row r="1614">
          <cell r="A1614" t="str">
            <v>PI-SLD-MDR-NO</v>
          </cell>
          <cell r="B1614" t="str">
            <v>MARCO DOBLE RIEL CORREDERA S70 - NOGAL</v>
          </cell>
          <cell r="C1614" t="str">
            <v>PRECIO DE VENTA</v>
          </cell>
          <cell r="D1614">
            <v>1</v>
          </cell>
          <cell r="E1614">
            <v>47595</v>
          </cell>
          <cell r="F1614">
            <v>47595</v>
          </cell>
        </row>
        <row r="1615">
          <cell r="A1615" t="str">
            <v>PI-SLD-MDR-RD</v>
          </cell>
          <cell r="B1615" t="str">
            <v>MARCO DOBLE RIEL CORREDERA S70 - ROBLE</v>
          </cell>
          <cell r="C1615" t="str">
            <v>PRECIO DE VENTA</v>
          </cell>
          <cell r="D1615">
            <v>1</v>
          </cell>
          <cell r="E1615">
            <v>47595</v>
          </cell>
          <cell r="F1615">
            <v>47595</v>
          </cell>
        </row>
        <row r="1616">
          <cell r="A1616" t="str">
            <v>PI-SLD-MDR-RF-NA</v>
          </cell>
          <cell r="B1616" t="str">
            <v>MARCO CORREDERA SLIDING REFORZADO</v>
          </cell>
          <cell r="C1616" t="str">
            <v>PRECIO DE VENTA</v>
          </cell>
          <cell r="D1616">
            <v>1</v>
          </cell>
          <cell r="E1616">
            <v>115775</v>
          </cell>
          <cell r="F1616">
            <v>115775</v>
          </cell>
        </row>
        <row r="1617">
          <cell r="A1617" t="str">
            <v>PI-SLD-MDR-S75-BL</v>
          </cell>
          <cell r="B1617" t="str">
            <v>MARCO DOBLE RIEL CORREDERA S75 - BLANCO</v>
          </cell>
          <cell r="C1617" t="str">
            <v>PRECIO DE VENTA</v>
          </cell>
          <cell r="D1617">
            <v>1</v>
          </cell>
          <cell r="E1617">
            <v>28939</v>
          </cell>
          <cell r="F1617">
            <v>28939</v>
          </cell>
        </row>
        <row r="1618">
          <cell r="A1618" t="str">
            <v>PI-SLD-MDR-S75-GR</v>
          </cell>
          <cell r="B1618" t="str">
            <v>MARCO DOBLE RIEL CORREDERA S75 - GRAFITO</v>
          </cell>
          <cell r="C1618" t="str">
            <v>PRECIO DE VENTA</v>
          </cell>
          <cell r="D1618">
            <v>1</v>
          </cell>
          <cell r="E1618">
            <v>50928</v>
          </cell>
          <cell r="F1618">
            <v>50928</v>
          </cell>
        </row>
        <row r="1619">
          <cell r="A1619" t="str">
            <v>PI-SLD-MDR-S75-NB</v>
          </cell>
          <cell r="B1619" t="str">
            <v>MARCO DOBLE RIEL CORREDERA S75 - NEW BLACK</v>
          </cell>
          <cell r="C1619" t="str">
            <v>PRECIO DE VENTA</v>
          </cell>
          <cell r="D1619">
            <v>1</v>
          </cell>
          <cell r="E1619">
            <v>51768</v>
          </cell>
          <cell r="F1619">
            <v>51768</v>
          </cell>
        </row>
        <row r="1620">
          <cell r="A1620" t="str">
            <v>PI-SLD-MDR-S75-NO</v>
          </cell>
          <cell r="B1620" t="str">
            <v>MARCO DOBLE RIEL CORREDERA S75 - NOGAL</v>
          </cell>
          <cell r="C1620" t="str">
            <v>PRECIO DE VENTA</v>
          </cell>
          <cell r="D1620">
            <v>1</v>
          </cell>
          <cell r="E1620">
            <v>47595</v>
          </cell>
          <cell r="F1620">
            <v>47595</v>
          </cell>
        </row>
        <row r="1621">
          <cell r="A1621" t="str">
            <v>PI-SLD-MDR-S75-RD</v>
          </cell>
          <cell r="B1621" t="str">
            <v>MARCO DOBLE RIEL CORREDERA S75 - ROBLE</v>
          </cell>
          <cell r="C1621" t="str">
            <v>PRECIO DE VENTA</v>
          </cell>
          <cell r="D1621">
            <v>1</v>
          </cell>
          <cell r="E1621">
            <v>47595</v>
          </cell>
          <cell r="F1621">
            <v>47595</v>
          </cell>
        </row>
        <row r="1622">
          <cell r="A1622" t="str">
            <v>PI-SLD-MTR-BK</v>
          </cell>
          <cell r="B1622" t="str">
            <v>MARCO TRIPLE RIEL CORREDERA S70 - BLACK</v>
          </cell>
          <cell r="C1622" t="str">
            <v>PRECIO DE VENTA</v>
          </cell>
          <cell r="D1622">
            <v>1</v>
          </cell>
          <cell r="E1622">
            <v>37796</v>
          </cell>
          <cell r="F1622">
            <v>37796</v>
          </cell>
        </row>
        <row r="1623">
          <cell r="A1623" t="str">
            <v>PI-SLD-MTR-BL</v>
          </cell>
          <cell r="B1623" t="str">
            <v>MARCO TRIPLE RIEL CORREDERA S70 - BLANCO</v>
          </cell>
          <cell r="C1623" t="str">
            <v>PRECIO DE VENTA</v>
          </cell>
          <cell r="D1623">
            <v>1</v>
          </cell>
          <cell r="E1623">
            <v>48909</v>
          </cell>
          <cell r="F1623">
            <v>48909</v>
          </cell>
        </row>
        <row r="1624">
          <cell r="A1624" t="str">
            <v>PI-SLD-MTR-GR</v>
          </cell>
          <cell r="B1624" t="str">
            <v>MARCO TRIPLE RIEL CORREDERA S70 - GRAFITO</v>
          </cell>
          <cell r="C1624" t="str">
            <v>PRECIO DE VENTA</v>
          </cell>
          <cell r="D1624">
            <v>1</v>
          </cell>
          <cell r="E1624">
            <v>71298</v>
          </cell>
          <cell r="F1624">
            <v>71298</v>
          </cell>
        </row>
        <row r="1625">
          <cell r="A1625" t="str">
            <v>PI-SLD-MTR-NB</v>
          </cell>
          <cell r="B1625" t="str">
            <v>MARCO TRIPLE RIEL CORREDERA S70 - NEW BLACK</v>
          </cell>
          <cell r="C1625" t="str">
            <v>PRECIO DE VENTA</v>
          </cell>
          <cell r="D1625">
            <v>1</v>
          </cell>
          <cell r="E1625">
            <v>76207</v>
          </cell>
          <cell r="F1625">
            <v>76207</v>
          </cell>
        </row>
        <row r="1626">
          <cell r="A1626" t="str">
            <v>PI-SLD-MTR-NO</v>
          </cell>
          <cell r="B1626" t="str">
            <v>MARCO TRIPLE RIEL CORREDERA S70 - NOGAL</v>
          </cell>
          <cell r="C1626" t="str">
            <v>PRECIO DE VENTA</v>
          </cell>
          <cell r="D1626">
            <v>1</v>
          </cell>
          <cell r="E1626">
            <v>66635</v>
          </cell>
          <cell r="F1626">
            <v>66635</v>
          </cell>
        </row>
        <row r="1627">
          <cell r="A1627" t="str">
            <v>PI-SLD-MTR-RD</v>
          </cell>
          <cell r="B1627" t="str">
            <v>MARCO TRIPLE RIEL CORREDERA S70 - ROBLE</v>
          </cell>
          <cell r="C1627" t="str">
            <v>PRECIO DE VENTA</v>
          </cell>
          <cell r="D1627">
            <v>1</v>
          </cell>
          <cell r="E1627">
            <v>66635</v>
          </cell>
          <cell r="F1627">
            <v>66635</v>
          </cell>
        </row>
        <row r="1628">
          <cell r="A1628" t="str">
            <v>PI-SLD-MTR-S75-BL</v>
          </cell>
          <cell r="B1628" t="str">
            <v>MARCO TRIPLE RIEL CORREDERA S75 - BLANCO</v>
          </cell>
          <cell r="C1628" t="str">
            <v>PRECIO DE VENTA</v>
          </cell>
          <cell r="D1628">
            <v>1</v>
          </cell>
          <cell r="E1628">
            <v>48909</v>
          </cell>
          <cell r="F1628">
            <v>48909</v>
          </cell>
        </row>
        <row r="1629">
          <cell r="A1629" t="str">
            <v>PI-SLD-MTR-S75-GR</v>
          </cell>
          <cell r="B1629" t="str">
            <v>MARCO TRIPLE RIEL CORREDERA S75 - GRAFITO</v>
          </cell>
          <cell r="C1629" t="str">
            <v>PRECIO DE VENTA</v>
          </cell>
          <cell r="D1629">
            <v>1</v>
          </cell>
          <cell r="E1629">
            <v>71298</v>
          </cell>
          <cell r="F1629">
            <v>71298</v>
          </cell>
        </row>
        <row r="1630">
          <cell r="A1630" t="str">
            <v>PI-SLD-MTR-S75-NB</v>
          </cell>
          <cell r="B1630" t="str">
            <v>MARCO TRIPLE RIEL CORREDERA S75 - NEW BLACK</v>
          </cell>
          <cell r="C1630" t="str">
            <v>PRECIO DE VENTA</v>
          </cell>
          <cell r="D1630">
            <v>1</v>
          </cell>
          <cell r="E1630">
            <v>76207</v>
          </cell>
          <cell r="F1630">
            <v>76207</v>
          </cell>
        </row>
        <row r="1631">
          <cell r="A1631" t="str">
            <v>PI-SLD-MTR-S75-NO</v>
          </cell>
          <cell r="B1631" t="str">
            <v>MARCO TRIPLE RIEL CORREDERA S75 - NOGAL</v>
          </cell>
          <cell r="C1631" t="str">
            <v>PRECIO DE VENTA</v>
          </cell>
          <cell r="D1631">
            <v>1</v>
          </cell>
          <cell r="E1631">
            <v>66635</v>
          </cell>
          <cell r="F1631">
            <v>66635</v>
          </cell>
        </row>
        <row r="1632">
          <cell r="A1632" t="str">
            <v>PI-SLD-MTR-S75-RD</v>
          </cell>
          <cell r="B1632" t="str">
            <v>MARCO TRIPLE RIEL CORREDERA S75 - ROBLE</v>
          </cell>
          <cell r="C1632" t="str">
            <v>PRECIO DE VENTA</v>
          </cell>
          <cell r="D1632">
            <v>1</v>
          </cell>
          <cell r="E1632">
            <v>66635</v>
          </cell>
          <cell r="F1632">
            <v>66635</v>
          </cell>
        </row>
        <row r="1633">
          <cell r="A1633" t="str">
            <v>PI-SLD-PTC-BK</v>
          </cell>
          <cell r="B1633" t="str">
            <v>POSTE T CORREDERA - BLACK</v>
          </cell>
          <cell r="C1633" t="str">
            <v>PRECIO DE VENTA</v>
          </cell>
          <cell r="D1633">
            <v>1</v>
          </cell>
          <cell r="E1633">
            <v>24231</v>
          </cell>
          <cell r="F1633">
            <v>24231</v>
          </cell>
        </row>
        <row r="1634">
          <cell r="A1634" t="str">
            <v>PI-SLD-PTC-BL</v>
          </cell>
          <cell r="B1634" t="str">
            <v>POSTE T CORREDERA - BLANCO</v>
          </cell>
          <cell r="C1634" t="str">
            <v>PRECIO DE VENTA</v>
          </cell>
          <cell r="D1634">
            <v>1</v>
          </cell>
          <cell r="E1634">
            <v>29167</v>
          </cell>
          <cell r="F1634">
            <v>29167</v>
          </cell>
        </row>
        <row r="1635">
          <cell r="A1635" t="str">
            <v>PI-SLD-PTC-GR</v>
          </cell>
          <cell r="B1635" t="str">
            <v>POSTE T CORREDERA - GRAFITO</v>
          </cell>
          <cell r="C1635" t="str">
            <v>PRECIO DE VENTA</v>
          </cell>
          <cell r="D1635">
            <v>1</v>
          </cell>
          <cell r="E1635">
            <v>52162</v>
          </cell>
          <cell r="F1635">
            <v>52162</v>
          </cell>
        </row>
        <row r="1636">
          <cell r="A1636" t="str">
            <v>PI-SLD-PTC-NB</v>
          </cell>
          <cell r="B1636" t="str">
            <v>POSTE T CORREDERA - NEW BLACK</v>
          </cell>
          <cell r="C1636" t="str">
            <v>PRECIO DE VENTA</v>
          </cell>
          <cell r="D1636">
            <v>1</v>
          </cell>
          <cell r="E1636">
            <v>41736</v>
          </cell>
          <cell r="F1636">
            <v>41736</v>
          </cell>
        </row>
        <row r="1637">
          <cell r="A1637" t="str">
            <v>PI-SLD-PTC-NO</v>
          </cell>
          <cell r="B1637" t="str">
            <v>POSTE T CORREDERA - NOGAL</v>
          </cell>
          <cell r="C1637" t="str">
            <v>PRECIO DE VENTA</v>
          </cell>
          <cell r="D1637">
            <v>1</v>
          </cell>
          <cell r="E1637">
            <v>48749</v>
          </cell>
          <cell r="F1637">
            <v>48749</v>
          </cell>
        </row>
        <row r="1638">
          <cell r="A1638" t="str">
            <v>PI-SLD-PTC-RD</v>
          </cell>
          <cell r="B1638" t="str">
            <v>POSTE T CORREDERA - ROBLE</v>
          </cell>
          <cell r="C1638" t="str">
            <v>PRECIO DE VENTA</v>
          </cell>
          <cell r="D1638">
            <v>1</v>
          </cell>
          <cell r="E1638">
            <v>48749</v>
          </cell>
          <cell r="F1638">
            <v>48749</v>
          </cell>
        </row>
        <row r="1639">
          <cell r="A1639" t="str">
            <v>PI-SLD-RDA-NA</v>
          </cell>
          <cell r="B1639" t="str">
            <v>RIEL ALUMINIO SLIDING-ANDES</v>
          </cell>
          <cell r="C1639" t="str">
            <v>PRECIO DE VENTA</v>
          </cell>
          <cell r="D1639">
            <v>1</v>
          </cell>
          <cell r="E1639">
            <v>9647</v>
          </cell>
          <cell r="F1639">
            <v>9647</v>
          </cell>
        </row>
        <row r="1640">
          <cell r="A1640" t="str">
            <v>PI-SLD-T80-BK</v>
          </cell>
          <cell r="B1640" t="str">
            <v>TRASLAPO CORREDERA 80 S70 - BLACK</v>
          </cell>
          <cell r="C1640" t="str">
            <v>PRECIO DE VENTA</v>
          </cell>
          <cell r="D1640">
            <v>1</v>
          </cell>
          <cell r="E1640">
            <v>9971</v>
          </cell>
          <cell r="F1640">
            <v>9971</v>
          </cell>
        </row>
        <row r="1641">
          <cell r="A1641" t="str">
            <v>PI-SLD-T80-BL</v>
          </cell>
          <cell r="B1641" t="str">
            <v>TRASLAPO CORREDERA 80 S70 - BLANCO</v>
          </cell>
          <cell r="C1641" t="str">
            <v>PRECIO DE VENTA</v>
          </cell>
          <cell r="D1641">
            <v>1</v>
          </cell>
          <cell r="E1641">
            <v>9543</v>
          </cell>
          <cell r="F1641">
            <v>9543</v>
          </cell>
        </row>
        <row r="1642">
          <cell r="A1642" t="str">
            <v>PI-SLD-T80-GR</v>
          </cell>
          <cell r="B1642" t="str">
            <v>TRASLAPO CORREDERA 80 S70 - GRAFITO</v>
          </cell>
          <cell r="C1642" t="str">
            <v>PRECIO DE VENTA</v>
          </cell>
          <cell r="D1642">
            <v>1</v>
          </cell>
          <cell r="E1642">
            <v>23703</v>
          </cell>
          <cell r="F1642">
            <v>23703</v>
          </cell>
        </row>
        <row r="1643">
          <cell r="A1643" t="str">
            <v>PI-SLD-T80-NB</v>
          </cell>
          <cell r="B1643" t="str">
            <v>TRASLAPO CORREDERA 80 S70 - NEW BLACK</v>
          </cell>
          <cell r="C1643" t="str">
            <v>PRECIO DE VENTA</v>
          </cell>
          <cell r="D1643">
            <v>1</v>
          </cell>
          <cell r="E1643">
            <v>16127</v>
          </cell>
          <cell r="F1643">
            <v>16127</v>
          </cell>
        </row>
        <row r="1644">
          <cell r="A1644" t="str">
            <v>PI-SLD-T80-NO</v>
          </cell>
          <cell r="B1644" t="str">
            <v>TRASLAPO CORREDERA 80 S70 - NOGAL</v>
          </cell>
          <cell r="C1644" t="str">
            <v>PRECIO DE VENTA</v>
          </cell>
          <cell r="D1644">
            <v>1</v>
          </cell>
          <cell r="E1644">
            <v>22152</v>
          </cell>
          <cell r="F1644">
            <v>22152</v>
          </cell>
        </row>
        <row r="1645">
          <cell r="A1645" t="str">
            <v>PI-SLD-T80-RD</v>
          </cell>
          <cell r="B1645" t="str">
            <v>TRASLAPO CORREDERA 80 S70 - ROBLE</v>
          </cell>
          <cell r="C1645" t="str">
            <v>PRECIO DE VENTA</v>
          </cell>
          <cell r="D1645">
            <v>1</v>
          </cell>
          <cell r="E1645">
            <v>22152</v>
          </cell>
          <cell r="F1645">
            <v>22152</v>
          </cell>
        </row>
        <row r="1646">
          <cell r="A1646" t="str">
            <v>PI-SLD-T80-S75-BL</v>
          </cell>
          <cell r="B1646" t="str">
            <v>TRASLAPO CORREDERA 80 S75 - BLANCO</v>
          </cell>
          <cell r="C1646" t="str">
            <v>PRECIO DE VENTA</v>
          </cell>
          <cell r="D1646">
            <v>1</v>
          </cell>
          <cell r="E1646">
            <v>10497</v>
          </cell>
          <cell r="F1646">
            <v>10497</v>
          </cell>
        </row>
        <row r="1647">
          <cell r="A1647" t="str">
            <v>PI-SLD-T80-S75-GR</v>
          </cell>
          <cell r="B1647" t="str">
            <v>TRASLAPO CORREDERA 80 S75 - GRAFITO</v>
          </cell>
          <cell r="C1647" t="str">
            <v>PRECIO DE VENTA</v>
          </cell>
          <cell r="D1647">
            <v>1</v>
          </cell>
          <cell r="E1647">
            <v>22817</v>
          </cell>
          <cell r="F1647">
            <v>22817</v>
          </cell>
        </row>
        <row r="1648">
          <cell r="A1648" t="str">
            <v>PI-SLD-T80-S75-NB</v>
          </cell>
          <cell r="B1648" t="str">
            <v>TRASLAPO CORREDERA 80 S75 - NEW BLACK</v>
          </cell>
          <cell r="C1648" t="str">
            <v>PRECIO DE VENTA</v>
          </cell>
          <cell r="D1648">
            <v>1</v>
          </cell>
          <cell r="E1648">
            <v>23957</v>
          </cell>
          <cell r="F1648">
            <v>23957</v>
          </cell>
        </row>
        <row r="1649">
          <cell r="A1649" t="str">
            <v>PI-SLD-T80-S75-NO</v>
          </cell>
          <cell r="B1649" t="str">
            <v>TRASLAPO CORREDERA 80 S75 - NOGAL</v>
          </cell>
          <cell r="C1649" t="str">
            <v>PRECIO DE VENTA</v>
          </cell>
          <cell r="D1649">
            <v>1</v>
          </cell>
          <cell r="E1649">
            <v>22152</v>
          </cell>
          <cell r="F1649">
            <v>22152</v>
          </cell>
        </row>
        <row r="1650">
          <cell r="A1650" t="str">
            <v>PI-SLD-T80-S75-RD</v>
          </cell>
          <cell r="B1650" t="str">
            <v>TRASLAPO CORREDERA 80 S75 - ROBLE</v>
          </cell>
          <cell r="C1650" t="str">
            <v>PRECIO DE VENTA</v>
          </cell>
          <cell r="D1650">
            <v>1</v>
          </cell>
          <cell r="E1650">
            <v>22152</v>
          </cell>
          <cell r="F1650">
            <v>22152</v>
          </cell>
        </row>
        <row r="1651">
          <cell r="A1651" t="str">
            <v>PI-SLD-T98-BK</v>
          </cell>
          <cell r="B1651" t="str">
            <v>TRASLAPO CORREDERA 98 S70 - BLACK</v>
          </cell>
          <cell r="C1651" t="str">
            <v>PRECIO DE VENTA</v>
          </cell>
          <cell r="D1651">
            <v>1</v>
          </cell>
          <cell r="E1651">
            <v>9050</v>
          </cell>
          <cell r="F1651">
            <v>9050</v>
          </cell>
        </row>
        <row r="1652">
          <cell r="A1652" t="str">
            <v>PI-SLD-T98-BL</v>
          </cell>
          <cell r="B1652" t="str">
            <v>TRASLAPO CORREDERA 98 S70 - BLANCO</v>
          </cell>
          <cell r="C1652" t="str">
            <v>PRECIO DE VENTA</v>
          </cell>
          <cell r="D1652">
            <v>1</v>
          </cell>
          <cell r="E1652">
            <v>11450</v>
          </cell>
          <cell r="F1652">
            <v>11450</v>
          </cell>
        </row>
        <row r="1653">
          <cell r="A1653" t="str">
            <v>PI-SLD-T98-GR</v>
          </cell>
          <cell r="B1653" t="str">
            <v>TRASLAPO CORREDERA 98 S70 - GRAFITO</v>
          </cell>
          <cell r="C1653" t="str">
            <v>PRECIO DE VENTA</v>
          </cell>
          <cell r="D1653">
            <v>1</v>
          </cell>
          <cell r="E1653">
            <v>23703</v>
          </cell>
          <cell r="F1653">
            <v>23703</v>
          </cell>
        </row>
        <row r="1654">
          <cell r="A1654" t="str">
            <v>PI-SLD-T98-NB</v>
          </cell>
          <cell r="B1654" t="str">
            <v>TRASLAPO CORREDERA 98 S70 - NEW BLACK</v>
          </cell>
          <cell r="C1654" t="str">
            <v>PRECIO DE VENTA</v>
          </cell>
          <cell r="D1654">
            <v>1</v>
          </cell>
          <cell r="E1654">
            <v>18260</v>
          </cell>
          <cell r="F1654">
            <v>18260</v>
          </cell>
        </row>
        <row r="1655">
          <cell r="A1655" t="str">
            <v>PI-SLD-T98-NO</v>
          </cell>
          <cell r="B1655" t="str">
            <v>TRASLAPO CORREDERA 98 S70 - NOGAL</v>
          </cell>
          <cell r="C1655" t="str">
            <v>PRECIO DE VENTA</v>
          </cell>
          <cell r="D1655">
            <v>1</v>
          </cell>
          <cell r="E1655">
            <v>22152</v>
          </cell>
          <cell r="F1655">
            <v>22152</v>
          </cell>
        </row>
        <row r="1656">
          <cell r="A1656" t="str">
            <v>PI-SLD-T98-RD</v>
          </cell>
          <cell r="B1656" t="str">
            <v>TRASLAPO CORREDERA 98 S70 - ROBLE</v>
          </cell>
          <cell r="C1656" t="str">
            <v>PRECIO DE VENTA</v>
          </cell>
          <cell r="D1656">
            <v>1</v>
          </cell>
          <cell r="E1656">
            <v>22152</v>
          </cell>
          <cell r="F1656">
            <v>22152</v>
          </cell>
        </row>
        <row r="1657">
          <cell r="A1657" t="str">
            <v>PI-SLD-T98-S75-BL</v>
          </cell>
          <cell r="B1657" t="str">
            <v>TRASLAPO CORREDERA 98 S75 - BLANCO</v>
          </cell>
          <cell r="C1657" t="str">
            <v>PRECIO DE VENTA</v>
          </cell>
          <cell r="D1657">
            <v>1</v>
          </cell>
          <cell r="E1657">
            <v>11450</v>
          </cell>
          <cell r="F1657">
            <v>11450</v>
          </cell>
        </row>
        <row r="1658">
          <cell r="A1658" t="str">
            <v>PI-SLD-T98-S75-GR</v>
          </cell>
          <cell r="B1658" t="str">
            <v>TRASLAPO CORREDERA 98 S75 - GRAFITO</v>
          </cell>
          <cell r="C1658" t="str">
            <v>PRECIO DE VENTA</v>
          </cell>
          <cell r="D1658">
            <v>1</v>
          </cell>
          <cell r="E1658">
            <v>22817</v>
          </cell>
          <cell r="F1658">
            <v>22817</v>
          </cell>
        </row>
        <row r="1659">
          <cell r="A1659" t="str">
            <v>PI-SLD-T98-S75-NB</v>
          </cell>
          <cell r="B1659" t="str">
            <v>TRASLAPO CORREDERA 98 S75 - NEW BLACK</v>
          </cell>
          <cell r="C1659" t="str">
            <v>PRECIO DE VENTA</v>
          </cell>
          <cell r="D1659">
            <v>1</v>
          </cell>
          <cell r="E1659">
            <v>23957</v>
          </cell>
          <cell r="F1659">
            <v>23957</v>
          </cell>
        </row>
        <row r="1660">
          <cell r="A1660" t="str">
            <v>PI-SLD-T98-S75-NO</v>
          </cell>
          <cell r="B1660" t="str">
            <v>TRASLAPO CORREDERA 98 S75 - NOGAL</v>
          </cell>
          <cell r="C1660" t="str">
            <v>PRECIO DE VENTA</v>
          </cell>
          <cell r="D1660">
            <v>1</v>
          </cell>
          <cell r="E1660">
            <v>22152</v>
          </cell>
          <cell r="F1660">
            <v>22152</v>
          </cell>
        </row>
        <row r="1661">
          <cell r="A1661" t="str">
            <v>PI-SLD-T98-S75-RD</v>
          </cell>
          <cell r="B1661" t="str">
            <v>TRASLAPO CORREDERA 98 S75 - ROBLE</v>
          </cell>
          <cell r="C1661" t="str">
            <v>PRECIO DE VENTA</v>
          </cell>
          <cell r="D1661">
            <v>1</v>
          </cell>
          <cell r="E1661">
            <v>22152</v>
          </cell>
          <cell r="F1661">
            <v>22152</v>
          </cell>
        </row>
        <row r="1662">
          <cell r="A1662" t="str">
            <v>PI-SLZ-4TA-BL</v>
          </cell>
          <cell r="B1662" t="str">
            <v>ADAPTADOR CUARTA HOJA ZENIA - BLANCO</v>
          </cell>
          <cell r="C1662" t="str">
            <v>PRECIO DE VENTA</v>
          </cell>
          <cell r="D1662">
            <v>1</v>
          </cell>
          <cell r="E1662">
            <v>21869</v>
          </cell>
          <cell r="F1662">
            <v>21869</v>
          </cell>
        </row>
        <row r="1663">
          <cell r="A1663" t="str">
            <v>PI-SLZ-4TA-CF</v>
          </cell>
          <cell r="B1663" t="str">
            <v>ADAPTADOR CUARTA HOJA ZENIA - CAFE</v>
          </cell>
          <cell r="C1663" t="str">
            <v>PRECIO DE VENTA</v>
          </cell>
          <cell r="D1663">
            <v>1</v>
          </cell>
          <cell r="E1663">
            <v>32478</v>
          </cell>
          <cell r="F1663">
            <v>32478</v>
          </cell>
        </row>
        <row r="1664">
          <cell r="A1664" t="str">
            <v>PI-SLZ-4TA-MR</v>
          </cell>
          <cell r="B1664" t="str">
            <v>ADAPTADOR CUARTA HOJA ZENIA - MARRON</v>
          </cell>
          <cell r="C1664" t="str">
            <v>PRECIO DE VENTA</v>
          </cell>
          <cell r="D1664">
            <v>1</v>
          </cell>
          <cell r="E1664">
            <v>38160</v>
          </cell>
          <cell r="F1664">
            <v>38160</v>
          </cell>
        </row>
        <row r="1665">
          <cell r="A1665" t="str">
            <v>PI-SLZ-AMZ-BK</v>
          </cell>
          <cell r="B1665" t="str">
            <v>ADAPTADOR MARCO DOBLE RIEL ZENIA - MARRON OSCURO</v>
          </cell>
          <cell r="C1665" t="str">
            <v>PRECIO DE VENTA</v>
          </cell>
          <cell r="D1665">
            <v>1</v>
          </cell>
          <cell r="E1665">
            <v>91190</v>
          </cell>
          <cell r="F1665">
            <v>91190</v>
          </cell>
        </row>
        <row r="1666">
          <cell r="A1666" t="str">
            <v>PI-SLZ-AMZ-MR</v>
          </cell>
          <cell r="B1666" t="str">
            <v>ADAPTADOR MARCO DOBLE RIEL ZENIA - MARRON</v>
          </cell>
          <cell r="C1666" t="str">
            <v>PRECIO DE VENTA</v>
          </cell>
          <cell r="D1666">
            <v>1</v>
          </cell>
          <cell r="E1666">
            <v>76199</v>
          </cell>
          <cell r="F1666">
            <v>76199</v>
          </cell>
        </row>
        <row r="1667">
          <cell r="A1667" t="str">
            <v>PI-SLZ-AMZ-NA</v>
          </cell>
          <cell r="B1667" t="str">
            <v>ADAPTADOR MARCO DOBLE RIEL ZENIA - NATURAL</v>
          </cell>
          <cell r="C1667" t="str">
            <v>PRECIO DE VENTA</v>
          </cell>
          <cell r="D1667">
            <v>1</v>
          </cell>
          <cell r="E1667">
            <v>76199</v>
          </cell>
          <cell r="F1667">
            <v>76199</v>
          </cell>
        </row>
        <row r="1668">
          <cell r="A1668" t="str">
            <v>PI-SLZ-HCZ-BK</v>
          </cell>
          <cell r="B1668" t="str">
            <v>HOJA CORREDERA ZENIA - BLACK</v>
          </cell>
          <cell r="C1668" t="str">
            <v>PRECIO DE VENTA</v>
          </cell>
          <cell r="D1668">
            <v>1</v>
          </cell>
          <cell r="E1668">
            <v>38679</v>
          </cell>
          <cell r="F1668">
            <v>38679</v>
          </cell>
        </row>
        <row r="1669">
          <cell r="A1669" t="str">
            <v>PI-SLZ-HCZ-BL</v>
          </cell>
          <cell r="B1669" t="str">
            <v>HOJA CORREDERA ZENIA - BLANCO</v>
          </cell>
          <cell r="C1669" t="str">
            <v>PRECIO DE VENTA</v>
          </cell>
          <cell r="D1669">
            <v>1</v>
          </cell>
          <cell r="E1669">
            <v>39485</v>
          </cell>
          <cell r="F1669">
            <v>39485</v>
          </cell>
        </row>
        <row r="1670">
          <cell r="A1670" t="str">
            <v>PI-SLZ-HCZ-GR</v>
          </cell>
          <cell r="B1670" t="str">
            <v>HOJA CORREDERA ZENIA - GRAFITO</v>
          </cell>
          <cell r="C1670" t="str">
            <v>PRECIO DE VENTA</v>
          </cell>
          <cell r="D1670">
            <v>1</v>
          </cell>
          <cell r="E1670">
            <v>75217</v>
          </cell>
          <cell r="F1670">
            <v>75217</v>
          </cell>
        </row>
        <row r="1671">
          <cell r="A1671" t="str">
            <v>PI-SLZ-HCZ-NB</v>
          </cell>
          <cell r="B1671" t="str">
            <v>HOJA CORREDERA ZENIA - NEW BLACK</v>
          </cell>
          <cell r="C1671" t="str">
            <v>PRECIO DE VENTA</v>
          </cell>
          <cell r="D1671">
            <v>1</v>
          </cell>
          <cell r="E1671">
            <v>86638</v>
          </cell>
          <cell r="F1671">
            <v>86638</v>
          </cell>
        </row>
        <row r="1672">
          <cell r="A1672" t="str">
            <v>PI-SLZ-HCZ-NO</v>
          </cell>
          <cell r="B1672" t="str">
            <v>HOJA CORREDERA ZENIA - NOGAL</v>
          </cell>
          <cell r="C1672" t="str">
            <v>PRECIO DE VENTA</v>
          </cell>
          <cell r="D1672">
            <v>1</v>
          </cell>
          <cell r="E1672">
            <v>75217</v>
          </cell>
          <cell r="F1672">
            <v>75217</v>
          </cell>
        </row>
        <row r="1673">
          <cell r="A1673" t="str">
            <v>PI-SLZ-HCZ-RD</v>
          </cell>
          <cell r="B1673" t="str">
            <v>HOJA CORREDERA ZENIA - ROBLE</v>
          </cell>
          <cell r="C1673" t="str">
            <v>PRECIO DE VENTA</v>
          </cell>
          <cell r="D1673">
            <v>1</v>
          </cell>
          <cell r="E1673">
            <v>75217</v>
          </cell>
          <cell r="F1673">
            <v>75217</v>
          </cell>
        </row>
        <row r="1674">
          <cell r="A1674" t="str">
            <v>PI-SLZ-J24-BK</v>
          </cell>
          <cell r="B1674" t="str">
            <v>JUNQUILLO 24 mm ZENIA - BLACK</v>
          </cell>
          <cell r="C1674" t="str">
            <v>PRECIO DE VENTA</v>
          </cell>
          <cell r="D1674">
            <v>1</v>
          </cell>
          <cell r="E1674">
            <v>4524</v>
          </cell>
          <cell r="F1674">
            <v>4524</v>
          </cell>
        </row>
        <row r="1675">
          <cell r="A1675" t="str">
            <v>PI-SLZ-J24-BL</v>
          </cell>
          <cell r="B1675" t="str">
            <v>JUNQUILLO 24 mm ZENIA - BLANCO</v>
          </cell>
          <cell r="C1675" t="str">
            <v>PRECIO DE VENTA</v>
          </cell>
          <cell r="D1675">
            <v>1</v>
          </cell>
          <cell r="E1675">
            <v>5198</v>
          </cell>
          <cell r="F1675">
            <v>5198</v>
          </cell>
        </row>
        <row r="1676">
          <cell r="A1676" t="str">
            <v>PI-SLZ-J24-GR</v>
          </cell>
          <cell r="B1676" t="str">
            <v>JUNQUILLO 24 mm ZENIA - GRAFITO</v>
          </cell>
          <cell r="C1676" t="str">
            <v>PRECIO DE VENTA</v>
          </cell>
          <cell r="D1676">
            <v>1</v>
          </cell>
          <cell r="E1676">
            <v>8366</v>
          </cell>
          <cell r="F1676">
            <v>8366</v>
          </cell>
        </row>
        <row r="1677">
          <cell r="A1677" t="str">
            <v>PI-SLZ-J24-NB</v>
          </cell>
          <cell r="B1677" t="str">
            <v>JUNQUILLO 24 mm ZENIA - NEW BLACK</v>
          </cell>
          <cell r="C1677" t="str">
            <v>PRECIO DE VENTA</v>
          </cell>
          <cell r="D1677">
            <v>1</v>
          </cell>
          <cell r="E1677">
            <v>9665</v>
          </cell>
          <cell r="F1677">
            <v>9665</v>
          </cell>
        </row>
        <row r="1678">
          <cell r="A1678" t="str">
            <v>PI-SLZ-J24-NO</v>
          </cell>
          <cell r="B1678" t="str">
            <v>JUNQUILLO 24 mm ZENIA - NOGAL</v>
          </cell>
          <cell r="C1678" t="str">
            <v>PRECIO DE VENTA</v>
          </cell>
          <cell r="D1678">
            <v>1</v>
          </cell>
          <cell r="E1678">
            <v>8366</v>
          </cell>
          <cell r="F1678">
            <v>8366</v>
          </cell>
        </row>
        <row r="1679">
          <cell r="A1679" t="str">
            <v>PI-SLZ-J24-RD</v>
          </cell>
          <cell r="B1679" t="str">
            <v>JUNQUILLO 24 mm ZENIA - ROBLE</v>
          </cell>
          <cell r="C1679" t="str">
            <v>PRECIO DE VENTA</v>
          </cell>
          <cell r="D1679">
            <v>1</v>
          </cell>
          <cell r="E1679">
            <v>8366</v>
          </cell>
          <cell r="F1679">
            <v>8366</v>
          </cell>
        </row>
        <row r="1680">
          <cell r="A1680" t="str">
            <v>PI-SLZ-MCZ-BK</v>
          </cell>
          <cell r="B1680" t="str">
            <v>MARCO CORREDERA ZENIA - BLACK</v>
          </cell>
          <cell r="C1680" t="str">
            <v>PRECIO DE VENTA</v>
          </cell>
          <cell r="D1680">
            <v>1</v>
          </cell>
          <cell r="E1680">
            <v>37660</v>
          </cell>
          <cell r="F1680">
            <v>37660</v>
          </cell>
        </row>
        <row r="1681">
          <cell r="A1681" t="str">
            <v>PI-SLZ-MCZ-BL</v>
          </cell>
          <cell r="B1681" t="str">
            <v>MARCO CORREDERA ZENIA - BLANCO</v>
          </cell>
          <cell r="C1681" t="str">
            <v>PRECIO DE VENTA</v>
          </cell>
          <cell r="D1681">
            <v>1</v>
          </cell>
          <cell r="E1681">
            <v>39161</v>
          </cell>
          <cell r="F1681">
            <v>39161</v>
          </cell>
        </row>
        <row r="1682">
          <cell r="A1682" t="str">
            <v>PI-SLZ-MCZ-GR</v>
          </cell>
          <cell r="B1682" t="str">
            <v>MARCO CORREDERA ZENIA - GRAFITO</v>
          </cell>
          <cell r="C1682" t="str">
            <v>PRECIO DE VENTA</v>
          </cell>
          <cell r="D1682">
            <v>1</v>
          </cell>
          <cell r="E1682">
            <v>73241</v>
          </cell>
          <cell r="F1682">
            <v>73241</v>
          </cell>
        </row>
        <row r="1683">
          <cell r="A1683" t="str">
            <v>PI-SLZ-MCZ-NB</v>
          </cell>
          <cell r="B1683" t="str">
            <v>MARCO CORREDERA ZENIA - NEW BLACK</v>
          </cell>
          <cell r="C1683" t="str">
            <v>PRECIO DE VENTA</v>
          </cell>
          <cell r="D1683">
            <v>1</v>
          </cell>
          <cell r="E1683">
            <v>84330</v>
          </cell>
          <cell r="F1683">
            <v>84330</v>
          </cell>
        </row>
        <row r="1684">
          <cell r="A1684" t="str">
            <v>PI-SLZ-MCZ-NO</v>
          </cell>
          <cell r="B1684" t="str">
            <v>MARCO CORREDERA ZENIA - NOGAL</v>
          </cell>
          <cell r="C1684" t="str">
            <v>PRECIO DE VENTA</v>
          </cell>
          <cell r="D1684">
            <v>1</v>
          </cell>
          <cell r="E1684">
            <v>73241</v>
          </cell>
          <cell r="F1684">
            <v>73241</v>
          </cell>
        </row>
        <row r="1685">
          <cell r="A1685" t="str">
            <v>PI-SLZ-MCZ-RD</v>
          </cell>
          <cell r="B1685" t="str">
            <v>MARCO CORREDERA ZENIA - ROBLE</v>
          </cell>
          <cell r="C1685" t="str">
            <v>PRECIO DE VENTA</v>
          </cell>
          <cell r="D1685">
            <v>1</v>
          </cell>
          <cell r="E1685">
            <v>73241</v>
          </cell>
          <cell r="F1685">
            <v>73241</v>
          </cell>
        </row>
        <row r="1686">
          <cell r="A1686" t="str">
            <v>PI-SLZ-MIR-BK</v>
          </cell>
          <cell r="B1686" t="str">
            <v>MARCO INFERIOR REFORZADO ZENIA - MARRON OSCURO</v>
          </cell>
          <cell r="C1686" t="str">
            <v>PRECIO DE VENTA</v>
          </cell>
          <cell r="D1686">
            <v>1</v>
          </cell>
          <cell r="E1686">
            <v>235398</v>
          </cell>
          <cell r="F1686">
            <v>235398</v>
          </cell>
        </row>
        <row r="1687">
          <cell r="A1687" t="str">
            <v>PI-SLZ-MIR-MR</v>
          </cell>
          <cell r="B1687" t="str">
            <v>MARCO INFERIOR REFORZADO ZENIA - MARRON</v>
          </cell>
          <cell r="C1687" t="str">
            <v>PRECIO DE VENTA</v>
          </cell>
          <cell r="D1687">
            <v>1</v>
          </cell>
          <cell r="E1687">
            <v>196580</v>
          </cell>
          <cell r="F1687">
            <v>196580</v>
          </cell>
        </row>
        <row r="1688">
          <cell r="A1688" t="str">
            <v>PI-SLZ-MIR-NA</v>
          </cell>
          <cell r="B1688" t="str">
            <v>MARCO INFERIOR REFORZADO ZENIA - NATURAL</v>
          </cell>
          <cell r="C1688" t="str">
            <v>PRECIO DE VENTA</v>
          </cell>
          <cell r="D1688">
            <v>1</v>
          </cell>
          <cell r="E1688">
            <v>196580</v>
          </cell>
          <cell r="F1688">
            <v>196580</v>
          </cell>
        </row>
        <row r="1689">
          <cell r="A1689" t="str">
            <v>PI-SLZ-RAL-NA</v>
          </cell>
          <cell r="B1689" t="str">
            <v>RIEL ALUMINIO ZENIA - NATURAL</v>
          </cell>
          <cell r="C1689" t="str">
            <v>PRECIO DE VENTA</v>
          </cell>
          <cell r="D1689">
            <v>1</v>
          </cell>
          <cell r="E1689">
            <v>14494</v>
          </cell>
          <cell r="F1689">
            <v>14494</v>
          </cell>
        </row>
        <row r="1690">
          <cell r="A1690" t="str">
            <v>PI-SLZ-RIZ-BK</v>
          </cell>
          <cell r="B1690" t="str">
            <v>RIEL INFERIOR ZENIA - BLACK</v>
          </cell>
          <cell r="C1690" t="str">
            <v>PRECIO DE VENTA</v>
          </cell>
          <cell r="D1690">
            <v>1</v>
          </cell>
          <cell r="E1690">
            <v>7850</v>
          </cell>
          <cell r="F1690">
            <v>7850</v>
          </cell>
        </row>
        <row r="1691">
          <cell r="A1691" t="str">
            <v>PI-SLZ-RIZ-BL</v>
          </cell>
          <cell r="B1691" t="str">
            <v>RIEL INFERIOR ZENIA - BLANCO</v>
          </cell>
          <cell r="C1691" t="str">
            <v>PRECIO DE VENTA</v>
          </cell>
          <cell r="D1691">
            <v>1</v>
          </cell>
          <cell r="E1691">
            <v>9440</v>
          </cell>
          <cell r="F1691">
            <v>9440</v>
          </cell>
        </row>
        <row r="1692">
          <cell r="A1692" t="str">
            <v>PI-SLZ-RIZ-GR</v>
          </cell>
          <cell r="B1692" t="str">
            <v>RIEL INFERIOR ZENIA - GRAFITO</v>
          </cell>
          <cell r="C1692" t="str">
            <v>PRECIO DE VENTA</v>
          </cell>
          <cell r="D1692">
            <v>1</v>
          </cell>
          <cell r="E1692">
            <v>15245</v>
          </cell>
          <cell r="F1692">
            <v>15245</v>
          </cell>
        </row>
        <row r="1693">
          <cell r="A1693" t="str">
            <v>PI-SLZ-RIZ-NB</v>
          </cell>
          <cell r="B1693" t="str">
            <v>RIEL INFERIOR ZENIA - NEW BLACK</v>
          </cell>
          <cell r="C1693" t="str">
            <v>PRECIO DE VENTA</v>
          </cell>
          <cell r="D1693">
            <v>1</v>
          </cell>
          <cell r="E1693">
            <v>17572</v>
          </cell>
          <cell r="F1693">
            <v>17572</v>
          </cell>
        </row>
        <row r="1694">
          <cell r="A1694" t="str">
            <v>PI-SLZ-RIZ-NO</v>
          </cell>
          <cell r="B1694" t="str">
            <v>RIEL INFERIOR ZENIA - NOGAL</v>
          </cell>
          <cell r="C1694" t="str">
            <v>PRECIO DE VENTA</v>
          </cell>
          <cell r="D1694">
            <v>1</v>
          </cell>
          <cell r="E1694">
            <v>15245</v>
          </cell>
          <cell r="F1694">
            <v>15245</v>
          </cell>
        </row>
        <row r="1695">
          <cell r="A1695" t="str">
            <v>PI-SLZ-RIZ-RD</v>
          </cell>
          <cell r="B1695" t="str">
            <v>RIEL INFERIOR ZENIA - ROBLE</v>
          </cell>
          <cell r="C1695" t="str">
            <v>PRECIO DE VENTA</v>
          </cell>
          <cell r="D1695">
            <v>1</v>
          </cell>
          <cell r="E1695">
            <v>15245</v>
          </cell>
          <cell r="F1695">
            <v>15245</v>
          </cell>
        </row>
        <row r="1696">
          <cell r="A1696" t="str">
            <v>PI-SLZ-RLA-BK</v>
          </cell>
          <cell r="B1696" t="str">
            <v>RIEL ALUMINIO ZENIA - NEGRO</v>
          </cell>
          <cell r="C1696" t="str">
            <v>PRECIO DE VENTA</v>
          </cell>
          <cell r="D1696">
            <v>1</v>
          </cell>
          <cell r="E1696">
            <v>21778</v>
          </cell>
          <cell r="F1696">
            <v>21778</v>
          </cell>
        </row>
        <row r="1697">
          <cell r="A1697" t="str">
            <v>PI-SLZ-RLA-MR</v>
          </cell>
          <cell r="B1697" t="str">
            <v>RIEL ALUMINIO ZENIA - MARRON</v>
          </cell>
          <cell r="C1697" t="str">
            <v>PRECIO DE VENTA</v>
          </cell>
          <cell r="D1697">
            <v>1</v>
          </cell>
          <cell r="E1697">
            <v>19402</v>
          </cell>
          <cell r="F1697">
            <v>19402</v>
          </cell>
        </row>
        <row r="1698">
          <cell r="A1698" t="str">
            <v>PI-SLZ-RLA-RD</v>
          </cell>
          <cell r="B1698" t="str">
            <v>RIEL ALUMINIO ZENIA - ROBLE</v>
          </cell>
          <cell r="C1698" t="str">
            <v>PRECIO DE VENTA</v>
          </cell>
          <cell r="D1698">
            <v>1</v>
          </cell>
          <cell r="E1698">
            <v>19718</v>
          </cell>
          <cell r="F1698">
            <v>19718</v>
          </cell>
        </row>
        <row r="1699">
          <cell r="A1699" t="str">
            <v>PI-SLZ-RSZ-BK</v>
          </cell>
          <cell r="B1699" t="str">
            <v>RIEL SUPERIOR ZENIA - BLACK</v>
          </cell>
          <cell r="C1699" t="str">
            <v>PRECIO DE VENTA</v>
          </cell>
          <cell r="D1699">
            <v>1</v>
          </cell>
          <cell r="E1699">
            <v>11933</v>
          </cell>
          <cell r="F1699">
            <v>11933</v>
          </cell>
        </row>
        <row r="1700">
          <cell r="A1700" t="str">
            <v>PI-SLZ-RSZ-BL</v>
          </cell>
          <cell r="B1700" t="str">
            <v>RIEL SUPERIOR ZENIA - BLANCO</v>
          </cell>
          <cell r="C1700" t="str">
            <v>PRECIO DE VENTA</v>
          </cell>
          <cell r="D1700">
            <v>1</v>
          </cell>
          <cell r="E1700">
            <v>9587</v>
          </cell>
          <cell r="F1700">
            <v>9587</v>
          </cell>
        </row>
        <row r="1701">
          <cell r="A1701" t="str">
            <v>PI-SLZ-RSZ-GR</v>
          </cell>
          <cell r="B1701" t="str">
            <v>RIEL SUPERIOR ZENIA - GRAFITO</v>
          </cell>
          <cell r="C1701" t="str">
            <v>PRECIO DE VENTA</v>
          </cell>
          <cell r="D1701">
            <v>1</v>
          </cell>
          <cell r="E1701">
            <v>22111</v>
          </cell>
          <cell r="F1701">
            <v>22111</v>
          </cell>
        </row>
        <row r="1702">
          <cell r="A1702" t="str">
            <v>PI-SLZ-RSZ-NB</v>
          </cell>
          <cell r="B1702" t="str">
            <v>RIEL SUPERIOR ZENIA - NEW BLACK</v>
          </cell>
          <cell r="C1702" t="str">
            <v>PRECIO DE VENTA</v>
          </cell>
          <cell r="D1702">
            <v>1</v>
          </cell>
          <cell r="E1702">
            <v>25478</v>
          </cell>
          <cell r="F1702">
            <v>25478</v>
          </cell>
        </row>
        <row r="1703">
          <cell r="A1703" t="str">
            <v>PI-SLZ-RSZ-NO</v>
          </cell>
          <cell r="B1703" t="str">
            <v>RIEL SUPERIOR ZENIA - NOGAL</v>
          </cell>
          <cell r="C1703" t="str">
            <v>PRECIO DE VENTA</v>
          </cell>
          <cell r="D1703">
            <v>1</v>
          </cell>
          <cell r="E1703">
            <v>22111</v>
          </cell>
          <cell r="F1703">
            <v>22111</v>
          </cell>
        </row>
        <row r="1704">
          <cell r="A1704" t="str">
            <v>PI-SLZ-RSZ-RD</v>
          </cell>
          <cell r="B1704" t="str">
            <v>RIEL SUPERIOR ZENIA - ROBLE</v>
          </cell>
          <cell r="C1704" t="str">
            <v>PRECIO DE VENTA</v>
          </cell>
          <cell r="D1704">
            <v>1</v>
          </cell>
          <cell r="E1704">
            <v>22111</v>
          </cell>
          <cell r="F1704">
            <v>22111</v>
          </cell>
        </row>
        <row r="1705">
          <cell r="A1705" t="str">
            <v>PI-SLZ-SIZ-BK</v>
          </cell>
          <cell r="B1705" t="str">
            <v>SELLO INTERMEDIO ZENIA - BLACK</v>
          </cell>
          <cell r="C1705" t="str">
            <v>PRECIO DE VENTA</v>
          </cell>
          <cell r="D1705">
            <v>1</v>
          </cell>
          <cell r="E1705">
            <v>10263</v>
          </cell>
          <cell r="F1705">
            <v>10263</v>
          </cell>
        </row>
        <row r="1706">
          <cell r="A1706" t="str">
            <v>PI-SLZ-SIZ-BL</v>
          </cell>
          <cell r="B1706" t="str">
            <v>SELLO INTERMEDIO ZENIA - BLANCO</v>
          </cell>
          <cell r="C1706" t="str">
            <v>PRECIO DE VENTA</v>
          </cell>
          <cell r="D1706">
            <v>1</v>
          </cell>
          <cell r="E1706">
            <v>8435</v>
          </cell>
          <cell r="F1706">
            <v>8435</v>
          </cell>
        </row>
        <row r="1707">
          <cell r="A1707" t="str">
            <v>PI-SLZ-SIZ-GR</v>
          </cell>
          <cell r="B1707" t="str">
            <v>SELLO INTERMEDIO ZENIA - GRAFITO</v>
          </cell>
          <cell r="C1707" t="str">
            <v>PRECIO DE VENTA</v>
          </cell>
          <cell r="D1707">
            <v>1</v>
          </cell>
          <cell r="E1707">
            <v>19946</v>
          </cell>
          <cell r="F1707">
            <v>19946</v>
          </cell>
        </row>
        <row r="1708">
          <cell r="A1708" t="str">
            <v>PI-SLZ-SIZ-NB</v>
          </cell>
          <cell r="B1708" t="str">
            <v>SELLO INTERMEDIO ZENIA - NEW BLACK</v>
          </cell>
          <cell r="C1708" t="str">
            <v>PRECIO DE VENTA</v>
          </cell>
          <cell r="D1708">
            <v>1</v>
          </cell>
          <cell r="E1708">
            <v>22956</v>
          </cell>
          <cell r="F1708">
            <v>22956</v>
          </cell>
        </row>
        <row r="1709">
          <cell r="A1709" t="str">
            <v>PI-SLZ-SIZ-NO</v>
          </cell>
          <cell r="B1709" t="str">
            <v>SELLO INTERMEDIO ZENIA - NOGAL</v>
          </cell>
          <cell r="C1709" t="str">
            <v>PRECIO DE VENTA</v>
          </cell>
          <cell r="D1709">
            <v>1</v>
          </cell>
          <cell r="E1709">
            <v>19946</v>
          </cell>
          <cell r="F1709">
            <v>19946</v>
          </cell>
        </row>
        <row r="1710">
          <cell r="A1710" t="str">
            <v>PI-SLZ-SIZ-RD</v>
          </cell>
          <cell r="B1710" t="str">
            <v>SELLO INTERMEDIO ZENIA - ROBLE</v>
          </cell>
          <cell r="C1710" t="str">
            <v>PRECIO DE VENTA</v>
          </cell>
          <cell r="D1710">
            <v>1</v>
          </cell>
          <cell r="E1710">
            <v>19946</v>
          </cell>
          <cell r="F1710">
            <v>19946</v>
          </cell>
        </row>
        <row r="1711">
          <cell r="A1711" t="str">
            <v>PI-SLZ-TCZ-BK</v>
          </cell>
          <cell r="B1711" t="str">
            <v>TAPA CANAL ZENIA - BLACK</v>
          </cell>
          <cell r="C1711" t="str">
            <v>PRECIO DE VENTA</v>
          </cell>
          <cell r="D1711">
            <v>1</v>
          </cell>
          <cell r="E1711">
            <v>2635</v>
          </cell>
          <cell r="F1711">
            <v>2635</v>
          </cell>
        </row>
        <row r="1712">
          <cell r="A1712" t="str">
            <v>PI-SLZ-TCZ-BL</v>
          </cell>
          <cell r="B1712" t="str">
            <v>TAPA CANAL ZENIA - BLANCO</v>
          </cell>
          <cell r="C1712" t="str">
            <v>PRECIO DE VENTA</v>
          </cell>
          <cell r="D1712">
            <v>1</v>
          </cell>
          <cell r="E1712">
            <v>2575</v>
          </cell>
          <cell r="F1712">
            <v>2575</v>
          </cell>
        </row>
        <row r="1713">
          <cell r="A1713" t="str">
            <v>PI-SLZ-TCZ-GR</v>
          </cell>
          <cell r="B1713" t="str">
            <v>TAPA CANAL ZENIA - GRAFITO</v>
          </cell>
          <cell r="C1713" t="str">
            <v>PRECIO DE VENTA</v>
          </cell>
          <cell r="D1713">
            <v>1</v>
          </cell>
          <cell r="E1713">
            <v>4577</v>
          </cell>
          <cell r="F1713">
            <v>4577</v>
          </cell>
        </row>
        <row r="1714">
          <cell r="A1714" t="str">
            <v>PI-SLZ-TCZ-GS</v>
          </cell>
          <cell r="B1714" t="str">
            <v>TAPA CANAL ZENIA - GRIS</v>
          </cell>
          <cell r="C1714" t="str">
            <v>PRECIO DE VENTA</v>
          </cell>
          <cell r="D1714">
            <v>1</v>
          </cell>
          <cell r="E1714">
            <v>3128</v>
          </cell>
          <cell r="F1714">
            <v>3128</v>
          </cell>
        </row>
        <row r="1715">
          <cell r="A1715" t="str">
            <v>PI-SLZ-TCZ-MR</v>
          </cell>
          <cell r="B1715" t="str">
            <v>TAPA CANAL ZENIA - CAFE</v>
          </cell>
          <cell r="C1715" t="str">
            <v>PRECIO DE VENTA</v>
          </cell>
          <cell r="D1715">
            <v>1</v>
          </cell>
          <cell r="E1715">
            <v>3361</v>
          </cell>
          <cell r="F1715">
            <v>3361</v>
          </cell>
        </row>
        <row r="1716">
          <cell r="A1716" t="str">
            <v>PI-SLZ-TCZ-NB</v>
          </cell>
          <cell r="B1716" t="str">
            <v>TAPA CANAL ZENIA - NEW BLACK</v>
          </cell>
          <cell r="C1716" t="str">
            <v>PRECIO DE VENTA</v>
          </cell>
          <cell r="D1716">
            <v>1</v>
          </cell>
          <cell r="E1716">
            <v>5858</v>
          </cell>
          <cell r="F1716">
            <v>5858</v>
          </cell>
        </row>
        <row r="1717">
          <cell r="A1717" t="str">
            <v>PI-SLZ-TCZ-NO</v>
          </cell>
          <cell r="B1717" t="str">
            <v>TAPA CANAL ZENIA - NOGAL</v>
          </cell>
          <cell r="C1717" t="str">
            <v>PRECIO DE VENTA</v>
          </cell>
          <cell r="D1717">
            <v>1</v>
          </cell>
          <cell r="E1717">
            <v>4577</v>
          </cell>
          <cell r="F1717">
            <v>4577</v>
          </cell>
        </row>
        <row r="1718">
          <cell r="A1718" t="str">
            <v>PI-SLZ-TCZ-RD</v>
          </cell>
          <cell r="B1718" t="str">
            <v>TAPA CANAL ZENIA - ROBLE</v>
          </cell>
          <cell r="C1718" t="str">
            <v>PRECIO DE VENTA</v>
          </cell>
          <cell r="D1718">
            <v>1</v>
          </cell>
          <cell r="E1718">
            <v>4457</v>
          </cell>
          <cell r="F1718">
            <v>4457</v>
          </cell>
        </row>
        <row r="1719">
          <cell r="A1719" t="str">
            <v>PI-SLZ-TPZ-BK</v>
          </cell>
          <cell r="B1719" t="str">
            <v>TRASLAPO ZENIA - BLACK</v>
          </cell>
          <cell r="C1719" t="str">
            <v>PRECIO DE VENTA</v>
          </cell>
          <cell r="D1719">
            <v>1</v>
          </cell>
          <cell r="E1719">
            <v>11365</v>
          </cell>
          <cell r="F1719">
            <v>11365</v>
          </cell>
        </row>
        <row r="1720">
          <cell r="A1720" t="str">
            <v>PI-SLZ-TPZ-BL</v>
          </cell>
          <cell r="B1720" t="str">
            <v>TRASLAPO ZENIA - BLANCO</v>
          </cell>
          <cell r="C1720" t="str">
            <v>PRECIO DE VENTA</v>
          </cell>
          <cell r="D1720">
            <v>1</v>
          </cell>
          <cell r="E1720">
            <v>10599</v>
          </cell>
          <cell r="F1720">
            <v>10599</v>
          </cell>
        </row>
        <row r="1721">
          <cell r="A1721" t="str">
            <v>PI-SLZ-TPZ-GR</v>
          </cell>
          <cell r="B1721" t="str">
            <v>TRASLAPO ZENIA - GRAFITO</v>
          </cell>
          <cell r="C1721" t="str">
            <v>PRECIO DE VENTA</v>
          </cell>
          <cell r="D1721">
            <v>1</v>
          </cell>
          <cell r="E1721">
            <v>22111</v>
          </cell>
          <cell r="F1721">
            <v>22111</v>
          </cell>
        </row>
        <row r="1722">
          <cell r="A1722" t="str">
            <v>PI-SLZ-TPZ-NB</v>
          </cell>
          <cell r="B1722" t="str">
            <v>TRASLAPO ZENIA - NEW BLACK</v>
          </cell>
          <cell r="C1722" t="str">
            <v>PRECIO DE VENTA</v>
          </cell>
          <cell r="D1722">
            <v>1</v>
          </cell>
          <cell r="E1722">
            <v>25478</v>
          </cell>
          <cell r="F1722">
            <v>25478</v>
          </cell>
        </row>
        <row r="1723">
          <cell r="A1723" t="str">
            <v>PI-SLZ-TPZ-NO</v>
          </cell>
          <cell r="B1723" t="str">
            <v>TRASLAPO ZENIA - NOGAL</v>
          </cell>
          <cell r="C1723" t="str">
            <v>PRECIO DE VENTA</v>
          </cell>
          <cell r="D1723">
            <v>1</v>
          </cell>
          <cell r="E1723">
            <v>22111</v>
          </cell>
          <cell r="F1723">
            <v>22111</v>
          </cell>
        </row>
        <row r="1724">
          <cell r="A1724" t="str">
            <v>PI-SLZ-TPZ-RD</v>
          </cell>
          <cell r="B1724" t="str">
            <v>TRASLAPO ZENIA - ROBLE</v>
          </cell>
          <cell r="C1724" t="str">
            <v>PRECIO DE VENTA</v>
          </cell>
          <cell r="D1724">
            <v>1</v>
          </cell>
          <cell r="E1724">
            <v>22071</v>
          </cell>
          <cell r="F1724">
            <v>22071</v>
          </cell>
        </row>
        <row r="1725">
          <cell r="A1725" t="str">
            <v>PI-SLZ-TRS-BK</v>
          </cell>
          <cell r="B1725" t="str">
            <v>TAPA RIEL SUPERIOR ZENIA - BLACK</v>
          </cell>
          <cell r="C1725" t="str">
            <v>PRECIO DE VENTA</v>
          </cell>
          <cell r="D1725">
            <v>1</v>
          </cell>
          <cell r="E1725">
            <v>10263</v>
          </cell>
          <cell r="F1725">
            <v>10263</v>
          </cell>
        </row>
        <row r="1726">
          <cell r="A1726" t="str">
            <v>PI-SLZ-TRS-BL</v>
          </cell>
          <cell r="B1726" t="str">
            <v>TAPA RIEL SUPERIOR ZENIA - BLANCO</v>
          </cell>
          <cell r="C1726" t="str">
            <v>PRECIO DE VENTA</v>
          </cell>
          <cell r="D1726">
            <v>1</v>
          </cell>
          <cell r="E1726">
            <v>8383</v>
          </cell>
          <cell r="F1726">
            <v>8383</v>
          </cell>
        </row>
        <row r="1727">
          <cell r="A1727" t="str">
            <v>PI-SLZ-TRS-GR</v>
          </cell>
          <cell r="B1727" t="str">
            <v>TAPA RIEL SUPERIOR ZENIA - GRAFITO</v>
          </cell>
          <cell r="C1727" t="str">
            <v>PRECIO DE VENTA</v>
          </cell>
          <cell r="D1727">
            <v>1</v>
          </cell>
          <cell r="E1727">
            <v>19946</v>
          </cell>
          <cell r="F1727">
            <v>19946</v>
          </cell>
        </row>
        <row r="1728">
          <cell r="A1728" t="str">
            <v>PI-SLZ-TRS-NB</v>
          </cell>
          <cell r="B1728" t="str">
            <v>TAPA RIEL SUPERIOR ZENIA - NEW BLACK</v>
          </cell>
          <cell r="C1728" t="str">
            <v>PRECIO DE VENTA</v>
          </cell>
          <cell r="D1728">
            <v>1</v>
          </cell>
          <cell r="E1728">
            <v>22956</v>
          </cell>
          <cell r="F1728">
            <v>22956</v>
          </cell>
        </row>
        <row r="1729">
          <cell r="A1729" t="str">
            <v>PI-SLZ-TRS-NO</v>
          </cell>
          <cell r="B1729" t="str">
            <v>TAPA RIEL SUPERIOR ZENIA - NOGAL</v>
          </cell>
          <cell r="C1729" t="str">
            <v>PRECIO DE VENTA</v>
          </cell>
          <cell r="D1729">
            <v>1</v>
          </cell>
          <cell r="E1729">
            <v>19946</v>
          </cell>
          <cell r="F1729">
            <v>19946</v>
          </cell>
        </row>
        <row r="1730">
          <cell r="A1730" t="str">
            <v>PI-SLZ-TRS-RD</v>
          </cell>
          <cell r="B1730" t="str">
            <v>TAPA RIEL SUPERIOR ZENIA - ROBLE</v>
          </cell>
          <cell r="C1730" t="str">
            <v>PRECIO DE VENTA</v>
          </cell>
          <cell r="D1730">
            <v>1</v>
          </cell>
          <cell r="E1730">
            <v>19946</v>
          </cell>
          <cell r="F1730">
            <v>19946</v>
          </cell>
        </row>
        <row r="1731">
          <cell r="A1731" t="str">
            <v>PI-SLZ-TTZ-BK</v>
          </cell>
          <cell r="B1731" t="str">
            <v>TAPA TRASLAPO ZENIA - BLACK</v>
          </cell>
          <cell r="C1731" t="str">
            <v>PRECIO DE VENTA</v>
          </cell>
          <cell r="D1731">
            <v>1</v>
          </cell>
          <cell r="E1731">
            <v>6642</v>
          </cell>
          <cell r="F1731">
            <v>6642</v>
          </cell>
        </row>
        <row r="1732">
          <cell r="A1732" t="str">
            <v>PI-SLZ-TTZ-BL</v>
          </cell>
          <cell r="B1732" t="str">
            <v>TAPA TRASLAPO ZENIA - BLANCO</v>
          </cell>
          <cell r="C1732" t="str">
            <v>PRECIO DE VENTA</v>
          </cell>
          <cell r="D1732">
            <v>1</v>
          </cell>
          <cell r="E1732">
            <v>4854</v>
          </cell>
          <cell r="F1732">
            <v>4854</v>
          </cell>
        </row>
        <row r="1733">
          <cell r="A1733" t="str">
            <v>PI-SLZ-TTZ-GR</v>
          </cell>
          <cell r="B1733" t="str">
            <v>TAPA TRASLAPO ZENIA - GRAFITO</v>
          </cell>
          <cell r="C1733" t="str">
            <v>PRECIO DE VENTA</v>
          </cell>
          <cell r="D1733">
            <v>1</v>
          </cell>
          <cell r="E1733">
            <v>12275</v>
          </cell>
          <cell r="F1733">
            <v>12275</v>
          </cell>
        </row>
        <row r="1734">
          <cell r="A1734" t="str">
            <v>PI-SLZ-TTZ-NB</v>
          </cell>
          <cell r="B1734" t="str">
            <v>TAPA TRASLAPO ZENIA - NEW BLACK</v>
          </cell>
          <cell r="C1734" t="str">
            <v>PRECIO DE VENTA</v>
          </cell>
          <cell r="D1734">
            <v>1</v>
          </cell>
          <cell r="E1734">
            <v>14132</v>
          </cell>
          <cell r="F1734">
            <v>14132</v>
          </cell>
        </row>
        <row r="1735">
          <cell r="A1735" t="str">
            <v>PI-SLZ-TTZ-NO</v>
          </cell>
          <cell r="B1735" t="str">
            <v>TAPA TRASLAPO ZENIA - NOGAL</v>
          </cell>
          <cell r="C1735" t="str">
            <v>PRECIO DE VENTA</v>
          </cell>
          <cell r="D1735">
            <v>1</v>
          </cell>
          <cell r="E1735">
            <v>12275</v>
          </cell>
          <cell r="F1735">
            <v>12275</v>
          </cell>
        </row>
        <row r="1736">
          <cell r="A1736" t="str">
            <v>PI-SLZ-TTZ-RD</v>
          </cell>
          <cell r="B1736" t="str">
            <v>TAPA TRASLAPO ZENIA - ROBLE</v>
          </cell>
          <cell r="C1736" t="str">
            <v>PRECIO DE VENTA</v>
          </cell>
          <cell r="D1736">
            <v>1</v>
          </cell>
          <cell r="E1736">
            <v>12275</v>
          </cell>
          <cell r="F1736">
            <v>12275</v>
          </cell>
        </row>
        <row r="1737">
          <cell r="A1737" t="str">
            <v>PL-ALT-RFHC-NA</v>
          </cell>
          <cell r="B1737" t="str">
            <v>REFUERZO HOJA CORREDERA - DCK</v>
          </cell>
          <cell r="C1737" t="str">
            <v>PRECIO DE VENTA</v>
          </cell>
          <cell r="D1737">
            <v>1</v>
          </cell>
          <cell r="E1737">
            <v>6897</v>
          </cell>
          <cell r="F1737">
            <v>6897</v>
          </cell>
        </row>
        <row r="1738">
          <cell r="A1738" t="str">
            <v>PL-AME-RF-TFA</v>
          </cell>
          <cell r="B1738" t="str">
            <v>REFUERZO TRASLAPO FIJO AMERICANA - TC</v>
          </cell>
          <cell r="C1738" t="str">
            <v>PRECIO DE VENTA</v>
          </cell>
          <cell r="D1738">
            <v>1</v>
          </cell>
          <cell r="E1738">
            <v>3570</v>
          </cell>
          <cell r="F1738">
            <v>3570</v>
          </cell>
        </row>
        <row r="1739">
          <cell r="A1739" t="str">
            <v>PL-AME-RF-TMA</v>
          </cell>
          <cell r="B1739" t="str">
            <v>REFUERZO TRASLAPO MOVIL AMERICANA - TC</v>
          </cell>
          <cell r="C1739" t="str">
            <v>PRECIO DE VENTA</v>
          </cell>
          <cell r="D1739">
            <v>1</v>
          </cell>
          <cell r="E1739">
            <v>5950</v>
          </cell>
          <cell r="F1739">
            <v>5950</v>
          </cell>
        </row>
        <row r="1740">
          <cell r="A1740" t="str">
            <v>PL-CMP-AC-MLT-12</v>
          </cell>
          <cell r="B1740" t="str">
            <v>REFUERZO NEW MULTIPLE 1,2 MM - AC</v>
          </cell>
          <cell r="C1740" t="str">
            <v>PRECIO DE VENTA</v>
          </cell>
          <cell r="D1740">
            <v>1</v>
          </cell>
          <cell r="E1740">
            <v>10255</v>
          </cell>
          <cell r="F1740">
            <v>10255</v>
          </cell>
        </row>
        <row r="1741">
          <cell r="A1741" t="str">
            <v>PL-CMP-TC-CTF-2</v>
          </cell>
          <cell r="B1741" t="str">
            <v>REFUERZO CONTRA FLECHA 2mm - TC</v>
          </cell>
          <cell r="C1741" t="str">
            <v>PRECIO DE VENTA</v>
          </cell>
          <cell r="D1741">
            <v>1</v>
          </cell>
          <cell r="E1741">
            <v>6149</v>
          </cell>
          <cell r="F1741">
            <v>6149</v>
          </cell>
        </row>
        <row r="1742">
          <cell r="A1742" t="str">
            <v>PL-CMP-TC-E45-15</v>
          </cell>
          <cell r="B1742" t="str">
            <v>REFUERZO BOX ESQ 45º S60 1.5 mm - TC</v>
          </cell>
          <cell r="C1742" t="str">
            <v>PRECIO DE VENTA</v>
          </cell>
          <cell r="D1742">
            <v>1</v>
          </cell>
          <cell r="E1742">
            <v>12605</v>
          </cell>
          <cell r="F1742">
            <v>12605</v>
          </cell>
        </row>
        <row r="1743">
          <cell r="A1743" t="str">
            <v>PL-CMP-TC-INT-2</v>
          </cell>
          <cell r="B1743" t="str">
            <v>REFUERZO INERCIA T 2 mm - TC</v>
          </cell>
          <cell r="C1743" t="str">
            <v>PRECIO DE VENTA</v>
          </cell>
          <cell r="D1743">
            <v>1</v>
          </cell>
          <cell r="E1743">
            <v>23109</v>
          </cell>
          <cell r="F1743">
            <v>23109</v>
          </cell>
        </row>
        <row r="1744">
          <cell r="A1744" t="str">
            <v>PL-CMP-TC-MLT-12</v>
          </cell>
          <cell r="B1744" t="str">
            <v>REFUERZO NEW MULTIPLE 1.2 mm - TC</v>
          </cell>
          <cell r="C1744" t="str">
            <v>PRECIO DE VENTA</v>
          </cell>
          <cell r="D1744">
            <v>1</v>
          </cell>
          <cell r="E1744">
            <v>10313</v>
          </cell>
          <cell r="F1744">
            <v>10313</v>
          </cell>
        </row>
        <row r="1745">
          <cell r="A1745" t="str">
            <v>PL-CMP-TC-MLT-2</v>
          </cell>
          <cell r="B1745" t="str">
            <v>REFUERZO NEW MULTIPLE 2 mm - TC</v>
          </cell>
          <cell r="C1745" t="str">
            <v>PRECIO DE VENTA</v>
          </cell>
          <cell r="D1745">
            <v>1</v>
          </cell>
          <cell r="E1745">
            <v>16877</v>
          </cell>
          <cell r="F1745">
            <v>16877</v>
          </cell>
        </row>
        <row r="1746">
          <cell r="A1746" t="str">
            <v>PL-DCK-HC-NO</v>
          </cell>
          <cell r="B1746" t="str">
            <v>HOJA CORREDERA NOGAL - DCK</v>
          </cell>
          <cell r="C1746" t="str">
            <v>PRECIO DE VENTA</v>
          </cell>
          <cell r="D1746">
            <v>1</v>
          </cell>
          <cell r="E1746">
            <v>48190</v>
          </cell>
          <cell r="F1746">
            <v>48190</v>
          </cell>
        </row>
        <row r="1747">
          <cell r="A1747" t="str">
            <v>PL-DCK-HC-RD</v>
          </cell>
          <cell r="B1747" t="str">
            <v>HOJA CORREDERA ROBLE - DCK</v>
          </cell>
          <cell r="C1747" t="str">
            <v>PRECIO DE VENTA</v>
          </cell>
          <cell r="D1747">
            <v>1</v>
          </cell>
          <cell r="E1747">
            <v>62429</v>
          </cell>
          <cell r="F1747">
            <v>62429</v>
          </cell>
        </row>
        <row r="1748">
          <cell r="A1748" t="str">
            <v>PL-DCK-TPA-BL</v>
          </cell>
          <cell r="B1748" t="str">
            <v>TRASLAPO ANDES - DCK</v>
          </cell>
          <cell r="C1748" t="str">
            <v>PRECIO DE VENTA</v>
          </cell>
          <cell r="D1748">
            <v>1</v>
          </cell>
          <cell r="E1748">
            <v>7641</v>
          </cell>
          <cell r="F1748">
            <v>7641</v>
          </cell>
        </row>
        <row r="1749">
          <cell r="A1749" t="str">
            <v>PL-MQS-TC-HMQ-12</v>
          </cell>
          <cell r="B1749" t="str">
            <v>REFUERZO HOJA CORREDERA MOSQUITERO 1.2 mm - TC</v>
          </cell>
          <cell r="C1749" t="str">
            <v>PRECIO DE VENTA</v>
          </cell>
          <cell r="D1749">
            <v>1</v>
          </cell>
          <cell r="E1749">
            <v>12705</v>
          </cell>
          <cell r="F1749">
            <v>12705</v>
          </cell>
        </row>
        <row r="1750">
          <cell r="A1750" t="str">
            <v>PL-MQS-TC-MMQ-12</v>
          </cell>
          <cell r="B1750" t="str">
            <v>REFUERZO MARCO MOSQUITERO 1.2 mm - TC</v>
          </cell>
          <cell r="C1750" t="str">
            <v>PRECIO DE VENTA</v>
          </cell>
          <cell r="D1750">
            <v>1</v>
          </cell>
          <cell r="E1750">
            <v>6699</v>
          </cell>
          <cell r="F1750">
            <v>6699</v>
          </cell>
        </row>
        <row r="1751">
          <cell r="A1751" t="str">
            <v>PL-MQS-TC-PMQ-12</v>
          </cell>
          <cell r="B1751" t="str">
            <v>REFUERZO POSTE T  MOSQUITERO 1.2 mm - TC</v>
          </cell>
          <cell r="C1751" t="str">
            <v>PRECIO DE VENTA</v>
          </cell>
          <cell r="D1751">
            <v>1</v>
          </cell>
          <cell r="E1751">
            <v>4620</v>
          </cell>
          <cell r="F1751">
            <v>4620</v>
          </cell>
        </row>
        <row r="1752">
          <cell r="A1752" t="str">
            <v>PL-REF-TC-PLE-12</v>
          </cell>
          <cell r="B1752" t="str">
            <v>REFUERZO PLEGABLE 1.2 mm - TC</v>
          </cell>
          <cell r="C1752" t="str">
            <v>PRECIO DE VENTA</v>
          </cell>
          <cell r="D1752">
            <v>1</v>
          </cell>
          <cell r="E1752">
            <v>9375</v>
          </cell>
          <cell r="F1752">
            <v>9375</v>
          </cell>
        </row>
        <row r="1753">
          <cell r="A1753" t="str">
            <v>PL-REF-TC-TUB-2</v>
          </cell>
          <cell r="B1753" t="str">
            <v>REFUERZO TUBULAR 60 x 100 - 2mm - TC</v>
          </cell>
          <cell r="C1753" t="str">
            <v>PRECIO DE VENTA</v>
          </cell>
          <cell r="D1753">
            <v>1</v>
          </cell>
          <cell r="E1753">
            <v>61170</v>
          </cell>
          <cell r="F1753">
            <v>61170</v>
          </cell>
        </row>
        <row r="1754">
          <cell r="A1754" t="str">
            <v>PL-S60-AC-BMF-12</v>
          </cell>
          <cell r="B1754" t="str">
            <v>REFUERZO BOX MARCO FIJO S60 1,2 mm - AC</v>
          </cell>
          <cell r="C1754" t="str">
            <v>PRECIO DE VENTA</v>
          </cell>
          <cell r="D1754">
            <v>1</v>
          </cell>
          <cell r="E1754">
            <v>15937</v>
          </cell>
          <cell r="F1754">
            <v>15937</v>
          </cell>
        </row>
        <row r="1755">
          <cell r="A1755" t="str">
            <v>PL-S60-GR-BMF-12</v>
          </cell>
          <cell r="B1755" t="str">
            <v>REFUERZO BOX MARCO FIJO 1.2 mm - GR</v>
          </cell>
          <cell r="C1755" t="str">
            <v>PRECIO DE VENTA</v>
          </cell>
          <cell r="D1755">
            <v>1</v>
          </cell>
          <cell r="E1755">
            <v>17971</v>
          </cell>
          <cell r="F1755">
            <v>17971</v>
          </cell>
        </row>
        <row r="1756">
          <cell r="A1756" t="str">
            <v>PL-S60-P30-BL-NC</v>
          </cell>
          <cell r="B1756" t="str">
            <v>PERFIL ELEVACION S60 30 mm - BLANCO - ALTERNATIVO</v>
          </cell>
          <cell r="C1756" t="str">
            <v>PRECIO DE VENTA</v>
          </cell>
          <cell r="D1756">
            <v>1</v>
          </cell>
          <cell r="E1756">
            <v>17512</v>
          </cell>
          <cell r="F1756">
            <v>17512</v>
          </cell>
        </row>
        <row r="1757">
          <cell r="A1757" t="str">
            <v>PL-S60-TC-BMF-12</v>
          </cell>
          <cell r="B1757" t="str">
            <v>REFUERZO BOX MARCO FIJO S60 1.2 mm - TC</v>
          </cell>
          <cell r="C1757" t="str">
            <v>PRECIO DE VENTA</v>
          </cell>
          <cell r="D1757">
            <v>1</v>
          </cell>
          <cell r="E1757">
            <v>14953</v>
          </cell>
          <cell r="F1757">
            <v>14953</v>
          </cell>
        </row>
        <row r="1758">
          <cell r="A1758" t="str">
            <v>PL-S60-TC-EQF-15</v>
          </cell>
          <cell r="B1758" t="str">
            <v>REFUERZO BOX ESQ. 90° S60 1.5 mm - TC</v>
          </cell>
          <cell r="C1758" t="str">
            <v>PRECIO DE VENTA</v>
          </cell>
          <cell r="D1758">
            <v>1</v>
          </cell>
          <cell r="E1758">
            <v>24008</v>
          </cell>
          <cell r="F1758">
            <v>24008</v>
          </cell>
        </row>
        <row r="1759">
          <cell r="A1759" t="str">
            <v>PL-S60-TC-H98-2</v>
          </cell>
          <cell r="B1759" t="str">
            <v>REFUERZO HOJA CORREDERA 98 2 mm - TC</v>
          </cell>
          <cell r="C1759" t="str">
            <v>PRECIO DE VENTA</v>
          </cell>
          <cell r="D1759">
            <v>1</v>
          </cell>
          <cell r="E1759">
            <v>20814</v>
          </cell>
          <cell r="F1759">
            <v>20814</v>
          </cell>
        </row>
        <row r="1760">
          <cell r="A1760" t="str">
            <v>PL-S60-TC-HPF-15</v>
          </cell>
          <cell r="B1760" t="str">
            <v>REFUERZO HOJA PUERTA S60 1.5mm - TC</v>
          </cell>
          <cell r="C1760" t="str">
            <v>PRECIO DE VENTA</v>
          </cell>
          <cell r="D1760">
            <v>1</v>
          </cell>
          <cell r="E1760">
            <v>21863</v>
          </cell>
          <cell r="F1760">
            <v>21863</v>
          </cell>
        </row>
        <row r="1761">
          <cell r="A1761" t="str">
            <v>PL-S60-TC-MLT-2</v>
          </cell>
          <cell r="B1761" t="str">
            <v>REFUERZO PLEGABLE 2 mm - TC</v>
          </cell>
          <cell r="C1761" t="str">
            <v>PRECIO DE VENTA</v>
          </cell>
          <cell r="D1761">
            <v>1</v>
          </cell>
          <cell r="E1761">
            <v>16877</v>
          </cell>
          <cell r="F1761">
            <v>16877</v>
          </cell>
        </row>
        <row r="1762">
          <cell r="A1762" t="str">
            <v>PL-S60-TC-PST-12</v>
          </cell>
          <cell r="B1762" t="str">
            <v>REFUERZO POSTE T S60 1.2 mm - TC</v>
          </cell>
          <cell r="C1762" t="str">
            <v>PRECIO DE VENTA</v>
          </cell>
          <cell r="D1762">
            <v>1</v>
          </cell>
          <cell r="E1762">
            <v>10128</v>
          </cell>
          <cell r="F1762">
            <v>10128</v>
          </cell>
        </row>
        <row r="1763">
          <cell r="A1763" t="str">
            <v>PL-SLA-AC-H66-12</v>
          </cell>
          <cell r="B1763" t="str">
            <v>REFUERZO HOJA ANDES 66 1,2mm - AC</v>
          </cell>
          <cell r="C1763" t="str">
            <v>PRECIO DE VENTA</v>
          </cell>
          <cell r="D1763">
            <v>1</v>
          </cell>
          <cell r="E1763">
            <v>7190</v>
          </cell>
          <cell r="F1763">
            <v>7190</v>
          </cell>
        </row>
        <row r="1764">
          <cell r="A1764" t="str">
            <v>PL-SLA-AC-MCA-12</v>
          </cell>
          <cell r="B1764" t="str">
            <v>REFUERZO MARCO CORREDERA ANDES 1,2 mm - AC</v>
          </cell>
          <cell r="C1764" t="str">
            <v>PRECIO DE VENTA</v>
          </cell>
          <cell r="D1764">
            <v>1</v>
          </cell>
          <cell r="E1764">
            <v>5379</v>
          </cell>
          <cell r="F1764">
            <v>5379</v>
          </cell>
        </row>
        <row r="1765">
          <cell r="A1765" t="str">
            <v>PL-SLA-GR-H66-12</v>
          </cell>
          <cell r="B1765" t="str">
            <v>REFUERZO HOJA ANDES 66 1.2mm - GR</v>
          </cell>
          <cell r="C1765" t="str">
            <v>PRECIO DE VENTA</v>
          </cell>
          <cell r="D1765">
            <v>1</v>
          </cell>
          <cell r="E1765">
            <v>8547</v>
          </cell>
          <cell r="F1765">
            <v>8547</v>
          </cell>
        </row>
        <row r="1766">
          <cell r="A1766" t="str">
            <v>PL-SLA-GR-MCA-12</v>
          </cell>
          <cell r="B1766" t="str">
            <v>REFUERZO MARCO CORREDERA ANDES 1.2 mm - GR</v>
          </cell>
          <cell r="C1766" t="str">
            <v>PRECIO DE VENTA</v>
          </cell>
          <cell r="D1766">
            <v>1</v>
          </cell>
          <cell r="E1766">
            <v>7288</v>
          </cell>
          <cell r="F1766">
            <v>7288</v>
          </cell>
        </row>
        <row r="1767">
          <cell r="A1767" t="str">
            <v>PL-SLA-TC-H54-12</v>
          </cell>
          <cell r="B1767" t="str">
            <v>REFUERZO HOJA ANDES 54 1,2 mm - TC</v>
          </cell>
          <cell r="C1767" t="str">
            <v>PRECIO DE VENTA</v>
          </cell>
          <cell r="D1767">
            <v>1</v>
          </cell>
          <cell r="E1767">
            <v>6456</v>
          </cell>
          <cell r="F1767">
            <v>6456</v>
          </cell>
        </row>
        <row r="1768">
          <cell r="A1768" t="str">
            <v>PL-SLA-TC-H66-12</v>
          </cell>
          <cell r="B1768" t="str">
            <v>REFUERZO HOJA ANDES 66 1.2mm - TC</v>
          </cell>
          <cell r="C1768" t="str">
            <v>PRECIO DE VENTA</v>
          </cell>
          <cell r="D1768">
            <v>1</v>
          </cell>
          <cell r="E1768">
            <v>8038</v>
          </cell>
          <cell r="F1768">
            <v>8038</v>
          </cell>
        </row>
        <row r="1769">
          <cell r="A1769" t="str">
            <v>PL-SLA-TC-H66-15</v>
          </cell>
          <cell r="B1769" t="str">
            <v>REFUERZO HOJA ANDES 66 1.5 mm - TC</v>
          </cell>
          <cell r="C1769" t="str">
            <v>PRECIO DE VENTA</v>
          </cell>
          <cell r="D1769">
            <v>1</v>
          </cell>
          <cell r="E1769">
            <v>10128</v>
          </cell>
          <cell r="F1769">
            <v>10128</v>
          </cell>
        </row>
        <row r="1770">
          <cell r="A1770" t="str">
            <v>PL-SLA-TC-H66-20</v>
          </cell>
          <cell r="B1770" t="str">
            <v>REFUERZO HOJA ANDES 66 2 mm</v>
          </cell>
          <cell r="C1770" t="str">
            <v>PRECIO DE VENTA</v>
          </cell>
          <cell r="D1770">
            <v>1</v>
          </cell>
          <cell r="E1770">
            <v>13593</v>
          </cell>
          <cell r="F1770">
            <v>13593</v>
          </cell>
        </row>
        <row r="1771">
          <cell r="A1771" t="str">
            <v>PL-SLA-TC-MCA-12</v>
          </cell>
          <cell r="B1771" t="str">
            <v>REFUERZO MARCO CORREDERA ANDES 1.2 mm - TC</v>
          </cell>
          <cell r="C1771" t="str">
            <v>PRECIO DE VENTA</v>
          </cell>
          <cell r="D1771">
            <v>1</v>
          </cell>
          <cell r="E1771">
            <v>5421</v>
          </cell>
          <cell r="F1771">
            <v>5421</v>
          </cell>
        </row>
        <row r="1772">
          <cell r="A1772" t="str">
            <v>PL-SLA-TC-MLT-12</v>
          </cell>
          <cell r="B1772" t="str">
            <v>REFUERZO MULTIPLE ANDES 1.2 mm - TC</v>
          </cell>
          <cell r="C1772" t="str">
            <v>PRECIO DE VENTA</v>
          </cell>
          <cell r="D1772">
            <v>1</v>
          </cell>
          <cell r="E1772">
            <v>6544</v>
          </cell>
          <cell r="F1772">
            <v>6544</v>
          </cell>
        </row>
        <row r="1773">
          <cell r="A1773" t="str">
            <v>PL-SLD-AC-MC-12</v>
          </cell>
          <cell r="B1773" t="str">
            <v>REFUERZO MARCO CORREDERA 1.2 mm - AC</v>
          </cell>
          <cell r="C1773" t="str">
            <v>PRECIO DE VENTA</v>
          </cell>
          <cell r="D1773">
            <v>1</v>
          </cell>
          <cell r="E1773">
            <v>8792</v>
          </cell>
          <cell r="F1773">
            <v>8792</v>
          </cell>
        </row>
        <row r="1774">
          <cell r="A1774" t="str">
            <v>PL-SLD-GR-MCA-12</v>
          </cell>
          <cell r="B1774" t="str">
            <v>REFUERZO MARCO CORREDERA 1.2 mm - GR</v>
          </cell>
          <cell r="C1774" t="str">
            <v>PRECIO DE VENTA</v>
          </cell>
          <cell r="D1774">
            <v>1</v>
          </cell>
          <cell r="E1774">
            <v>15258</v>
          </cell>
          <cell r="F1774">
            <v>15258</v>
          </cell>
        </row>
        <row r="1775">
          <cell r="A1775" t="str">
            <v>PL-SLD-TC-EQC-15</v>
          </cell>
          <cell r="B1775" t="str">
            <v>REFUERZO BOX ESQ. 90° SLIDING 1.5 mm - TC</v>
          </cell>
          <cell r="C1775" t="str">
            <v>PRECIO DE VENTA</v>
          </cell>
          <cell r="D1775">
            <v>1</v>
          </cell>
          <cell r="E1775">
            <v>32283</v>
          </cell>
          <cell r="F1775">
            <v>32283</v>
          </cell>
        </row>
        <row r="1776">
          <cell r="A1776" t="str">
            <v>PL-SLD-TC-MCA-12</v>
          </cell>
          <cell r="B1776" t="str">
            <v>REFUERZO MARCO CORREDERA 1.2 mm - TC</v>
          </cell>
          <cell r="C1776" t="str">
            <v>PRECIO DE VENTA</v>
          </cell>
          <cell r="D1776">
            <v>1</v>
          </cell>
          <cell r="E1776">
            <v>8815</v>
          </cell>
          <cell r="F1776">
            <v>8815</v>
          </cell>
        </row>
        <row r="1777">
          <cell r="A1777" t="str">
            <v>PL-SLD-TC-MCA-S75-12</v>
          </cell>
          <cell r="B1777" t="str">
            <v>REFUERZO MARCO CORREDERA S75 1.2 mm - TC</v>
          </cell>
          <cell r="C1777" t="str">
            <v>PRECIO DE VENTA</v>
          </cell>
          <cell r="D1777">
            <v>1</v>
          </cell>
          <cell r="E1777">
            <v>10500</v>
          </cell>
          <cell r="F1777">
            <v>10500</v>
          </cell>
        </row>
        <row r="1778">
          <cell r="A1778" t="str">
            <v>PL-SLZ-TC-HCZ-2</v>
          </cell>
          <cell r="B1778" t="str">
            <v>REFUERZO HOJA ZENIA 2 mm - TC</v>
          </cell>
          <cell r="C1778" t="str">
            <v>PRECIO DE VENTA</v>
          </cell>
          <cell r="D1778">
            <v>1</v>
          </cell>
          <cell r="E1778">
            <v>16821</v>
          </cell>
          <cell r="F1778">
            <v>16821</v>
          </cell>
        </row>
        <row r="1779">
          <cell r="A1779" t="str">
            <v>PL-SLZ-TC-MCZ-12</v>
          </cell>
          <cell r="B1779" t="str">
            <v>REFUERZO MARCO ZENIA 1.2 mm - TC</v>
          </cell>
          <cell r="C1779" t="str">
            <v>PRECIO DE VENTA</v>
          </cell>
          <cell r="D1779">
            <v>1</v>
          </cell>
          <cell r="E1779">
            <v>8157</v>
          </cell>
          <cell r="F1779">
            <v>8157</v>
          </cell>
        </row>
        <row r="1780">
          <cell r="A1780" t="str">
            <v>TC26</v>
          </cell>
          <cell r="B1780" t="str">
            <v>EQUIPO DE CAPTURA MOVIL TC26</v>
          </cell>
          <cell r="C1780" t="str">
            <v>PRECIO DE VENTA</v>
          </cell>
          <cell r="D1780">
            <v>1</v>
          </cell>
        </row>
        <row r="1781">
          <cell r="A1781" t="str">
            <v>VEHICULO1</v>
          </cell>
          <cell r="B1781" t="str">
            <v>CAMIONETA HYUNDAI</v>
          </cell>
          <cell r="C1781" t="str">
            <v>PRECIO DE VENTA</v>
          </cell>
          <cell r="D1781">
            <v>1</v>
          </cell>
        </row>
        <row r="1782">
          <cell r="A1782" t="str">
            <v>VEHICULO10</v>
          </cell>
          <cell r="B1782" t="str">
            <v>CAMIONETA MITSUBISHI 2.4 L200 FAC 512 TERMOTEK</v>
          </cell>
          <cell r="C1782" t="str">
            <v>PRECIO DE VENTA</v>
          </cell>
          <cell r="D1782">
            <v>1</v>
          </cell>
        </row>
        <row r="1783">
          <cell r="A1783" t="str">
            <v>VEHICULO11</v>
          </cell>
          <cell r="B1783" t="str">
            <v>CAMION VOLKSWAGEN MODELO DELIVERY 9.170 AÑO 2021 FAC79317 TUCAPEL</v>
          </cell>
          <cell r="C1783" t="str">
            <v>PRECIO DE VENTA</v>
          </cell>
          <cell r="D1783">
            <v>1</v>
          </cell>
        </row>
        <row r="1784">
          <cell r="A1784" t="str">
            <v>VEHICULO12</v>
          </cell>
          <cell r="B1784" t="str">
            <v>CAMION MARCA VOLKSWAGEN MODELO DELIVERY 11.180 FAC 86659</v>
          </cell>
          <cell r="C1784" t="str">
            <v>PRECIO DE VENTA</v>
          </cell>
          <cell r="D1784">
            <v>1</v>
          </cell>
        </row>
        <row r="1785">
          <cell r="A1785" t="str">
            <v>VEHICULO13</v>
          </cell>
          <cell r="B1785" t="str">
            <v>CARROCERIA PLANA CON MEDIA BARANDA Y ATRIL  FACE 714 COMERCIALIZADORA Y AISLANTES</v>
          </cell>
          <cell r="C1785" t="str">
            <v>PRECIO DE VENTA</v>
          </cell>
          <cell r="D1785">
            <v>1</v>
          </cell>
        </row>
        <row r="1786">
          <cell r="A1786" t="str">
            <v>VEHICULO14</v>
          </cell>
          <cell r="B1786" t="str">
            <v>CAMION MARCA VOLKSWAGEN MODELO DELIVERY 9.170 FAC 88273</v>
          </cell>
          <cell r="C1786" t="str">
            <v>PRECIO DE VENTA</v>
          </cell>
          <cell r="D1786">
            <v>1</v>
          </cell>
        </row>
        <row r="1787">
          <cell r="A1787" t="str">
            <v>VEHICULO15</v>
          </cell>
          <cell r="B1787" t="str">
            <v>CARROCERIA PLANA CON MEDIA BARANDA Y ATRIL  FACE 747 COMERCIALIZADORA Y AISLANTES</v>
          </cell>
          <cell r="C1787" t="str">
            <v>PRECIO DE VENTA</v>
          </cell>
          <cell r="D1787">
            <v>1</v>
          </cell>
        </row>
        <row r="1788">
          <cell r="A1788" t="str">
            <v>VEHICULO16</v>
          </cell>
          <cell r="B1788" t="str">
            <v>MODIFICACION CTTO LEASING SINIESTRO DE 1 CAMIONETA</v>
          </cell>
          <cell r="C1788" t="str">
            <v>PRECIO DE VENTA</v>
          </cell>
          <cell r="D1788">
            <v>1</v>
          </cell>
        </row>
        <row r="1789">
          <cell r="A1789" t="str">
            <v>VEHICULO17</v>
          </cell>
          <cell r="B1789" t="str">
            <v>CAMION VOLKSWAGEN MODELO DELIVERY 9.170 AÑO 2021 TEMUCO</v>
          </cell>
          <cell r="C1789" t="str">
            <v>PRECIO DE VENTA</v>
          </cell>
          <cell r="D1789">
            <v>1</v>
          </cell>
        </row>
        <row r="1790">
          <cell r="A1790" t="str">
            <v>VEHICULO18</v>
          </cell>
          <cell r="B1790" t="str">
            <v>CARROCERIA PLANA CON BARANDA VW 11180</v>
          </cell>
          <cell r="C1790" t="str">
            <v>PRECIO DE VENTA</v>
          </cell>
          <cell r="D1790">
            <v>1</v>
          </cell>
        </row>
        <row r="1791">
          <cell r="A1791" t="str">
            <v>VEHICULO19</v>
          </cell>
          <cell r="B1791" t="str">
            <v>CAMIONETA ZR61LBP MAZDA AUTOMATICA</v>
          </cell>
          <cell r="C1791" t="str">
            <v>PRECIO DE VENTA</v>
          </cell>
          <cell r="D1791">
            <v>1</v>
          </cell>
        </row>
        <row r="1792">
          <cell r="A1792" t="str">
            <v>VEHICULO2</v>
          </cell>
          <cell r="B1792" t="str">
            <v>CAMIONETA GREAL WELL AÑO 2017</v>
          </cell>
          <cell r="C1792" t="str">
            <v>PRECIO DE VENTA</v>
          </cell>
          <cell r="D1792">
            <v>1</v>
          </cell>
        </row>
        <row r="1793">
          <cell r="A1793" t="str">
            <v>VEHICULO3</v>
          </cell>
          <cell r="B1793" t="str">
            <v>CAMION HYUNDAI TEMUCO CECOR S.A. FAC 51394</v>
          </cell>
          <cell r="C1793" t="str">
            <v>PRECIO DE VENTA</v>
          </cell>
          <cell r="D1793">
            <v>1</v>
          </cell>
        </row>
        <row r="1794">
          <cell r="A1794" t="str">
            <v>VEHICULO4</v>
          </cell>
          <cell r="B1794" t="str">
            <v>FURGON MARCA FIAT MODELO FIORINO CITY DIESEL</v>
          </cell>
          <cell r="C1794" t="str">
            <v>PRECIO DE VENTA</v>
          </cell>
          <cell r="D1794">
            <v>1</v>
          </cell>
        </row>
        <row r="1795">
          <cell r="A1795" t="str">
            <v>VEHICULO5</v>
          </cell>
          <cell r="B1795" t="str">
            <v>CAMIONETA CHEVROLET COLOR AZUL FAC40601 76281300-9</v>
          </cell>
          <cell r="C1795" t="str">
            <v>PRECIO DE VENTA</v>
          </cell>
          <cell r="D1795">
            <v>1</v>
          </cell>
        </row>
        <row r="1796">
          <cell r="A1796" t="str">
            <v>VEHICULO6</v>
          </cell>
          <cell r="B1796" t="str">
            <v>CAMIONETA GREAT WALL WINGLE</v>
          </cell>
          <cell r="C1796" t="str">
            <v>PRECIO DE VENTA</v>
          </cell>
          <cell r="D1796">
            <v>1</v>
          </cell>
        </row>
        <row r="1797">
          <cell r="A1797" t="str">
            <v>VEHICULO7</v>
          </cell>
          <cell r="B1797" t="str">
            <v>CAMIONETA HONDA AÑO 2020</v>
          </cell>
          <cell r="C1797" t="str">
            <v>PRECIO DE VENTA</v>
          </cell>
          <cell r="D1797">
            <v>1</v>
          </cell>
        </row>
        <row r="1798">
          <cell r="A1798" t="str">
            <v>VEHICULO8</v>
          </cell>
          <cell r="B1798" t="str">
            <v>CAMION HYUNDAI MODELO HD 35 FAC 506 TERMOTEK</v>
          </cell>
          <cell r="C1798" t="str">
            <v>PRECIO DE VENTA</v>
          </cell>
          <cell r="D1798">
            <v>1</v>
          </cell>
        </row>
        <row r="1799">
          <cell r="A1799" t="str">
            <v>VEHICULO9</v>
          </cell>
          <cell r="B1799" t="str">
            <v>CAMIONETA MITSUBISHI 2.4 FAC 509</v>
          </cell>
          <cell r="C1799" t="str">
            <v>PRECIO DE VENTA</v>
          </cell>
          <cell r="D1799">
            <v>1</v>
          </cell>
        </row>
        <row r="1800">
          <cell r="A1800" t="str">
            <v>VEHICULOS20</v>
          </cell>
          <cell r="B1800" t="str">
            <v>CAMIONETA MARCA CHANGAN  COLOR GRIS 4X4</v>
          </cell>
          <cell r="C1800" t="str">
            <v>PRECIO DE VENTA</v>
          </cell>
          <cell r="D1800">
            <v>1</v>
          </cell>
        </row>
        <row r="1801">
          <cell r="A1801" t="str">
            <v>VEHICULOS21</v>
          </cell>
          <cell r="B1801" t="str">
            <v>CAMIONETA MARCA MAZDA MODELO LA NEW BT-50</v>
          </cell>
          <cell r="C1801" t="str">
            <v>PRECIO DE VENTA</v>
          </cell>
          <cell r="D1801">
            <v>1</v>
          </cell>
        </row>
        <row r="1802">
          <cell r="A1802" t="str">
            <v>VEHICULOS22</v>
          </cell>
          <cell r="B1802" t="str">
            <v>FURGON MARCA RAM BLANCA</v>
          </cell>
          <cell r="C1802" t="str">
            <v>PRECIO DE VENTA</v>
          </cell>
          <cell r="D1802">
            <v>1</v>
          </cell>
        </row>
        <row r="1803">
          <cell r="A1803" t="str">
            <v>VEHICULOS23</v>
          </cell>
          <cell r="B1803" t="str">
            <v>FABRICACION DE CARROCERIAS CAMION MARCA HINO  CON BARANDAS ABATIBLES Y ATRIL  DE CARGA DESMONTABLE</v>
          </cell>
          <cell r="C1803" t="str">
            <v>PRECIO DE VENTA</v>
          </cell>
          <cell r="D1803">
            <v>1</v>
          </cell>
        </row>
        <row r="1804">
          <cell r="A1804" t="str">
            <v>VEHICULOS24</v>
          </cell>
          <cell r="B1804" t="str">
            <v>CAMIONETA FORD NEW RANGER RAPTOR DC 2.0 AUTOMATICA 4X4</v>
          </cell>
          <cell r="C1804" t="str">
            <v>PRECIO DE VENTA</v>
          </cell>
          <cell r="D1804">
            <v>1</v>
          </cell>
        </row>
        <row r="1805">
          <cell r="A1805" t="str">
            <v>VEHICULOS25</v>
          </cell>
          <cell r="B1805" t="str">
            <v>CAMIONETA COLOR GRIS ROCAN MARCA MAZDA MODELO BT-50 4X4 3.0 AÑO 2023</v>
          </cell>
          <cell r="C1805" t="str">
            <v>PRECIO DE VENTA</v>
          </cell>
          <cell r="D1805">
            <v>1</v>
          </cell>
        </row>
        <row r="1806">
          <cell r="A1806" t="str">
            <v>VENT-MAQ</v>
          </cell>
          <cell r="B1806" t="str">
            <v>VENTANA MAQUILA</v>
          </cell>
          <cell r="C1806" t="str">
            <v>PRECIO DE VENTA</v>
          </cell>
          <cell r="D1806">
            <v>1</v>
          </cell>
        </row>
        <row r="1807">
          <cell r="A1807" t="str">
            <v>ZT230</v>
          </cell>
          <cell r="B1807" t="str">
            <v>IMPRESORA ZT230</v>
          </cell>
          <cell r="C1807" t="str">
            <v>PRECIO DE VENTA</v>
          </cell>
          <cell r="D1807">
            <v>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3EA55-0707-4E49-A102-EFD28EFAD734}">
  <sheetPr codeName="Hoja3">
    <pageSetUpPr fitToPage="1"/>
  </sheetPr>
  <dimension ref="A1:K433"/>
  <sheetViews>
    <sheetView showGridLines="0" tabSelected="1" zoomScale="70" zoomScaleNormal="70" workbookViewId="0">
      <pane xSplit="11" ySplit="12" topLeftCell="L13" activePane="bottomRight" state="frozen"/>
      <selection pane="topRight" activeCell="O1" sqref="O1"/>
      <selection pane="bottomLeft" activeCell="A13" sqref="A13"/>
      <selection pane="bottomRight" activeCell="D21" sqref="D21"/>
    </sheetView>
  </sheetViews>
  <sheetFormatPr baseColWidth="10" defaultColWidth="11.42578125" defaultRowHeight="15" customHeight="1"/>
  <cols>
    <col min="1" max="1" width="2.7109375" style="2" customWidth="1"/>
    <col min="2" max="2" width="5.7109375" style="3" customWidth="1"/>
    <col min="3" max="3" width="25.7109375" style="23" customWidth="1"/>
    <col min="4" max="4" width="60" style="7" bestFit="1" customWidth="1"/>
    <col min="5" max="5" width="18.85546875" style="7" bestFit="1" customWidth="1"/>
    <col min="6" max="6" width="27.42578125" style="7" bestFit="1" customWidth="1"/>
    <col min="7" max="7" width="24.140625" style="2" bestFit="1" customWidth="1"/>
    <col min="8" max="8" width="19.7109375" style="2" customWidth="1"/>
    <col min="9" max="9" width="25.140625" style="2" customWidth="1"/>
    <col min="10" max="10" width="21.140625" style="2" hidden="1" customWidth="1"/>
    <col min="11" max="11" width="43.5703125" style="2" hidden="1" customWidth="1"/>
  </cols>
  <sheetData>
    <row r="1" spans="1:11" ht="30" customHeight="1">
      <c r="B1" s="1"/>
      <c r="D1" s="2"/>
      <c r="E1" s="2"/>
      <c r="F1" s="113" t="s">
        <v>0</v>
      </c>
      <c r="G1" s="114"/>
      <c r="H1" s="114"/>
      <c r="I1" s="16">
        <f>I432</f>
        <v>0</v>
      </c>
      <c r="J1"/>
    </row>
    <row r="2" spans="1:11" ht="30" customHeight="1">
      <c r="B2" s="8"/>
      <c r="C2" s="105"/>
      <c r="D2" s="105"/>
      <c r="E2" s="105"/>
      <c r="F2" s="105"/>
      <c r="G2" s="105"/>
      <c r="H2" s="105"/>
      <c r="I2" s="105"/>
      <c r="J2" s="105"/>
      <c r="K2" s="105"/>
    </row>
    <row r="3" spans="1:11" ht="20.100000000000001" customHeight="1">
      <c r="B3" s="8"/>
      <c r="C3" s="106"/>
      <c r="D3" s="106"/>
      <c r="E3" s="106"/>
      <c r="F3" s="106"/>
      <c r="G3" s="106"/>
      <c r="H3" s="106"/>
      <c r="I3" s="106"/>
      <c r="J3" s="106"/>
      <c r="K3" s="106"/>
    </row>
    <row r="4" spans="1:11" ht="20.100000000000001" customHeight="1" thickBot="1">
      <c r="B4" s="8"/>
      <c r="C4" s="44"/>
      <c r="D4" s="44"/>
      <c r="E4" s="44"/>
      <c r="F4" s="44"/>
      <c r="G4" s="44"/>
      <c r="H4" s="44"/>
      <c r="I4" s="44"/>
      <c r="J4" s="44"/>
      <c r="K4" s="44"/>
    </row>
    <row r="5" spans="1:11" ht="15" customHeight="1">
      <c r="B5" s="1"/>
      <c r="C5" s="34" t="s">
        <v>1</v>
      </c>
      <c r="D5" s="107"/>
      <c r="E5" s="108"/>
      <c r="F5" s="109"/>
      <c r="G5" s="17"/>
      <c r="H5" s="17"/>
      <c r="I5" s="17"/>
      <c r="J5" s="17"/>
      <c r="K5"/>
    </row>
    <row r="6" spans="1:11" ht="15" customHeight="1">
      <c r="B6" s="1"/>
      <c r="C6" s="35" t="s">
        <v>2</v>
      </c>
      <c r="D6" s="110"/>
      <c r="E6" s="111"/>
      <c r="F6" s="112"/>
      <c r="G6" s="18"/>
      <c r="H6" s="18"/>
      <c r="I6" s="18"/>
      <c r="J6" s="18"/>
      <c r="K6"/>
    </row>
    <row r="7" spans="1:11" ht="15" customHeight="1">
      <c r="B7" s="1"/>
      <c r="C7" s="35" t="s">
        <v>3</v>
      </c>
      <c r="D7" s="110"/>
      <c r="E7" s="111"/>
      <c r="F7" s="112"/>
      <c r="G7" s="19"/>
      <c r="H7" s="19"/>
      <c r="I7" s="19"/>
      <c r="J7" s="19"/>
      <c r="K7"/>
    </row>
    <row r="8" spans="1:11" ht="15" customHeight="1">
      <c r="B8" s="1"/>
      <c r="C8" s="35" t="s">
        <v>4</v>
      </c>
      <c r="D8" s="110"/>
      <c r="E8" s="111"/>
      <c r="F8" s="112"/>
      <c r="G8" s="15"/>
      <c r="H8" s="15"/>
      <c r="I8" s="15"/>
      <c r="J8" s="15"/>
      <c r="K8"/>
    </row>
    <row r="9" spans="1:11" ht="15" customHeight="1">
      <c r="B9" s="1"/>
      <c r="C9" s="35" t="s">
        <v>5</v>
      </c>
      <c r="D9" s="110"/>
      <c r="E9" s="111"/>
      <c r="F9" s="112"/>
      <c r="G9" s="15"/>
      <c r="H9" s="15"/>
      <c r="I9" s="15"/>
      <c r="J9" s="15"/>
      <c r="K9"/>
    </row>
    <row r="10" spans="1:11" ht="15" customHeight="1">
      <c r="B10" s="1"/>
      <c r="C10" s="35" t="s">
        <v>6</v>
      </c>
      <c r="D10" s="110"/>
      <c r="E10" s="111"/>
      <c r="F10" s="112"/>
      <c r="G10" s="15"/>
      <c r="H10" s="15"/>
      <c r="I10" s="15"/>
      <c r="J10" s="15"/>
      <c r="K10" s="15"/>
    </row>
    <row r="11" spans="1:11" ht="20.100000000000001" customHeight="1">
      <c r="A11" s="4"/>
      <c r="B11" s="6"/>
      <c r="C11" s="30"/>
      <c r="D11" s="30"/>
      <c r="E11" s="30"/>
      <c r="F11" s="30"/>
      <c r="G11" s="30"/>
      <c r="H11" s="30"/>
      <c r="I11" s="30"/>
      <c r="J11" s="30"/>
      <c r="K11" s="30"/>
    </row>
    <row r="12" spans="1:11" s="12" customFormat="1" ht="39.950000000000003" customHeight="1">
      <c r="A12" s="11"/>
      <c r="B12" s="28"/>
      <c r="C12" s="45" t="s">
        <v>7</v>
      </c>
      <c r="D12" s="45" t="s">
        <v>8</v>
      </c>
      <c r="E12" s="45" t="s">
        <v>9</v>
      </c>
      <c r="F12" s="45" t="s">
        <v>10</v>
      </c>
      <c r="G12" s="45" t="s">
        <v>11</v>
      </c>
      <c r="H12" s="45" t="s">
        <v>12</v>
      </c>
      <c r="I12" s="45" t="s">
        <v>13</v>
      </c>
      <c r="J12" s="10" t="s">
        <v>14</v>
      </c>
      <c r="K12" s="37" t="s">
        <v>15</v>
      </c>
    </row>
    <row r="13" spans="1:11" ht="15" customHeight="1">
      <c r="B13" s="86">
        <v>1</v>
      </c>
      <c r="C13" s="71" t="s">
        <v>206</v>
      </c>
      <c r="D13" s="71" t="str">
        <f>VLOOKUP(C13,[1]B.D!$A:$B,2,FALSE)</f>
        <v>ACOPLE MINI - BLANCO</v>
      </c>
      <c r="E13" s="71" t="str">
        <f>VLOOKUP(C13,[1]B.D!$A:$F,6,FALSE)</f>
        <v>BLANCO</v>
      </c>
      <c r="F13" s="71" t="str">
        <f>VLOOKUP(C13,[1]B.D!$A:$G,7,FALSE)</f>
        <v>COMPLEMENTARIOS</v>
      </c>
      <c r="G13" s="13">
        <v>4232.55</v>
      </c>
      <c r="H13" s="87"/>
      <c r="I13" s="88">
        <f t="shared" ref="I13:I76" si="0">G13*H13</f>
        <v>0</v>
      </c>
      <c r="J13" s="89">
        <f>VLOOKUP(C13,[1]B.D!$A:$E,5,FALSE)</f>
        <v>0.6</v>
      </c>
      <c r="K13" s="89">
        <f t="shared" ref="K13:K76" si="1">$H13*$J13</f>
        <v>0</v>
      </c>
    </row>
    <row r="14" spans="1:11" ht="15" customHeight="1">
      <c r="B14" s="86">
        <v>2</v>
      </c>
      <c r="C14" s="71" t="s">
        <v>209</v>
      </c>
      <c r="D14" s="71" t="str">
        <f>VLOOKUP(C14,[1]B.D!$A:$B,2,FALSE)</f>
        <v>ACOPLE MINI - GRAFITO</v>
      </c>
      <c r="E14" s="71" t="str">
        <f>VLOOKUP(C14,[1]B.D!$A:$F,6,FALSE)</f>
        <v>GRAFITO</v>
      </c>
      <c r="F14" s="71" t="str">
        <f>VLOOKUP(C14,[1]B.D!$A:$G,7,FALSE)</f>
        <v>COMPLEMENTARIOS</v>
      </c>
      <c r="G14" s="13">
        <v>6325.2</v>
      </c>
      <c r="H14" s="87"/>
      <c r="I14" s="88">
        <f t="shared" si="0"/>
        <v>0</v>
      </c>
      <c r="J14" s="89">
        <f>VLOOKUP(C14,[1]B.D!$A:$E,5,FALSE)</f>
        <v>0.64800000000000002</v>
      </c>
      <c r="K14" s="89">
        <f t="shared" si="1"/>
        <v>0</v>
      </c>
    </row>
    <row r="15" spans="1:11" ht="15" customHeight="1">
      <c r="B15" s="86">
        <v>3</v>
      </c>
      <c r="C15" s="71" t="s">
        <v>210</v>
      </c>
      <c r="D15" s="71" t="str">
        <f>VLOOKUP(C15,[1]B.D!$A:$B,2,FALSE)</f>
        <v>ACOPLE MINI - NEW BLACK</v>
      </c>
      <c r="E15" s="71" t="str">
        <f>VLOOKUP(C15,[1]B.D!$A:$F,6,FALSE)</f>
        <v>NEW BLACK</v>
      </c>
      <c r="F15" s="71" t="str">
        <f>VLOOKUP(C15,[1]B.D!$A:$G,7,FALSE)</f>
        <v>COMPLEMENTARIOS</v>
      </c>
      <c r="G15" s="13">
        <v>7268.1</v>
      </c>
      <c r="H15" s="87"/>
      <c r="I15" s="88">
        <f t="shared" si="0"/>
        <v>0</v>
      </c>
      <c r="J15" s="89">
        <f>VLOOKUP(C15,[1]B.D!$A:$E,5,FALSE)</f>
        <v>0.82799999999999996</v>
      </c>
      <c r="K15" s="89">
        <f t="shared" si="1"/>
        <v>0</v>
      </c>
    </row>
    <row r="16" spans="1:11" ht="15" customHeight="1">
      <c r="B16" s="86">
        <v>4</v>
      </c>
      <c r="C16" s="71" t="s">
        <v>208</v>
      </c>
      <c r="D16" s="71" t="str">
        <f>VLOOKUP(C16,[1]B.D!$A:$B,2,FALSE)</f>
        <v>ACOPLE MINI - NOGAL</v>
      </c>
      <c r="E16" s="71" t="str">
        <f>VLOOKUP(C16,[1]B.D!$A:$F,6,FALSE)</f>
        <v>NOGAL</v>
      </c>
      <c r="F16" s="71" t="str">
        <f>VLOOKUP(C16,[1]B.D!$A:$G,7,FALSE)</f>
        <v>COMPLEMENTARIOS</v>
      </c>
      <c r="G16" s="13">
        <v>6325.2</v>
      </c>
      <c r="H16" s="87"/>
      <c r="I16" s="88">
        <f t="shared" si="0"/>
        <v>0</v>
      </c>
      <c r="J16" s="89">
        <f>VLOOKUP(C16,[1]B.D!$A:$E,5,FALSE)</f>
        <v>0.64800000000000002</v>
      </c>
      <c r="K16" s="89">
        <f t="shared" si="1"/>
        <v>0</v>
      </c>
    </row>
    <row r="17" spans="2:11" ht="15" customHeight="1">
      <c r="B17" s="86">
        <v>5</v>
      </c>
      <c r="C17" s="71" t="s">
        <v>207</v>
      </c>
      <c r="D17" s="71" t="str">
        <f>VLOOKUP(C17,[1]B.D!$A:$B,2,FALSE)</f>
        <v>ACOPLE MINI - ROBLE</v>
      </c>
      <c r="E17" s="71" t="str">
        <f>VLOOKUP(C17,[1]B.D!$A:$F,6,FALSE)</f>
        <v>ROBLE</v>
      </c>
      <c r="F17" s="71" t="str">
        <f>VLOOKUP(C17,[1]B.D!$A:$G,7,FALSE)</f>
        <v>COMPLEMENTARIOS</v>
      </c>
      <c r="G17" s="13">
        <v>6325.2</v>
      </c>
      <c r="H17" s="87"/>
      <c r="I17" s="88">
        <f t="shared" si="0"/>
        <v>0</v>
      </c>
      <c r="J17" s="89">
        <f>VLOOKUP(C17,[1]B.D!$A:$E,5,FALSE)</f>
        <v>0.64800000000000002</v>
      </c>
      <c r="K17" s="89">
        <f t="shared" si="1"/>
        <v>0</v>
      </c>
    </row>
    <row r="18" spans="2:11" ht="15" customHeight="1">
      <c r="B18" s="86">
        <v>6</v>
      </c>
      <c r="C18" s="71" t="s">
        <v>142</v>
      </c>
      <c r="D18" s="71" t="str">
        <f>VLOOKUP(C18,[1]B.D!$A:$B,2,FALSE)</f>
        <v>ADAPTADOR CUARTA HOJA ANDES - BLANCO</v>
      </c>
      <c r="E18" s="71" t="str">
        <f>VLOOKUP(C18,[1]B.D!$A:$F,6,FALSE)</f>
        <v>BLANCO</v>
      </c>
      <c r="F18" s="71" t="str">
        <f>VLOOKUP(C18,[1]B.D!$A:$G,7,FALSE)</f>
        <v>SLIDING - ANDES</v>
      </c>
      <c r="G18" s="13">
        <v>15358.35</v>
      </c>
      <c r="H18" s="87"/>
      <c r="I18" s="88">
        <f t="shared" si="0"/>
        <v>0</v>
      </c>
      <c r="J18" s="89">
        <f>VLOOKUP(C18,[1]B.D!$A:$E,5,FALSE)</f>
        <v>1.752</v>
      </c>
      <c r="K18" s="89">
        <f t="shared" si="1"/>
        <v>0</v>
      </c>
    </row>
    <row r="19" spans="2:11" ht="15" customHeight="1">
      <c r="B19" s="86">
        <v>7</v>
      </c>
      <c r="C19" s="71" t="s">
        <v>143</v>
      </c>
      <c r="D19" s="71" t="str">
        <f>VLOOKUP(C19,[1]B.D!$A:$B,2,FALSE)</f>
        <v>ADAPTADOR CUARTA HOJA ANDES - CAFE</v>
      </c>
      <c r="E19" s="71" t="str">
        <f>VLOOKUP(C19,[1]B.D!$A:$F,6,FALSE)</f>
        <v>NOGAL</v>
      </c>
      <c r="F19" s="71" t="str">
        <f>VLOOKUP(C19,[1]B.D!$A:$G,7,FALSE)</f>
        <v>SLIDING - ANDES</v>
      </c>
      <c r="G19" s="13">
        <v>16945.95</v>
      </c>
      <c r="H19" s="87"/>
      <c r="I19" s="88">
        <f t="shared" si="0"/>
        <v>0</v>
      </c>
      <c r="J19" s="89">
        <f>VLOOKUP(C19,[1]B.D!$A:$E,5,FALSE)</f>
        <v>0.71</v>
      </c>
      <c r="K19" s="89">
        <f t="shared" si="1"/>
        <v>0</v>
      </c>
    </row>
    <row r="20" spans="2:11" ht="15" customHeight="1">
      <c r="B20" s="86">
        <v>8</v>
      </c>
      <c r="C20" s="71" t="s">
        <v>137</v>
      </c>
      <c r="D20" s="71" t="str">
        <f>VLOOKUP(C20,[1]B.D!$A:$B,2,FALSE)</f>
        <v>ADAPTADOR CUARTA HOJA BLANCO - C/ FELPA</v>
      </c>
      <c r="E20" s="71" t="str">
        <f>VLOOKUP(C20,[1]B.D!$A:$F,6,FALSE)</f>
        <v>BLANCO</v>
      </c>
      <c r="F20" s="71" t="str">
        <f>VLOOKUP(C20,[1]B.D!$A:$G,7,FALSE)</f>
        <v>SLIDING</v>
      </c>
      <c r="G20" s="13">
        <v>57729</v>
      </c>
      <c r="H20" s="87"/>
      <c r="I20" s="88">
        <f t="shared" si="0"/>
        <v>0</v>
      </c>
      <c r="J20" s="89">
        <f>VLOOKUP(C20,[1]B.D!$A:$E,5,FALSE)</f>
        <v>2.9340000000000002</v>
      </c>
      <c r="K20" s="89">
        <f t="shared" si="1"/>
        <v>0</v>
      </c>
    </row>
    <row r="21" spans="2:11" ht="15" customHeight="1">
      <c r="B21" s="93">
        <v>9</v>
      </c>
      <c r="C21" s="81" t="s">
        <v>140</v>
      </c>
      <c r="D21" s="81" t="str">
        <f>VLOOKUP(C21,[1]B.D!$A:$B,2,FALSE)</f>
        <v>ADAPTADOR CUARTA HOJA GRAFITO - C/ FELPA</v>
      </c>
      <c r="E21" s="81" t="str">
        <f>VLOOKUP(C21,[1]B.D!$A:$F,6,FALSE)</f>
        <v>GRAFITO</v>
      </c>
      <c r="F21" s="81" t="str">
        <f>VLOOKUP(C21,[1]B.D!$A:$G,7,FALSE)</f>
        <v>SLIDING</v>
      </c>
      <c r="G21" s="94">
        <v>58474.5</v>
      </c>
      <c r="H21" s="95"/>
      <c r="I21" s="96">
        <f t="shared" si="0"/>
        <v>0</v>
      </c>
      <c r="J21" s="41">
        <f>VLOOKUP(C21,[1]B.D!$A:$E,5,FALSE)</f>
        <v>2.9340000000000002</v>
      </c>
      <c r="K21" s="41">
        <f t="shared" si="1"/>
        <v>0</v>
      </c>
    </row>
    <row r="22" spans="2:11" ht="15" customHeight="1">
      <c r="B22" s="86">
        <v>10</v>
      </c>
      <c r="C22" s="71" t="s">
        <v>141</v>
      </c>
      <c r="D22" s="71" t="str">
        <f>VLOOKUP(C22,[1]B.D!$A:$B,2,FALSE)</f>
        <v>ADAPTADOR CUARTA HOJA NEW BLACK - C/ FELPA</v>
      </c>
      <c r="E22" s="71" t="str">
        <f>VLOOKUP(C22,[1]B.D!$A:$F,6,FALSE)</f>
        <v>NEW BLACK</v>
      </c>
      <c r="F22" s="71" t="str">
        <f>VLOOKUP(C22,[1]B.D!$A:$G,7,FALSE)</f>
        <v>SLIDING</v>
      </c>
      <c r="G22" s="13">
        <v>65406.600000000006</v>
      </c>
      <c r="H22" s="87"/>
      <c r="I22" s="88">
        <f t="shared" si="0"/>
        <v>0</v>
      </c>
      <c r="J22" s="89">
        <f>VLOOKUP(C22,[1]B.D!$A:$E,5,FALSE)</f>
        <v>3.03</v>
      </c>
      <c r="K22" s="89">
        <f t="shared" si="1"/>
        <v>0</v>
      </c>
    </row>
    <row r="23" spans="2:11" ht="15" customHeight="1">
      <c r="B23" s="86">
        <v>11</v>
      </c>
      <c r="C23" s="71" t="s">
        <v>139</v>
      </c>
      <c r="D23" s="71" t="str">
        <f>VLOOKUP(C23,[1]B.D!$A:$B,2,FALSE)</f>
        <v>ADAPTADOR CUARTA HOJA NOGAL - C/ FELPA</v>
      </c>
      <c r="E23" s="71" t="str">
        <f>VLOOKUP(C23,[1]B.D!$A:$F,6,FALSE)</f>
        <v>NOGAL</v>
      </c>
      <c r="F23" s="71" t="str">
        <f>VLOOKUP(C23,[1]B.D!$A:$G,7,FALSE)</f>
        <v>SLIDING</v>
      </c>
      <c r="G23" s="13">
        <v>60755.100000000006</v>
      </c>
      <c r="H23" s="87"/>
      <c r="I23" s="88">
        <f t="shared" si="0"/>
        <v>0</v>
      </c>
      <c r="J23" s="89">
        <f>VLOOKUP(C23,[1]B.D!$A:$E,5,FALSE)</f>
        <v>3.03</v>
      </c>
      <c r="K23" s="89">
        <f t="shared" si="1"/>
        <v>0</v>
      </c>
    </row>
    <row r="24" spans="2:11" ht="15" customHeight="1">
      <c r="B24" s="86">
        <v>12</v>
      </c>
      <c r="C24" s="71" t="s">
        <v>138</v>
      </c>
      <c r="D24" s="71" t="str">
        <f>VLOOKUP(C24,[1]B.D!$A:$B,2,FALSE)</f>
        <v>ADAPTADOR CUARTA HOJA ROBLE - C/ FELPA</v>
      </c>
      <c r="E24" s="71" t="str">
        <f>VLOOKUP(C24,[1]B.D!$A:$F,6,FALSE)</f>
        <v>ROBLE</v>
      </c>
      <c r="F24" s="71" t="str">
        <f>VLOOKUP(C24,[1]B.D!$A:$G,7,FALSE)</f>
        <v>SLIDING</v>
      </c>
      <c r="G24" s="13">
        <v>61927.950000000004</v>
      </c>
      <c r="H24" s="87"/>
      <c r="I24" s="88">
        <f t="shared" si="0"/>
        <v>0</v>
      </c>
      <c r="J24" s="89">
        <f>VLOOKUP(C24,[1]B.D!$A:$E,5,FALSE)</f>
        <v>2.0099999999999998</v>
      </c>
      <c r="K24" s="89">
        <f t="shared" si="1"/>
        <v>0</v>
      </c>
    </row>
    <row r="25" spans="2:11" ht="15" customHeight="1">
      <c r="B25" s="86">
        <v>13</v>
      </c>
      <c r="C25" s="71" t="s">
        <v>327</v>
      </c>
      <c r="D25" s="71" t="str">
        <f>VLOOKUP(C25,[1]B.D!$A:$B,2,FALSE)</f>
        <v>ADAPTADOR CUARTA HOJA ZENIA - BLANCO</v>
      </c>
      <c r="E25" s="71" t="str">
        <f>VLOOKUP(C25,[1]B.D!$A:$F,6,FALSE)</f>
        <v>BLANCO</v>
      </c>
      <c r="F25" s="71" t="str">
        <f>VLOOKUP(C25,[1]B.D!$A:$G,7,FALSE)</f>
        <v>SLIDING - ZENIA</v>
      </c>
      <c r="G25" s="13">
        <v>24110.100000000002</v>
      </c>
      <c r="H25" s="87"/>
      <c r="I25" s="88">
        <f t="shared" si="0"/>
        <v>0</v>
      </c>
      <c r="J25" s="89">
        <f>VLOOKUP(C25,[1]B.D!$A:$E,5,FALSE)</f>
        <v>0.42</v>
      </c>
      <c r="K25" s="89">
        <f t="shared" si="1"/>
        <v>0</v>
      </c>
    </row>
    <row r="26" spans="2:11" ht="15" customHeight="1">
      <c r="B26" s="86">
        <v>14</v>
      </c>
      <c r="C26" s="71" t="s">
        <v>328</v>
      </c>
      <c r="D26" s="71" t="str">
        <f>VLOOKUP(C26,[1]B.D!$A:$B,2,FALSE)</f>
        <v>ADAPTADOR CUARTA HOJA ZENIA - CAFE</v>
      </c>
      <c r="E26" s="71" t="str">
        <f>VLOOKUP(C26,[1]B.D!$A:$F,6,FALSE)</f>
        <v>CAFE</v>
      </c>
      <c r="F26" s="71" t="str">
        <f>VLOOKUP(C26,[1]B.D!$A:$G,7,FALSE)</f>
        <v>SLIDING - ZENIA</v>
      </c>
      <c r="G26" s="13">
        <v>35807.1</v>
      </c>
      <c r="H26" s="87"/>
      <c r="I26" s="88">
        <f t="shared" si="0"/>
        <v>0</v>
      </c>
      <c r="J26" s="89">
        <f>VLOOKUP(C26,[1]B.D!$A:$E,5,FALSE)</f>
        <v>0.42</v>
      </c>
      <c r="K26" s="89">
        <f t="shared" si="1"/>
        <v>0</v>
      </c>
    </row>
    <row r="27" spans="2:11" ht="15" customHeight="1">
      <c r="B27" s="86">
        <v>15</v>
      </c>
      <c r="C27" s="71" t="s">
        <v>329</v>
      </c>
      <c r="D27" s="71" t="str">
        <f>VLOOKUP(C27,[1]B.D!$A:$B,2,FALSE)</f>
        <v>ADAPTADOR CUARTA HOJA ZENIA - MARRON</v>
      </c>
      <c r="E27" s="71" t="str">
        <f>VLOOKUP(C27,[1]B.D!$A:$F,6,FALSE)</f>
        <v>MARRON</v>
      </c>
      <c r="F27" s="71" t="str">
        <f>VLOOKUP(C27,[1]B.D!$A:$G,7,FALSE)</f>
        <v>SLIDING - ZENIA</v>
      </c>
      <c r="G27" s="13">
        <v>42071.4</v>
      </c>
      <c r="H27" s="87"/>
      <c r="I27" s="88">
        <f t="shared" si="0"/>
        <v>0</v>
      </c>
      <c r="J27" s="89">
        <f>VLOOKUP(C27,[1]B.D!$A:$E,5,FALSE)</f>
        <v>0.42</v>
      </c>
      <c r="K27" s="89">
        <f t="shared" si="1"/>
        <v>0</v>
      </c>
    </row>
    <row r="28" spans="2:11" ht="15" customHeight="1">
      <c r="B28" s="86">
        <v>16</v>
      </c>
      <c r="C28" s="71" t="s">
        <v>322</v>
      </c>
      <c r="D28" s="71" t="str">
        <f>VLOOKUP(C28,[1]B.D!$A:$B,2,FALSE)</f>
        <v>ADAPTADOR MARCO DOBLE RIEL ZENIA - MARRON</v>
      </c>
      <c r="E28" s="71" t="str">
        <f>VLOOKUP(C28,[1]B.D!$A:$F,6,FALSE)</f>
        <v>MARRON</v>
      </c>
      <c r="F28" s="71" t="str">
        <f>VLOOKUP(C28,[1]B.D!$A:$G,7,FALSE)</f>
        <v>SLIDING - ZENIA</v>
      </c>
      <c r="G28" s="13">
        <v>84009.45</v>
      </c>
      <c r="H28" s="87"/>
      <c r="I28" s="88">
        <f t="shared" si="0"/>
        <v>0</v>
      </c>
      <c r="J28" s="89">
        <f>VLOOKUP(C28,[1]B.D!$A:$E,5,FALSE)</f>
        <v>5.61</v>
      </c>
      <c r="K28" s="89">
        <f t="shared" si="1"/>
        <v>0</v>
      </c>
    </row>
    <row r="29" spans="2:11" ht="15" customHeight="1">
      <c r="B29" s="86">
        <v>17</v>
      </c>
      <c r="C29" s="71" t="s">
        <v>323</v>
      </c>
      <c r="D29" s="71" t="str">
        <f>VLOOKUP(C29,[1]B.D!$A:$B,2,FALSE)</f>
        <v>ADAPTADOR MARCO DOBLE RIEL ZENIA - MARRON OSCURO</v>
      </c>
      <c r="E29" s="71" t="str">
        <f>VLOOKUP(C29,[1]B.D!$A:$F,6,FALSE)</f>
        <v>MARRON OSCURO</v>
      </c>
      <c r="F29" s="71" t="str">
        <f>VLOOKUP(C29,[1]B.D!$A:$G,7,FALSE)</f>
        <v>SLIDING - ZENIA</v>
      </c>
      <c r="G29" s="13">
        <v>100537.5</v>
      </c>
      <c r="H29" s="87"/>
      <c r="I29" s="88">
        <f t="shared" si="0"/>
        <v>0</v>
      </c>
      <c r="J29" s="89">
        <f>VLOOKUP(C29,[1]B.D!$A:$E,5,FALSE)</f>
        <v>5.7359999999999998</v>
      </c>
      <c r="K29" s="89">
        <f t="shared" si="1"/>
        <v>0</v>
      </c>
    </row>
    <row r="30" spans="2:11" ht="15" customHeight="1">
      <c r="B30" s="86">
        <v>18</v>
      </c>
      <c r="C30" s="71" t="s">
        <v>321</v>
      </c>
      <c r="D30" s="71" t="str">
        <f>VLOOKUP(C30,[1]B.D!$A:$B,2,FALSE)</f>
        <v>ADAPTADOR MARCO DOBLE RIEL ZENIA - NATURAL</v>
      </c>
      <c r="E30" s="71" t="str">
        <f>VLOOKUP(C30,[1]B.D!$A:$F,6,FALSE)</f>
        <v>NATURAL</v>
      </c>
      <c r="F30" s="71" t="str">
        <f>VLOOKUP(C30,[1]B.D!$A:$G,7,FALSE)</f>
        <v>SLIDING - ZENIA</v>
      </c>
      <c r="G30" s="13">
        <v>84009.45</v>
      </c>
      <c r="H30" s="87"/>
      <c r="I30" s="88">
        <f t="shared" si="0"/>
        <v>0</v>
      </c>
      <c r="J30" s="89">
        <f>VLOOKUP(C30,[1]B.D!$A:$E,5,FALSE)</f>
        <v>5.61</v>
      </c>
      <c r="K30" s="89">
        <f t="shared" si="1"/>
        <v>0</v>
      </c>
    </row>
    <row r="31" spans="2:11" ht="15" customHeight="1">
      <c r="B31" s="86">
        <v>19</v>
      </c>
      <c r="C31" s="71" t="s">
        <v>253</v>
      </c>
      <c r="D31" s="71" t="str">
        <f>VLOOKUP(C31,[1]B.D!$A:$B,2,FALSE)</f>
        <v>ADAPTADOR ROTULA ANDES 38 - BLANCO</v>
      </c>
      <c r="E31" s="71" t="str">
        <f>VLOOKUP(C31,[1]B.D!$A:$F,6,FALSE)</f>
        <v>BLANCO</v>
      </c>
      <c r="F31" s="71" t="str">
        <f>VLOOKUP(C31,[1]B.D!$A:$G,7,FALSE)</f>
        <v>S38 - ANDES</v>
      </c>
      <c r="G31" s="13">
        <v>8771.7000000000007</v>
      </c>
      <c r="H31" s="87"/>
      <c r="I31" s="88">
        <f t="shared" si="0"/>
        <v>0</v>
      </c>
      <c r="J31" s="89">
        <f>VLOOKUP(C31,[1]B.D!$A:$E,5,FALSE)</f>
        <v>1.3080000000000001</v>
      </c>
      <c r="K31" s="89">
        <f t="shared" si="1"/>
        <v>0</v>
      </c>
    </row>
    <row r="32" spans="2:11" ht="15" customHeight="1">
      <c r="B32" s="86">
        <v>20</v>
      </c>
      <c r="C32" s="71" t="s">
        <v>255</v>
      </c>
      <c r="D32" s="71" t="str">
        <f>VLOOKUP(C32,[1]B.D!$A:$B,2,FALSE)</f>
        <v>ADAPTADOR ROTULA ANDES 38 - NOGAL</v>
      </c>
      <c r="E32" s="71" t="str">
        <f>VLOOKUP(C32,[1]B.D!$A:$F,6,FALSE)</f>
        <v>NOGAL</v>
      </c>
      <c r="F32" s="71" t="str">
        <f>VLOOKUP(C32,[1]B.D!$A:$G,7,FALSE)</f>
        <v>S38 - ANDES</v>
      </c>
      <c r="G32" s="13">
        <v>10157.700000000001</v>
      </c>
      <c r="H32" s="87"/>
      <c r="I32" s="88">
        <f t="shared" si="0"/>
        <v>0</v>
      </c>
      <c r="J32" s="89">
        <f>VLOOKUP(C32,[1]B.D!$A:$E,5,FALSE)</f>
        <v>1.3080000000000001</v>
      </c>
      <c r="K32" s="89">
        <f t="shared" si="1"/>
        <v>0</v>
      </c>
    </row>
    <row r="33" spans="2:11" ht="15" customHeight="1">
      <c r="B33" s="86">
        <v>21</v>
      </c>
      <c r="C33" s="71" t="s">
        <v>254</v>
      </c>
      <c r="D33" s="71" t="str">
        <f>VLOOKUP(C33,[1]B.D!$A:$B,2,FALSE)</f>
        <v>ADAPTADOR ROTULA ANDES 38 - ROBLE</v>
      </c>
      <c r="E33" s="71" t="str">
        <f>VLOOKUP(C33,[1]B.D!$A:$F,6,FALSE)</f>
        <v>ROBLE</v>
      </c>
      <c r="F33" s="71" t="str">
        <f>VLOOKUP(C33,[1]B.D!$A:$G,7,FALSE)</f>
        <v>S38 - ANDES</v>
      </c>
      <c r="G33" s="13">
        <v>10157.700000000001</v>
      </c>
      <c r="H33" s="87"/>
      <c r="I33" s="88">
        <f t="shared" si="0"/>
        <v>0</v>
      </c>
      <c r="J33" s="89">
        <f>VLOOKUP(C33,[1]B.D!$A:$E,5,FALSE)</f>
        <v>1.3080000000000001</v>
      </c>
      <c r="K33" s="89">
        <f t="shared" si="1"/>
        <v>0</v>
      </c>
    </row>
    <row r="34" spans="2:11" ht="15" customHeight="1">
      <c r="B34" s="86">
        <v>22</v>
      </c>
      <c r="C34" s="71" t="s">
        <v>240</v>
      </c>
      <c r="D34" s="71" t="str">
        <f>VLOOKUP(C34,[1]B.D!$A:$B,2,FALSE)</f>
        <v>ADAPTADOR ROTULA S60 - BLANCO</v>
      </c>
      <c r="E34" s="71" t="str">
        <f>VLOOKUP(C34,[1]B.D!$A:$F,6,FALSE)</f>
        <v>BLANCO</v>
      </c>
      <c r="F34" s="71" t="str">
        <f>VLOOKUP(C34,[1]B.D!$A:$G,7,FALSE)</f>
        <v>S60</v>
      </c>
      <c r="G34" s="13">
        <v>18205.95</v>
      </c>
      <c r="H34" s="87"/>
      <c r="I34" s="88">
        <f t="shared" si="0"/>
        <v>0</v>
      </c>
      <c r="J34" s="89">
        <f>VLOOKUP(C34,[1]B.D!$A:$E,5,FALSE)</f>
        <v>1.6619999999999999</v>
      </c>
      <c r="K34" s="89">
        <f t="shared" si="1"/>
        <v>0</v>
      </c>
    </row>
    <row r="35" spans="2:11" ht="15" customHeight="1">
      <c r="B35" s="86">
        <v>23</v>
      </c>
      <c r="C35" s="71" t="s">
        <v>243</v>
      </c>
      <c r="D35" s="71" t="str">
        <f>VLOOKUP(C35,[1]B.D!$A:$B,2,FALSE)</f>
        <v>ADAPTADOR ROTULA S60 - GRAFITO</v>
      </c>
      <c r="E35" s="71" t="str">
        <f>VLOOKUP(C35,[1]B.D!$A:$F,6,FALSE)</f>
        <v>GRAFITO</v>
      </c>
      <c r="F35" s="71" t="str">
        <f>VLOOKUP(C35,[1]B.D!$A:$G,7,FALSE)</f>
        <v>S60</v>
      </c>
      <c r="G35" s="13">
        <v>26347.65</v>
      </c>
      <c r="H35" s="87"/>
      <c r="I35" s="88">
        <f t="shared" si="0"/>
        <v>0</v>
      </c>
      <c r="J35" s="89">
        <f>VLOOKUP(C35,[1]B.D!$A:$E,5,FALSE)</f>
        <v>1.6619999999999999</v>
      </c>
      <c r="K35" s="89">
        <f t="shared" si="1"/>
        <v>0</v>
      </c>
    </row>
    <row r="36" spans="2:11" ht="15" customHeight="1">
      <c r="B36" s="86">
        <v>24</v>
      </c>
      <c r="C36" s="71" t="s">
        <v>244</v>
      </c>
      <c r="D36" s="71" t="str">
        <f>VLOOKUP(C36,[1]B.D!$A:$B,2,FALSE)</f>
        <v>ADAPTADOR ROTULA S60 - NEW BLACK</v>
      </c>
      <c r="E36" s="71" t="str">
        <f>VLOOKUP(C36,[1]B.D!$A:$F,6,FALSE)</f>
        <v>NEW BLACK</v>
      </c>
      <c r="F36" s="71" t="str">
        <f>VLOOKUP(C36,[1]B.D!$A:$G,7,FALSE)</f>
        <v>S60</v>
      </c>
      <c r="G36" s="13">
        <v>26656.350000000002</v>
      </c>
      <c r="H36" s="87"/>
      <c r="I36" s="88">
        <f t="shared" si="0"/>
        <v>0</v>
      </c>
      <c r="J36" s="89">
        <f>VLOOKUP(C36,[1]B.D!$A:$E,5,FALSE)</f>
        <v>1.6619999999999999</v>
      </c>
      <c r="K36" s="89">
        <f t="shared" si="1"/>
        <v>0</v>
      </c>
    </row>
    <row r="37" spans="2:11" ht="15" customHeight="1">
      <c r="B37" s="86">
        <v>25</v>
      </c>
      <c r="C37" s="71" t="s">
        <v>242</v>
      </c>
      <c r="D37" s="71" t="str">
        <f>VLOOKUP(C37,[1]B.D!$A:$B,2,FALSE)</f>
        <v>ADAPTADOR ROTULA S60 - NOGAL</v>
      </c>
      <c r="E37" s="71" t="str">
        <f>VLOOKUP(C37,[1]B.D!$A:$F,6,FALSE)</f>
        <v>NOGAL</v>
      </c>
      <c r="F37" s="71" t="str">
        <f>VLOOKUP(C37,[1]B.D!$A:$G,7,FALSE)</f>
        <v>S60</v>
      </c>
      <c r="G37" s="13">
        <v>24623.55</v>
      </c>
      <c r="H37" s="87"/>
      <c r="I37" s="88">
        <f t="shared" si="0"/>
        <v>0</v>
      </c>
      <c r="J37" s="89">
        <f>VLOOKUP(C37,[1]B.D!$A:$E,5,FALSE)</f>
        <v>1.6619999999999999</v>
      </c>
      <c r="K37" s="89">
        <f t="shared" si="1"/>
        <v>0</v>
      </c>
    </row>
    <row r="38" spans="2:11" ht="15" customHeight="1">
      <c r="B38" s="86">
        <v>26</v>
      </c>
      <c r="C38" s="71" t="s">
        <v>241</v>
      </c>
      <c r="D38" s="71" t="str">
        <f>VLOOKUP(C38,[1]B.D!$A:$B,2,FALSE)</f>
        <v>ADAPTADOR ROTULA S60 - ROBLE</v>
      </c>
      <c r="E38" s="71" t="str">
        <f>VLOOKUP(C38,[1]B.D!$A:$F,6,FALSE)</f>
        <v>ROBLE</v>
      </c>
      <c r="F38" s="71" t="str">
        <f>VLOOKUP(C38,[1]B.D!$A:$G,7,FALSE)</f>
        <v>S60</v>
      </c>
      <c r="G38" s="13">
        <v>24623.55</v>
      </c>
      <c r="H38" s="87"/>
      <c r="I38" s="88">
        <f t="shared" si="0"/>
        <v>0</v>
      </c>
      <c r="J38" s="89">
        <f>VLOOKUP(C38,[1]B.D!$A:$E,5,FALSE)</f>
        <v>2.5920000000000001</v>
      </c>
      <c r="K38" s="89">
        <f t="shared" si="1"/>
        <v>0</v>
      </c>
    </row>
    <row r="39" spans="2:11" ht="15" customHeight="1">
      <c r="B39" s="86">
        <v>27</v>
      </c>
      <c r="C39" s="71" t="s">
        <v>144</v>
      </c>
      <c r="D39" s="71" t="str">
        <f>VLOOKUP(C39,[1]B.D!$A:$B,2,FALSE)</f>
        <v>ALETA SIDING - BLANCO</v>
      </c>
      <c r="E39" s="71" t="str">
        <f>VLOOKUP(C39,[1]B.D!$A:$F,6,FALSE)</f>
        <v>BLANCO</v>
      </c>
      <c r="F39" s="71" t="str">
        <f>VLOOKUP(C39,[1]B.D!$A:$G,7,FALSE)</f>
        <v>COMPLEMENTARIOS</v>
      </c>
      <c r="G39" s="13">
        <v>3266.55</v>
      </c>
      <c r="H39" s="87"/>
      <c r="I39" s="88">
        <f t="shared" si="0"/>
        <v>0</v>
      </c>
      <c r="J39" s="89">
        <f>VLOOKUP(C39,[1]B.D!$A:$E,5,FALSE)</f>
        <v>0.78</v>
      </c>
      <c r="K39" s="89">
        <f t="shared" si="1"/>
        <v>0</v>
      </c>
    </row>
    <row r="40" spans="2:11" ht="15" customHeight="1">
      <c r="B40" s="86">
        <v>28</v>
      </c>
      <c r="C40" s="71" t="s">
        <v>145</v>
      </c>
      <c r="D40" s="71" t="str">
        <f>VLOOKUP(C40,[1]B.D!$A:$B,2,FALSE)</f>
        <v>ALETA SIDING MARCO FIJO ANDES - BLANCO</v>
      </c>
      <c r="E40" s="71" t="str">
        <f>VLOOKUP(C40,[1]B.D!$A:$F,6,FALSE)</f>
        <v>BLANCO</v>
      </c>
      <c r="F40" s="71" t="str">
        <f>VLOOKUP(C40,[1]B.D!$A:$G,7,FALSE)</f>
        <v>S38 - ANDES</v>
      </c>
      <c r="G40" s="13">
        <v>6186.6</v>
      </c>
      <c r="H40" s="87"/>
      <c r="I40" s="88">
        <f t="shared" si="0"/>
        <v>0</v>
      </c>
      <c r="J40" s="89">
        <f>VLOOKUP(C40,[1]B.D!$A:$E,5,FALSE)</f>
        <v>1.98</v>
      </c>
      <c r="K40" s="89">
        <f t="shared" si="1"/>
        <v>0</v>
      </c>
    </row>
    <row r="41" spans="2:11" ht="15" customHeight="1">
      <c r="B41" s="86">
        <v>29</v>
      </c>
      <c r="C41" s="71" t="s">
        <v>221</v>
      </c>
      <c r="D41" s="71" t="str">
        <f>VLOOKUP(C41,[1]B.D!$A:$B,2,FALSE)</f>
        <v>ANGULO REVESTIMIENTO 50/50 mm - BLANCO</v>
      </c>
      <c r="E41" s="71" t="str">
        <f>VLOOKUP(C41,[1]B.D!$A:$F,6,FALSE)</f>
        <v>BLANCO</v>
      </c>
      <c r="F41" s="71" t="str">
        <f>VLOOKUP(C41,[1]B.D!$A:$G,7,FALSE)</f>
        <v>COMPLEMENTARIOS</v>
      </c>
      <c r="G41" s="13">
        <v>11337.9</v>
      </c>
      <c r="H41" s="87"/>
      <c r="I41" s="88">
        <f t="shared" si="0"/>
        <v>0</v>
      </c>
      <c r="J41" s="89">
        <f>VLOOKUP(C41,[1]B.D!$A:$E,5,FALSE)</f>
        <v>2.1720000000000002</v>
      </c>
      <c r="K41" s="89">
        <f t="shared" si="1"/>
        <v>0</v>
      </c>
    </row>
    <row r="42" spans="2:11" ht="15" customHeight="1">
      <c r="B42" s="86">
        <v>30</v>
      </c>
      <c r="C42" s="71" t="s">
        <v>224</v>
      </c>
      <c r="D42" s="71" t="str">
        <f>VLOOKUP(C42,[1]B.D!$A:$B,2,FALSE)</f>
        <v>ANGULO REVESTIMIENTO 50/50 mm - GRAFITO</v>
      </c>
      <c r="E42" s="71" t="str">
        <f>VLOOKUP(C42,[1]B.D!$A:$F,6,FALSE)</f>
        <v>GRAFITO</v>
      </c>
      <c r="F42" s="71" t="str">
        <f>VLOOKUP(C42,[1]B.D!$A:$G,7,FALSE)</f>
        <v>COMPLEMENTARIOS</v>
      </c>
      <c r="G42" s="13">
        <v>21186.9</v>
      </c>
      <c r="H42" s="87"/>
      <c r="I42" s="88">
        <f t="shared" si="0"/>
        <v>0</v>
      </c>
      <c r="J42" s="89">
        <f>VLOOKUP(C42,[1]B.D!$A:$E,5,FALSE)</f>
        <v>2.2080000000000002</v>
      </c>
      <c r="K42" s="89">
        <f t="shared" si="1"/>
        <v>0</v>
      </c>
    </row>
    <row r="43" spans="2:11" ht="15" customHeight="1">
      <c r="B43" s="86">
        <v>31</v>
      </c>
      <c r="C43" s="71" t="s">
        <v>225</v>
      </c>
      <c r="D43" s="71" t="str">
        <f>VLOOKUP(C43,[1]B.D!$A:$B,2,FALSE)</f>
        <v>ANGULO REVESTIMIENTO 50/50 mm - NEW BLACK</v>
      </c>
      <c r="E43" s="71" t="str">
        <f>VLOOKUP(C43,[1]B.D!$A:$F,6,FALSE)</f>
        <v>NEW BLACK</v>
      </c>
      <c r="F43" s="71" t="str">
        <f>VLOOKUP(C43,[1]B.D!$A:$G,7,FALSE)</f>
        <v>COMPLEMENTARIOS</v>
      </c>
      <c r="G43" s="13">
        <v>24432.45</v>
      </c>
      <c r="H43" s="87"/>
      <c r="I43" s="88">
        <f t="shared" si="0"/>
        <v>0</v>
      </c>
      <c r="J43" s="89">
        <f>VLOOKUP(C43,[1]B.D!$A:$E,5,FALSE)</f>
        <v>2.2080000000000002</v>
      </c>
      <c r="K43" s="89">
        <f t="shared" si="1"/>
        <v>0</v>
      </c>
    </row>
    <row r="44" spans="2:11" ht="15" customHeight="1">
      <c r="B44" s="86">
        <v>32</v>
      </c>
      <c r="C44" s="71" t="s">
        <v>223</v>
      </c>
      <c r="D44" s="71" t="str">
        <f>VLOOKUP(C44,[1]B.D!$A:$B,2,FALSE)</f>
        <v>ANGULO REVESTIMIENTO 50/50 mm - NOGAL</v>
      </c>
      <c r="E44" s="71" t="str">
        <f>VLOOKUP(C44,[1]B.D!$A:$F,6,FALSE)</f>
        <v>NOGAL</v>
      </c>
      <c r="F44" s="71" t="str">
        <f>VLOOKUP(C44,[1]B.D!$A:$G,7,FALSE)</f>
        <v>COMPLEMENTARIOS</v>
      </c>
      <c r="G44" s="13">
        <v>19799.850000000002</v>
      </c>
      <c r="H44" s="87"/>
      <c r="I44" s="88">
        <f t="shared" si="0"/>
        <v>0</v>
      </c>
      <c r="J44" s="89">
        <f>VLOOKUP(C44,[1]B.D!$A:$E,5,FALSE)</f>
        <v>2.2080000000000002</v>
      </c>
      <c r="K44" s="89">
        <f t="shared" si="1"/>
        <v>0</v>
      </c>
    </row>
    <row r="45" spans="2:11" ht="15" customHeight="1">
      <c r="B45" s="86">
        <v>33</v>
      </c>
      <c r="C45" s="71" t="s">
        <v>222</v>
      </c>
      <c r="D45" s="71" t="str">
        <f>VLOOKUP(C45,[1]B.D!$A:$B,2,FALSE)</f>
        <v>ANGULO REVESTIMIENTO 50/50 mm - ROBLE</v>
      </c>
      <c r="E45" s="71" t="str">
        <f>VLOOKUP(C45,[1]B.D!$A:$F,6,FALSE)</f>
        <v>ROBLE</v>
      </c>
      <c r="F45" s="71" t="str">
        <f>VLOOKUP(C45,[1]B.D!$A:$G,7,FALSE)</f>
        <v>COMPLEMENTARIOS</v>
      </c>
      <c r="G45" s="13">
        <v>19799.850000000002</v>
      </c>
      <c r="H45" s="87"/>
      <c r="I45" s="88">
        <f t="shared" si="0"/>
        <v>0</v>
      </c>
      <c r="J45" s="89">
        <f>VLOOKUP(C45,[1]B.D!$A:$E,5,FALSE)</f>
        <v>2.2080000000000002</v>
      </c>
      <c r="K45" s="89">
        <f t="shared" si="1"/>
        <v>0</v>
      </c>
    </row>
    <row r="46" spans="2:11" ht="15" customHeight="1">
      <c r="B46" s="86">
        <v>34</v>
      </c>
      <c r="C46" s="71" t="s">
        <v>216</v>
      </c>
      <c r="D46" s="71" t="str">
        <f>VLOOKUP(C46,[1]B.D!$A:$B,2,FALSE)</f>
        <v>ANGULO REVESTIMIENTO 75/170 mm - BLANCO</v>
      </c>
      <c r="E46" s="71" t="str">
        <f>VLOOKUP(C46,[1]B.D!$A:$F,6,FALSE)</f>
        <v>BLANCO</v>
      </c>
      <c r="F46" s="71" t="str">
        <f>VLOOKUP(C46,[1]B.D!$A:$G,7,FALSE)</f>
        <v>COMPLEMENTARIOS</v>
      </c>
      <c r="G46" s="13">
        <v>40555.200000000004</v>
      </c>
      <c r="H46" s="87"/>
      <c r="I46" s="88">
        <f t="shared" si="0"/>
        <v>0</v>
      </c>
      <c r="J46" s="89">
        <f>VLOOKUP(C46,[1]B.D!$A:$E,5,FALSE)</f>
        <v>7.0140000000000002</v>
      </c>
      <c r="K46" s="89">
        <f t="shared" si="1"/>
        <v>0</v>
      </c>
    </row>
    <row r="47" spans="2:11" ht="15" customHeight="1">
      <c r="B47" s="86">
        <v>35</v>
      </c>
      <c r="C47" s="71" t="s">
        <v>219</v>
      </c>
      <c r="D47" s="71" t="str">
        <f>VLOOKUP(C47,[1]B.D!$A:$B,2,FALSE)</f>
        <v>ANGULO REVESTIMIENTO 75/170 mm - GRAFITO</v>
      </c>
      <c r="E47" s="71" t="str">
        <f>VLOOKUP(C47,[1]B.D!$A:$F,6,FALSE)</f>
        <v>GRAFITO</v>
      </c>
      <c r="F47" s="71" t="str">
        <f>VLOOKUP(C47,[1]B.D!$A:$G,7,FALSE)</f>
        <v>COMPLEMENTARIOS</v>
      </c>
      <c r="G47" s="13">
        <v>60009.600000000006</v>
      </c>
      <c r="H47" s="87"/>
      <c r="I47" s="88">
        <f t="shared" si="0"/>
        <v>0</v>
      </c>
      <c r="J47" s="89">
        <f>VLOOKUP(C47,[1]B.D!$A:$E,5,FALSE)</f>
        <v>7.0140000000000002</v>
      </c>
      <c r="K47" s="89">
        <f t="shared" si="1"/>
        <v>0</v>
      </c>
    </row>
    <row r="48" spans="2:11" ht="15" customHeight="1">
      <c r="B48" s="86">
        <v>36</v>
      </c>
      <c r="C48" s="71" t="s">
        <v>220</v>
      </c>
      <c r="D48" s="71" t="str">
        <f>VLOOKUP(C48,[1]B.D!$A:$B,2,FALSE)</f>
        <v>ANGULO REVESTIMIENTO 75/170 mm - NEW BLACK</v>
      </c>
      <c r="E48" s="71" t="str">
        <f>VLOOKUP(C48,[1]B.D!$A:$F,6,FALSE)</f>
        <v>NEW BLACK</v>
      </c>
      <c r="F48" s="71" t="str">
        <f>VLOOKUP(C48,[1]B.D!$A:$G,7,FALSE)</f>
        <v>COMPLEMENTARIOS</v>
      </c>
      <c r="G48" s="13">
        <v>61138.350000000006</v>
      </c>
      <c r="H48" s="87"/>
      <c r="I48" s="88">
        <f t="shared" si="0"/>
        <v>0</v>
      </c>
      <c r="J48" s="89">
        <f>VLOOKUP(C48,[1]B.D!$A:$E,5,FALSE)</f>
        <v>7.0140000000000002</v>
      </c>
      <c r="K48" s="89">
        <f t="shared" si="1"/>
        <v>0</v>
      </c>
    </row>
    <row r="49" spans="2:11" ht="15" customHeight="1">
      <c r="B49" s="86">
        <v>37</v>
      </c>
      <c r="C49" s="71" t="s">
        <v>218</v>
      </c>
      <c r="D49" s="71" t="str">
        <f>VLOOKUP(C49,[1]B.D!$A:$B,2,FALSE)</f>
        <v>ANGULO REVESTIMIENTO 75/170 mm - NOGAL</v>
      </c>
      <c r="E49" s="71" t="str">
        <f>VLOOKUP(C49,[1]B.D!$A:$F,6,FALSE)</f>
        <v>NOGAL</v>
      </c>
      <c r="F49" s="71" t="str">
        <f>VLOOKUP(C49,[1]B.D!$A:$G,7,FALSE)</f>
        <v>COMPLEMENTARIOS</v>
      </c>
      <c r="G49" s="13">
        <v>56082.600000000006</v>
      </c>
      <c r="H49" s="87"/>
      <c r="I49" s="88">
        <f t="shared" si="0"/>
        <v>0</v>
      </c>
      <c r="J49" s="89">
        <f>VLOOKUP(C49,[1]B.D!$A:$E,5,FALSE)</f>
        <v>7.0140000000000002</v>
      </c>
      <c r="K49" s="89">
        <f t="shared" si="1"/>
        <v>0</v>
      </c>
    </row>
    <row r="50" spans="2:11" ht="15" customHeight="1">
      <c r="B50" s="86">
        <v>38</v>
      </c>
      <c r="C50" s="71" t="s">
        <v>217</v>
      </c>
      <c r="D50" s="71" t="str">
        <f>VLOOKUP(C50,[1]B.D!$A:$B,2,FALSE)</f>
        <v>ANGULO REVESTIMIENTO 75/170 mm - ROBLE</v>
      </c>
      <c r="E50" s="71" t="str">
        <f>VLOOKUP(C50,[1]B.D!$A:$F,6,FALSE)</f>
        <v>ROBLE</v>
      </c>
      <c r="F50" s="71" t="str">
        <f>VLOOKUP(C50,[1]B.D!$A:$G,7,FALSE)</f>
        <v>COMPLEMENTARIOS</v>
      </c>
      <c r="G50" s="13">
        <v>56082.600000000006</v>
      </c>
      <c r="H50" s="87"/>
      <c r="I50" s="88">
        <f t="shared" si="0"/>
        <v>0</v>
      </c>
      <c r="J50" s="89">
        <f>VLOOKUP(C50,[1]B.D!$A:$E,5,FALSE)</f>
        <v>7.0140000000000002</v>
      </c>
      <c r="K50" s="89">
        <f t="shared" si="1"/>
        <v>0</v>
      </c>
    </row>
    <row r="51" spans="2:11" ht="15" customHeight="1">
      <c r="B51" s="86">
        <v>39</v>
      </c>
      <c r="C51" s="71" t="s">
        <v>342</v>
      </c>
      <c r="D51" s="71" t="str">
        <f>VLOOKUP(C51,[1]B.D!$A:$B,2,FALSE)</f>
        <v>BANQUINA FRENTE LOSA N-50R - 5MT</v>
      </c>
      <c r="E51" s="71" t="str">
        <f>VLOOKUP(C51,[1]B.D!$A:$F,6,FALSE)</f>
        <v>NATURAL</v>
      </c>
      <c r="F51" s="71" t="str">
        <f>VLOOKUP(C51,[1]B.D!$A:$G,7,FALSE)</f>
        <v>BARANDAS</v>
      </c>
      <c r="G51" s="13">
        <v>308819</v>
      </c>
      <c r="H51" s="87"/>
      <c r="I51" s="88">
        <f t="shared" si="0"/>
        <v>0</v>
      </c>
      <c r="J51" s="89">
        <f>VLOOKUP(C51,[1]B.D!$A:$E,5,FALSE)</f>
        <v>23.55</v>
      </c>
      <c r="K51" s="89">
        <f t="shared" si="1"/>
        <v>0</v>
      </c>
    </row>
    <row r="52" spans="2:11" ht="15" customHeight="1">
      <c r="B52" s="86">
        <v>40</v>
      </c>
      <c r="C52" s="71" t="s">
        <v>340</v>
      </c>
      <c r="D52" s="71" t="str">
        <f>VLOOKUP(C52,[1]B.D!$A:$B,2,FALSE)</f>
        <v>BANQUINA SOBRE LOSA N-50 - 5MT</v>
      </c>
      <c r="E52" s="71" t="str">
        <f>VLOOKUP(C52,[1]B.D!$A:$F,6,FALSE)</f>
        <v>NATURAL</v>
      </c>
      <c r="F52" s="71" t="str">
        <f>VLOOKUP(C52,[1]B.D!$A:$G,7,FALSE)</f>
        <v>BARANDAS</v>
      </c>
      <c r="G52" s="13">
        <v>388218</v>
      </c>
      <c r="H52" s="87"/>
      <c r="I52" s="88">
        <f t="shared" si="0"/>
        <v>0</v>
      </c>
      <c r="J52" s="89">
        <f>VLOOKUP(C52,[1]B.D!$A:$E,5,FALSE)</f>
        <v>22.75</v>
      </c>
      <c r="K52" s="89">
        <f t="shared" si="1"/>
        <v>0</v>
      </c>
    </row>
    <row r="53" spans="2:11" ht="15" customHeight="1">
      <c r="B53" s="86">
        <v>41</v>
      </c>
      <c r="C53" s="71" t="s">
        <v>345</v>
      </c>
      <c r="D53" s="71" t="str">
        <f>VLOOKUP(C53,[1]B.D!$A:$B,2,FALSE)</f>
        <v>BANQUINA SOBRE LOSA S-40 - 6MT</v>
      </c>
      <c r="E53" s="71" t="str">
        <f>VLOOKUP(C53,[1]B.D!$A:$F,6,FALSE)</f>
        <v>NATURAL</v>
      </c>
      <c r="F53" s="71" t="str">
        <f>VLOOKUP(C53,[1]B.D!$A:$G,7,FALSE)</f>
        <v>BARANDAS</v>
      </c>
      <c r="G53" s="13">
        <v>308838</v>
      </c>
      <c r="H53" s="87"/>
      <c r="I53" s="88">
        <f t="shared" si="0"/>
        <v>0</v>
      </c>
      <c r="J53" s="89">
        <f>VLOOKUP(C53,[1]B.D!$A:$E,5,FALSE)</f>
        <v>16.399999999999999</v>
      </c>
      <c r="K53" s="89">
        <f t="shared" si="1"/>
        <v>0</v>
      </c>
    </row>
    <row r="54" spans="2:11" ht="15" customHeight="1">
      <c r="B54" s="86">
        <v>42</v>
      </c>
      <c r="C54" s="71" t="s">
        <v>236</v>
      </c>
      <c r="D54" s="71" t="str">
        <f>VLOOKUP(C54,[1]B.D!$A:$B,2,FALSE)</f>
        <v>ESQUINERO 45° S60 - BLANCO</v>
      </c>
      <c r="E54" s="71" t="str">
        <f>VLOOKUP(C54,[1]B.D!$A:$F,6,FALSE)</f>
        <v>BLANCO</v>
      </c>
      <c r="F54" s="71" t="str">
        <f>VLOOKUP(C54,[1]B.D!$A:$G,7,FALSE)</f>
        <v>S60</v>
      </c>
      <c r="G54" s="13">
        <v>18425.400000000001</v>
      </c>
      <c r="H54" s="87"/>
      <c r="I54" s="88">
        <f t="shared" si="0"/>
        <v>0</v>
      </c>
      <c r="J54" s="89">
        <f>VLOOKUP(C54,[1]B.D!$A:$E,5,FALSE)</f>
        <v>3.87</v>
      </c>
      <c r="K54" s="89">
        <f t="shared" si="1"/>
        <v>0</v>
      </c>
    </row>
    <row r="55" spans="2:11" ht="15" customHeight="1">
      <c r="B55" s="86">
        <v>43</v>
      </c>
      <c r="C55" s="71" t="s">
        <v>239</v>
      </c>
      <c r="D55" s="71" t="str">
        <f>VLOOKUP(C55,[1]B.D!$A:$B,2,FALSE)</f>
        <v>ESQUINERO 45° S60 - GRAFITO</v>
      </c>
      <c r="E55" s="71" t="str">
        <f>VLOOKUP(C55,[1]B.D!$A:$F,6,FALSE)</f>
        <v>GRAFITO</v>
      </c>
      <c r="F55" s="71" t="str">
        <f>VLOOKUP(C55,[1]B.D!$A:$G,7,FALSE)</f>
        <v>S60</v>
      </c>
      <c r="G55" s="13">
        <v>30844.800000000003</v>
      </c>
      <c r="H55" s="87"/>
      <c r="I55" s="88">
        <f t="shared" si="0"/>
        <v>0</v>
      </c>
      <c r="J55" s="89">
        <f>VLOOKUP(C55,[1]B.D!$A:$E,5,FALSE)</f>
        <v>3.87</v>
      </c>
      <c r="K55" s="89">
        <f t="shared" si="1"/>
        <v>0</v>
      </c>
    </row>
    <row r="56" spans="2:11" ht="15" customHeight="1">
      <c r="B56" s="86">
        <v>44</v>
      </c>
      <c r="C56" s="71" t="s">
        <v>238</v>
      </c>
      <c r="D56" s="71" t="str">
        <f>VLOOKUP(C56,[1]B.D!$A:$B,2,FALSE)</f>
        <v>ESQUINERO 45° S60 - NOGAL</v>
      </c>
      <c r="E56" s="71" t="str">
        <f>VLOOKUP(C56,[1]B.D!$A:$F,6,FALSE)</f>
        <v>NOGAL</v>
      </c>
      <c r="F56" s="71" t="str">
        <f>VLOOKUP(C56,[1]B.D!$A:$G,7,FALSE)</f>
        <v>S60</v>
      </c>
      <c r="G56" s="13">
        <v>30916.2</v>
      </c>
      <c r="H56" s="87"/>
      <c r="I56" s="88">
        <f t="shared" si="0"/>
        <v>0</v>
      </c>
      <c r="J56" s="89">
        <f>VLOOKUP(C56,[1]B.D!$A:$E,5,FALSE)</f>
        <v>3.87</v>
      </c>
      <c r="K56" s="89">
        <f t="shared" si="1"/>
        <v>0</v>
      </c>
    </row>
    <row r="57" spans="2:11" ht="15" customHeight="1">
      <c r="B57" s="86">
        <v>45</v>
      </c>
      <c r="C57" s="71" t="s">
        <v>237</v>
      </c>
      <c r="D57" s="71" t="str">
        <f>VLOOKUP(C57,[1]B.D!$A:$B,2,FALSE)</f>
        <v>ESQUINERO 45° S60 - ROBLE</v>
      </c>
      <c r="E57" s="71" t="str">
        <f>VLOOKUP(C57,[1]B.D!$A:$F,6,FALSE)</f>
        <v>ROBLE</v>
      </c>
      <c r="F57" s="71" t="str">
        <f>VLOOKUP(C57,[1]B.D!$A:$G,7,FALSE)</f>
        <v>S60</v>
      </c>
      <c r="G57" s="13">
        <v>30916.2</v>
      </c>
      <c r="H57" s="87"/>
      <c r="I57" s="88">
        <f t="shared" si="0"/>
        <v>0</v>
      </c>
      <c r="J57" s="89">
        <f>VLOOKUP(C57,[1]B.D!$A:$E,5,FALSE)</f>
        <v>3.87</v>
      </c>
      <c r="K57" s="89">
        <f t="shared" si="1"/>
        <v>0</v>
      </c>
    </row>
    <row r="58" spans="2:11" ht="15" customHeight="1">
      <c r="B58" s="86">
        <v>46</v>
      </c>
      <c r="C58" s="71" t="s">
        <v>231</v>
      </c>
      <c r="D58" s="71" t="str">
        <f>VLOOKUP(C58,[1]B.D!$A:$B,2,FALSE)</f>
        <v>ESQUINERO 90° - 60 mm S60 - BLANCO</v>
      </c>
      <c r="E58" s="71" t="str">
        <f>VLOOKUP(C58,[1]B.D!$A:$F,6,FALSE)</f>
        <v>BLANCO</v>
      </c>
      <c r="F58" s="71" t="str">
        <f>VLOOKUP(C58,[1]B.D!$A:$G,7,FALSE)</f>
        <v>S60</v>
      </c>
      <c r="G58" s="13">
        <v>26487.300000000003</v>
      </c>
      <c r="H58" s="87"/>
      <c r="I58" s="88">
        <f t="shared" si="0"/>
        <v>0</v>
      </c>
      <c r="J58" s="89">
        <f>VLOOKUP(C58,[1]B.D!$A:$E,5,FALSE)</f>
        <v>4.8</v>
      </c>
      <c r="K58" s="89">
        <f t="shared" si="1"/>
        <v>0</v>
      </c>
    </row>
    <row r="59" spans="2:11" ht="15" customHeight="1">
      <c r="B59" s="86">
        <v>47</v>
      </c>
      <c r="C59" s="71" t="s">
        <v>234</v>
      </c>
      <c r="D59" s="71" t="str">
        <f>VLOOKUP(C59,[1]B.D!$A:$B,2,FALSE)</f>
        <v>ESQUINERO 90° - 60 mm S60 - GRAFITO</v>
      </c>
      <c r="E59" s="71" t="str">
        <f>VLOOKUP(C59,[1]B.D!$A:$F,6,FALSE)</f>
        <v>GRAFITO</v>
      </c>
      <c r="F59" s="71" t="str">
        <f>VLOOKUP(C59,[1]B.D!$A:$G,7,FALSE)</f>
        <v>S60</v>
      </c>
      <c r="G59" s="13">
        <v>52641.75</v>
      </c>
      <c r="H59" s="87"/>
      <c r="I59" s="88">
        <f t="shared" si="0"/>
        <v>0</v>
      </c>
      <c r="J59" s="89">
        <f>VLOOKUP(C59,[1]B.D!$A:$E,5,FALSE)</f>
        <v>5.2140000000000004</v>
      </c>
      <c r="K59" s="89">
        <f t="shared" si="1"/>
        <v>0</v>
      </c>
    </row>
    <row r="60" spans="2:11" ht="15" customHeight="1">
      <c r="B60" s="86">
        <v>48</v>
      </c>
      <c r="C60" s="71" t="s">
        <v>235</v>
      </c>
      <c r="D60" s="71" t="str">
        <f>VLOOKUP(C60,[1]B.D!$A:$B,2,FALSE)</f>
        <v>ESQUINERO 90° - 60 mm S60 - NEW BLACK</v>
      </c>
      <c r="E60" s="71" t="str">
        <f>VLOOKUP(C60,[1]B.D!$A:$F,6,FALSE)</f>
        <v>NEW BLACK</v>
      </c>
      <c r="F60" s="71" t="str">
        <f>VLOOKUP(C60,[1]B.D!$A:$G,7,FALSE)</f>
        <v>S60</v>
      </c>
      <c r="G60" s="13">
        <v>53517.450000000004</v>
      </c>
      <c r="H60" s="87"/>
      <c r="I60" s="88">
        <f t="shared" si="0"/>
        <v>0</v>
      </c>
      <c r="J60" s="89">
        <f>VLOOKUP(C60,[1]B.D!$A:$E,5,FALSE)</f>
        <v>5.0880000000000001</v>
      </c>
      <c r="K60" s="89">
        <f t="shared" si="1"/>
        <v>0</v>
      </c>
    </row>
    <row r="61" spans="2:11" ht="15" customHeight="1">
      <c r="B61" s="86">
        <v>49</v>
      </c>
      <c r="C61" s="71" t="s">
        <v>233</v>
      </c>
      <c r="D61" s="71" t="str">
        <f>VLOOKUP(C61,[1]B.D!$A:$B,2,FALSE)</f>
        <v>ESQUINERO 90° - 60 mm S60 - NOGAL</v>
      </c>
      <c r="E61" s="71" t="str">
        <f>VLOOKUP(C61,[1]B.D!$A:$F,6,FALSE)</f>
        <v>NOGAL</v>
      </c>
      <c r="F61" s="71" t="str">
        <f>VLOOKUP(C61,[1]B.D!$A:$G,7,FALSE)</f>
        <v>S60</v>
      </c>
      <c r="G61" s="13">
        <v>45981.599999999999</v>
      </c>
      <c r="H61" s="87"/>
      <c r="I61" s="88">
        <f t="shared" si="0"/>
        <v>0</v>
      </c>
      <c r="J61" s="89">
        <f>VLOOKUP(C61,[1]B.D!$A:$E,5,FALSE)</f>
        <v>5.2140000000000004</v>
      </c>
      <c r="K61" s="89">
        <f t="shared" si="1"/>
        <v>0</v>
      </c>
    </row>
    <row r="62" spans="2:11" ht="15" customHeight="1">
      <c r="B62" s="86">
        <v>50</v>
      </c>
      <c r="C62" s="71" t="s">
        <v>232</v>
      </c>
      <c r="D62" s="71" t="str">
        <f>VLOOKUP(C62,[1]B.D!$A:$B,2,FALSE)</f>
        <v>ESQUINERO 90° - 60 mm S60 - ROBLE</v>
      </c>
      <c r="E62" s="71" t="str">
        <f>VLOOKUP(C62,[1]B.D!$A:$F,6,FALSE)</f>
        <v>ROBLE</v>
      </c>
      <c r="F62" s="71" t="str">
        <f>VLOOKUP(C62,[1]B.D!$A:$G,7,FALSE)</f>
        <v>S60</v>
      </c>
      <c r="G62" s="13">
        <v>45981.599999999999</v>
      </c>
      <c r="H62" s="87"/>
      <c r="I62" s="88">
        <f t="shared" si="0"/>
        <v>0</v>
      </c>
      <c r="J62" s="89">
        <f>VLOOKUP(C62,[1]B.D!$A:$E,5,FALSE)</f>
        <v>5.0880000000000001</v>
      </c>
      <c r="K62" s="89">
        <f t="shared" si="1"/>
        <v>0</v>
      </c>
    </row>
    <row r="63" spans="2:11" ht="15" customHeight="1">
      <c r="B63" s="86">
        <v>51</v>
      </c>
      <c r="C63" s="90" t="s">
        <v>125</v>
      </c>
      <c r="D63" s="71" t="str">
        <f>VLOOKUP(C63,[1]B.D!$A:$B,2,FALSE)</f>
        <v>ESQUINERO 90° - 70 mm CORREDERA - BLANCO</v>
      </c>
      <c r="E63" s="71" t="str">
        <f>VLOOKUP(C63,[1]B.D!$A:$F,6,FALSE)</f>
        <v>BLANCO</v>
      </c>
      <c r="F63" s="71" t="str">
        <f>VLOOKUP(C63,[1]B.D!$A:$G,7,FALSE)</f>
        <v>SLIDING</v>
      </c>
      <c r="G63" s="13">
        <v>33136.950000000004</v>
      </c>
      <c r="H63" s="87"/>
      <c r="I63" s="88">
        <f t="shared" si="0"/>
        <v>0</v>
      </c>
      <c r="J63" s="89">
        <f>VLOOKUP(C63,[1]B.D!$A:$E,5,FALSE)</f>
        <v>8.1059999999999999</v>
      </c>
      <c r="K63" s="89">
        <f t="shared" si="1"/>
        <v>0</v>
      </c>
    </row>
    <row r="64" spans="2:11" ht="15" customHeight="1">
      <c r="B64" s="86">
        <v>52</v>
      </c>
      <c r="C64" s="71" t="s">
        <v>128</v>
      </c>
      <c r="D64" s="71" t="str">
        <f>VLOOKUP(C64,[1]B.D!$A:$B,2,FALSE)</f>
        <v>ESQUINERO 90° - 70 mm CORREDERA - GRAFITO</v>
      </c>
      <c r="E64" s="71" t="str">
        <f>VLOOKUP(C64,[1]B.D!$A:$F,6,FALSE)</f>
        <v>GRAFITO</v>
      </c>
      <c r="F64" s="71" t="str">
        <f>VLOOKUP(C64,[1]B.D!$A:$G,7,FALSE)</f>
        <v>SLIDING</v>
      </c>
      <c r="G64" s="13">
        <v>64769.25</v>
      </c>
      <c r="H64" s="87"/>
      <c r="I64" s="88">
        <f t="shared" si="0"/>
        <v>0</v>
      </c>
      <c r="J64" s="89">
        <f>VLOOKUP(C64,[1]B.D!$A:$E,5,FALSE)</f>
        <v>8.1059999999999999</v>
      </c>
      <c r="K64" s="89">
        <f t="shared" si="1"/>
        <v>0</v>
      </c>
    </row>
    <row r="65" spans="2:11" ht="15" customHeight="1">
      <c r="B65" s="86">
        <v>53</v>
      </c>
      <c r="C65" s="71" t="s">
        <v>129</v>
      </c>
      <c r="D65" s="71" t="str">
        <f>VLOOKUP(C65,[1]B.D!$A:$B,2,FALSE)</f>
        <v>ESQUINERO 90° - 70 mm CORREDERA - NEW BLACK</v>
      </c>
      <c r="E65" s="71" t="str">
        <f>VLOOKUP(C65,[1]B.D!$A:$F,6,FALSE)</f>
        <v>NEW BLACK</v>
      </c>
      <c r="F65" s="71" t="str">
        <f>VLOOKUP(C65,[1]B.D!$A:$G,7,FALSE)</f>
        <v>SLIDING</v>
      </c>
      <c r="G65" s="13">
        <v>73059</v>
      </c>
      <c r="H65" s="87"/>
      <c r="I65" s="88">
        <f t="shared" si="0"/>
        <v>0</v>
      </c>
      <c r="J65" s="89">
        <f>VLOOKUP(C65,[1]B.D!$A:$E,5,FALSE)</f>
        <v>8.1059999999999999</v>
      </c>
      <c r="K65" s="89">
        <f t="shared" si="1"/>
        <v>0</v>
      </c>
    </row>
    <row r="66" spans="2:11" ht="15" customHeight="1">
      <c r="B66" s="86">
        <v>54</v>
      </c>
      <c r="C66" s="71" t="s">
        <v>127</v>
      </c>
      <c r="D66" s="71" t="str">
        <f>VLOOKUP(C66,[1]B.D!$A:$B,2,FALSE)</f>
        <v>ESQUINERO 90° - 70 mm CORREDERA - NOGAL</v>
      </c>
      <c r="E66" s="71" t="str">
        <f>VLOOKUP(C66,[1]B.D!$A:$F,6,FALSE)</f>
        <v>NOGAL</v>
      </c>
      <c r="F66" s="71" t="str">
        <f>VLOOKUP(C66,[1]B.D!$A:$G,7,FALSE)</f>
        <v>SLIDING</v>
      </c>
      <c r="G66" s="13">
        <v>60533.55</v>
      </c>
      <c r="H66" s="87"/>
      <c r="I66" s="88">
        <f t="shared" si="0"/>
        <v>0</v>
      </c>
      <c r="J66" s="89">
        <f>VLOOKUP(C66,[1]B.D!$A:$E,5,FALSE)</f>
        <v>8.1059999999999999</v>
      </c>
      <c r="K66" s="89">
        <f t="shared" si="1"/>
        <v>0</v>
      </c>
    </row>
    <row r="67" spans="2:11" ht="15" customHeight="1">
      <c r="B67" s="86">
        <v>55</v>
      </c>
      <c r="C67" s="71" t="s">
        <v>126</v>
      </c>
      <c r="D67" s="71" t="str">
        <f>VLOOKUP(C67,[1]B.D!$A:$B,2,FALSE)</f>
        <v>ESQUINERO 90° - 70 mm CORREDERA - ROBLE</v>
      </c>
      <c r="E67" s="71" t="str">
        <f>VLOOKUP(C67,[1]B.D!$A:$F,6,FALSE)</f>
        <v>ROBLE</v>
      </c>
      <c r="F67" s="71" t="str">
        <f>VLOOKUP(C67,[1]B.D!$A:$G,7,FALSE)</f>
        <v>SLIDING</v>
      </c>
      <c r="G67" s="13">
        <v>60533.55</v>
      </c>
      <c r="H67" s="87"/>
      <c r="I67" s="88">
        <f t="shared" si="0"/>
        <v>0</v>
      </c>
      <c r="J67" s="89">
        <f>VLOOKUP(C67,[1]B.D!$A:$E,5,FALSE)</f>
        <v>8.1059999999999999</v>
      </c>
      <c r="K67" s="89">
        <f t="shared" si="1"/>
        <v>0</v>
      </c>
    </row>
    <row r="68" spans="2:11" ht="15" customHeight="1">
      <c r="B68" s="86">
        <v>56</v>
      </c>
      <c r="C68" s="71" t="s">
        <v>130</v>
      </c>
      <c r="D68" s="71" t="str">
        <f>VLOOKUP(C68,[1]B.D!$A:$B,2,FALSE)</f>
        <v>ESQUINERO 90° - 75 mm CORREDERA - BLANCO</v>
      </c>
      <c r="E68" s="71" t="str">
        <f>VLOOKUP(C68,[1]B.D!$A:$F,6,FALSE)</f>
        <v>BLANCO</v>
      </c>
      <c r="F68" s="71" t="str">
        <f>VLOOKUP(C68,[1]B.D!$A:$G,7,FALSE)</f>
        <v>SLIDING</v>
      </c>
      <c r="G68" s="13">
        <v>33136.950000000004</v>
      </c>
      <c r="H68" s="87"/>
      <c r="I68" s="88">
        <f t="shared" si="0"/>
        <v>0</v>
      </c>
      <c r="J68" s="89">
        <f>VLOOKUP(C68,[1]B.D!$A:$E,5,FALSE)</f>
        <v>5.4720000000000004</v>
      </c>
      <c r="K68" s="89">
        <f t="shared" si="1"/>
        <v>0</v>
      </c>
    </row>
    <row r="69" spans="2:11" ht="15" customHeight="1">
      <c r="B69" s="86">
        <v>57</v>
      </c>
      <c r="C69" s="71" t="s">
        <v>133</v>
      </c>
      <c r="D69" s="71" t="str">
        <f>VLOOKUP(C69,[1]B.D!$A:$B,2,FALSE)</f>
        <v>ESQUINERO 90° - 75 mm CORREDERA - GRAFITO</v>
      </c>
      <c r="E69" s="71" t="str">
        <f>VLOOKUP(C69,[1]B.D!$A:$F,6,FALSE)</f>
        <v>GRAFITO</v>
      </c>
      <c r="F69" s="71" t="str">
        <f>VLOOKUP(C69,[1]B.D!$A:$G,7,FALSE)</f>
        <v>SLIDING</v>
      </c>
      <c r="G69" s="13">
        <v>64769.25</v>
      </c>
      <c r="H69" s="87"/>
      <c r="I69" s="88">
        <f t="shared" si="0"/>
        <v>0</v>
      </c>
      <c r="J69" s="89">
        <f>VLOOKUP(C69,[1]B.D!$A:$E,5,FALSE)</f>
        <v>5.73</v>
      </c>
      <c r="K69" s="89">
        <f t="shared" si="1"/>
        <v>0</v>
      </c>
    </row>
    <row r="70" spans="2:11" ht="15" customHeight="1">
      <c r="B70" s="86">
        <v>58</v>
      </c>
      <c r="C70" s="71" t="s">
        <v>134</v>
      </c>
      <c r="D70" s="71" t="str">
        <f>VLOOKUP(C70,[1]B.D!$A:$B,2,FALSE)</f>
        <v>ESQUINERO 90° - 75 mm CORREDERA - NEW BLACK</v>
      </c>
      <c r="E70" s="71" t="str">
        <f>VLOOKUP(C70,[1]B.D!$A:$F,6,FALSE)</f>
        <v>NEW BLACK</v>
      </c>
      <c r="F70" s="71" t="str">
        <f>VLOOKUP(C70,[1]B.D!$A:$G,7,FALSE)</f>
        <v>SLIDING</v>
      </c>
      <c r="G70" s="13">
        <v>73059</v>
      </c>
      <c r="H70" s="87"/>
      <c r="I70" s="88">
        <f t="shared" si="0"/>
        <v>0</v>
      </c>
      <c r="J70" s="89">
        <f>VLOOKUP(C70,[1]B.D!$A:$E,5,FALSE)</f>
        <v>5.73</v>
      </c>
      <c r="K70" s="89">
        <f t="shared" si="1"/>
        <v>0</v>
      </c>
    </row>
    <row r="71" spans="2:11" ht="15" customHeight="1">
      <c r="B71" s="86">
        <v>59</v>
      </c>
      <c r="C71" s="71" t="s">
        <v>132</v>
      </c>
      <c r="D71" s="71" t="str">
        <f>VLOOKUP(C71,[1]B.D!$A:$B,2,FALSE)</f>
        <v>ESQUINERO 90° - 75 mm CORREDERA - NOGAL</v>
      </c>
      <c r="E71" s="71" t="str">
        <f>VLOOKUP(C71,[1]B.D!$A:$F,6,FALSE)</f>
        <v>NOGAL</v>
      </c>
      <c r="F71" s="71" t="str">
        <f>VLOOKUP(C71,[1]B.D!$A:$G,7,FALSE)</f>
        <v>SLIDING</v>
      </c>
      <c r="G71" s="13">
        <v>60533.55</v>
      </c>
      <c r="H71" s="87"/>
      <c r="I71" s="88">
        <f t="shared" si="0"/>
        <v>0</v>
      </c>
      <c r="J71" s="89">
        <f>VLOOKUP(C71,[1]B.D!$A:$E,5,FALSE)</f>
        <v>5.73</v>
      </c>
      <c r="K71" s="89">
        <f t="shared" si="1"/>
        <v>0</v>
      </c>
    </row>
    <row r="72" spans="2:11" ht="15" customHeight="1">
      <c r="B72" s="86">
        <v>60</v>
      </c>
      <c r="C72" s="71" t="s">
        <v>131</v>
      </c>
      <c r="D72" s="71" t="str">
        <f>VLOOKUP(C72,[1]B.D!$A:$B,2,FALSE)</f>
        <v>ESQUINERO 90° - 75 mm CORREDERA - ROBLE</v>
      </c>
      <c r="E72" s="71" t="str">
        <f>VLOOKUP(C72,[1]B.D!$A:$F,6,FALSE)</f>
        <v>ROBLE</v>
      </c>
      <c r="F72" s="71" t="str">
        <f>VLOOKUP(C72,[1]B.D!$A:$G,7,FALSE)</f>
        <v>SLIDING</v>
      </c>
      <c r="G72" s="13">
        <v>60533.55</v>
      </c>
      <c r="H72" s="87"/>
      <c r="I72" s="88">
        <f t="shared" si="0"/>
        <v>0</v>
      </c>
      <c r="J72" s="89">
        <f>VLOOKUP(C72,[1]B.D!$A:$E,5,FALSE)</f>
        <v>5.73</v>
      </c>
      <c r="K72" s="89">
        <f t="shared" si="1"/>
        <v>0</v>
      </c>
    </row>
    <row r="73" spans="2:11" ht="15" customHeight="1">
      <c r="B73" s="86">
        <v>61</v>
      </c>
      <c r="C73" s="71" t="s">
        <v>53</v>
      </c>
      <c r="D73" s="71" t="str">
        <f>VLOOKUP(C73,[1]B.D!$A:$B,2,FALSE)</f>
        <v>HOJA ANDES 54 - BLANCO</v>
      </c>
      <c r="E73" s="71" t="str">
        <f>VLOOKUP(C73,[1]B.D!$A:$F,6,FALSE)</f>
        <v>BLANCO</v>
      </c>
      <c r="F73" s="71" t="str">
        <f>VLOOKUP(C73,[1]B.D!$A:$G,7,FALSE)</f>
        <v>SLIDING - ANDES</v>
      </c>
      <c r="G73" s="13">
        <v>22924.65</v>
      </c>
      <c r="H73" s="87"/>
      <c r="I73" s="88">
        <f t="shared" si="0"/>
        <v>0</v>
      </c>
      <c r="J73" s="89">
        <f>VLOOKUP(C73,[1]B.D!$A:$E,5,FALSE)</f>
        <v>4.9260000000000002</v>
      </c>
      <c r="K73" s="89">
        <f t="shared" si="1"/>
        <v>0</v>
      </c>
    </row>
    <row r="74" spans="2:11" ht="15" customHeight="1">
      <c r="B74" s="86">
        <v>62</v>
      </c>
      <c r="C74" s="71" t="s">
        <v>48</v>
      </c>
      <c r="D74" s="71" t="str">
        <f>VLOOKUP(C74,[1]B.D!$A:$B,2,FALSE)</f>
        <v>HOJA CORREDERA 80 - BLANCO</v>
      </c>
      <c r="E74" s="71" t="str">
        <f>VLOOKUP(C74,[1]B.D!$A:$F,6,FALSE)</f>
        <v>BLANCO</v>
      </c>
      <c r="F74" s="71" t="str">
        <f>VLOOKUP(C74,[1]B.D!$A:$G,7,FALSE)</f>
        <v>SLIDING</v>
      </c>
      <c r="G74" s="13">
        <v>36457.050000000003</v>
      </c>
      <c r="H74" s="87"/>
      <c r="I74" s="88">
        <f t="shared" si="0"/>
        <v>0</v>
      </c>
      <c r="J74" s="89">
        <f>VLOOKUP(C74,[1]B.D!$A:$E,5,FALSE)</f>
        <v>8.2260000000000009</v>
      </c>
      <c r="K74" s="89">
        <f t="shared" si="1"/>
        <v>0</v>
      </c>
    </row>
    <row r="75" spans="2:11" ht="15" customHeight="1">
      <c r="B75" s="86">
        <v>63</v>
      </c>
      <c r="C75" s="71" t="s">
        <v>51</v>
      </c>
      <c r="D75" s="71" t="str">
        <f>VLOOKUP(C75,[1]B.D!$A:$B,2,FALSE)</f>
        <v>HOJA CORREDERA 80 - GRAFITO</v>
      </c>
      <c r="E75" s="71" t="str">
        <f>VLOOKUP(C75,[1]B.D!$A:$F,6,FALSE)</f>
        <v>GRAFITO</v>
      </c>
      <c r="F75" s="71" t="str">
        <f>VLOOKUP(C75,[1]B.D!$A:$G,7,FALSE)</f>
        <v>SLIDING</v>
      </c>
      <c r="G75" s="13">
        <v>60396</v>
      </c>
      <c r="H75" s="87"/>
      <c r="I75" s="88">
        <f t="shared" si="0"/>
        <v>0</v>
      </c>
      <c r="J75" s="89">
        <f>VLOOKUP(C75,[1]B.D!$A:$E,5,FALSE)</f>
        <v>8.2260000000000009</v>
      </c>
      <c r="K75" s="89">
        <f t="shared" si="1"/>
        <v>0</v>
      </c>
    </row>
    <row r="76" spans="2:11" ht="15" customHeight="1">
      <c r="B76" s="86">
        <v>64</v>
      </c>
      <c r="C76" s="90" t="s">
        <v>52</v>
      </c>
      <c r="D76" s="71" t="str">
        <f>VLOOKUP(C76,[1]B.D!$A:$B,2,FALSE)</f>
        <v>HOJA CORREDERA 80 - NEW BLACK</v>
      </c>
      <c r="E76" s="71" t="str">
        <f>VLOOKUP(C76,[1]B.D!$A:$F,6,FALSE)</f>
        <v>NEW BLACK</v>
      </c>
      <c r="F76" s="71" t="str">
        <f>VLOOKUP(C76,[1]B.D!$A:$G,7,FALSE)</f>
        <v>SLIDING</v>
      </c>
      <c r="G76" s="13">
        <v>55793.850000000006</v>
      </c>
      <c r="H76" s="87"/>
      <c r="I76" s="88">
        <f t="shared" si="0"/>
        <v>0</v>
      </c>
      <c r="J76" s="89">
        <f>VLOOKUP(C76,[1]B.D!$A:$E,5,FALSE)</f>
        <v>8.2260000000000009</v>
      </c>
      <c r="K76" s="89">
        <f t="shared" si="1"/>
        <v>0</v>
      </c>
    </row>
    <row r="77" spans="2:11" ht="15" customHeight="1">
      <c r="B77" s="86">
        <v>65</v>
      </c>
      <c r="C77" s="71" t="s">
        <v>50</v>
      </c>
      <c r="D77" s="71" t="str">
        <f>VLOOKUP(C77,[1]B.D!$A:$B,2,FALSE)</f>
        <v>HOJA CORREDERA 80 - NOGAL</v>
      </c>
      <c r="E77" s="71" t="str">
        <f>VLOOKUP(C77,[1]B.D!$A:$F,6,FALSE)</f>
        <v>NOGAL</v>
      </c>
      <c r="F77" s="71" t="str">
        <f>VLOOKUP(C77,[1]B.D!$A:$G,7,FALSE)</f>
        <v>SLIDING</v>
      </c>
      <c r="G77" s="13">
        <v>56448</v>
      </c>
      <c r="H77" s="87"/>
      <c r="I77" s="88">
        <f t="shared" ref="I77:I140" si="2">G77*H77</f>
        <v>0</v>
      </c>
      <c r="J77" s="89">
        <f>VLOOKUP(C77,[1]B.D!$A:$E,5,FALSE)</f>
        <v>8.2260000000000009</v>
      </c>
      <c r="K77" s="89">
        <f t="shared" ref="K77:K140" si="3">$H77*$J77</f>
        <v>0</v>
      </c>
    </row>
    <row r="78" spans="2:11" ht="15" customHeight="1">
      <c r="B78" s="86">
        <v>66</v>
      </c>
      <c r="C78" s="71" t="s">
        <v>49</v>
      </c>
      <c r="D78" s="71" t="str">
        <f>VLOOKUP(C78,[1]B.D!$A:$B,2,FALSE)</f>
        <v>HOJA CORREDERA 80 - ROBLE</v>
      </c>
      <c r="E78" s="71" t="str">
        <f>VLOOKUP(C78,[1]B.D!$A:$F,6,FALSE)</f>
        <v>ROBLE</v>
      </c>
      <c r="F78" s="71" t="str">
        <f>VLOOKUP(C78,[1]B.D!$A:$G,7,FALSE)</f>
        <v>SLIDING</v>
      </c>
      <c r="G78" s="13">
        <v>56448</v>
      </c>
      <c r="H78" s="87"/>
      <c r="I78" s="88">
        <f t="shared" si="2"/>
        <v>0</v>
      </c>
      <c r="J78" s="89">
        <f>VLOOKUP(C78,[1]B.D!$A:$E,5,FALSE)</f>
        <v>8.2260000000000009</v>
      </c>
      <c r="K78" s="89">
        <f t="shared" si="3"/>
        <v>0</v>
      </c>
    </row>
    <row r="79" spans="2:11" ht="15" customHeight="1">
      <c r="B79" s="86">
        <v>67</v>
      </c>
      <c r="C79" s="71" t="s">
        <v>54</v>
      </c>
      <c r="D79" s="71" t="str">
        <f>VLOOKUP(C79,[1]B.D!$A:$B,2,FALSE)</f>
        <v>HOJA CORREDERA 98 - BLANCO</v>
      </c>
      <c r="E79" s="71" t="str">
        <f>VLOOKUP(C79,[1]B.D!$A:$F,6,FALSE)</f>
        <v>BLANCO</v>
      </c>
      <c r="F79" s="71" t="str">
        <f>VLOOKUP(C79,[1]B.D!$A:$G,7,FALSE)</f>
        <v>SLIDING</v>
      </c>
      <c r="G79" s="13">
        <v>43743</v>
      </c>
      <c r="H79" s="87"/>
      <c r="I79" s="88">
        <f t="shared" si="2"/>
        <v>0</v>
      </c>
      <c r="J79" s="89">
        <f>VLOOKUP(C79,[1]B.D!$A:$E,5,FALSE)</f>
        <v>9.1679999999999993</v>
      </c>
      <c r="K79" s="89">
        <f t="shared" si="3"/>
        <v>0</v>
      </c>
    </row>
    <row r="80" spans="2:11" ht="15" customHeight="1">
      <c r="B80" s="86">
        <v>68</v>
      </c>
      <c r="C80" s="71" t="s">
        <v>57</v>
      </c>
      <c r="D80" s="71" t="str">
        <f>VLOOKUP(C80,[1]B.D!$A:$B,2,FALSE)</f>
        <v>HOJA CORREDERA 98 - GRAFITO</v>
      </c>
      <c r="E80" s="71" t="str">
        <f>VLOOKUP(C80,[1]B.D!$A:$F,6,FALSE)</f>
        <v>GRAFITO</v>
      </c>
      <c r="F80" s="71" t="str">
        <f>VLOOKUP(C80,[1]B.D!$A:$G,7,FALSE)</f>
        <v>SLIDING</v>
      </c>
      <c r="G80" s="13">
        <v>72477.3</v>
      </c>
      <c r="H80" s="87"/>
      <c r="I80" s="88">
        <f t="shared" si="2"/>
        <v>0</v>
      </c>
      <c r="J80" s="89">
        <f>VLOOKUP(C80,[1]B.D!$A:$E,5,FALSE)</f>
        <v>9.2040000000000006</v>
      </c>
      <c r="K80" s="89">
        <f t="shared" si="3"/>
        <v>0</v>
      </c>
    </row>
    <row r="81" spans="2:11" ht="15" customHeight="1">
      <c r="B81" s="86">
        <v>69</v>
      </c>
      <c r="C81" s="71" t="s">
        <v>58</v>
      </c>
      <c r="D81" s="71" t="str">
        <f>VLOOKUP(C81,[1]B.D!$A:$B,2,FALSE)</f>
        <v>HOJA CORREDERA 98 - NEW BLACK</v>
      </c>
      <c r="E81" s="71" t="str">
        <f>VLOOKUP(C81,[1]B.D!$A:$F,6,FALSE)</f>
        <v>NEW BLACK</v>
      </c>
      <c r="F81" s="71" t="str">
        <f>VLOOKUP(C81,[1]B.D!$A:$G,7,FALSE)</f>
        <v>SLIDING</v>
      </c>
      <c r="G81" s="13">
        <v>70329</v>
      </c>
      <c r="H81" s="87"/>
      <c r="I81" s="88">
        <f t="shared" si="2"/>
        <v>0</v>
      </c>
      <c r="J81" s="89">
        <f>VLOOKUP(C81,[1]B.D!$A:$E,5,FALSE)</f>
        <v>9.2040000000000006</v>
      </c>
      <c r="K81" s="89">
        <f t="shared" si="3"/>
        <v>0</v>
      </c>
    </row>
    <row r="82" spans="2:11" ht="15" customHeight="1">
      <c r="B82" s="86">
        <v>70</v>
      </c>
      <c r="C82" s="71" t="s">
        <v>56</v>
      </c>
      <c r="D82" s="71" t="str">
        <f>VLOOKUP(C82,[1]B.D!$A:$B,2,FALSE)</f>
        <v>HOJA CORREDERA 98 - NOGAL</v>
      </c>
      <c r="E82" s="71" t="str">
        <f>VLOOKUP(C82,[1]B.D!$A:$F,6,FALSE)</f>
        <v>NOGAL</v>
      </c>
      <c r="F82" s="71" t="str">
        <f>VLOOKUP(C82,[1]B.D!$A:$G,7,FALSE)</f>
        <v>SLIDING</v>
      </c>
      <c r="G82" s="13">
        <v>67735.5</v>
      </c>
      <c r="H82" s="87"/>
      <c r="I82" s="88">
        <f t="shared" si="2"/>
        <v>0</v>
      </c>
      <c r="J82" s="89">
        <f>VLOOKUP(C82,[1]B.D!$A:$E,5,FALSE)</f>
        <v>9.1679999999999993</v>
      </c>
      <c r="K82" s="89">
        <f t="shared" si="3"/>
        <v>0</v>
      </c>
    </row>
    <row r="83" spans="2:11" ht="15" customHeight="1">
      <c r="B83" s="86">
        <v>71</v>
      </c>
      <c r="C83" s="71" t="s">
        <v>55</v>
      </c>
      <c r="D83" s="71" t="str">
        <f>VLOOKUP(C83,[1]B.D!$A:$B,2,FALSE)</f>
        <v>HOJA CORREDERA 98 - ROBLE</v>
      </c>
      <c r="E83" s="71" t="str">
        <f>VLOOKUP(C83,[1]B.D!$A:$F,6,FALSE)</f>
        <v>ROBLE</v>
      </c>
      <c r="F83" s="71" t="str">
        <f>VLOOKUP(C83,[1]B.D!$A:$G,7,FALSE)</f>
        <v>SLIDING</v>
      </c>
      <c r="G83" s="13">
        <v>67735.5</v>
      </c>
      <c r="H83" s="87"/>
      <c r="I83" s="88">
        <f t="shared" si="2"/>
        <v>0</v>
      </c>
      <c r="J83" s="89">
        <f>VLOOKUP(C83,[1]B.D!$A:$E,5,FALSE)</f>
        <v>9.2040000000000006</v>
      </c>
      <c r="K83" s="89">
        <f t="shared" si="3"/>
        <v>0</v>
      </c>
    </row>
    <row r="84" spans="2:11" ht="15" customHeight="1">
      <c r="B84" s="86">
        <v>72</v>
      </c>
      <c r="C84" s="71" t="s">
        <v>348</v>
      </c>
      <c r="D84" s="71" t="str">
        <f>VLOOKUP(C84,[1]B.D!$A:$B,2,FALSE)</f>
        <v>HOJA CORREDERA AMERICANA SILTEK</v>
      </c>
      <c r="E84" s="71" t="str">
        <f>VLOOKUP(C84,[1]B.D!$A:$F,6,FALSE)</f>
        <v>BLANCO</v>
      </c>
      <c r="F84" s="71" t="str">
        <f>VLOOKUP(C84,[1]B.D!$A:$G,7,FALSE)</f>
        <v>AMERICANA</v>
      </c>
      <c r="G84" s="13">
        <v>4920.3</v>
      </c>
      <c r="H84" s="87"/>
      <c r="I84" s="88">
        <f t="shared" si="2"/>
        <v>0</v>
      </c>
      <c r="J84" s="89">
        <f>VLOOKUP(C84,[1]B.D!$A:$E,5,FALSE)</f>
        <v>1.62</v>
      </c>
      <c r="K84" s="89">
        <f t="shared" si="3"/>
        <v>0</v>
      </c>
    </row>
    <row r="85" spans="2:11" ht="15" customHeight="1">
      <c r="B85" s="86">
        <v>73</v>
      </c>
      <c r="C85" s="71" t="s">
        <v>59</v>
      </c>
      <c r="D85" s="71" t="str">
        <f>VLOOKUP(C85,[1]B.D!$A:$B,2,FALSE)</f>
        <v>HOJA CORREDERA ANDES 66 - BLANCO</v>
      </c>
      <c r="E85" s="71" t="str">
        <f>VLOOKUP(C85,[1]B.D!$A:$F,6,FALSE)</f>
        <v>BLANCO</v>
      </c>
      <c r="F85" s="71" t="str">
        <f>VLOOKUP(C85,[1]B.D!$A:$G,7,FALSE)</f>
        <v>SLIDING - ANDES</v>
      </c>
      <c r="G85" s="13">
        <v>26457.9</v>
      </c>
      <c r="H85" s="87"/>
      <c r="I85" s="88">
        <f t="shared" si="2"/>
        <v>0</v>
      </c>
      <c r="J85" s="89">
        <f>VLOOKUP(C85,[1]B.D!$A:$E,5,FALSE)</f>
        <v>6.0359999999999996</v>
      </c>
      <c r="K85" s="89">
        <f t="shared" si="3"/>
        <v>0</v>
      </c>
    </row>
    <row r="86" spans="2:11" ht="15" customHeight="1">
      <c r="B86" s="86">
        <v>74</v>
      </c>
      <c r="C86" s="71" t="s">
        <v>62</v>
      </c>
      <c r="D86" s="71" t="str">
        <f>VLOOKUP(C86,[1]B.D!$A:$B,2,FALSE)</f>
        <v>HOJA CORREDERA ANDES 66 - GRAFITO</v>
      </c>
      <c r="E86" s="71" t="str">
        <f>VLOOKUP(C86,[1]B.D!$A:$F,6,FALSE)</f>
        <v>GRAFITO</v>
      </c>
      <c r="F86" s="71" t="str">
        <f>VLOOKUP(C86,[1]B.D!$A:$G,7,FALSE)</f>
        <v>SLIDING - ANDES</v>
      </c>
      <c r="G86" s="13">
        <v>41800.5</v>
      </c>
      <c r="H86" s="87"/>
      <c r="I86" s="88">
        <f t="shared" si="2"/>
        <v>0</v>
      </c>
      <c r="J86" s="89">
        <f>VLOOKUP(C86,[1]B.D!$A:$E,5,FALSE)</f>
        <v>6.0839999999999996</v>
      </c>
      <c r="K86" s="89">
        <f t="shared" si="3"/>
        <v>0</v>
      </c>
    </row>
    <row r="87" spans="2:11" ht="15" customHeight="1">
      <c r="B87" s="86">
        <v>75</v>
      </c>
      <c r="C87" s="71" t="s">
        <v>63</v>
      </c>
      <c r="D87" s="71" t="str">
        <f>VLOOKUP(C87,[1]B.D!$A:$B,2,FALSE)</f>
        <v>HOJA CORREDERA ANDES 66 - NEW BLACK</v>
      </c>
      <c r="E87" s="71" t="str">
        <f>VLOOKUP(C87,[1]B.D!$A:$F,6,FALSE)</f>
        <v>NEW BLACK</v>
      </c>
      <c r="F87" s="71" t="str">
        <f>VLOOKUP(C87,[1]B.D!$A:$G,7,FALSE)</f>
        <v>SLIDING - ANDES</v>
      </c>
      <c r="G87" s="13">
        <v>43891.05</v>
      </c>
      <c r="H87" s="87"/>
      <c r="I87" s="88">
        <f t="shared" si="2"/>
        <v>0</v>
      </c>
      <c r="J87" s="89">
        <f>VLOOKUP(C87,[1]B.D!$A:$E,5,FALSE)</f>
        <v>6.0839999999999996</v>
      </c>
      <c r="K87" s="89">
        <f t="shared" si="3"/>
        <v>0</v>
      </c>
    </row>
    <row r="88" spans="2:11" ht="15" customHeight="1">
      <c r="B88" s="86">
        <v>76</v>
      </c>
      <c r="C88" s="71" t="s">
        <v>61</v>
      </c>
      <c r="D88" s="71" t="str">
        <f>VLOOKUP(C88,[1]B.D!$A:$B,2,FALSE)</f>
        <v>HOJA CORREDERA ANDES 66 - NOGAL</v>
      </c>
      <c r="E88" s="71" t="str">
        <f>VLOOKUP(C88,[1]B.D!$A:$F,6,FALSE)</f>
        <v>NOGAL</v>
      </c>
      <c r="F88" s="71" t="str">
        <f>VLOOKUP(C88,[1]B.D!$A:$G,7,FALSE)</f>
        <v>SLIDING - ANDES</v>
      </c>
      <c r="G88" s="13">
        <v>40102.65</v>
      </c>
      <c r="H88" s="87"/>
      <c r="I88" s="88">
        <f t="shared" si="2"/>
        <v>0</v>
      </c>
      <c r="J88" s="89">
        <f>VLOOKUP(C88,[1]B.D!$A:$E,5,FALSE)</f>
        <v>6.0839999999999996</v>
      </c>
      <c r="K88" s="89">
        <f t="shared" si="3"/>
        <v>0</v>
      </c>
    </row>
    <row r="89" spans="2:11" ht="15" customHeight="1">
      <c r="B89" s="86">
        <v>77</v>
      </c>
      <c r="C89" s="71" t="s">
        <v>60</v>
      </c>
      <c r="D89" s="71" t="str">
        <f>VLOOKUP(C89,[1]B.D!$A:$B,2,FALSE)</f>
        <v>HOJA CORREDERA ANDES 66 - ROBLE</v>
      </c>
      <c r="E89" s="71" t="str">
        <f>VLOOKUP(C89,[1]B.D!$A:$F,6,FALSE)</f>
        <v>ROBLE</v>
      </c>
      <c r="F89" s="71" t="str">
        <f>VLOOKUP(C89,[1]B.D!$A:$G,7,FALSE)</f>
        <v>SLIDING - ANDES</v>
      </c>
      <c r="G89" s="13">
        <v>40102.65</v>
      </c>
      <c r="H89" s="87"/>
      <c r="I89" s="88">
        <f t="shared" si="2"/>
        <v>0</v>
      </c>
      <c r="J89" s="89">
        <f>VLOOKUP(C89,[1]B.D!$A:$E,5,FALSE)</f>
        <v>6.0839999999999996</v>
      </c>
      <c r="K89" s="89">
        <f t="shared" si="3"/>
        <v>0</v>
      </c>
    </row>
    <row r="90" spans="2:11" ht="15" customHeight="1">
      <c r="B90" s="86">
        <v>78</v>
      </c>
      <c r="C90" s="71" t="s">
        <v>359</v>
      </c>
      <c r="D90" s="71" t="str">
        <f>VLOOKUP(C90,[1]B.D!$A:$B,2,FALSE)</f>
        <v>HOJA CORREDERA MOSQUITERO - BLANCO</v>
      </c>
      <c r="E90" s="71" t="str">
        <f>VLOOKUP(C90,[1]B.D!$A:$F,6,FALSE)</f>
        <v>BLANCO</v>
      </c>
      <c r="F90" s="71" t="str">
        <f>VLOOKUP(C90,[1]B.D!$A:$G,7,FALSE)</f>
        <v>MOSQUITERO CORREDERA</v>
      </c>
      <c r="G90" s="13">
        <v>24801</v>
      </c>
      <c r="H90" s="87"/>
      <c r="I90" s="88">
        <f t="shared" si="2"/>
        <v>0</v>
      </c>
      <c r="J90" s="89">
        <f>VLOOKUP(C90,[1]B.D!$A:$E,5,FALSE)</f>
        <v>4.9619999999999997</v>
      </c>
      <c r="K90" s="89">
        <f t="shared" si="3"/>
        <v>0</v>
      </c>
    </row>
    <row r="91" spans="2:11" ht="15" customHeight="1">
      <c r="B91" s="86">
        <v>79</v>
      </c>
      <c r="C91" s="71" t="s">
        <v>362</v>
      </c>
      <c r="D91" s="71" t="str">
        <f>VLOOKUP(C91,[1]B.D!$A:$B,2,FALSE)</f>
        <v>HOJA CORREDERA MOSQUITERO - GRAFITO</v>
      </c>
      <c r="E91" s="71" t="str">
        <f>VLOOKUP(C91,[1]B.D!$A:$F,6,FALSE)</f>
        <v>GRAFITO</v>
      </c>
      <c r="F91" s="71" t="str">
        <f>VLOOKUP(C91,[1]B.D!$A:$G,7,FALSE)</f>
        <v>MOSQUITERO CORREDERA</v>
      </c>
      <c r="G91" s="13">
        <v>27427.050000000003</v>
      </c>
      <c r="H91" s="87"/>
      <c r="I91" s="88">
        <f t="shared" si="2"/>
        <v>0</v>
      </c>
      <c r="J91" s="89">
        <f>VLOOKUP(C91,[1]B.D!$A:$E,5,FALSE)</f>
        <v>4.9619999999999997</v>
      </c>
      <c r="K91" s="89">
        <f t="shared" si="3"/>
        <v>0</v>
      </c>
    </row>
    <row r="92" spans="2:11" ht="15" customHeight="1">
      <c r="B92" s="86">
        <v>80</v>
      </c>
      <c r="C92" s="71" t="s">
        <v>363</v>
      </c>
      <c r="D92" s="71" t="str">
        <f>VLOOKUP(C92,[1]B.D!$A:$B,2,FALSE)</f>
        <v>HOJA CORREDERA MOSQUITERO - NEW BLACK</v>
      </c>
      <c r="E92" s="71" t="str">
        <f>VLOOKUP(C92,[1]B.D!$A:$F,6,FALSE)</f>
        <v>NEW BLACK</v>
      </c>
      <c r="F92" s="71" t="str">
        <f>VLOOKUP(C92,[1]B.D!$A:$G,7,FALSE)</f>
        <v>MOSQUITERO CORREDERA</v>
      </c>
      <c r="G92" s="13">
        <v>28797.300000000003</v>
      </c>
      <c r="H92" s="87"/>
      <c r="I92" s="88">
        <f t="shared" si="2"/>
        <v>0</v>
      </c>
      <c r="J92" s="89">
        <f>VLOOKUP(C92,[1]B.D!$A:$E,5,FALSE)</f>
        <v>4.9619999999999997</v>
      </c>
      <c r="K92" s="89">
        <f t="shared" si="3"/>
        <v>0</v>
      </c>
    </row>
    <row r="93" spans="2:11" ht="15" customHeight="1">
      <c r="B93" s="86">
        <v>81</v>
      </c>
      <c r="C93" s="71" t="s">
        <v>360</v>
      </c>
      <c r="D93" s="71" t="str">
        <f>VLOOKUP(C93,[1]B.D!$A:$B,2,FALSE)</f>
        <v>HOJA CORREDERA MOSQUITERO - NOGAL</v>
      </c>
      <c r="E93" s="71" t="str">
        <f>VLOOKUP(C93,[1]B.D!$A:$F,6,FALSE)</f>
        <v>NOGAL</v>
      </c>
      <c r="F93" s="71" t="str">
        <f>VLOOKUP(C93,[1]B.D!$A:$G,7,FALSE)</f>
        <v>MOSQUITERO CORREDERA</v>
      </c>
      <c r="G93" s="13">
        <v>26628</v>
      </c>
      <c r="H93" s="87"/>
      <c r="I93" s="88">
        <f t="shared" si="2"/>
        <v>0</v>
      </c>
      <c r="J93" s="89">
        <f>VLOOKUP(C93,[1]B.D!$A:$E,5,FALSE)</f>
        <v>4.9619999999999997</v>
      </c>
      <c r="K93" s="89">
        <f t="shared" si="3"/>
        <v>0</v>
      </c>
    </row>
    <row r="94" spans="2:11" ht="15" customHeight="1">
      <c r="B94" s="86">
        <v>82</v>
      </c>
      <c r="C94" s="71" t="s">
        <v>361</v>
      </c>
      <c r="D94" s="71" t="str">
        <f>VLOOKUP(C94,[1]B.D!$A:$B,2,FALSE)</f>
        <v>HOJA CORREDERA MOSQUITERO - ROBLE</v>
      </c>
      <c r="E94" s="71" t="str">
        <f>VLOOKUP(C94,[1]B.D!$A:$F,6,FALSE)</f>
        <v>ROBLE</v>
      </c>
      <c r="F94" s="71" t="str">
        <f>VLOOKUP(C94,[1]B.D!$A:$G,7,FALSE)</f>
        <v>MOSQUITERO CORREDERA</v>
      </c>
      <c r="G94" s="13">
        <v>26628</v>
      </c>
      <c r="H94" s="87"/>
      <c r="I94" s="88">
        <f t="shared" si="2"/>
        <v>0</v>
      </c>
      <c r="J94" s="89">
        <f>VLOOKUP(C94,[1]B.D!$A:$E,5,FALSE)</f>
        <v>4.9619999999999997</v>
      </c>
      <c r="K94" s="89">
        <f t="shared" si="3"/>
        <v>0</v>
      </c>
    </row>
    <row r="95" spans="2:11" ht="15" customHeight="1">
      <c r="B95" s="86">
        <v>83</v>
      </c>
      <c r="C95" s="71" t="s">
        <v>273</v>
      </c>
      <c r="D95" s="71" t="str">
        <f>VLOOKUP(C95,[1]B.D!$A:$B,2,FALSE)</f>
        <v>HOJA CORREDERA ZENIA - BLANCO</v>
      </c>
      <c r="E95" s="71" t="str">
        <f>VLOOKUP(C95,[1]B.D!$A:$F,6,FALSE)</f>
        <v>BLANCO</v>
      </c>
      <c r="F95" s="71" t="str">
        <f>VLOOKUP(C95,[1]B.D!$A:$G,7,FALSE)</f>
        <v>SLIDING - ZENIA</v>
      </c>
      <c r="G95" s="13">
        <v>43531.950000000004</v>
      </c>
      <c r="H95" s="87"/>
      <c r="I95" s="88">
        <f t="shared" si="2"/>
        <v>0</v>
      </c>
      <c r="J95" s="89">
        <f>VLOOKUP(C95,[1]B.D!$A:$E,5,FALSE)</f>
        <v>9.5220000000000002</v>
      </c>
      <c r="K95" s="89">
        <f t="shared" si="3"/>
        <v>0</v>
      </c>
    </row>
    <row r="96" spans="2:11" ht="15" customHeight="1">
      <c r="B96" s="86">
        <v>84</v>
      </c>
      <c r="C96" s="71" t="s">
        <v>276</v>
      </c>
      <c r="D96" s="71" t="str">
        <f>VLOOKUP(C96,[1]B.D!$A:$B,2,FALSE)</f>
        <v>HOJA CORREDERA ZENIA - GRAFITO</v>
      </c>
      <c r="E96" s="71" t="str">
        <f>VLOOKUP(C96,[1]B.D!$A:$F,6,FALSE)</f>
        <v>GRAFITO</v>
      </c>
      <c r="F96" s="71" t="str">
        <f>VLOOKUP(C96,[1]B.D!$A:$G,7,FALSE)</f>
        <v>SLIDING - ZENIA</v>
      </c>
      <c r="G96" s="13">
        <v>82926.900000000009</v>
      </c>
      <c r="H96" s="87"/>
      <c r="I96" s="88">
        <f t="shared" si="2"/>
        <v>0</v>
      </c>
      <c r="J96" s="89">
        <f>VLOOKUP(C96,[1]B.D!$A:$E,5,FALSE)</f>
        <v>9.5220000000000002</v>
      </c>
      <c r="K96" s="89">
        <f t="shared" si="3"/>
        <v>0</v>
      </c>
    </row>
    <row r="97" spans="2:11" ht="15" customHeight="1">
      <c r="B97" s="86">
        <v>85</v>
      </c>
      <c r="C97" s="71" t="s">
        <v>277</v>
      </c>
      <c r="D97" s="71" t="str">
        <f>VLOOKUP(C97,[1]B.D!$A:$B,2,FALSE)</f>
        <v>HOJA CORREDERA ZENIA - NEW BLACK</v>
      </c>
      <c r="E97" s="71" t="str">
        <f>VLOOKUP(C97,[1]B.D!$A:$F,6,FALSE)</f>
        <v>NEW BLACK</v>
      </c>
      <c r="F97" s="71" t="str">
        <f>VLOOKUP(C97,[1]B.D!$A:$G,7,FALSE)</f>
        <v>SLIDING - ZENIA</v>
      </c>
      <c r="G97" s="13">
        <v>95518.5</v>
      </c>
      <c r="H97" s="87"/>
      <c r="I97" s="88">
        <f t="shared" si="2"/>
        <v>0</v>
      </c>
      <c r="J97" s="89">
        <f>VLOOKUP(C97,[1]B.D!$A:$E,5,FALSE)</f>
        <v>9.5220000000000002</v>
      </c>
      <c r="K97" s="89">
        <f t="shared" si="3"/>
        <v>0</v>
      </c>
    </row>
    <row r="98" spans="2:11" ht="15" customHeight="1">
      <c r="B98" s="86">
        <v>86</v>
      </c>
      <c r="C98" s="71" t="s">
        <v>275</v>
      </c>
      <c r="D98" s="71" t="str">
        <f>VLOOKUP(C98,[1]B.D!$A:$B,2,FALSE)</f>
        <v>HOJA CORREDERA ZENIA - NOGAL</v>
      </c>
      <c r="E98" s="71" t="str">
        <f>VLOOKUP(C98,[1]B.D!$A:$F,6,FALSE)</f>
        <v>NOGAL</v>
      </c>
      <c r="F98" s="71" t="str">
        <f>VLOOKUP(C98,[1]B.D!$A:$G,7,FALSE)</f>
        <v>SLIDING - ZENIA</v>
      </c>
      <c r="G98" s="13">
        <v>82926.900000000009</v>
      </c>
      <c r="H98" s="87"/>
      <c r="I98" s="88">
        <f t="shared" si="2"/>
        <v>0</v>
      </c>
      <c r="J98" s="89">
        <f>VLOOKUP(C98,[1]B.D!$A:$E,5,FALSE)</f>
        <v>9.5220000000000002</v>
      </c>
      <c r="K98" s="89">
        <f t="shared" si="3"/>
        <v>0</v>
      </c>
    </row>
    <row r="99" spans="2:11" ht="15" customHeight="1">
      <c r="B99" s="86">
        <v>87</v>
      </c>
      <c r="C99" s="71" t="s">
        <v>274</v>
      </c>
      <c r="D99" s="71" t="str">
        <f>VLOOKUP(C99,[1]B.D!$A:$B,2,FALSE)</f>
        <v>HOJA CORREDERA ZENIA - ROBLE</v>
      </c>
      <c r="E99" s="71" t="str">
        <f>VLOOKUP(C99,[1]B.D!$A:$F,6,FALSE)</f>
        <v>ROBLE</v>
      </c>
      <c r="F99" s="71" t="str">
        <f>VLOOKUP(C99,[1]B.D!$A:$G,7,FALSE)</f>
        <v>SLIDING - ZENIA</v>
      </c>
      <c r="G99" s="13">
        <v>82926.900000000009</v>
      </c>
      <c r="H99" s="87"/>
      <c r="I99" s="88">
        <f t="shared" si="2"/>
        <v>0</v>
      </c>
      <c r="J99" s="89">
        <f>VLOOKUP(C99,[1]B.D!$A:$E,5,FALSE)</f>
        <v>9.5220000000000002</v>
      </c>
      <c r="K99" s="89">
        <f t="shared" si="3"/>
        <v>0</v>
      </c>
    </row>
    <row r="100" spans="2:11" ht="15" customHeight="1">
      <c r="B100" s="86">
        <v>88</v>
      </c>
      <c r="C100" s="71" t="s">
        <v>927</v>
      </c>
      <c r="D100" s="71" t="str">
        <f>VLOOKUP(C100,[1]B.D!$A:$B,2,FALSE)</f>
        <v>HOJA MOSQUITERO PLEGABLE - BLACK</v>
      </c>
      <c r="E100" s="71" t="str">
        <f>VLOOKUP(C100,[1]B.D!$A:$F,6,FALSE)</f>
        <v>BLACK</v>
      </c>
      <c r="F100" s="71" t="str">
        <f>VLOOKUP(C100,[1]B.D!$A:$G,7,FALSE)</f>
        <v>MOSQUITERO PLEGABLE</v>
      </c>
      <c r="G100" s="13">
        <v>34398</v>
      </c>
      <c r="H100" s="87"/>
      <c r="I100" s="88">
        <f t="shared" si="2"/>
        <v>0</v>
      </c>
      <c r="J100" s="89">
        <f>VLOOKUP(C100,[1]B.D!$A:$E,5,FALSE)</f>
        <v>2.5499999999999998</v>
      </c>
      <c r="K100" s="89">
        <f t="shared" si="3"/>
        <v>0</v>
      </c>
    </row>
    <row r="101" spans="2:11" ht="15" customHeight="1">
      <c r="B101" s="86">
        <v>89</v>
      </c>
      <c r="C101" s="71" t="s">
        <v>871</v>
      </c>
      <c r="D101" s="71" t="str">
        <f>VLOOKUP(C101,[1]B.D!$A:$B,2,FALSE)</f>
        <v>HOJA MOSQUITERO PLEGABLE - BLANCO</v>
      </c>
      <c r="E101" s="71" t="str">
        <f>VLOOKUP(C101,[1]B.D!$A:$F,6,FALSE)</f>
        <v>BLANCO</v>
      </c>
      <c r="F101" s="71" t="str">
        <f>VLOOKUP(C101,[1]B.D!$A:$G,7,FALSE)</f>
        <v>MOSQUITERO PLEGABLE</v>
      </c>
      <c r="G101" s="13">
        <v>19226.55</v>
      </c>
      <c r="H101" s="87"/>
      <c r="I101" s="88">
        <f t="shared" si="2"/>
        <v>0</v>
      </c>
      <c r="J101" s="89">
        <f>VLOOKUP(C101,[1]B.D!$A:$E,5,FALSE)</f>
        <v>2.5</v>
      </c>
      <c r="K101" s="89">
        <f t="shared" si="3"/>
        <v>0</v>
      </c>
    </row>
    <row r="102" spans="2:11" ht="15" customHeight="1">
      <c r="B102" s="86">
        <v>90</v>
      </c>
      <c r="C102" s="71" t="s">
        <v>872</v>
      </c>
      <c r="D102" s="71" t="str">
        <f>VLOOKUP(C102,[1]B.D!$A:$B,2,FALSE)</f>
        <v>HOJA MOSQUITERO PLEGABLE - GRAFITO</v>
      </c>
      <c r="E102" s="71" t="str">
        <f>VLOOKUP(C102,[1]B.D!$A:$F,6,FALSE)</f>
        <v>GRAFITO</v>
      </c>
      <c r="F102" s="71" t="str">
        <f>VLOOKUP(C102,[1]B.D!$A:$G,7,FALSE)</f>
        <v>MOSQUITERO PLEGABLE</v>
      </c>
      <c r="G102" s="13">
        <v>35706.300000000003</v>
      </c>
      <c r="H102" s="87"/>
      <c r="I102" s="88">
        <f t="shared" si="2"/>
        <v>0</v>
      </c>
      <c r="J102" s="89">
        <f>VLOOKUP(C102,[1]B.D!$A:$E,5,FALSE)</f>
        <v>2.5499999999999998</v>
      </c>
      <c r="K102" s="89">
        <f t="shared" si="3"/>
        <v>0</v>
      </c>
    </row>
    <row r="103" spans="2:11" ht="15" customHeight="1">
      <c r="B103" s="86">
        <v>91</v>
      </c>
      <c r="C103" s="71" t="s">
        <v>873</v>
      </c>
      <c r="D103" s="71" t="str">
        <f>VLOOKUP(C103,[1]B.D!$A:$B,2,FALSE)</f>
        <v>HOJA MOSQUITERO PLEGABLE - NOGAL</v>
      </c>
      <c r="E103" s="71" t="str">
        <f>VLOOKUP(C103,[1]B.D!$A:$F,6,FALSE)</f>
        <v>NOGAL</v>
      </c>
      <c r="F103" s="71" t="str">
        <f>VLOOKUP(C103,[1]B.D!$A:$G,7,FALSE)</f>
        <v>MOSQUITERO PLEGABLE</v>
      </c>
      <c r="G103" s="13">
        <v>35706.300000000003</v>
      </c>
      <c r="H103" s="87"/>
      <c r="I103" s="88">
        <f t="shared" si="2"/>
        <v>0</v>
      </c>
      <c r="J103" s="89">
        <f>VLOOKUP(C103,[1]B.D!$A:$E,5,FALSE)</f>
        <v>2.5499999999999998</v>
      </c>
      <c r="K103" s="89">
        <f t="shared" si="3"/>
        <v>0</v>
      </c>
    </row>
    <row r="104" spans="2:11" ht="15" customHeight="1">
      <c r="B104" s="86">
        <v>92</v>
      </c>
      <c r="C104" s="71" t="s">
        <v>874</v>
      </c>
      <c r="D104" s="71" t="str">
        <f>VLOOKUP(C104,[1]B.D!$A:$B,2,FALSE)</f>
        <v>HOJA MOSQUITERO PLEGABLE - ROBLE</v>
      </c>
      <c r="E104" s="71" t="str">
        <f>VLOOKUP(C104,[1]B.D!$A:$F,6,FALSE)</f>
        <v>ROBLE</v>
      </c>
      <c r="F104" s="71" t="str">
        <f>VLOOKUP(C104,[1]B.D!$A:$G,7,FALSE)</f>
        <v>MOSQUITERO PLEGABLE</v>
      </c>
      <c r="G104" s="13">
        <v>35706.300000000003</v>
      </c>
      <c r="H104" s="87"/>
      <c r="I104" s="88">
        <f t="shared" si="2"/>
        <v>0</v>
      </c>
      <c r="J104" s="89">
        <f>VLOOKUP(C104,[1]B.D!$A:$E,5,FALSE)</f>
        <v>2.5499999999999998</v>
      </c>
      <c r="K104" s="89">
        <f t="shared" si="3"/>
        <v>0</v>
      </c>
    </row>
    <row r="105" spans="2:11" ht="15" customHeight="1">
      <c r="B105" s="86">
        <v>93</v>
      </c>
      <c r="C105" s="71" t="s">
        <v>925</v>
      </c>
      <c r="D105" s="71" t="str">
        <f>VLOOKUP(C105,[1]B.D!$A:$B,2,FALSE)</f>
        <v>HOJA MOSQUITERO PLEGABLE ALUMINIO - BLACK</v>
      </c>
      <c r="E105" s="71" t="str">
        <f>VLOOKUP(C105,[1]B.D!$A:$F,6,FALSE)</f>
        <v>BLACK</v>
      </c>
      <c r="F105" s="71" t="str">
        <f>VLOOKUP(C105,[1]B.D!$A:$G,7,FALSE)</f>
        <v>MOSQUITERO PLEGABLE</v>
      </c>
      <c r="G105" s="13">
        <v>34398</v>
      </c>
      <c r="H105" s="87"/>
      <c r="I105" s="88">
        <f t="shared" si="2"/>
        <v>0</v>
      </c>
      <c r="J105" s="89">
        <f>VLOOKUP(C105,[1]B.D!$A:$E,5,FALSE)</f>
        <v>1.95</v>
      </c>
      <c r="K105" s="89">
        <f t="shared" si="3"/>
        <v>0</v>
      </c>
    </row>
    <row r="106" spans="2:11" ht="15" customHeight="1">
      <c r="B106" s="86">
        <v>94</v>
      </c>
      <c r="C106" s="90" t="s">
        <v>868</v>
      </c>
      <c r="D106" s="71" t="str">
        <f>VLOOKUP(C106,[1]B.D!$A:$B,2,FALSE)</f>
        <v>HOJA MOSQUITERO PLEGABLE ALUMINIO - BLANCO</v>
      </c>
      <c r="E106" s="71" t="str">
        <f>VLOOKUP(C106,[1]B.D!$A:$F,6,FALSE)</f>
        <v>BLANCO</v>
      </c>
      <c r="F106" s="71" t="str">
        <f>VLOOKUP(C106,[1]B.D!$A:$G,7,FALSE)</f>
        <v>MOSQUITERO PLEGABLE</v>
      </c>
      <c r="G106" s="13">
        <v>34529.25</v>
      </c>
      <c r="H106" s="87"/>
      <c r="I106" s="88">
        <f t="shared" si="2"/>
        <v>0</v>
      </c>
      <c r="J106" s="89">
        <f>VLOOKUP(C106,[1]B.D!$A:$E,5,FALSE)</f>
        <v>1.95</v>
      </c>
      <c r="K106" s="89">
        <f t="shared" si="3"/>
        <v>0</v>
      </c>
    </row>
    <row r="107" spans="2:11" ht="15" customHeight="1">
      <c r="B107" s="86">
        <v>95</v>
      </c>
      <c r="C107" s="71" t="s">
        <v>869</v>
      </c>
      <c r="D107" s="71" t="str">
        <f>VLOOKUP(C107,[1]B.D!$A:$B,2,FALSE)</f>
        <v>HOJA MOSQUITERO PLEGABLE ALUMINIO - GRAFITO</v>
      </c>
      <c r="E107" s="71" t="str">
        <f>VLOOKUP(C107,[1]B.D!$A:$F,6,FALSE)</f>
        <v>GRAFITO</v>
      </c>
      <c r="F107" s="71" t="str">
        <f>VLOOKUP(C107,[1]B.D!$A:$G,7,FALSE)</f>
        <v>MOSQUITERO PLEGABLE</v>
      </c>
      <c r="G107" s="13">
        <v>35706.300000000003</v>
      </c>
      <c r="H107" s="87"/>
      <c r="I107" s="88">
        <f t="shared" si="2"/>
        <v>0</v>
      </c>
      <c r="J107" s="89">
        <f>VLOOKUP(C107,[1]B.D!$A:$E,5,FALSE)</f>
        <v>1.95</v>
      </c>
      <c r="K107" s="89">
        <f t="shared" si="3"/>
        <v>0</v>
      </c>
    </row>
    <row r="108" spans="2:11" ht="15" customHeight="1">
      <c r="B108" s="86">
        <v>96</v>
      </c>
      <c r="C108" s="71" t="s">
        <v>926</v>
      </c>
      <c r="D108" s="71" t="str">
        <f>VLOOKUP(C108,[1]B.D!$A:$B,2,FALSE)</f>
        <v>HOJA MOSQUITERO PLEGABLE ALUMINIO - NOGAL</v>
      </c>
      <c r="E108" s="71" t="str">
        <f>VLOOKUP(C108,[1]B.D!$A:$F,6,FALSE)</f>
        <v>NOGAL</v>
      </c>
      <c r="F108" s="71" t="str">
        <f>VLOOKUP(C108,[1]B.D!$A:$G,7,FALSE)</f>
        <v>MOSQUITERO PLEGABLE</v>
      </c>
      <c r="G108" s="13">
        <v>35706.300000000003</v>
      </c>
      <c r="H108" s="87"/>
      <c r="I108" s="88">
        <f t="shared" si="2"/>
        <v>0</v>
      </c>
      <c r="J108" s="89">
        <f>VLOOKUP(C108,[1]B.D!$A:$E,5,FALSE)</f>
        <v>1.95</v>
      </c>
      <c r="K108" s="89">
        <f t="shared" si="3"/>
        <v>0</v>
      </c>
    </row>
    <row r="109" spans="2:11" ht="15" customHeight="1">
      <c r="B109" s="86">
        <v>97</v>
      </c>
      <c r="C109" s="71" t="s">
        <v>870</v>
      </c>
      <c r="D109" s="71" t="str">
        <f>VLOOKUP(C109,[1]B.D!$A:$B,2,FALSE)</f>
        <v>HOJA MOSQUITERO PLEGABLE ALUMINIO - ROBLE</v>
      </c>
      <c r="E109" s="71" t="str">
        <f>VLOOKUP(C109,[1]B.D!$A:$F,6,FALSE)</f>
        <v>ROBLE</v>
      </c>
      <c r="F109" s="71" t="str">
        <f>VLOOKUP(C109,[1]B.D!$A:$G,7,FALSE)</f>
        <v>MOSQUITERO PLEGABLE</v>
      </c>
      <c r="G109" s="13">
        <v>35706.300000000003</v>
      </c>
      <c r="H109" s="87"/>
      <c r="I109" s="88">
        <f t="shared" si="2"/>
        <v>0</v>
      </c>
      <c r="J109" s="89">
        <f>VLOOKUP(C109,[1]B.D!$A:$E,5,FALSE)</f>
        <v>1.95</v>
      </c>
      <c r="K109" s="89">
        <f t="shared" si="3"/>
        <v>0</v>
      </c>
    </row>
    <row r="110" spans="2:11" ht="15" customHeight="1">
      <c r="B110" s="86">
        <v>98</v>
      </c>
      <c r="C110" s="71" t="s">
        <v>186</v>
      </c>
      <c r="D110" s="71" t="str">
        <f>VLOOKUP(C110,[1]B.D!$A:$B,2,FALSE)</f>
        <v>HOJA PUERTA EXTERIOR S60 - BLANCO</v>
      </c>
      <c r="E110" s="71" t="str">
        <f>VLOOKUP(C110,[1]B.D!$A:$F,6,FALSE)</f>
        <v>BLANCO</v>
      </c>
      <c r="F110" s="71" t="str">
        <f>VLOOKUP(C110,[1]B.D!$A:$G,7,FALSE)</f>
        <v>S60</v>
      </c>
      <c r="G110" s="13">
        <v>41123.25</v>
      </c>
      <c r="H110" s="87"/>
      <c r="I110" s="88">
        <f t="shared" si="2"/>
        <v>0</v>
      </c>
      <c r="J110" s="89">
        <f>VLOOKUP(C110,[1]B.D!$A:$E,5,FALSE)</f>
        <v>10.632</v>
      </c>
      <c r="K110" s="89">
        <f t="shared" si="3"/>
        <v>0</v>
      </c>
    </row>
    <row r="111" spans="2:11" ht="15" customHeight="1">
      <c r="B111" s="86">
        <v>99</v>
      </c>
      <c r="C111" s="71" t="s">
        <v>189</v>
      </c>
      <c r="D111" s="71" t="str">
        <f>VLOOKUP(C111,[1]B.D!$A:$B,2,FALSE)</f>
        <v>HOJA PUERTA EXTERIOR S60 - GRAFITO</v>
      </c>
      <c r="E111" s="71" t="str">
        <f>VLOOKUP(C111,[1]B.D!$A:$F,6,FALSE)</f>
        <v>GRAFITO</v>
      </c>
      <c r="F111" s="71" t="str">
        <f>VLOOKUP(C111,[1]B.D!$A:$G,7,FALSE)</f>
        <v>S60</v>
      </c>
      <c r="G111" s="13">
        <v>74441.850000000006</v>
      </c>
      <c r="H111" s="87"/>
      <c r="I111" s="88">
        <f t="shared" si="2"/>
        <v>0</v>
      </c>
      <c r="J111" s="89">
        <f>VLOOKUP(C111,[1]B.D!$A:$E,5,FALSE)</f>
        <v>10.632</v>
      </c>
      <c r="K111" s="89">
        <f t="shared" si="3"/>
        <v>0</v>
      </c>
    </row>
    <row r="112" spans="2:11" ht="15" customHeight="1">
      <c r="B112" s="86">
        <v>100</v>
      </c>
      <c r="C112" s="71" t="s">
        <v>190</v>
      </c>
      <c r="D112" s="71" t="str">
        <f>VLOOKUP(C112,[1]B.D!$A:$B,2,FALSE)</f>
        <v>HOJA PUERTA EXTERIOR S60 - NEW BLACK</v>
      </c>
      <c r="E112" s="71" t="str">
        <f>VLOOKUP(C112,[1]B.D!$A:$F,6,FALSE)</f>
        <v>NEW BLACK</v>
      </c>
      <c r="F112" s="71" t="str">
        <f>VLOOKUP(C112,[1]B.D!$A:$G,7,FALSE)</f>
        <v>S60</v>
      </c>
      <c r="G112" s="13">
        <v>85638</v>
      </c>
      <c r="H112" s="87"/>
      <c r="I112" s="88">
        <f t="shared" si="2"/>
        <v>0</v>
      </c>
      <c r="J112" s="89">
        <f>VLOOKUP(C112,[1]B.D!$A:$E,5,FALSE)</f>
        <v>10.704000000000001</v>
      </c>
      <c r="K112" s="89">
        <f t="shared" si="3"/>
        <v>0</v>
      </c>
    </row>
    <row r="113" spans="2:11" ht="15" customHeight="1">
      <c r="B113" s="86">
        <v>101</v>
      </c>
      <c r="C113" s="71" t="s">
        <v>188</v>
      </c>
      <c r="D113" s="71" t="str">
        <f>VLOOKUP(C113,[1]B.D!$A:$B,2,FALSE)</f>
        <v>HOJA PUERTA EXTERIOR S60 - NOGAL</v>
      </c>
      <c r="E113" s="71" t="str">
        <f>VLOOKUP(C113,[1]B.D!$A:$F,6,FALSE)</f>
        <v>NOGAL</v>
      </c>
      <c r="F113" s="71" t="str">
        <f>VLOOKUP(C113,[1]B.D!$A:$G,7,FALSE)</f>
        <v>S60</v>
      </c>
      <c r="G113" s="13">
        <v>69573</v>
      </c>
      <c r="H113" s="87"/>
      <c r="I113" s="88">
        <f t="shared" si="2"/>
        <v>0</v>
      </c>
      <c r="J113" s="89">
        <f>VLOOKUP(C113,[1]B.D!$A:$E,5,FALSE)</f>
        <v>10.704000000000001</v>
      </c>
      <c r="K113" s="89">
        <f t="shared" si="3"/>
        <v>0</v>
      </c>
    </row>
    <row r="114" spans="2:11" ht="15" customHeight="1">
      <c r="B114" s="86">
        <v>102</v>
      </c>
      <c r="C114" s="71" t="s">
        <v>187</v>
      </c>
      <c r="D114" s="71" t="str">
        <f>VLOOKUP(C114,[1]B.D!$A:$B,2,FALSE)</f>
        <v>HOJA PUERTA EXTERIOR S60 - ROBLE</v>
      </c>
      <c r="E114" s="71" t="str">
        <f>VLOOKUP(C114,[1]B.D!$A:$F,6,FALSE)</f>
        <v>ROBLE</v>
      </c>
      <c r="F114" s="71" t="str">
        <f>VLOOKUP(C114,[1]B.D!$A:$G,7,FALSE)</f>
        <v>S60</v>
      </c>
      <c r="G114" s="13">
        <v>69573</v>
      </c>
      <c r="H114" s="87"/>
      <c r="I114" s="88">
        <f t="shared" si="2"/>
        <v>0</v>
      </c>
      <c r="J114" s="89">
        <f>VLOOKUP(C114,[1]B.D!$A:$E,5,FALSE)</f>
        <v>10.632</v>
      </c>
      <c r="K114" s="89">
        <f t="shared" si="3"/>
        <v>0</v>
      </c>
    </row>
    <row r="115" spans="2:11" ht="15" customHeight="1">
      <c r="B115" s="86">
        <v>103</v>
      </c>
      <c r="C115" s="71" t="s">
        <v>181</v>
      </c>
      <c r="D115" s="71" t="str">
        <f>VLOOKUP(C115,[1]B.D!$A:$B,2,FALSE)</f>
        <v>HOJA PUERTA INTERIOR S60 - BLANCO</v>
      </c>
      <c r="E115" s="71" t="str">
        <f>VLOOKUP(C115,[1]B.D!$A:$F,6,FALSE)</f>
        <v>BLANCO</v>
      </c>
      <c r="F115" s="71" t="str">
        <f>VLOOKUP(C115,[1]B.D!$A:$G,7,FALSE)</f>
        <v>S60</v>
      </c>
      <c r="G115" s="13">
        <v>44035.950000000004</v>
      </c>
      <c r="H115" s="87"/>
      <c r="I115" s="88">
        <f t="shared" si="2"/>
        <v>0</v>
      </c>
      <c r="J115" s="89">
        <f>VLOOKUP(C115,[1]B.D!$A:$E,5,FALSE)</f>
        <v>10.866</v>
      </c>
      <c r="K115" s="89">
        <f t="shared" si="3"/>
        <v>0</v>
      </c>
    </row>
    <row r="116" spans="2:11" ht="15" customHeight="1">
      <c r="B116" s="86">
        <v>104</v>
      </c>
      <c r="C116" s="71" t="s">
        <v>184</v>
      </c>
      <c r="D116" s="71" t="str">
        <f>VLOOKUP(C116,[1]B.D!$A:$B,2,FALSE)</f>
        <v>HOJA PUERTA INTERIOR S60 - GRAFITO</v>
      </c>
      <c r="E116" s="71" t="str">
        <f>VLOOKUP(C116,[1]B.D!$A:$F,6,FALSE)</f>
        <v>GRAFITO</v>
      </c>
      <c r="F116" s="71" t="str">
        <f>VLOOKUP(C116,[1]B.D!$A:$G,7,FALSE)</f>
        <v>S60</v>
      </c>
      <c r="G116" s="13">
        <v>74441.850000000006</v>
      </c>
      <c r="H116" s="87"/>
      <c r="I116" s="88">
        <f t="shared" si="2"/>
        <v>0</v>
      </c>
      <c r="J116" s="89">
        <f>VLOOKUP(C116,[1]B.D!$A:$E,5,FALSE)</f>
        <v>10.938000000000001</v>
      </c>
      <c r="K116" s="89">
        <f t="shared" si="3"/>
        <v>0</v>
      </c>
    </row>
    <row r="117" spans="2:11" ht="15" customHeight="1">
      <c r="B117" s="86">
        <v>105</v>
      </c>
      <c r="C117" s="71" t="s">
        <v>185</v>
      </c>
      <c r="D117" s="71" t="str">
        <f>VLOOKUP(C117,[1]B.D!$A:$B,2,FALSE)</f>
        <v>HOJA PUERTA INTERIOR S60 - NEW BLACK</v>
      </c>
      <c r="E117" s="71" t="str">
        <f>VLOOKUP(C117,[1]B.D!$A:$F,6,FALSE)</f>
        <v>NEW BLACK</v>
      </c>
      <c r="F117" s="71" t="str">
        <f>VLOOKUP(C117,[1]B.D!$A:$G,7,FALSE)</f>
        <v>S60</v>
      </c>
      <c r="G117" s="13">
        <v>84948.150000000009</v>
      </c>
      <c r="H117" s="87"/>
      <c r="I117" s="88">
        <f t="shared" si="2"/>
        <v>0</v>
      </c>
      <c r="J117" s="89">
        <f>VLOOKUP(C117,[1]B.D!$A:$E,5,FALSE)</f>
        <v>10.938000000000001</v>
      </c>
      <c r="K117" s="89">
        <f t="shared" si="3"/>
        <v>0</v>
      </c>
    </row>
    <row r="118" spans="2:11" ht="15" customHeight="1">
      <c r="B118" s="86">
        <v>106</v>
      </c>
      <c r="C118" s="71" t="s">
        <v>183</v>
      </c>
      <c r="D118" s="71" t="str">
        <f>VLOOKUP(C118,[1]B.D!$A:$B,2,FALSE)</f>
        <v>HOJA PUERTA INTERIOR S60 - NOGAL</v>
      </c>
      <c r="E118" s="71" t="str">
        <f>VLOOKUP(C118,[1]B.D!$A:$F,6,FALSE)</f>
        <v>NOGAL</v>
      </c>
      <c r="F118" s="71" t="str">
        <f>VLOOKUP(C118,[1]B.D!$A:$G,7,FALSE)</f>
        <v>S60</v>
      </c>
      <c r="G118" s="13">
        <v>69573</v>
      </c>
      <c r="H118" s="87"/>
      <c r="I118" s="88">
        <f t="shared" si="2"/>
        <v>0</v>
      </c>
      <c r="J118" s="89">
        <f>VLOOKUP(C118,[1]B.D!$A:$E,5,FALSE)</f>
        <v>10.938000000000001</v>
      </c>
      <c r="K118" s="89">
        <f t="shared" si="3"/>
        <v>0</v>
      </c>
    </row>
    <row r="119" spans="2:11" ht="15" customHeight="1">
      <c r="B119" s="86">
        <v>107</v>
      </c>
      <c r="C119" s="71" t="s">
        <v>182</v>
      </c>
      <c r="D119" s="71" t="str">
        <f>VLOOKUP(C119,[1]B.D!$A:$B,2,FALSE)</f>
        <v>HOJA PUERTA INTERIOR S60 - ROBLE</v>
      </c>
      <c r="E119" s="71" t="str">
        <f>VLOOKUP(C119,[1]B.D!$A:$F,6,FALSE)</f>
        <v>ROBLE</v>
      </c>
      <c r="F119" s="71" t="str">
        <f>VLOOKUP(C119,[1]B.D!$A:$G,7,FALSE)</f>
        <v>S60</v>
      </c>
      <c r="G119" s="13">
        <v>69573</v>
      </c>
      <c r="H119" s="87"/>
      <c r="I119" s="88">
        <f t="shared" si="2"/>
        <v>0</v>
      </c>
      <c r="J119" s="89">
        <f>VLOOKUP(C119,[1]B.D!$A:$E,5,FALSE)</f>
        <v>10.938000000000001</v>
      </c>
      <c r="K119" s="89">
        <f t="shared" si="3"/>
        <v>0</v>
      </c>
    </row>
    <row r="120" spans="2:11" ht="15" customHeight="1">
      <c r="B120" s="86">
        <v>108</v>
      </c>
      <c r="C120" s="71" t="s">
        <v>176</v>
      </c>
      <c r="D120" s="71" t="str">
        <f>VLOOKUP(C120,[1]B.D!$A:$B,2,FALSE)</f>
        <v>HOJA VENTANA EXTERIOR S60 - BLANCO</v>
      </c>
      <c r="E120" s="71" t="str">
        <f>VLOOKUP(C120,[1]B.D!$A:$F,6,FALSE)</f>
        <v>BLANCO</v>
      </c>
      <c r="F120" s="71" t="str">
        <f>VLOOKUP(C120,[1]B.D!$A:$G,7,FALSE)</f>
        <v>S60</v>
      </c>
      <c r="G120" s="13">
        <v>33349.050000000003</v>
      </c>
      <c r="H120" s="87"/>
      <c r="I120" s="88">
        <f t="shared" si="2"/>
        <v>0</v>
      </c>
      <c r="J120" s="89">
        <f>VLOOKUP(C120,[1]B.D!$A:$E,5,FALSE)</f>
        <v>7.86</v>
      </c>
      <c r="K120" s="89">
        <f t="shared" si="3"/>
        <v>0</v>
      </c>
    </row>
    <row r="121" spans="2:11" ht="15" customHeight="1">
      <c r="B121" s="86">
        <v>109</v>
      </c>
      <c r="C121" s="71" t="s">
        <v>179</v>
      </c>
      <c r="D121" s="71" t="str">
        <f>VLOOKUP(C121,[1]B.D!$A:$B,2,FALSE)</f>
        <v>HOJA VENTANA EXTERIOR S60 - GRAFITO</v>
      </c>
      <c r="E121" s="71" t="str">
        <f>VLOOKUP(C121,[1]B.D!$A:$F,6,FALSE)</f>
        <v>GRAFITO</v>
      </c>
      <c r="F121" s="71" t="str">
        <f>VLOOKUP(C121,[1]B.D!$A:$G,7,FALSE)</f>
        <v>S60</v>
      </c>
      <c r="G121" s="13">
        <v>55802.25</v>
      </c>
      <c r="H121" s="87"/>
      <c r="I121" s="88">
        <f t="shared" si="2"/>
        <v>0</v>
      </c>
      <c r="J121" s="89">
        <f>VLOOKUP(C121,[1]B.D!$A:$E,5,FALSE)</f>
        <v>8.6880000000000006</v>
      </c>
      <c r="K121" s="89">
        <f t="shared" si="3"/>
        <v>0</v>
      </c>
    </row>
    <row r="122" spans="2:11" ht="15" customHeight="1">
      <c r="B122" s="86">
        <v>110</v>
      </c>
      <c r="C122" s="71" t="s">
        <v>180</v>
      </c>
      <c r="D122" s="71" t="str">
        <f>VLOOKUP(C122,[1]B.D!$A:$B,2,FALSE)</f>
        <v>HOJA VENTANA EXTERIOR S60 - NEW BLACK</v>
      </c>
      <c r="E122" s="71" t="str">
        <f>VLOOKUP(C122,[1]B.D!$A:$F,6,FALSE)</f>
        <v>NEW BLACK</v>
      </c>
      <c r="F122" s="71" t="str">
        <f>VLOOKUP(C122,[1]B.D!$A:$G,7,FALSE)</f>
        <v>S60</v>
      </c>
      <c r="G122" s="13">
        <v>61628.700000000004</v>
      </c>
      <c r="H122" s="87"/>
      <c r="I122" s="88">
        <f t="shared" si="2"/>
        <v>0</v>
      </c>
      <c r="J122" s="89">
        <f>VLOOKUP(C122,[1]B.D!$A:$E,5,FALSE)</f>
        <v>7.9320000000000004</v>
      </c>
      <c r="K122" s="89">
        <f t="shared" si="3"/>
        <v>0</v>
      </c>
    </row>
    <row r="123" spans="2:11" ht="15" customHeight="1">
      <c r="B123" s="86">
        <v>111</v>
      </c>
      <c r="C123" s="71" t="s">
        <v>178</v>
      </c>
      <c r="D123" s="71" t="str">
        <f>VLOOKUP(C123,[1]B.D!$A:$B,2,FALSE)</f>
        <v>HOJA VENTANA EXTERIOR S60 - NOGAL</v>
      </c>
      <c r="E123" s="71" t="str">
        <f>VLOOKUP(C123,[1]B.D!$A:$F,6,FALSE)</f>
        <v>NOGAL</v>
      </c>
      <c r="F123" s="71" t="str">
        <f>VLOOKUP(C123,[1]B.D!$A:$G,7,FALSE)</f>
        <v>S60</v>
      </c>
      <c r="G123" s="13">
        <v>52148.25</v>
      </c>
      <c r="H123" s="87"/>
      <c r="I123" s="88">
        <f t="shared" si="2"/>
        <v>0</v>
      </c>
      <c r="J123" s="89">
        <f>VLOOKUP(C123,[1]B.D!$A:$E,5,FALSE)</f>
        <v>7.9320000000000004</v>
      </c>
      <c r="K123" s="89">
        <f t="shared" si="3"/>
        <v>0</v>
      </c>
    </row>
    <row r="124" spans="2:11" ht="15" customHeight="1">
      <c r="B124" s="86">
        <v>112</v>
      </c>
      <c r="C124" s="71" t="s">
        <v>177</v>
      </c>
      <c r="D124" s="71" t="str">
        <f>VLOOKUP(C124,[1]B.D!$A:$B,2,FALSE)</f>
        <v>HOJA VENTANA EXTERIOR S60 - ROBLE</v>
      </c>
      <c r="E124" s="71" t="str">
        <f>VLOOKUP(C124,[1]B.D!$A:$F,6,FALSE)</f>
        <v>ROBLE</v>
      </c>
      <c r="F124" s="71" t="str">
        <f>VLOOKUP(C124,[1]B.D!$A:$G,7,FALSE)</f>
        <v>S60</v>
      </c>
      <c r="G124" s="13">
        <v>52148.25</v>
      </c>
      <c r="H124" s="87"/>
      <c r="I124" s="88">
        <f t="shared" si="2"/>
        <v>0</v>
      </c>
      <c r="J124" s="89">
        <f>VLOOKUP(C124,[1]B.D!$A:$E,5,FALSE)</f>
        <v>8.6880000000000006</v>
      </c>
      <c r="K124" s="89">
        <f t="shared" si="3"/>
        <v>0</v>
      </c>
    </row>
    <row r="125" spans="2:11" ht="15" customHeight="1">
      <c r="B125" s="86">
        <v>113</v>
      </c>
      <c r="C125" s="71" t="s">
        <v>171</v>
      </c>
      <c r="D125" s="71" t="str">
        <f>VLOOKUP(C125,[1]B.D!$A:$B,2,FALSE)</f>
        <v>HOJA VENTANA INTERIOR S60 - BLANCO</v>
      </c>
      <c r="E125" s="71" t="str">
        <f>VLOOKUP(C125,[1]B.D!$A:$F,6,FALSE)</f>
        <v>BLANCO</v>
      </c>
      <c r="F125" s="71" t="str">
        <f>VLOOKUP(C125,[1]B.D!$A:$G,7,FALSE)</f>
        <v>S60</v>
      </c>
      <c r="G125" s="13">
        <v>31483.200000000001</v>
      </c>
      <c r="H125" s="87"/>
      <c r="I125" s="88">
        <f t="shared" si="2"/>
        <v>0</v>
      </c>
      <c r="J125" s="89">
        <f>VLOOKUP(C125,[1]B.D!$A:$E,5,FALSE)</f>
        <v>7.944</v>
      </c>
      <c r="K125" s="89">
        <f t="shared" si="3"/>
        <v>0</v>
      </c>
    </row>
    <row r="126" spans="2:11" ht="15" customHeight="1">
      <c r="B126" s="86">
        <v>114</v>
      </c>
      <c r="C126" s="71" t="s">
        <v>174</v>
      </c>
      <c r="D126" s="71" t="str">
        <f>VLOOKUP(C126,[1]B.D!$A:$B,2,FALSE)</f>
        <v>HOJA VENTANA INTERIOR S60 - GRAFITO</v>
      </c>
      <c r="E126" s="71" t="str">
        <f>VLOOKUP(C126,[1]B.D!$A:$F,6,FALSE)</f>
        <v>GRAFITO</v>
      </c>
      <c r="F126" s="71" t="str">
        <f>VLOOKUP(C126,[1]B.D!$A:$G,7,FALSE)</f>
        <v>S60</v>
      </c>
      <c r="G126" s="13">
        <v>50467.200000000004</v>
      </c>
      <c r="H126" s="87"/>
      <c r="I126" s="88">
        <f t="shared" si="2"/>
        <v>0</v>
      </c>
      <c r="J126" s="89">
        <f>VLOOKUP(C126,[1]B.D!$A:$E,5,FALSE)</f>
        <v>8.016</v>
      </c>
      <c r="K126" s="89">
        <f t="shared" si="3"/>
        <v>0</v>
      </c>
    </row>
    <row r="127" spans="2:11" ht="15" customHeight="1">
      <c r="B127" s="86">
        <v>115</v>
      </c>
      <c r="C127" s="71" t="s">
        <v>175</v>
      </c>
      <c r="D127" s="71" t="str">
        <f>VLOOKUP(C127,[1]B.D!$A:$B,2,FALSE)</f>
        <v>HOJA VENTANA INTERIOR S60 - NEW BLACK</v>
      </c>
      <c r="E127" s="71" t="str">
        <f>VLOOKUP(C127,[1]B.D!$A:$F,6,FALSE)</f>
        <v>NEW BLACK</v>
      </c>
      <c r="F127" s="71" t="str">
        <f>VLOOKUP(C127,[1]B.D!$A:$G,7,FALSE)</f>
        <v>S60</v>
      </c>
      <c r="G127" s="13">
        <v>58811.55</v>
      </c>
      <c r="H127" s="87"/>
      <c r="I127" s="88">
        <f t="shared" si="2"/>
        <v>0</v>
      </c>
      <c r="J127" s="89">
        <f>VLOOKUP(C127,[1]B.D!$A:$E,5,FALSE)</f>
        <v>8.016</v>
      </c>
      <c r="K127" s="89">
        <f t="shared" si="3"/>
        <v>0</v>
      </c>
    </row>
    <row r="128" spans="2:11" ht="15" customHeight="1">
      <c r="B128" s="86">
        <v>116</v>
      </c>
      <c r="C128" s="71" t="s">
        <v>173</v>
      </c>
      <c r="D128" s="71" t="str">
        <f>VLOOKUP(C128,[1]B.D!$A:$B,2,FALSE)</f>
        <v>HOJA VENTANA INTERIOR S60 - NOGAL</v>
      </c>
      <c r="E128" s="71" t="str">
        <f>VLOOKUP(C128,[1]B.D!$A:$F,6,FALSE)</f>
        <v>NOGAL</v>
      </c>
      <c r="F128" s="71" t="str">
        <f>VLOOKUP(C128,[1]B.D!$A:$G,7,FALSE)</f>
        <v>S60</v>
      </c>
      <c r="G128" s="13">
        <v>47164.950000000004</v>
      </c>
      <c r="H128" s="87"/>
      <c r="I128" s="88">
        <f t="shared" si="2"/>
        <v>0</v>
      </c>
      <c r="J128" s="89">
        <f>VLOOKUP(C128,[1]B.D!$A:$E,5,FALSE)</f>
        <v>8.016</v>
      </c>
      <c r="K128" s="89">
        <f t="shared" si="3"/>
        <v>0</v>
      </c>
    </row>
    <row r="129" spans="2:11" ht="15" customHeight="1">
      <c r="B129" s="86">
        <v>117</v>
      </c>
      <c r="C129" s="71" t="s">
        <v>172</v>
      </c>
      <c r="D129" s="71" t="str">
        <f>VLOOKUP(C129,[1]B.D!$A:$B,2,FALSE)</f>
        <v>HOJA VENTANA INTERIOR S60 - ROBLE</v>
      </c>
      <c r="E129" s="71" t="str">
        <f>VLOOKUP(C129,[1]B.D!$A:$F,6,FALSE)</f>
        <v>ROBLE</v>
      </c>
      <c r="F129" s="71" t="str">
        <f>VLOOKUP(C129,[1]B.D!$A:$G,7,FALSE)</f>
        <v>S60</v>
      </c>
      <c r="G129" s="13">
        <v>47164.950000000004</v>
      </c>
      <c r="H129" s="87"/>
      <c r="I129" s="88">
        <f t="shared" si="2"/>
        <v>0</v>
      </c>
      <c r="J129" s="89">
        <f>VLOOKUP(C129,[1]B.D!$A:$E,5,FALSE)</f>
        <v>8.016</v>
      </c>
      <c r="K129" s="89">
        <f t="shared" si="3"/>
        <v>0</v>
      </c>
    </row>
    <row r="130" spans="2:11" ht="15" customHeight="1">
      <c r="B130" s="86">
        <v>118</v>
      </c>
      <c r="C130" s="71" t="s">
        <v>330</v>
      </c>
      <c r="D130" s="71" t="str">
        <f>VLOOKUP(C130,[1]B.D!$A:$B,2,FALSE)</f>
        <v>INERCIA T - BLANCO</v>
      </c>
      <c r="E130" s="71" t="str">
        <f>VLOOKUP(C130,[1]B.D!$A:$F,6,FALSE)</f>
        <v>BLANCO</v>
      </c>
      <c r="F130" s="71" t="str">
        <f>VLOOKUP(C130,[1]B.D!$A:$G,7,FALSE)</f>
        <v>S60</v>
      </c>
      <c r="G130" s="13">
        <v>24360</v>
      </c>
      <c r="H130" s="87"/>
      <c r="I130" s="88">
        <f t="shared" si="2"/>
        <v>0</v>
      </c>
      <c r="J130" s="89">
        <f>VLOOKUP(C130,[1]B.D!$A:$E,5,FALSE)</f>
        <v>4.8</v>
      </c>
      <c r="K130" s="89">
        <f t="shared" si="3"/>
        <v>0</v>
      </c>
    </row>
    <row r="131" spans="2:11" ht="15" customHeight="1">
      <c r="B131" s="86">
        <v>119</v>
      </c>
      <c r="C131" s="71" t="s">
        <v>333</v>
      </c>
      <c r="D131" s="71" t="str">
        <f>VLOOKUP(C131,[1]B.D!$A:$B,2,FALSE)</f>
        <v>INERCIA T - GRAFITO</v>
      </c>
      <c r="E131" s="71" t="str">
        <f>VLOOKUP(C131,[1]B.D!$A:$F,6,FALSE)</f>
        <v>GRAFITO</v>
      </c>
      <c r="F131" s="71" t="str">
        <f>VLOOKUP(C131,[1]B.D!$A:$G,7,FALSE)</f>
        <v>S60</v>
      </c>
      <c r="G131" s="13">
        <v>36185.1</v>
      </c>
      <c r="H131" s="87"/>
      <c r="I131" s="88">
        <f t="shared" si="2"/>
        <v>0</v>
      </c>
      <c r="J131" s="89">
        <f>VLOOKUP(C131,[1]B.D!$A:$E,5,FALSE)</f>
        <v>5.2140000000000004</v>
      </c>
      <c r="K131" s="89">
        <f t="shared" si="3"/>
        <v>0</v>
      </c>
    </row>
    <row r="132" spans="2:11" ht="15" customHeight="1">
      <c r="B132" s="86">
        <v>120</v>
      </c>
      <c r="C132" s="71" t="s">
        <v>334</v>
      </c>
      <c r="D132" s="71" t="str">
        <f>VLOOKUP(C132,[1]B.D!$A:$B,2,FALSE)</f>
        <v>INERCIA T - NEW BLACK</v>
      </c>
      <c r="E132" s="71" t="str">
        <f>VLOOKUP(C132,[1]B.D!$A:$F,6,FALSE)</f>
        <v>NEW BLACK</v>
      </c>
      <c r="F132" s="71" t="str">
        <f>VLOOKUP(C132,[1]B.D!$A:$G,7,FALSE)</f>
        <v>S60</v>
      </c>
      <c r="G132" s="13">
        <v>48760.950000000004</v>
      </c>
      <c r="H132" s="87"/>
      <c r="I132" s="88">
        <f t="shared" si="2"/>
        <v>0</v>
      </c>
      <c r="J132" s="89">
        <f>VLOOKUP(C132,[1]B.D!$A:$E,5,FALSE)</f>
        <v>5.2140000000000004</v>
      </c>
      <c r="K132" s="89">
        <f t="shared" si="3"/>
        <v>0</v>
      </c>
    </row>
    <row r="133" spans="2:11" ht="15" customHeight="1">
      <c r="B133" s="86">
        <v>121</v>
      </c>
      <c r="C133" s="71" t="s">
        <v>332</v>
      </c>
      <c r="D133" s="71" t="str">
        <f>VLOOKUP(C133,[1]B.D!$A:$B,2,FALSE)</f>
        <v>INERCIA T - NOGAL</v>
      </c>
      <c r="E133" s="71" t="str">
        <f>VLOOKUP(C133,[1]B.D!$A:$F,6,FALSE)</f>
        <v>NOGAL</v>
      </c>
      <c r="F133" s="71" t="str">
        <f>VLOOKUP(C133,[1]B.D!$A:$G,7,FALSE)</f>
        <v>S60</v>
      </c>
      <c r="G133" s="13">
        <v>36185.1</v>
      </c>
      <c r="H133" s="87"/>
      <c r="I133" s="88">
        <f t="shared" si="2"/>
        <v>0</v>
      </c>
      <c r="J133" s="89">
        <f>VLOOKUP(C133,[1]B.D!$A:$E,5,FALSE)</f>
        <v>5.2140000000000004</v>
      </c>
      <c r="K133" s="89">
        <f t="shared" si="3"/>
        <v>0</v>
      </c>
    </row>
    <row r="134" spans="2:11" ht="15" customHeight="1">
      <c r="B134" s="86">
        <v>122</v>
      </c>
      <c r="C134" s="71" t="s">
        <v>331</v>
      </c>
      <c r="D134" s="71" t="str">
        <f>VLOOKUP(C134,[1]B.D!$A:$B,2,FALSE)</f>
        <v>INERCIA T - ROBLE</v>
      </c>
      <c r="E134" s="71" t="str">
        <f>VLOOKUP(C134,[1]B.D!$A:$F,6,FALSE)</f>
        <v>ROBLE</v>
      </c>
      <c r="F134" s="71" t="str">
        <f>VLOOKUP(C134,[1]B.D!$A:$G,7,FALSE)</f>
        <v>S60</v>
      </c>
      <c r="G134" s="13">
        <v>36185.1</v>
      </c>
      <c r="H134" s="87"/>
      <c r="I134" s="88">
        <f t="shared" si="2"/>
        <v>0</v>
      </c>
      <c r="J134" s="89">
        <f>VLOOKUP(C134,[1]B.D!$A:$E,5,FALSE)</f>
        <v>5.2140000000000004</v>
      </c>
      <c r="K134" s="89">
        <f t="shared" si="3"/>
        <v>0</v>
      </c>
    </row>
    <row r="135" spans="2:11" ht="15" customHeight="1">
      <c r="B135" s="86">
        <v>123</v>
      </c>
      <c r="C135" s="71" t="s">
        <v>196</v>
      </c>
      <c r="D135" s="71" t="str">
        <f>VLOOKUP(C135,[1]B.D!$A:$B,2,FALSE)</f>
        <v>JUNQUILLO 17-20 mm S60 - BLANCO</v>
      </c>
      <c r="E135" s="71" t="str">
        <f>VLOOKUP(C135,[1]B.D!$A:$F,6,FALSE)</f>
        <v>BLANCO</v>
      </c>
      <c r="F135" s="71" t="str">
        <f>VLOOKUP(C135,[1]B.D!$A:$G,7,FALSE)</f>
        <v>S60</v>
      </c>
      <c r="G135" s="13">
        <v>6759.9000000000005</v>
      </c>
      <c r="H135" s="87"/>
      <c r="I135" s="88">
        <f t="shared" si="2"/>
        <v>0</v>
      </c>
      <c r="J135" s="89">
        <f>VLOOKUP(C135,[1]B.D!$A:$E,5,FALSE)</f>
        <v>1.254</v>
      </c>
      <c r="K135" s="89">
        <f t="shared" si="3"/>
        <v>0</v>
      </c>
    </row>
    <row r="136" spans="2:11" ht="15" customHeight="1">
      <c r="B136" s="86">
        <v>124</v>
      </c>
      <c r="C136" s="71" t="s">
        <v>199</v>
      </c>
      <c r="D136" s="71" t="str">
        <f>VLOOKUP(C136,[1]B.D!$A:$B,2,FALSE)</f>
        <v>JUNQUILLO 17-20 mm S60 - GRAFITO</v>
      </c>
      <c r="E136" s="71" t="str">
        <f>VLOOKUP(C136,[1]B.D!$A:$F,6,FALSE)</f>
        <v>GRAFITO</v>
      </c>
      <c r="F136" s="71" t="str">
        <f>VLOOKUP(C136,[1]B.D!$A:$G,7,FALSE)</f>
        <v>S60</v>
      </c>
      <c r="G136" s="13">
        <v>14289.45</v>
      </c>
      <c r="H136" s="87"/>
      <c r="I136" s="88">
        <f t="shared" si="2"/>
        <v>0</v>
      </c>
      <c r="J136" s="89">
        <f>VLOOKUP(C136,[1]B.D!$A:$E,5,FALSE)</f>
        <v>1.254</v>
      </c>
      <c r="K136" s="89">
        <f t="shared" si="3"/>
        <v>0</v>
      </c>
    </row>
    <row r="137" spans="2:11" ht="15" customHeight="1">
      <c r="B137" s="86">
        <v>125</v>
      </c>
      <c r="C137" s="71" t="s">
        <v>200</v>
      </c>
      <c r="D137" s="71" t="str">
        <f>VLOOKUP(C137,[1]B.D!$A:$B,2,FALSE)</f>
        <v>JUNQUILLO 17-20 mm S60 - NEW BLACK</v>
      </c>
      <c r="E137" s="71" t="str">
        <f>VLOOKUP(C137,[1]B.D!$A:$F,6,FALSE)</f>
        <v>NEW BLACK</v>
      </c>
      <c r="F137" s="71" t="str">
        <f>VLOOKUP(C137,[1]B.D!$A:$G,7,FALSE)</f>
        <v>S60</v>
      </c>
      <c r="G137" s="13">
        <v>13862.1</v>
      </c>
      <c r="H137" s="87"/>
      <c r="I137" s="88">
        <f t="shared" si="2"/>
        <v>0</v>
      </c>
      <c r="J137" s="89">
        <f>VLOOKUP(C137,[1]B.D!$A:$E,5,FALSE)</f>
        <v>1.254</v>
      </c>
      <c r="K137" s="89">
        <f t="shared" si="3"/>
        <v>0</v>
      </c>
    </row>
    <row r="138" spans="2:11" ht="15" customHeight="1">
      <c r="B138" s="86">
        <v>126</v>
      </c>
      <c r="C138" s="71" t="s">
        <v>198</v>
      </c>
      <c r="D138" s="71" t="str">
        <f>VLOOKUP(C138,[1]B.D!$A:$B,2,FALSE)</f>
        <v>JUNQUILLO 17-20 mm S60 - NOGAL</v>
      </c>
      <c r="E138" s="71" t="str">
        <f>VLOOKUP(C138,[1]B.D!$A:$F,6,FALSE)</f>
        <v>NOGAL</v>
      </c>
      <c r="F138" s="71" t="str">
        <f>VLOOKUP(C138,[1]B.D!$A:$G,7,FALSE)</f>
        <v>S60</v>
      </c>
      <c r="G138" s="13">
        <v>13352.85</v>
      </c>
      <c r="H138" s="87"/>
      <c r="I138" s="88">
        <f t="shared" si="2"/>
        <v>0</v>
      </c>
      <c r="J138" s="89">
        <f>VLOOKUP(C138,[1]B.D!$A:$E,5,FALSE)</f>
        <v>1.254</v>
      </c>
      <c r="K138" s="89">
        <f t="shared" si="3"/>
        <v>0</v>
      </c>
    </row>
    <row r="139" spans="2:11" ht="15" customHeight="1">
      <c r="B139" s="86">
        <v>127</v>
      </c>
      <c r="C139" s="71" t="s">
        <v>197</v>
      </c>
      <c r="D139" s="71" t="str">
        <f>VLOOKUP(C139,[1]B.D!$A:$B,2,FALSE)</f>
        <v>JUNQUILLO 17-20 mm S60 - ROBLE</v>
      </c>
      <c r="E139" s="71" t="str">
        <f>VLOOKUP(C139,[1]B.D!$A:$F,6,FALSE)</f>
        <v>ROBLE</v>
      </c>
      <c r="F139" s="71" t="str">
        <f>VLOOKUP(C139,[1]B.D!$A:$G,7,FALSE)</f>
        <v>S60</v>
      </c>
      <c r="G139" s="13">
        <v>13352.85</v>
      </c>
      <c r="H139" s="87"/>
      <c r="I139" s="88">
        <f t="shared" si="2"/>
        <v>0</v>
      </c>
      <c r="J139" s="89">
        <f>VLOOKUP(C139,[1]B.D!$A:$E,5,FALSE)</f>
        <v>1.254</v>
      </c>
      <c r="K139" s="89">
        <f t="shared" si="3"/>
        <v>0</v>
      </c>
    </row>
    <row r="140" spans="2:11" ht="15" customHeight="1">
      <c r="B140" s="86">
        <v>128</v>
      </c>
      <c r="C140" s="71" t="s">
        <v>64</v>
      </c>
      <c r="D140" s="71" t="str">
        <f>VLOOKUP(C140,[1]B.D!$A:$B,2,FALSE)</f>
        <v>JUNQUILLO 17-20 mm SLIDING - BLANCO</v>
      </c>
      <c r="E140" s="71" t="str">
        <f>VLOOKUP(C140,[1]B.D!$A:$F,6,FALSE)</f>
        <v>BLANCO</v>
      </c>
      <c r="F140" s="71" t="str">
        <f>VLOOKUP(C140,[1]B.D!$A:$G,7,FALSE)</f>
        <v>SLIDING</v>
      </c>
      <c r="G140" s="13">
        <v>6498.4500000000007</v>
      </c>
      <c r="H140" s="87"/>
      <c r="I140" s="88">
        <f t="shared" si="2"/>
        <v>0</v>
      </c>
      <c r="J140" s="89">
        <f>VLOOKUP(C140,[1]B.D!$A:$E,5,FALSE)</f>
        <v>1.1040000000000001</v>
      </c>
      <c r="K140" s="89">
        <f t="shared" si="3"/>
        <v>0</v>
      </c>
    </row>
    <row r="141" spans="2:11" ht="15" customHeight="1">
      <c r="B141" s="86">
        <v>129</v>
      </c>
      <c r="C141" s="71" t="s">
        <v>67</v>
      </c>
      <c r="D141" s="71" t="str">
        <f>VLOOKUP(C141,[1]B.D!$A:$B,2,FALSE)</f>
        <v>JUNQUILLO 17-20 mm SLIDING - GRAFITO</v>
      </c>
      <c r="E141" s="71" t="str">
        <f>VLOOKUP(C141,[1]B.D!$A:$F,6,FALSE)</f>
        <v>GRAFITO</v>
      </c>
      <c r="F141" s="71" t="str">
        <f>VLOOKUP(C141,[1]B.D!$A:$G,7,FALSE)</f>
        <v>SLIDING</v>
      </c>
      <c r="G141" s="13">
        <v>12946.5</v>
      </c>
      <c r="H141" s="87"/>
      <c r="I141" s="88">
        <f t="shared" ref="I141:I204" si="4">G141*H141</f>
        <v>0</v>
      </c>
      <c r="J141" s="89">
        <f>VLOOKUP(C141,[1]B.D!$A:$E,5,FALSE)</f>
        <v>1.1040000000000001</v>
      </c>
      <c r="K141" s="89">
        <f t="shared" ref="K141:K204" si="5">$H141*$J141</f>
        <v>0</v>
      </c>
    </row>
    <row r="142" spans="2:11" ht="15" customHeight="1">
      <c r="B142" s="86">
        <v>130</v>
      </c>
      <c r="C142" s="71" t="s">
        <v>68</v>
      </c>
      <c r="D142" s="71" t="str">
        <f>VLOOKUP(C142,[1]B.D!$A:$B,2,FALSE)</f>
        <v>JUNQUILLO 17-20 mm SLIDING - NEW BLACK</v>
      </c>
      <c r="E142" s="71" t="str">
        <f>VLOOKUP(C142,[1]B.D!$A:$F,6,FALSE)</f>
        <v>NEW BLACK</v>
      </c>
      <c r="F142" s="71" t="str">
        <f>VLOOKUP(C142,[1]B.D!$A:$G,7,FALSE)</f>
        <v>SLIDING</v>
      </c>
      <c r="G142" s="13">
        <v>11447.1</v>
      </c>
      <c r="H142" s="87"/>
      <c r="I142" s="88">
        <f t="shared" si="4"/>
        <v>0</v>
      </c>
      <c r="J142" s="89">
        <f>VLOOKUP(C142,[1]B.D!$A:$E,5,FALSE)</f>
        <v>1.3620000000000001</v>
      </c>
      <c r="K142" s="89">
        <f t="shared" si="5"/>
        <v>0</v>
      </c>
    </row>
    <row r="143" spans="2:11" ht="15" customHeight="1">
      <c r="B143" s="86">
        <v>131</v>
      </c>
      <c r="C143" s="71" t="s">
        <v>66</v>
      </c>
      <c r="D143" s="71" t="str">
        <f>VLOOKUP(C143,[1]B.D!$A:$B,2,FALSE)</f>
        <v>JUNQUILLO 17-20 mm SLIDING - NOGAL</v>
      </c>
      <c r="E143" s="71" t="str">
        <f>VLOOKUP(C143,[1]B.D!$A:$F,6,FALSE)</f>
        <v>NOGAL</v>
      </c>
      <c r="F143" s="71" t="str">
        <f>VLOOKUP(C143,[1]B.D!$A:$G,7,FALSE)</f>
        <v>SLIDING</v>
      </c>
      <c r="G143" s="13">
        <v>12102.300000000001</v>
      </c>
      <c r="H143" s="87"/>
      <c r="I143" s="88">
        <f t="shared" si="4"/>
        <v>0</v>
      </c>
      <c r="J143" s="89">
        <f>VLOOKUP(C143,[1]B.D!$A:$E,5,FALSE)</f>
        <v>1.1040000000000001</v>
      </c>
      <c r="K143" s="89">
        <f t="shared" si="5"/>
        <v>0</v>
      </c>
    </row>
    <row r="144" spans="2:11" ht="15" customHeight="1">
      <c r="B144" s="86">
        <v>132</v>
      </c>
      <c r="C144" s="71" t="s">
        <v>65</v>
      </c>
      <c r="D144" s="71" t="str">
        <f>VLOOKUP(C144,[1]B.D!$A:$B,2,FALSE)</f>
        <v>JUNQUILLO 17-20 mm SLIDING - ROBLE</v>
      </c>
      <c r="E144" s="71" t="str">
        <f>VLOOKUP(C144,[1]B.D!$A:$F,6,FALSE)</f>
        <v>ROBLE</v>
      </c>
      <c r="F144" s="71" t="str">
        <f>VLOOKUP(C144,[1]B.D!$A:$G,7,FALSE)</f>
        <v>SLIDING</v>
      </c>
      <c r="G144" s="13">
        <v>12102.300000000001</v>
      </c>
      <c r="H144" s="87"/>
      <c r="I144" s="88">
        <f t="shared" si="4"/>
        <v>0</v>
      </c>
      <c r="J144" s="89">
        <f>VLOOKUP(C144,[1]B.D!$A:$E,5,FALSE)</f>
        <v>1.1040000000000001</v>
      </c>
      <c r="K144" s="89">
        <f t="shared" si="5"/>
        <v>0</v>
      </c>
    </row>
    <row r="145" spans="2:11" ht="15" customHeight="1">
      <c r="B145" s="86">
        <v>133</v>
      </c>
      <c r="C145" s="71" t="s">
        <v>74</v>
      </c>
      <c r="D145" s="71" t="str">
        <f>VLOOKUP(C145,[1]B.D!$A:$B,2,FALSE)</f>
        <v>JUNQUILLO 20-22 mm SLIDING - BLANCO</v>
      </c>
      <c r="E145" s="71" t="str">
        <f>VLOOKUP(C145,[1]B.D!$A:$F,6,FALSE)</f>
        <v>BLANCO</v>
      </c>
      <c r="F145" s="71" t="str">
        <f>VLOOKUP(C145,[1]B.D!$A:$G,7,FALSE)</f>
        <v>SLIDING</v>
      </c>
      <c r="G145" s="13">
        <v>6094.2</v>
      </c>
      <c r="H145" s="87"/>
      <c r="I145" s="88">
        <f t="shared" si="4"/>
        <v>0</v>
      </c>
      <c r="J145" s="89">
        <f>VLOOKUP(C145,[1]B.D!$A:$E,5,FALSE)</f>
        <v>1.026</v>
      </c>
      <c r="K145" s="89">
        <f t="shared" si="5"/>
        <v>0</v>
      </c>
    </row>
    <row r="146" spans="2:11" ht="15" customHeight="1">
      <c r="B146" s="86">
        <v>134</v>
      </c>
      <c r="C146" s="71" t="s">
        <v>77</v>
      </c>
      <c r="D146" s="71" t="str">
        <f>VLOOKUP(C146,[1]B.D!$A:$B,2,FALSE)</f>
        <v>JUNQUILLO 20-22 mm SLIDING - GRAFITO</v>
      </c>
      <c r="E146" s="71" t="str">
        <f>VLOOKUP(C146,[1]B.D!$A:$F,6,FALSE)</f>
        <v>GRAFITO</v>
      </c>
      <c r="F146" s="71" t="str">
        <f>VLOOKUP(C146,[1]B.D!$A:$G,7,FALSE)</f>
        <v>SLIDING</v>
      </c>
      <c r="G146" s="13">
        <v>13669.95</v>
      </c>
      <c r="H146" s="87"/>
      <c r="I146" s="88">
        <f t="shared" si="4"/>
        <v>0</v>
      </c>
      <c r="J146" s="89">
        <f>VLOOKUP(C146,[1]B.D!$A:$E,5,FALSE)</f>
        <v>1.026</v>
      </c>
      <c r="K146" s="89">
        <f t="shared" si="5"/>
        <v>0</v>
      </c>
    </row>
    <row r="147" spans="2:11" ht="15" customHeight="1">
      <c r="B147" s="86">
        <v>135</v>
      </c>
      <c r="C147" s="71" t="s">
        <v>78</v>
      </c>
      <c r="D147" s="71" t="str">
        <f>VLOOKUP(C147,[1]B.D!$A:$B,2,FALSE)</f>
        <v>JUNQUILLO 20-22 mm SLIDING - NEW BLACK</v>
      </c>
      <c r="E147" s="71" t="str">
        <f>VLOOKUP(C147,[1]B.D!$A:$F,6,FALSE)</f>
        <v>NEW BLACK</v>
      </c>
      <c r="F147" s="71" t="str">
        <f>VLOOKUP(C147,[1]B.D!$A:$G,7,FALSE)</f>
        <v>SLIDING</v>
      </c>
      <c r="G147" s="13">
        <v>12577.95</v>
      </c>
      <c r="H147" s="87"/>
      <c r="I147" s="88">
        <f t="shared" si="4"/>
        <v>0</v>
      </c>
      <c r="J147" s="89">
        <f>VLOOKUP(C147,[1]B.D!$A:$E,5,FALSE)</f>
        <v>1.026</v>
      </c>
      <c r="K147" s="89">
        <f t="shared" si="5"/>
        <v>0</v>
      </c>
    </row>
    <row r="148" spans="2:11" ht="15" customHeight="1">
      <c r="B148" s="86">
        <v>136</v>
      </c>
      <c r="C148" s="71" t="s">
        <v>76</v>
      </c>
      <c r="D148" s="71" t="str">
        <f>VLOOKUP(C148,[1]B.D!$A:$B,2,FALSE)</f>
        <v>JUNQUILLO 20-22 mm SLIDING - NOGAL</v>
      </c>
      <c r="E148" s="71" t="str">
        <f>VLOOKUP(C148,[1]B.D!$A:$F,6,FALSE)</f>
        <v>NOGAL</v>
      </c>
      <c r="F148" s="71" t="str">
        <f>VLOOKUP(C148,[1]B.D!$A:$G,7,FALSE)</f>
        <v>SLIDING</v>
      </c>
      <c r="G148" s="13">
        <v>12774.300000000001</v>
      </c>
      <c r="H148" s="87"/>
      <c r="I148" s="88">
        <f t="shared" si="4"/>
        <v>0</v>
      </c>
      <c r="J148" s="89">
        <f>VLOOKUP(C148,[1]B.D!$A:$E,5,FALSE)</f>
        <v>1.026</v>
      </c>
      <c r="K148" s="89">
        <f t="shared" si="5"/>
        <v>0</v>
      </c>
    </row>
    <row r="149" spans="2:11" ht="15" customHeight="1">
      <c r="B149" s="86">
        <v>137</v>
      </c>
      <c r="C149" s="71" t="s">
        <v>75</v>
      </c>
      <c r="D149" s="71" t="str">
        <f>VLOOKUP(C149,[1]B.D!$A:$B,2,FALSE)</f>
        <v>JUNQUILLO 20-22 mm SLIDING - ROBLE</v>
      </c>
      <c r="E149" s="71" t="str">
        <f>VLOOKUP(C149,[1]B.D!$A:$F,6,FALSE)</f>
        <v>ROBLE</v>
      </c>
      <c r="F149" s="71" t="str">
        <f>VLOOKUP(C149,[1]B.D!$A:$G,7,FALSE)</f>
        <v>SLIDING</v>
      </c>
      <c r="G149" s="13">
        <v>12774.300000000001</v>
      </c>
      <c r="H149" s="87"/>
      <c r="I149" s="88">
        <f t="shared" si="4"/>
        <v>0</v>
      </c>
      <c r="J149" s="89">
        <f>VLOOKUP(C149,[1]B.D!$A:$E,5,FALSE)</f>
        <v>1.026</v>
      </c>
      <c r="K149" s="89">
        <f t="shared" si="5"/>
        <v>0</v>
      </c>
    </row>
    <row r="150" spans="2:11" ht="15" customHeight="1">
      <c r="B150" s="86">
        <v>138</v>
      </c>
      <c r="C150" s="71" t="s">
        <v>201</v>
      </c>
      <c r="D150" s="71" t="str">
        <f>VLOOKUP(C150,[1]B.D!$A:$B,2,FALSE)</f>
        <v>JUNQUILLO 22-24 mm S60 - BLANCO</v>
      </c>
      <c r="E150" s="71" t="str">
        <f>VLOOKUP(C150,[1]B.D!$A:$F,6,FALSE)</f>
        <v>BLANCO</v>
      </c>
      <c r="F150" s="71" t="str">
        <f>VLOOKUP(C150,[1]B.D!$A:$G,7,FALSE)</f>
        <v>S60</v>
      </c>
      <c r="G150" s="13">
        <v>6420.75</v>
      </c>
      <c r="H150" s="87"/>
      <c r="I150" s="88">
        <f t="shared" si="4"/>
        <v>0</v>
      </c>
      <c r="J150" s="89">
        <f>VLOOKUP(C150,[1]B.D!$A:$E,5,FALSE)</f>
        <v>1.026</v>
      </c>
      <c r="K150" s="89">
        <f t="shared" si="5"/>
        <v>0</v>
      </c>
    </row>
    <row r="151" spans="2:11" ht="15" customHeight="1">
      <c r="B151" s="86">
        <v>139</v>
      </c>
      <c r="C151" s="71" t="s">
        <v>204</v>
      </c>
      <c r="D151" s="71" t="str">
        <f>VLOOKUP(C151,[1]B.D!$A:$B,2,FALSE)</f>
        <v>JUNQUILLO 22-24 mm S60 - GRAFITO</v>
      </c>
      <c r="E151" s="71" t="str">
        <f>VLOOKUP(C151,[1]B.D!$A:$F,6,FALSE)</f>
        <v>GRAFITO</v>
      </c>
      <c r="F151" s="71" t="str">
        <f>VLOOKUP(C151,[1]B.D!$A:$G,7,FALSE)</f>
        <v>S60</v>
      </c>
      <c r="G151" s="13">
        <v>13570.2</v>
      </c>
      <c r="H151" s="87"/>
      <c r="I151" s="88">
        <f t="shared" si="4"/>
        <v>0</v>
      </c>
      <c r="J151" s="89">
        <f>VLOOKUP(C151,[1]B.D!$A:$E,5,FALSE)</f>
        <v>1.1819999999999999</v>
      </c>
      <c r="K151" s="89">
        <f t="shared" si="5"/>
        <v>0</v>
      </c>
    </row>
    <row r="152" spans="2:11" ht="15" customHeight="1">
      <c r="B152" s="86">
        <v>140</v>
      </c>
      <c r="C152" s="71" t="s">
        <v>205</v>
      </c>
      <c r="D152" s="71" t="str">
        <f>VLOOKUP(C152,[1]B.D!$A:$B,2,FALSE)</f>
        <v>JUNQUILLO 22-24 mm S60 - NEW BLACK</v>
      </c>
      <c r="E152" s="71" t="str">
        <f>VLOOKUP(C152,[1]B.D!$A:$F,6,FALSE)</f>
        <v>NEW BLACK</v>
      </c>
      <c r="F152" s="71" t="str">
        <f>VLOOKUP(C152,[1]B.D!$A:$G,7,FALSE)</f>
        <v>S60</v>
      </c>
      <c r="G152" s="13">
        <v>13202.7</v>
      </c>
      <c r="H152" s="87"/>
      <c r="I152" s="88">
        <f t="shared" si="4"/>
        <v>0</v>
      </c>
      <c r="J152" s="89">
        <f>VLOOKUP(C152,[1]B.D!$A:$E,5,FALSE)</f>
        <v>1.1819999999999999</v>
      </c>
      <c r="K152" s="89">
        <f t="shared" si="5"/>
        <v>0</v>
      </c>
    </row>
    <row r="153" spans="2:11" ht="15" customHeight="1">
      <c r="B153" s="86">
        <v>141</v>
      </c>
      <c r="C153" s="71" t="s">
        <v>203</v>
      </c>
      <c r="D153" s="71" t="str">
        <f>VLOOKUP(C153,[1]B.D!$A:$B,2,FALSE)</f>
        <v>JUNQUILLO 22-24 mm S60 - NOGAL</v>
      </c>
      <c r="E153" s="71" t="str">
        <f>VLOOKUP(C153,[1]B.D!$A:$F,6,FALSE)</f>
        <v>NOGAL</v>
      </c>
      <c r="F153" s="71" t="str">
        <f>VLOOKUP(C153,[1]B.D!$A:$G,7,FALSE)</f>
        <v>S60</v>
      </c>
      <c r="G153" s="13">
        <v>12685.050000000001</v>
      </c>
      <c r="H153" s="87"/>
      <c r="I153" s="88">
        <f t="shared" si="4"/>
        <v>0</v>
      </c>
      <c r="J153" s="89">
        <f>VLOOKUP(C153,[1]B.D!$A:$E,5,FALSE)</f>
        <v>1.1819999999999999</v>
      </c>
      <c r="K153" s="89">
        <f t="shared" si="5"/>
        <v>0</v>
      </c>
    </row>
    <row r="154" spans="2:11" ht="15" customHeight="1">
      <c r="B154" s="86">
        <v>142</v>
      </c>
      <c r="C154" s="71" t="s">
        <v>202</v>
      </c>
      <c r="D154" s="71" t="str">
        <f>VLOOKUP(C154,[1]B.D!$A:$B,2,FALSE)</f>
        <v>JUNQUILLO 22-24 mm S60 - ROBLE</v>
      </c>
      <c r="E154" s="71" t="str">
        <f>VLOOKUP(C154,[1]B.D!$A:$F,6,FALSE)</f>
        <v>ROBLE</v>
      </c>
      <c r="F154" s="71" t="str">
        <f>VLOOKUP(C154,[1]B.D!$A:$G,7,FALSE)</f>
        <v>S60</v>
      </c>
      <c r="G154" s="13">
        <v>12685.050000000001</v>
      </c>
      <c r="H154" s="87"/>
      <c r="I154" s="88">
        <f t="shared" si="4"/>
        <v>0</v>
      </c>
      <c r="J154" s="89">
        <f>VLOOKUP(C154,[1]B.D!$A:$E,5,FALSE)</f>
        <v>1.1819999999999999</v>
      </c>
      <c r="K154" s="89">
        <f t="shared" si="5"/>
        <v>0</v>
      </c>
    </row>
    <row r="155" spans="2:11" ht="15" customHeight="1">
      <c r="B155" s="86">
        <v>143</v>
      </c>
      <c r="C155" s="71" t="s">
        <v>308</v>
      </c>
      <c r="D155" s="71" t="str">
        <f>VLOOKUP(C155,[1]B.D!$A:$B,2,FALSE)</f>
        <v>JUNQUILLO 24 mm ZENIA - BLANCO</v>
      </c>
      <c r="E155" s="71" t="str">
        <f>VLOOKUP(C155,[1]B.D!$A:$F,6,FALSE)</f>
        <v>BLANCO</v>
      </c>
      <c r="F155" s="71" t="str">
        <f>VLOOKUP(C155,[1]B.D!$A:$G,7,FALSE)</f>
        <v>SLIDING - ZENIA</v>
      </c>
      <c r="G155" s="13">
        <v>5730.9000000000005</v>
      </c>
      <c r="H155" s="87"/>
      <c r="I155" s="88">
        <f t="shared" si="4"/>
        <v>0</v>
      </c>
      <c r="J155" s="89">
        <f>VLOOKUP(C155,[1]B.D!$A:$E,5,FALSE)</f>
        <v>0.88</v>
      </c>
      <c r="K155" s="89">
        <f t="shared" si="5"/>
        <v>0</v>
      </c>
    </row>
    <row r="156" spans="2:11" ht="15" customHeight="1">
      <c r="B156" s="86">
        <v>144</v>
      </c>
      <c r="C156" s="71" t="s">
        <v>311</v>
      </c>
      <c r="D156" s="71" t="str">
        <f>VLOOKUP(C156,[1]B.D!$A:$B,2,FALSE)</f>
        <v>JUNQUILLO 24 mm ZENIA - GRAFITO</v>
      </c>
      <c r="E156" s="71" t="str">
        <f>VLOOKUP(C156,[1]B.D!$A:$F,6,FALSE)</f>
        <v>GRAFITO</v>
      </c>
      <c r="F156" s="71" t="str">
        <f>VLOOKUP(C156,[1]B.D!$A:$G,7,FALSE)</f>
        <v>SLIDING - ZENIA</v>
      </c>
      <c r="G156" s="13">
        <v>9223.2000000000007</v>
      </c>
      <c r="H156" s="87"/>
      <c r="I156" s="88">
        <f t="shared" si="4"/>
        <v>0</v>
      </c>
      <c r="J156" s="89">
        <f>VLOOKUP(C156,[1]B.D!$A:$E,5,FALSE)</f>
        <v>0.88</v>
      </c>
      <c r="K156" s="89">
        <f t="shared" si="5"/>
        <v>0</v>
      </c>
    </row>
    <row r="157" spans="2:11" ht="15" customHeight="1">
      <c r="B157" s="86">
        <v>145</v>
      </c>
      <c r="C157" s="71" t="s">
        <v>312</v>
      </c>
      <c r="D157" s="71" t="str">
        <f>VLOOKUP(C157,[1]B.D!$A:$B,2,FALSE)</f>
        <v>JUNQUILLO 24 mm ZENIA - NEW BLACK</v>
      </c>
      <c r="E157" s="71" t="str">
        <f>VLOOKUP(C157,[1]B.D!$A:$F,6,FALSE)</f>
        <v>NEW BLACK</v>
      </c>
      <c r="F157" s="71" t="str">
        <f>VLOOKUP(C157,[1]B.D!$A:$G,7,FALSE)</f>
        <v>SLIDING - ZENIA</v>
      </c>
      <c r="G157" s="13">
        <v>10655.4</v>
      </c>
      <c r="H157" s="87"/>
      <c r="I157" s="88">
        <f t="shared" si="4"/>
        <v>0</v>
      </c>
      <c r="J157" s="89">
        <f>VLOOKUP(C157,[1]B.D!$A:$E,5,FALSE)</f>
        <v>0.88</v>
      </c>
      <c r="K157" s="89">
        <f t="shared" si="5"/>
        <v>0</v>
      </c>
    </row>
    <row r="158" spans="2:11" ht="15" customHeight="1">
      <c r="B158" s="86">
        <v>146</v>
      </c>
      <c r="C158" s="71" t="s">
        <v>310</v>
      </c>
      <c r="D158" s="71" t="str">
        <f>VLOOKUP(C158,[1]B.D!$A:$B,2,FALSE)</f>
        <v>JUNQUILLO 24 mm ZENIA - NOGAL</v>
      </c>
      <c r="E158" s="71" t="str">
        <f>VLOOKUP(C158,[1]B.D!$A:$F,6,FALSE)</f>
        <v>NOGAL</v>
      </c>
      <c r="F158" s="71" t="str">
        <f>VLOOKUP(C158,[1]B.D!$A:$G,7,FALSE)</f>
        <v>SLIDING - ZENIA</v>
      </c>
      <c r="G158" s="13">
        <v>9223.2000000000007</v>
      </c>
      <c r="H158" s="87"/>
      <c r="I158" s="88">
        <f t="shared" si="4"/>
        <v>0</v>
      </c>
      <c r="J158" s="89">
        <f>VLOOKUP(C158,[1]B.D!$A:$E,5,FALSE)</f>
        <v>0.88</v>
      </c>
      <c r="K158" s="89">
        <f t="shared" si="5"/>
        <v>0</v>
      </c>
    </row>
    <row r="159" spans="2:11" ht="15" customHeight="1">
      <c r="B159" s="86">
        <v>147</v>
      </c>
      <c r="C159" s="71" t="s">
        <v>309</v>
      </c>
      <c r="D159" s="71" t="str">
        <f>VLOOKUP(C159,[1]B.D!$A:$B,2,FALSE)</f>
        <v>JUNQUILLO 24 mm ZENIA - ROBLE</v>
      </c>
      <c r="E159" s="71" t="str">
        <f>VLOOKUP(C159,[1]B.D!$A:$F,6,FALSE)</f>
        <v>ROBLE</v>
      </c>
      <c r="F159" s="71" t="str">
        <f>VLOOKUP(C159,[1]B.D!$A:$G,7,FALSE)</f>
        <v>SLIDING - ZENIA</v>
      </c>
      <c r="G159" s="13">
        <v>9223.2000000000007</v>
      </c>
      <c r="H159" s="87"/>
      <c r="I159" s="88">
        <f t="shared" si="4"/>
        <v>0</v>
      </c>
      <c r="J159" s="89">
        <f>VLOOKUP(C159,[1]B.D!$A:$E,5,FALSE)</f>
        <v>0.88</v>
      </c>
      <c r="K159" s="89">
        <f t="shared" si="5"/>
        <v>0</v>
      </c>
    </row>
    <row r="160" spans="2:11" ht="15" customHeight="1">
      <c r="B160" s="86">
        <v>148</v>
      </c>
      <c r="C160" s="71" t="s">
        <v>191</v>
      </c>
      <c r="D160" s="71" t="str">
        <f>VLOOKUP(C160,[1]B.D!$A:$B,2,FALSE)</f>
        <v>JUNQUILLO 4-5 mm S60 - BLANCO</v>
      </c>
      <c r="E160" s="71" t="str">
        <f>VLOOKUP(C160,[1]B.D!$A:$F,6,FALSE)</f>
        <v>BLANCO</v>
      </c>
      <c r="F160" s="71" t="str">
        <f>VLOOKUP(C160,[1]B.D!$A:$G,7,FALSE)</f>
        <v>S60</v>
      </c>
      <c r="G160" s="13">
        <v>9947.7000000000007</v>
      </c>
      <c r="H160" s="87"/>
      <c r="I160" s="88">
        <f t="shared" si="4"/>
        <v>0</v>
      </c>
      <c r="J160" s="89">
        <f>VLOOKUP(C160,[1]B.D!$A:$E,5,FALSE)</f>
        <v>1.6919999999999999</v>
      </c>
      <c r="K160" s="89">
        <f t="shared" si="5"/>
        <v>0</v>
      </c>
    </row>
    <row r="161" spans="2:11" ht="15" customHeight="1">
      <c r="B161" s="86">
        <v>149</v>
      </c>
      <c r="C161" s="71" t="s">
        <v>194</v>
      </c>
      <c r="D161" s="71" t="str">
        <f>VLOOKUP(C161,[1]B.D!$A:$B,2,FALSE)</f>
        <v>JUNQUILLO 4-5 mm S60 - GRAFITO</v>
      </c>
      <c r="E161" s="71" t="str">
        <f>VLOOKUP(C161,[1]B.D!$A:$F,6,FALSE)</f>
        <v>GRAFITO</v>
      </c>
      <c r="F161" s="71" t="str">
        <f>VLOOKUP(C161,[1]B.D!$A:$G,7,FALSE)</f>
        <v>S60</v>
      </c>
      <c r="G161" s="13">
        <v>18123</v>
      </c>
      <c r="H161" s="87"/>
      <c r="I161" s="88">
        <f t="shared" si="4"/>
        <v>0</v>
      </c>
      <c r="J161" s="89">
        <f>VLOOKUP(C161,[1]B.D!$A:$E,5,FALSE)</f>
        <v>1.6919999999999999</v>
      </c>
      <c r="K161" s="89">
        <f t="shared" si="5"/>
        <v>0</v>
      </c>
    </row>
    <row r="162" spans="2:11" ht="15" customHeight="1">
      <c r="B162" s="86">
        <v>150</v>
      </c>
      <c r="C162" s="71" t="s">
        <v>195</v>
      </c>
      <c r="D162" s="71" t="str">
        <f>VLOOKUP(C162,[1]B.D!$A:$B,2,FALSE)</f>
        <v>JUNQUILLO 4-5 mm S60 - NEW BLACK</v>
      </c>
      <c r="E162" s="71" t="str">
        <f>VLOOKUP(C162,[1]B.D!$A:$F,6,FALSE)</f>
        <v>NEW BLACK</v>
      </c>
      <c r="F162" s="71" t="str">
        <f>VLOOKUP(C162,[1]B.D!$A:$G,7,FALSE)</f>
        <v>S60</v>
      </c>
      <c r="G162" s="13">
        <v>20131.650000000001</v>
      </c>
      <c r="H162" s="87"/>
      <c r="I162" s="88">
        <f t="shared" si="4"/>
        <v>0</v>
      </c>
      <c r="J162" s="89">
        <f>VLOOKUP(C162,[1]B.D!$A:$E,5,FALSE)</f>
        <v>1.6919999999999999</v>
      </c>
      <c r="K162" s="89">
        <f t="shared" si="5"/>
        <v>0</v>
      </c>
    </row>
    <row r="163" spans="2:11" ht="15" customHeight="1">
      <c r="B163" s="86">
        <v>151</v>
      </c>
      <c r="C163" s="71" t="s">
        <v>193</v>
      </c>
      <c r="D163" s="71" t="str">
        <f>VLOOKUP(C163,[1]B.D!$A:$B,2,FALSE)</f>
        <v>JUNQUILLO 4-5 mm S60 - NOGAL</v>
      </c>
      <c r="E163" s="71" t="str">
        <f>VLOOKUP(C163,[1]B.D!$A:$F,6,FALSE)</f>
        <v>NOGAL</v>
      </c>
      <c r="F163" s="71" t="str">
        <f>VLOOKUP(C163,[1]B.D!$A:$G,7,FALSE)</f>
        <v>S60</v>
      </c>
      <c r="G163" s="13">
        <v>16934.400000000001</v>
      </c>
      <c r="H163" s="87"/>
      <c r="I163" s="88">
        <f t="shared" si="4"/>
        <v>0</v>
      </c>
      <c r="J163" s="89">
        <f>VLOOKUP(C163,[1]B.D!$A:$E,5,FALSE)</f>
        <v>1.758</v>
      </c>
      <c r="K163" s="89">
        <f t="shared" si="5"/>
        <v>0</v>
      </c>
    </row>
    <row r="164" spans="2:11" ht="15" customHeight="1">
      <c r="B164" s="86">
        <v>152</v>
      </c>
      <c r="C164" s="71" t="s">
        <v>192</v>
      </c>
      <c r="D164" s="71" t="str">
        <f>VLOOKUP(C164,[1]B.D!$A:$B,2,FALSE)</f>
        <v>JUNQUILLO 4-5 mm S60 - ROBLE</v>
      </c>
      <c r="E164" s="71" t="str">
        <f>VLOOKUP(C164,[1]B.D!$A:$F,6,FALSE)</f>
        <v>ROBLE</v>
      </c>
      <c r="F164" s="71" t="str">
        <f>VLOOKUP(C164,[1]B.D!$A:$G,7,FALSE)</f>
        <v>S60</v>
      </c>
      <c r="G164" s="13">
        <v>16934.400000000001</v>
      </c>
      <c r="H164" s="87"/>
      <c r="I164" s="88">
        <f t="shared" si="4"/>
        <v>0</v>
      </c>
      <c r="J164" s="89">
        <f>VLOOKUP(C164,[1]B.D!$A:$E,5,FALSE)</f>
        <v>1.6919999999999999</v>
      </c>
      <c r="K164" s="89">
        <f t="shared" si="5"/>
        <v>0</v>
      </c>
    </row>
    <row r="165" spans="2:11" ht="15" customHeight="1">
      <c r="B165" s="86">
        <v>153</v>
      </c>
      <c r="C165" s="91" t="s">
        <v>79</v>
      </c>
      <c r="D165" s="71" t="str">
        <f>VLOOKUP(C165,[1]B.D!$A:$B,2,FALSE)</f>
        <v>JUNQUILLO 4-5 mm SLIDING - BLANCO</v>
      </c>
      <c r="E165" s="71" t="str">
        <f>VLOOKUP(C165,[1]B.D!$A:$F,6,FALSE)</f>
        <v>BLANCO</v>
      </c>
      <c r="F165" s="71" t="str">
        <f>VLOOKUP(C165,[1]B.D!$A:$G,7,FALSE)</f>
        <v>SLIDING</v>
      </c>
      <c r="G165" s="13">
        <v>8395.8000000000011</v>
      </c>
      <c r="H165" s="87"/>
      <c r="I165" s="88">
        <f t="shared" si="4"/>
        <v>0</v>
      </c>
      <c r="J165" s="89">
        <f>VLOOKUP(C165,[1]B.D!$A:$E,5,FALSE)</f>
        <v>1.542</v>
      </c>
      <c r="K165" s="89">
        <f t="shared" si="5"/>
        <v>0</v>
      </c>
    </row>
    <row r="166" spans="2:11" ht="15" customHeight="1">
      <c r="B166" s="86">
        <v>154</v>
      </c>
      <c r="C166" s="71" t="s">
        <v>82</v>
      </c>
      <c r="D166" s="71" t="str">
        <f>VLOOKUP(C166,[1]B.D!$A:$B,2,FALSE)</f>
        <v>JUNQUILLO 4-5 mm SLIDING - GRAFITO</v>
      </c>
      <c r="E166" s="71" t="str">
        <f>VLOOKUP(C166,[1]B.D!$A:$F,6,FALSE)</f>
        <v>GRAFITO</v>
      </c>
      <c r="F166" s="71" t="str">
        <f>VLOOKUP(C166,[1]B.D!$A:$G,7,FALSE)</f>
        <v>SLIDING</v>
      </c>
      <c r="G166" s="13">
        <v>15294.300000000001</v>
      </c>
      <c r="H166" s="87"/>
      <c r="I166" s="88">
        <f t="shared" si="4"/>
        <v>0</v>
      </c>
      <c r="J166" s="89">
        <f>VLOOKUP(C166,[1]B.D!$A:$E,5,FALSE)</f>
        <v>1.542</v>
      </c>
      <c r="K166" s="89">
        <f t="shared" si="5"/>
        <v>0</v>
      </c>
    </row>
    <row r="167" spans="2:11" ht="15" customHeight="1">
      <c r="B167" s="86">
        <v>155</v>
      </c>
      <c r="C167" s="71" t="s">
        <v>83</v>
      </c>
      <c r="D167" s="71" t="str">
        <f>VLOOKUP(C167,[1]B.D!$A:$B,2,FALSE)</f>
        <v>JUNQUILLO 4-5 mm SLIDING - NEW BLACK</v>
      </c>
      <c r="E167" s="71" t="str">
        <f>VLOOKUP(C167,[1]B.D!$A:$F,6,FALSE)</f>
        <v>NEW BLACK</v>
      </c>
      <c r="F167" s="71" t="str">
        <f>VLOOKUP(C167,[1]B.D!$A:$G,7,FALSE)</f>
        <v>SLIDING</v>
      </c>
      <c r="G167" s="13">
        <v>15005.550000000001</v>
      </c>
      <c r="H167" s="87"/>
      <c r="I167" s="88">
        <f t="shared" si="4"/>
        <v>0</v>
      </c>
      <c r="J167" s="89">
        <f>VLOOKUP(C167,[1]B.D!$A:$E,5,FALSE)</f>
        <v>1.542</v>
      </c>
      <c r="K167" s="89">
        <f t="shared" si="5"/>
        <v>0</v>
      </c>
    </row>
    <row r="168" spans="2:11" ht="15" customHeight="1">
      <c r="B168" s="86">
        <v>156</v>
      </c>
      <c r="C168" s="71" t="s">
        <v>81</v>
      </c>
      <c r="D168" s="71" t="str">
        <f>VLOOKUP(C168,[1]B.D!$A:$B,2,FALSE)</f>
        <v>JUNQUILLO 4-5 mm SLIDING - NOGAL</v>
      </c>
      <c r="E168" s="71" t="str">
        <f>VLOOKUP(C168,[1]B.D!$A:$F,6,FALSE)</f>
        <v>NOGAL</v>
      </c>
      <c r="F168" s="71" t="str">
        <f>VLOOKUP(C168,[1]B.D!$A:$G,7,FALSE)</f>
        <v>SLIDING</v>
      </c>
      <c r="G168" s="13">
        <v>14294.7</v>
      </c>
      <c r="H168" s="87"/>
      <c r="I168" s="88">
        <f t="shared" si="4"/>
        <v>0</v>
      </c>
      <c r="J168" s="89">
        <f>VLOOKUP(C168,[1]B.D!$A:$E,5,FALSE)</f>
        <v>1.542</v>
      </c>
      <c r="K168" s="89">
        <f t="shared" si="5"/>
        <v>0</v>
      </c>
    </row>
    <row r="169" spans="2:11" ht="15" customHeight="1">
      <c r="B169" s="86">
        <v>157</v>
      </c>
      <c r="C169" s="71" t="s">
        <v>80</v>
      </c>
      <c r="D169" s="71" t="str">
        <f>VLOOKUP(C169,[1]B.D!$A:$B,2,FALSE)</f>
        <v>JUNQUILLO 4-5 mm SLIDING - ROBLE</v>
      </c>
      <c r="E169" s="71" t="str">
        <f>VLOOKUP(C169,[1]B.D!$A:$F,6,FALSE)</f>
        <v>ROBLE</v>
      </c>
      <c r="F169" s="71" t="str">
        <f>VLOOKUP(C169,[1]B.D!$A:$G,7,FALSE)</f>
        <v>SLIDING</v>
      </c>
      <c r="G169" s="13">
        <v>14294.7</v>
      </c>
      <c r="H169" s="87"/>
      <c r="I169" s="88">
        <f t="shared" si="4"/>
        <v>0</v>
      </c>
      <c r="J169" s="89">
        <f>VLOOKUP(C169,[1]B.D!$A:$E,5,FALSE)</f>
        <v>1.542</v>
      </c>
      <c r="K169" s="89">
        <f t="shared" si="5"/>
        <v>0</v>
      </c>
    </row>
    <row r="170" spans="2:11" ht="15" customHeight="1">
      <c r="B170" s="86">
        <v>158</v>
      </c>
      <c r="C170" s="71" t="s">
        <v>349</v>
      </c>
      <c r="D170" s="71" t="str">
        <f>VLOOKUP(C170,[1]B.D!$A:$B,2,FALSE)</f>
        <v>JUNQUILLO DVH AMERICANA SILTEK</v>
      </c>
      <c r="E170" s="71" t="str">
        <f>VLOOKUP(C170,[1]B.D!$A:$F,6,FALSE)</f>
        <v>BLANCO</v>
      </c>
      <c r="F170" s="71" t="str">
        <f>VLOOKUP(C170,[1]B.D!$A:$G,7,FALSE)</f>
        <v>AMERICANA</v>
      </c>
      <c r="G170" s="13">
        <v>1054.2</v>
      </c>
      <c r="H170" s="87"/>
      <c r="I170" s="88">
        <f t="shared" si="4"/>
        <v>0</v>
      </c>
      <c r="J170" s="89">
        <f>VLOOKUP(C170,[1]B.D!$A:$E,5,FALSE)</f>
        <v>0.35</v>
      </c>
      <c r="K170" s="89">
        <f t="shared" si="5"/>
        <v>0</v>
      </c>
    </row>
    <row r="171" spans="2:11" ht="15" customHeight="1">
      <c r="B171" s="86">
        <v>159</v>
      </c>
      <c r="C171" s="71" t="s">
        <v>84</v>
      </c>
      <c r="D171" s="71" t="str">
        <f>VLOOKUP(C171,[1]B.D!$A:$B,2,FALSE)</f>
        <v>JUNQUILLO MONOLITICO 5 mm ANDES - BLANCO</v>
      </c>
      <c r="E171" s="71" t="str">
        <f>VLOOKUP(C171,[1]B.D!$A:$F,6,FALSE)</f>
        <v>BLANCO</v>
      </c>
      <c r="F171" s="71" t="str">
        <f>VLOOKUP(C171,[1]B.D!$A:$G,7,FALSE)</f>
        <v>SLIDING - ANDES</v>
      </c>
      <c r="G171" s="13">
        <v>5489.4000000000005</v>
      </c>
      <c r="H171" s="87"/>
      <c r="I171" s="88">
        <f t="shared" si="4"/>
        <v>0</v>
      </c>
      <c r="J171" s="89">
        <f>VLOOKUP(C171,[1]B.D!$A:$E,5,FALSE)</f>
        <v>1.05</v>
      </c>
      <c r="K171" s="89">
        <f t="shared" si="5"/>
        <v>0</v>
      </c>
    </row>
    <row r="172" spans="2:11" ht="15" customHeight="1">
      <c r="B172" s="86">
        <v>160</v>
      </c>
      <c r="C172" s="71" t="s">
        <v>87</v>
      </c>
      <c r="D172" s="71" t="str">
        <f>VLOOKUP(C172,[1]B.D!$A:$B,2,FALSE)</f>
        <v>JUNQUILLO MONOLITICO 5 mm ANDES - GRAFITO</v>
      </c>
      <c r="E172" s="71" t="str">
        <f>VLOOKUP(C172,[1]B.D!$A:$F,6,FALSE)</f>
        <v>GRAFITO</v>
      </c>
      <c r="F172" s="71" t="str">
        <f>VLOOKUP(C172,[1]B.D!$A:$G,7,FALSE)</f>
        <v>SLIDING - ANDES</v>
      </c>
      <c r="G172" s="13">
        <v>10412.85</v>
      </c>
      <c r="H172" s="87"/>
      <c r="I172" s="88">
        <f t="shared" si="4"/>
        <v>0</v>
      </c>
      <c r="J172" s="89">
        <f>VLOOKUP(C172,[1]B.D!$A:$E,5,FALSE)</f>
        <v>1.0980000000000001</v>
      </c>
      <c r="K172" s="89">
        <f t="shared" si="5"/>
        <v>0</v>
      </c>
    </row>
    <row r="173" spans="2:11" ht="15" customHeight="1">
      <c r="B173" s="86">
        <v>161</v>
      </c>
      <c r="C173" s="71" t="s">
        <v>88</v>
      </c>
      <c r="D173" s="71" t="str">
        <f>VLOOKUP(C173,[1]B.D!$A:$B,2,FALSE)</f>
        <v>JUNQUILLO MONOLITICO 5 mm ANDES - NEW BLACK</v>
      </c>
      <c r="E173" s="71" t="str">
        <f>VLOOKUP(C173,[1]B.D!$A:$F,6,FALSE)</f>
        <v>NEW BLACK</v>
      </c>
      <c r="F173" s="71" t="str">
        <f>VLOOKUP(C173,[1]B.D!$A:$G,7,FALSE)</f>
        <v>SLIDING - ANDES</v>
      </c>
      <c r="G173" s="13">
        <v>10933.65</v>
      </c>
      <c r="H173" s="87"/>
      <c r="I173" s="88">
        <f t="shared" si="4"/>
        <v>0</v>
      </c>
      <c r="J173" s="89">
        <f>VLOOKUP(C173,[1]B.D!$A:$E,5,FALSE)</f>
        <v>1.3320000000000001</v>
      </c>
      <c r="K173" s="89">
        <f t="shared" si="5"/>
        <v>0</v>
      </c>
    </row>
    <row r="174" spans="2:11" ht="15" customHeight="1">
      <c r="B174" s="86">
        <v>162</v>
      </c>
      <c r="C174" s="71" t="s">
        <v>86</v>
      </c>
      <c r="D174" s="71" t="str">
        <f>VLOOKUP(C174,[1]B.D!$A:$B,2,FALSE)</f>
        <v>JUNQUILLO MONOLITICO 5 mm ANDES - NOGAL</v>
      </c>
      <c r="E174" s="71" t="str">
        <f>VLOOKUP(C174,[1]B.D!$A:$F,6,FALSE)</f>
        <v>NOGAL</v>
      </c>
      <c r="F174" s="71" t="str">
        <f>VLOOKUP(C174,[1]B.D!$A:$G,7,FALSE)</f>
        <v>SLIDING - ANDES</v>
      </c>
      <c r="G174" s="13">
        <v>9223.2000000000007</v>
      </c>
      <c r="H174" s="87"/>
      <c r="I174" s="88">
        <f t="shared" si="4"/>
        <v>0</v>
      </c>
      <c r="J174" s="89">
        <f>VLOOKUP(C174,[1]B.D!$A:$E,5,FALSE)</f>
        <v>1.0980000000000001</v>
      </c>
      <c r="K174" s="89">
        <f t="shared" si="5"/>
        <v>0</v>
      </c>
    </row>
    <row r="175" spans="2:11" ht="15" customHeight="1">
      <c r="B175" s="86">
        <v>163</v>
      </c>
      <c r="C175" s="71" t="s">
        <v>85</v>
      </c>
      <c r="D175" s="71" t="str">
        <f>VLOOKUP(C175,[1]B.D!$A:$B,2,FALSE)</f>
        <v>JUNQUILLO MONOLITICO 5 mm ANDES - ROBLE</v>
      </c>
      <c r="E175" s="71" t="str">
        <f>VLOOKUP(C175,[1]B.D!$A:$F,6,FALSE)</f>
        <v>ROBLE</v>
      </c>
      <c r="F175" s="71" t="str">
        <f>VLOOKUP(C175,[1]B.D!$A:$G,7,FALSE)</f>
        <v>SLIDING - ANDES</v>
      </c>
      <c r="G175" s="13">
        <v>9223.2000000000007</v>
      </c>
      <c r="H175" s="87"/>
      <c r="I175" s="88">
        <f t="shared" si="4"/>
        <v>0</v>
      </c>
      <c r="J175" s="89">
        <f>VLOOKUP(C175,[1]B.D!$A:$E,5,FALSE)</f>
        <v>1.0980000000000001</v>
      </c>
      <c r="K175" s="89">
        <f t="shared" si="5"/>
        <v>0</v>
      </c>
    </row>
    <row r="176" spans="2:11" ht="15" customHeight="1">
      <c r="B176" s="86">
        <v>164</v>
      </c>
      <c r="C176" s="71" t="s">
        <v>350</v>
      </c>
      <c r="D176" s="71" t="str">
        <f>VLOOKUP(C176,[1]B.D!$A:$B,2,FALSE)</f>
        <v>JUNQUILLO SIMPLE AMERICANA SILTEK</v>
      </c>
      <c r="E176" s="71" t="str">
        <f>VLOOKUP(C176,[1]B.D!$A:$F,6,FALSE)</f>
        <v>BLANCO</v>
      </c>
      <c r="F176" s="71" t="str">
        <f>VLOOKUP(C176,[1]B.D!$A:$G,7,FALSE)</f>
        <v>AMERICANA</v>
      </c>
      <c r="G176" s="13">
        <v>967.05000000000007</v>
      </c>
      <c r="H176" s="87"/>
      <c r="I176" s="88">
        <f t="shared" si="4"/>
        <v>0</v>
      </c>
      <c r="J176" s="89">
        <f>VLOOKUP(C176,[1]B.D!$A:$E,5,FALSE)</f>
        <v>0.32</v>
      </c>
      <c r="K176" s="89">
        <f t="shared" si="5"/>
        <v>0</v>
      </c>
    </row>
    <row r="177" spans="2:11" ht="15" customHeight="1">
      <c r="B177" s="86">
        <v>165</v>
      </c>
      <c r="C177" s="71" t="s">
        <v>69</v>
      </c>
      <c r="D177" s="71" t="str">
        <f>VLOOKUP(C177,[1]B.D!$A:$B,2,FALSE)</f>
        <v>JUNQUILLO TERMOPANEL 19 mm ANDES - BLANCO</v>
      </c>
      <c r="E177" s="71" t="str">
        <f>VLOOKUP(C177,[1]B.D!$A:$F,6,FALSE)</f>
        <v>BLANCO</v>
      </c>
      <c r="F177" s="71" t="str">
        <f>VLOOKUP(C177,[1]B.D!$A:$G,7,FALSE)</f>
        <v>SLIDING - ANDES</v>
      </c>
      <c r="G177" s="13">
        <v>4825.8</v>
      </c>
      <c r="H177" s="87"/>
      <c r="I177" s="88">
        <f t="shared" si="4"/>
        <v>0</v>
      </c>
      <c r="J177" s="89">
        <f>VLOOKUP(C177,[1]B.D!$A:$E,5,FALSE)</f>
        <v>0.73</v>
      </c>
      <c r="K177" s="89">
        <f t="shared" si="5"/>
        <v>0</v>
      </c>
    </row>
    <row r="178" spans="2:11" ht="15" customHeight="1">
      <c r="B178" s="86">
        <v>166</v>
      </c>
      <c r="C178" s="71" t="s">
        <v>72</v>
      </c>
      <c r="D178" s="71" t="str">
        <f>VLOOKUP(C178,[1]B.D!$A:$B,2,FALSE)</f>
        <v>JUNQUILLO TERMOPANEL 19 mm ANDES - GRAFITO</v>
      </c>
      <c r="E178" s="71" t="str">
        <f>VLOOKUP(C178,[1]B.D!$A:$F,6,FALSE)</f>
        <v>GRAFITO</v>
      </c>
      <c r="F178" s="71" t="str">
        <f>VLOOKUP(C178,[1]B.D!$A:$G,7,FALSE)</f>
        <v>SLIDING - ANDES</v>
      </c>
      <c r="G178" s="13">
        <v>8293.9500000000007</v>
      </c>
      <c r="H178" s="87"/>
      <c r="I178" s="88">
        <f t="shared" si="4"/>
        <v>0</v>
      </c>
      <c r="J178" s="89">
        <f>VLOOKUP(C178,[1]B.D!$A:$E,5,FALSE)</f>
        <v>0.73</v>
      </c>
      <c r="K178" s="89">
        <f t="shared" si="5"/>
        <v>0</v>
      </c>
    </row>
    <row r="179" spans="2:11" ht="15" customHeight="1">
      <c r="B179" s="86">
        <v>167</v>
      </c>
      <c r="C179" s="71" t="s">
        <v>73</v>
      </c>
      <c r="D179" s="71" t="str">
        <f>VLOOKUP(C179,[1]B.D!$A:$B,2,FALSE)</f>
        <v>JUNQUILLO TERMOPANEL 19 mm ANDES - NEW BLACK</v>
      </c>
      <c r="E179" s="71" t="str">
        <f>VLOOKUP(C179,[1]B.D!$A:$F,6,FALSE)</f>
        <v>NEW BLACK</v>
      </c>
      <c r="F179" s="71" t="str">
        <f>VLOOKUP(C179,[1]B.D!$A:$G,7,FALSE)</f>
        <v>SLIDING - ANDES</v>
      </c>
      <c r="G179" s="13">
        <v>8708.7000000000007</v>
      </c>
      <c r="H179" s="87"/>
      <c r="I179" s="88">
        <f t="shared" si="4"/>
        <v>0</v>
      </c>
      <c r="J179" s="89">
        <f>VLOOKUP(C179,[1]B.D!$A:$E,5,FALSE)</f>
        <v>0.90600000000000003</v>
      </c>
      <c r="K179" s="89">
        <f t="shared" si="5"/>
        <v>0</v>
      </c>
    </row>
    <row r="180" spans="2:11" ht="15" customHeight="1">
      <c r="B180" s="86">
        <v>168</v>
      </c>
      <c r="C180" s="71" t="s">
        <v>71</v>
      </c>
      <c r="D180" s="71" t="str">
        <f>VLOOKUP(C180,[1]B.D!$A:$B,2,FALSE)</f>
        <v>JUNQUILLO TERMOPANEL 19 mm ANDES - NOGAL</v>
      </c>
      <c r="E180" s="71" t="str">
        <f>VLOOKUP(C180,[1]B.D!$A:$F,6,FALSE)</f>
        <v>NOGAL</v>
      </c>
      <c r="F180" s="71" t="str">
        <f>VLOOKUP(C180,[1]B.D!$A:$G,7,FALSE)</f>
        <v>SLIDING - ANDES</v>
      </c>
      <c r="G180" s="13">
        <v>7961.1</v>
      </c>
      <c r="H180" s="87"/>
      <c r="I180" s="88">
        <f t="shared" si="4"/>
        <v>0</v>
      </c>
      <c r="J180" s="89">
        <f>VLOOKUP(C180,[1]B.D!$A:$E,5,FALSE)</f>
        <v>0.73199999999999998</v>
      </c>
      <c r="K180" s="89">
        <f t="shared" si="5"/>
        <v>0</v>
      </c>
    </row>
    <row r="181" spans="2:11" ht="15" customHeight="1">
      <c r="B181" s="86">
        <v>169</v>
      </c>
      <c r="C181" s="71" t="s">
        <v>70</v>
      </c>
      <c r="D181" s="71" t="str">
        <f>VLOOKUP(C181,[1]B.D!$A:$B,2,FALSE)</f>
        <v>JUNQUILLO TERMOPANEL 19 mm ANDES - ROBLE</v>
      </c>
      <c r="E181" s="71" t="str">
        <f>VLOOKUP(C181,[1]B.D!$A:$F,6,FALSE)</f>
        <v>ROBLE</v>
      </c>
      <c r="F181" s="71" t="str">
        <f>VLOOKUP(C181,[1]B.D!$A:$G,7,FALSE)</f>
        <v>SLIDING - ANDES</v>
      </c>
      <c r="G181" s="13">
        <v>7961.1</v>
      </c>
      <c r="H181" s="87"/>
      <c r="I181" s="88">
        <f t="shared" si="4"/>
        <v>0</v>
      </c>
      <c r="J181" s="89">
        <f>VLOOKUP(C181,[1]B.D!$A:$E,5,FALSE)</f>
        <v>0.73199999999999998</v>
      </c>
      <c r="K181" s="89">
        <f t="shared" si="5"/>
        <v>0</v>
      </c>
    </row>
    <row r="182" spans="2:11" ht="15" customHeight="1">
      <c r="B182" s="86">
        <v>170</v>
      </c>
      <c r="C182" s="71" t="s">
        <v>347</v>
      </c>
      <c r="D182" s="71" t="str">
        <f>VLOOKUP(C182,[1]B.D!$A:$B,2,FALSE)</f>
        <v>MARCO CORREDERA AMERICANA SILTEK</v>
      </c>
      <c r="E182" s="71" t="str">
        <f>VLOOKUP(C182,[1]B.D!$A:$F,6,FALSE)</f>
        <v>BLANCO</v>
      </c>
      <c r="F182" s="71" t="str">
        <f>VLOOKUP(C182,[1]B.D!$A:$G,7,FALSE)</f>
        <v>AMERICANA</v>
      </c>
      <c r="G182" s="13">
        <v>11773.65</v>
      </c>
      <c r="H182" s="87"/>
      <c r="I182" s="88">
        <f t="shared" si="4"/>
        <v>0</v>
      </c>
      <c r="J182" s="89">
        <f>VLOOKUP(C182,[1]B.D!$A:$E,5,FALSE)</f>
        <v>3.89</v>
      </c>
      <c r="K182" s="89">
        <f t="shared" si="5"/>
        <v>0</v>
      </c>
    </row>
    <row r="183" spans="2:11" ht="15" customHeight="1">
      <c r="B183" s="86">
        <v>171</v>
      </c>
      <c r="C183" s="71" t="s">
        <v>354</v>
      </c>
      <c r="D183" s="71" t="str">
        <f>VLOOKUP(C183,[1]B.D!$A:$B,2,FALSE)</f>
        <v>MARCO CORREDERA MOSQUITERO - BLANCO</v>
      </c>
      <c r="E183" s="71" t="str">
        <f>VLOOKUP(C183,[1]B.D!$A:$F,6,FALSE)</f>
        <v>BLANCO</v>
      </c>
      <c r="F183" s="71" t="str">
        <f>VLOOKUP(C183,[1]B.D!$A:$G,7,FALSE)</f>
        <v>MOSQUITERO CORREDERA</v>
      </c>
      <c r="G183" s="13">
        <v>19429.2</v>
      </c>
      <c r="H183" s="87"/>
      <c r="I183" s="88">
        <f t="shared" si="4"/>
        <v>0</v>
      </c>
      <c r="J183" s="89">
        <f>VLOOKUP(C183,[1]B.D!$A:$E,5,FALSE)</f>
        <v>2.85</v>
      </c>
      <c r="K183" s="89">
        <f t="shared" si="5"/>
        <v>0</v>
      </c>
    </row>
    <row r="184" spans="2:11" ht="15" customHeight="1">
      <c r="B184" s="86">
        <v>172</v>
      </c>
      <c r="C184" s="71" t="s">
        <v>357</v>
      </c>
      <c r="D184" s="71" t="str">
        <f>VLOOKUP(C184,[1]B.D!$A:$B,2,FALSE)</f>
        <v>MARCO CORREDERA MOSQUITERO - GRAFITO</v>
      </c>
      <c r="E184" s="71" t="str">
        <f>VLOOKUP(C184,[1]B.D!$A:$F,6,FALSE)</f>
        <v>GRAFITO</v>
      </c>
      <c r="F184" s="71" t="str">
        <f>VLOOKUP(C184,[1]B.D!$A:$G,7,FALSE)</f>
        <v>MOSQUITERO CORREDERA</v>
      </c>
      <c r="G184" s="13">
        <v>21437.850000000002</v>
      </c>
      <c r="H184" s="87"/>
      <c r="I184" s="88">
        <f t="shared" si="4"/>
        <v>0</v>
      </c>
      <c r="J184" s="89">
        <f>VLOOKUP(C184,[1]B.D!$A:$E,5,FALSE)</f>
        <v>2.85</v>
      </c>
      <c r="K184" s="89">
        <f t="shared" si="5"/>
        <v>0</v>
      </c>
    </row>
    <row r="185" spans="2:11" ht="15" customHeight="1">
      <c r="B185" s="86">
        <v>173</v>
      </c>
      <c r="C185" s="71" t="s">
        <v>358</v>
      </c>
      <c r="D185" s="71" t="str">
        <f>VLOOKUP(C185,[1]B.D!$A:$B,2,FALSE)</f>
        <v>MARCO CORREDERA MOSQUITERO - NEW BLACK</v>
      </c>
      <c r="E185" s="71" t="str">
        <f>VLOOKUP(C185,[1]B.D!$A:$F,6,FALSE)</f>
        <v>NEW BLACK</v>
      </c>
      <c r="F185" s="71" t="str">
        <f>VLOOKUP(C185,[1]B.D!$A:$G,7,FALSE)</f>
        <v>MOSQUITERO CORREDERA</v>
      </c>
      <c r="G185" s="13">
        <v>22510.95</v>
      </c>
      <c r="H185" s="87"/>
      <c r="I185" s="88">
        <f t="shared" si="4"/>
        <v>0</v>
      </c>
      <c r="J185" s="89">
        <f>VLOOKUP(C185,[1]B.D!$A:$E,5,FALSE)</f>
        <v>2.85</v>
      </c>
      <c r="K185" s="89">
        <f t="shared" si="5"/>
        <v>0</v>
      </c>
    </row>
    <row r="186" spans="2:11" ht="15" customHeight="1">
      <c r="B186" s="86">
        <v>174</v>
      </c>
      <c r="C186" s="71" t="s">
        <v>355</v>
      </c>
      <c r="D186" s="71" t="str">
        <f>VLOOKUP(C186,[1]B.D!$A:$B,2,FALSE)</f>
        <v>MARCO CORREDERA MOSQUITERO - NOGAL</v>
      </c>
      <c r="E186" s="71" t="str">
        <f>VLOOKUP(C186,[1]B.D!$A:$F,6,FALSE)</f>
        <v>NOGAL</v>
      </c>
      <c r="F186" s="71" t="str">
        <f>VLOOKUP(C186,[1]B.D!$A:$G,7,FALSE)</f>
        <v>MOSQUITERO CORREDERA</v>
      </c>
      <c r="G186" s="13">
        <v>20814.150000000001</v>
      </c>
      <c r="H186" s="87"/>
      <c r="I186" s="88">
        <f t="shared" si="4"/>
        <v>0</v>
      </c>
      <c r="J186" s="89">
        <f>VLOOKUP(C186,[1]B.D!$A:$E,5,FALSE)</f>
        <v>2.85</v>
      </c>
      <c r="K186" s="89">
        <f t="shared" si="5"/>
        <v>0</v>
      </c>
    </row>
    <row r="187" spans="2:11" ht="15" customHeight="1">
      <c r="B187" s="86">
        <v>175</v>
      </c>
      <c r="C187" s="71" t="s">
        <v>356</v>
      </c>
      <c r="D187" s="71" t="str">
        <f>VLOOKUP(C187,[1]B.D!$A:$B,2,FALSE)</f>
        <v>MARCO CORREDERA MOSQUITERO - ROBLE</v>
      </c>
      <c r="E187" s="71" t="str">
        <f>VLOOKUP(C187,[1]B.D!$A:$F,6,FALSE)</f>
        <v>ROBLE</v>
      </c>
      <c r="F187" s="71" t="str">
        <f>VLOOKUP(C187,[1]B.D!$A:$G,7,FALSE)</f>
        <v>MOSQUITERO CORREDERA</v>
      </c>
      <c r="G187" s="13">
        <v>20814.150000000001</v>
      </c>
      <c r="H187" s="87"/>
      <c r="I187" s="88">
        <f t="shared" si="4"/>
        <v>0</v>
      </c>
      <c r="J187" s="89">
        <f>VLOOKUP(C187,[1]B.D!$A:$E,5,FALSE)</f>
        <v>2.85</v>
      </c>
      <c r="K187" s="89">
        <f t="shared" si="5"/>
        <v>0</v>
      </c>
    </row>
    <row r="188" spans="2:11" ht="15" customHeight="1">
      <c r="B188" s="86">
        <v>176</v>
      </c>
      <c r="C188" s="71" t="s">
        <v>922</v>
      </c>
      <c r="D188" s="71" t="str">
        <f>VLOOKUP(C188,[1]B.D!$A:$B,2,FALSE)</f>
        <v>MARCO CORREDERA SLIDING S75 REFORZADO - NATURAL</v>
      </c>
      <c r="E188" s="71" t="str">
        <f>VLOOKUP(C188,[1]B.D!$A:$F,6,FALSE)</f>
        <v>NATURAL</v>
      </c>
      <c r="F188" s="71" t="str">
        <f>VLOOKUP(C188,[1]B.D!$A:$G,7,FALSE)</f>
        <v>SLIDING - S75</v>
      </c>
      <c r="G188" s="13">
        <v>158762.1</v>
      </c>
      <c r="H188" s="87"/>
      <c r="I188" s="88">
        <f t="shared" si="4"/>
        <v>0</v>
      </c>
      <c r="J188" s="89">
        <f>VLOOKUP(C188,[1]B.D!$A:$E,5,FALSE)</f>
        <v>8.1959999999999997</v>
      </c>
      <c r="K188" s="89">
        <f t="shared" si="5"/>
        <v>0</v>
      </c>
    </row>
    <row r="189" spans="2:11" ht="15" customHeight="1">
      <c r="B189" s="86">
        <v>177</v>
      </c>
      <c r="C189" s="71" t="s">
        <v>268</v>
      </c>
      <c r="D189" s="71" t="str">
        <f>VLOOKUP(C189,[1]B.D!$A:$B,2,FALSE)</f>
        <v>MARCO CORREDERA ZENIA - BLANCO</v>
      </c>
      <c r="E189" s="71" t="str">
        <f>VLOOKUP(C189,[1]B.D!$A:$F,6,FALSE)</f>
        <v>BLANCO</v>
      </c>
      <c r="F189" s="71" t="str">
        <f>VLOOKUP(C189,[1]B.D!$A:$G,7,FALSE)</f>
        <v>SLIDING - ZENIA</v>
      </c>
      <c r="G189" s="13">
        <v>43174.950000000004</v>
      </c>
      <c r="H189" s="87"/>
      <c r="I189" s="88">
        <f t="shared" si="4"/>
        <v>0</v>
      </c>
      <c r="J189" s="89">
        <f>VLOOKUP(C189,[1]B.D!$A:$E,5,FALSE)</f>
        <v>9.6479999999999997</v>
      </c>
      <c r="K189" s="89">
        <f t="shared" si="5"/>
        <v>0</v>
      </c>
    </row>
    <row r="190" spans="2:11" ht="15" customHeight="1">
      <c r="B190" s="86">
        <v>178</v>
      </c>
      <c r="C190" s="71" t="s">
        <v>271</v>
      </c>
      <c r="D190" s="71" t="str">
        <f>VLOOKUP(C190,[1]B.D!$A:$B,2,FALSE)</f>
        <v>MARCO CORREDERA ZENIA - GRAFITO</v>
      </c>
      <c r="E190" s="71" t="str">
        <f>VLOOKUP(C190,[1]B.D!$A:$F,6,FALSE)</f>
        <v>GRAFITO</v>
      </c>
      <c r="F190" s="71" t="str">
        <f>VLOOKUP(C190,[1]B.D!$A:$G,7,FALSE)</f>
        <v>SLIDING - ZENIA</v>
      </c>
      <c r="G190" s="13">
        <v>80748.150000000009</v>
      </c>
      <c r="H190" s="87"/>
      <c r="I190" s="88">
        <f t="shared" si="4"/>
        <v>0</v>
      </c>
      <c r="J190" s="89">
        <f>VLOOKUP(C190,[1]B.D!$A:$E,5,FALSE)</f>
        <v>9.6479999999999997</v>
      </c>
      <c r="K190" s="89">
        <f t="shared" si="5"/>
        <v>0</v>
      </c>
    </row>
    <row r="191" spans="2:11" ht="15" customHeight="1">
      <c r="B191" s="86">
        <v>179</v>
      </c>
      <c r="C191" s="71" t="s">
        <v>272</v>
      </c>
      <c r="D191" s="71" t="str">
        <f>VLOOKUP(C191,[1]B.D!$A:$B,2,FALSE)</f>
        <v>MARCO CORREDERA ZENIA - NEW BLACK</v>
      </c>
      <c r="E191" s="71" t="str">
        <f>VLOOKUP(C191,[1]B.D!$A:$F,6,FALSE)</f>
        <v>NEW BLACK</v>
      </c>
      <c r="F191" s="71" t="str">
        <f>VLOOKUP(C191,[1]B.D!$A:$G,7,FALSE)</f>
        <v>SLIDING - ZENIA</v>
      </c>
      <c r="G191" s="13">
        <v>92974.35</v>
      </c>
      <c r="H191" s="87"/>
      <c r="I191" s="88">
        <f t="shared" si="4"/>
        <v>0</v>
      </c>
      <c r="J191" s="89">
        <f>VLOOKUP(C191,[1]B.D!$A:$E,5,FALSE)</f>
        <v>9.6479999999999997</v>
      </c>
      <c r="K191" s="89">
        <f t="shared" si="5"/>
        <v>0</v>
      </c>
    </row>
    <row r="192" spans="2:11" ht="15" customHeight="1">
      <c r="B192" s="86">
        <v>180</v>
      </c>
      <c r="C192" s="71" t="s">
        <v>270</v>
      </c>
      <c r="D192" s="71" t="str">
        <f>VLOOKUP(C192,[1]B.D!$A:$B,2,FALSE)</f>
        <v>MARCO CORREDERA ZENIA - NOGAL</v>
      </c>
      <c r="E192" s="71" t="str">
        <f>VLOOKUP(C192,[1]B.D!$A:$F,6,FALSE)</f>
        <v>NOGAL</v>
      </c>
      <c r="F192" s="71" t="str">
        <f>VLOOKUP(C192,[1]B.D!$A:$G,7,FALSE)</f>
        <v>SLIDING - ZENIA</v>
      </c>
      <c r="G192" s="13">
        <v>80748.150000000009</v>
      </c>
      <c r="H192" s="87"/>
      <c r="I192" s="88">
        <f t="shared" si="4"/>
        <v>0</v>
      </c>
      <c r="J192" s="89">
        <f>VLOOKUP(C192,[1]B.D!$A:$E,5,FALSE)</f>
        <v>9.6479999999999997</v>
      </c>
      <c r="K192" s="89">
        <f t="shared" si="5"/>
        <v>0</v>
      </c>
    </row>
    <row r="193" spans="2:11" ht="15" customHeight="1">
      <c r="B193" s="86">
        <v>181</v>
      </c>
      <c r="C193" s="71" t="s">
        <v>269</v>
      </c>
      <c r="D193" s="71" t="str">
        <f>VLOOKUP(C193,[1]B.D!$A:$B,2,FALSE)</f>
        <v>MARCO CORREDERA ZENIA - ROBLE</v>
      </c>
      <c r="E193" s="71" t="str">
        <f>VLOOKUP(C193,[1]B.D!$A:$F,6,FALSE)</f>
        <v>ROBLE</v>
      </c>
      <c r="F193" s="71" t="str">
        <f>VLOOKUP(C193,[1]B.D!$A:$G,7,FALSE)</f>
        <v>SLIDING - ZENIA</v>
      </c>
      <c r="G193" s="13">
        <v>80748.150000000009</v>
      </c>
      <c r="H193" s="87"/>
      <c r="I193" s="88">
        <f t="shared" si="4"/>
        <v>0</v>
      </c>
      <c r="J193" s="89">
        <f>VLOOKUP(C193,[1]B.D!$A:$E,5,FALSE)</f>
        <v>9.6479999999999997</v>
      </c>
      <c r="K193" s="89">
        <f t="shared" si="5"/>
        <v>0</v>
      </c>
    </row>
    <row r="194" spans="2:11" ht="15" customHeight="1">
      <c r="B194" s="86">
        <v>182</v>
      </c>
      <c r="C194" s="71" t="s">
        <v>45</v>
      </c>
      <c r="D194" s="71" t="str">
        <f>VLOOKUP(C194,[1]B.D!$A:$B,2,FALSE)</f>
        <v>MARCO DIVISOR MONORRIEL ANDES - BLANCO</v>
      </c>
      <c r="E194" s="71" t="str">
        <f>VLOOKUP(C194,[1]B.D!$A:$F,6,FALSE)</f>
        <v>BLANCO</v>
      </c>
      <c r="F194" s="71" t="str">
        <f>VLOOKUP(C194,[1]B.D!$A:$G,7,FALSE)</f>
        <v>SLIDING - ANDES</v>
      </c>
      <c r="G194" s="13">
        <v>34659.450000000004</v>
      </c>
      <c r="H194" s="87"/>
      <c r="I194" s="88">
        <f t="shared" si="4"/>
        <v>0</v>
      </c>
      <c r="J194" s="89">
        <f>VLOOKUP(C194,[1]B.D!$A:$E,5,FALSE)</f>
        <v>7.4640000000000004</v>
      </c>
      <c r="K194" s="89">
        <f t="shared" si="5"/>
        <v>0</v>
      </c>
    </row>
    <row r="195" spans="2:11" ht="15" customHeight="1">
      <c r="B195" s="86">
        <v>183</v>
      </c>
      <c r="C195" s="71" t="s">
        <v>47</v>
      </c>
      <c r="D195" s="71" t="str">
        <f>VLOOKUP(C195,[1]B.D!$A:$B,2,FALSE)</f>
        <v>MARCO DIVISOR MONORRIEL ANDES - NOGAL</v>
      </c>
      <c r="E195" s="71" t="str">
        <f>VLOOKUP(C195,[1]B.D!$A:$F,6,FALSE)</f>
        <v>NOGAL</v>
      </c>
      <c r="F195" s="71" t="str">
        <f>VLOOKUP(C195,[1]B.D!$A:$G,7,FALSE)</f>
        <v>SLIDING - ANDES</v>
      </c>
      <c r="G195" s="13">
        <v>50692.950000000004</v>
      </c>
      <c r="H195" s="87"/>
      <c r="I195" s="88">
        <f t="shared" si="4"/>
        <v>0</v>
      </c>
      <c r="J195" s="89">
        <f>VLOOKUP(C195,[1]B.D!$A:$E,5,FALSE)</f>
        <v>7.4640000000000004</v>
      </c>
      <c r="K195" s="89">
        <f t="shared" si="5"/>
        <v>0</v>
      </c>
    </row>
    <row r="196" spans="2:11" ht="15" customHeight="1">
      <c r="B196" s="86">
        <v>184</v>
      </c>
      <c r="C196" s="71" t="s">
        <v>46</v>
      </c>
      <c r="D196" s="71" t="str">
        <f>VLOOKUP(C196,[1]B.D!$A:$B,2,FALSE)</f>
        <v>MARCO DIVISOR MONORRIEL ANDES - ROBLE</v>
      </c>
      <c r="E196" s="71" t="str">
        <f>VLOOKUP(C196,[1]B.D!$A:$F,6,FALSE)</f>
        <v>ROBLE</v>
      </c>
      <c r="F196" s="71" t="str">
        <f>VLOOKUP(C196,[1]B.D!$A:$G,7,FALSE)</f>
        <v>SLIDING - ANDES</v>
      </c>
      <c r="G196" s="13">
        <v>50692.950000000004</v>
      </c>
      <c r="H196" s="87"/>
      <c r="I196" s="88">
        <f t="shared" si="4"/>
        <v>0</v>
      </c>
      <c r="J196" s="89">
        <f>VLOOKUP(C196,[1]B.D!$A:$E,5,FALSE)</f>
        <v>7.4640000000000004</v>
      </c>
      <c r="K196" s="89">
        <f t="shared" si="5"/>
        <v>0</v>
      </c>
    </row>
    <row r="197" spans="2:11" ht="15" customHeight="1">
      <c r="B197" s="86">
        <v>185</v>
      </c>
      <c r="C197" s="71" t="s">
        <v>35</v>
      </c>
      <c r="D197" s="71" t="str">
        <f>VLOOKUP(C197,[1]B.D!$A:$B,2,FALSE)</f>
        <v>MARCO DOBLE RIEL CORREDERA ANDES - BLANCO</v>
      </c>
      <c r="E197" s="71" t="str">
        <f>VLOOKUP(C197,[1]B.D!$A:$F,6,FALSE)</f>
        <v>BLANCO</v>
      </c>
      <c r="F197" s="71" t="str">
        <f>VLOOKUP(C197,[1]B.D!$A:$G,7,FALSE)</f>
        <v>SLIDING - ANDES</v>
      </c>
      <c r="G197" s="13">
        <v>30567.600000000002</v>
      </c>
      <c r="H197" s="87"/>
      <c r="I197" s="88">
        <f t="shared" si="4"/>
        <v>0</v>
      </c>
      <c r="J197" s="89">
        <f>VLOOKUP(C197,[1]B.D!$A:$E,5,FALSE)</f>
        <v>5.88</v>
      </c>
      <c r="K197" s="89">
        <f t="shared" si="5"/>
        <v>0</v>
      </c>
    </row>
    <row r="198" spans="2:11" ht="15" customHeight="1">
      <c r="B198" s="86">
        <v>186</v>
      </c>
      <c r="C198" s="71" t="s">
        <v>38</v>
      </c>
      <c r="D198" s="71" t="str">
        <f>VLOOKUP(C198,[1]B.D!$A:$B,2,FALSE)</f>
        <v>MARCO DOBLE RIEL CORREDERA ANDES - GRAFITO</v>
      </c>
      <c r="E198" s="71" t="str">
        <f>VLOOKUP(C198,[1]B.D!$A:$F,6,FALSE)</f>
        <v>GRAFITO</v>
      </c>
      <c r="F198" s="71" t="str">
        <f>VLOOKUP(C198,[1]B.D!$A:$G,7,FALSE)</f>
        <v>SLIDING - ANDES</v>
      </c>
      <c r="G198" s="13">
        <v>48365.1</v>
      </c>
      <c r="H198" s="87"/>
      <c r="I198" s="88">
        <f t="shared" si="4"/>
        <v>0</v>
      </c>
      <c r="J198" s="89">
        <f>VLOOKUP(C198,[1]B.D!$A:$E,5,FALSE)</f>
        <v>6.0119999999999996</v>
      </c>
      <c r="K198" s="89">
        <f t="shared" si="5"/>
        <v>0</v>
      </c>
    </row>
    <row r="199" spans="2:11" ht="15" customHeight="1">
      <c r="B199" s="86">
        <v>187</v>
      </c>
      <c r="C199" s="71" t="s">
        <v>39</v>
      </c>
      <c r="D199" s="71" t="str">
        <f>VLOOKUP(C199,[1]B.D!$A:$B,2,FALSE)</f>
        <v>MARCO DOBLE RIEL CORREDERA ANDES - NEW BLACK</v>
      </c>
      <c r="E199" s="71" t="str">
        <f>VLOOKUP(C199,[1]B.D!$A:$F,6,FALSE)</f>
        <v>NEW BLACK</v>
      </c>
      <c r="F199" s="71" t="str">
        <f>VLOOKUP(C199,[1]B.D!$A:$G,7,FALSE)</f>
        <v>SLIDING - ANDES</v>
      </c>
      <c r="G199" s="13">
        <v>47971.35</v>
      </c>
      <c r="H199" s="87"/>
      <c r="I199" s="88">
        <f t="shared" si="4"/>
        <v>0</v>
      </c>
      <c r="J199" s="89">
        <f>VLOOKUP(C199,[1]B.D!$A:$E,5,FALSE)</f>
        <v>6.0119999999999996</v>
      </c>
      <c r="K199" s="89">
        <f t="shared" si="5"/>
        <v>0</v>
      </c>
    </row>
    <row r="200" spans="2:11" ht="15" customHeight="1">
      <c r="B200" s="86">
        <v>188</v>
      </c>
      <c r="C200" s="71" t="s">
        <v>37</v>
      </c>
      <c r="D200" s="71" t="str">
        <f>VLOOKUP(C200,[1]B.D!$A:$B,2,FALSE)</f>
        <v>MARCO DOBLE RIEL CORREDERA ANDES - NOGAL</v>
      </c>
      <c r="E200" s="71" t="str">
        <f>VLOOKUP(C200,[1]B.D!$A:$F,6,FALSE)</f>
        <v>NOGAL</v>
      </c>
      <c r="F200" s="71" t="str">
        <f>VLOOKUP(C200,[1]B.D!$A:$G,7,FALSE)</f>
        <v>SLIDING - ANDES</v>
      </c>
      <c r="G200" s="13">
        <v>44356.200000000004</v>
      </c>
      <c r="H200" s="87"/>
      <c r="I200" s="88">
        <f t="shared" si="4"/>
        <v>0</v>
      </c>
      <c r="J200" s="89">
        <f>VLOOKUP(C200,[1]B.D!$A:$E,5,FALSE)</f>
        <v>6.0119999999999996</v>
      </c>
      <c r="K200" s="89">
        <f t="shared" si="5"/>
        <v>0</v>
      </c>
    </row>
    <row r="201" spans="2:11" ht="15" customHeight="1">
      <c r="B201" s="86">
        <v>189</v>
      </c>
      <c r="C201" s="71" t="s">
        <v>36</v>
      </c>
      <c r="D201" s="71" t="str">
        <f>VLOOKUP(C201,[1]B.D!$A:$B,2,FALSE)</f>
        <v>MARCO DOBLE RIEL CORREDERA ANDES - ROBLE</v>
      </c>
      <c r="E201" s="71" t="str">
        <f>VLOOKUP(C201,[1]B.D!$A:$F,6,FALSE)</f>
        <v>ROBLE</v>
      </c>
      <c r="F201" s="71" t="str">
        <f>VLOOKUP(C201,[1]B.D!$A:$G,7,FALSE)</f>
        <v>SLIDING - ANDES</v>
      </c>
      <c r="G201" s="13">
        <v>44356.200000000004</v>
      </c>
      <c r="H201" s="87"/>
      <c r="I201" s="88">
        <f t="shared" si="4"/>
        <v>0</v>
      </c>
      <c r="J201" s="89">
        <f>VLOOKUP(C201,[1]B.D!$A:$E,5,FALSE)</f>
        <v>6.0119999999999996</v>
      </c>
      <c r="K201" s="89">
        <f t="shared" si="5"/>
        <v>0</v>
      </c>
    </row>
    <row r="202" spans="2:11" ht="15" customHeight="1">
      <c r="B202" s="86">
        <v>190</v>
      </c>
      <c r="C202" s="71" t="s">
        <v>25</v>
      </c>
      <c r="D202" s="71" t="str">
        <f>VLOOKUP(C202,[1]B.D!$A:$B,2,FALSE)</f>
        <v>MARCO DOBLE RIEL CORREDERA S70 - BLANCO</v>
      </c>
      <c r="E202" s="71" t="str">
        <f>VLOOKUP(C202,[1]B.D!$A:$F,6,FALSE)</f>
        <v>BLANCO</v>
      </c>
      <c r="F202" s="71" t="str">
        <f>VLOOKUP(C202,[1]B.D!$A:$G,7,FALSE)</f>
        <v>SLIDING</v>
      </c>
      <c r="G202" s="13">
        <v>31905.300000000003</v>
      </c>
      <c r="H202" s="87"/>
      <c r="I202" s="88">
        <f t="shared" si="4"/>
        <v>0</v>
      </c>
      <c r="J202" s="89">
        <f>VLOOKUP(C202,[1]B.D!$A:$E,5,FALSE)</f>
        <v>7.68</v>
      </c>
      <c r="K202" s="89">
        <f t="shared" si="5"/>
        <v>0</v>
      </c>
    </row>
    <row r="203" spans="2:11" ht="15" customHeight="1">
      <c r="B203" s="86">
        <v>191</v>
      </c>
      <c r="C203" s="71" t="s">
        <v>28</v>
      </c>
      <c r="D203" s="71" t="str">
        <f>VLOOKUP(C203,[1]B.D!$A:$B,2,FALSE)</f>
        <v>MARCO DOBLE RIEL CORREDERA S70 - GRAFITO</v>
      </c>
      <c r="E203" s="71" t="str">
        <f>VLOOKUP(C203,[1]B.D!$A:$F,6,FALSE)</f>
        <v>GRAFITO</v>
      </c>
      <c r="F203" s="71" t="str">
        <f>VLOOKUP(C203,[1]B.D!$A:$G,7,FALSE)</f>
        <v>SLIDING</v>
      </c>
      <c r="G203" s="13">
        <v>56147.700000000004</v>
      </c>
      <c r="H203" s="87"/>
      <c r="I203" s="88">
        <f t="shared" si="4"/>
        <v>0</v>
      </c>
      <c r="J203" s="89">
        <f>VLOOKUP(C203,[1]B.D!$A:$E,5,FALSE)</f>
        <v>7.68</v>
      </c>
      <c r="K203" s="89">
        <f t="shared" si="5"/>
        <v>0</v>
      </c>
    </row>
    <row r="204" spans="2:11" ht="15" customHeight="1">
      <c r="B204" s="86">
        <v>192</v>
      </c>
      <c r="C204" s="71" t="s">
        <v>29</v>
      </c>
      <c r="D204" s="71" t="str">
        <f>VLOOKUP(C204,[1]B.D!$A:$B,2,FALSE)</f>
        <v>MARCO DOBLE RIEL CORREDERA S70 - NEW BLACK</v>
      </c>
      <c r="E204" s="71" t="str">
        <f>VLOOKUP(C204,[1]B.D!$A:$F,6,FALSE)</f>
        <v>NEW BLACK</v>
      </c>
      <c r="F204" s="71" t="str">
        <f>VLOOKUP(C204,[1]B.D!$A:$G,7,FALSE)</f>
        <v>SLIDING</v>
      </c>
      <c r="G204" s="13">
        <v>57073.8</v>
      </c>
      <c r="H204" s="87"/>
      <c r="I204" s="88">
        <f t="shared" si="4"/>
        <v>0</v>
      </c>
      <c r="J204" s="89">
        <f>VLOOKUP(C204,[1]B.D!$A:$E,5,FALSE)</f>
        <v>7.68</v>
      </c>
      <c r="K204" s="89">
        <f t="shared" si="5"/>
        <v>0</v>
      </c>
    </row>
    <row r="205" spans="2:11" ht="15" customHeight="1">
      <c r="B205" s="86">
        <v>193</v>
      </c>
      <c r="C205" s="71" t="s">
        <v>27</v>
      </c>
      <c r="D205" s="71" t="str">
        <f>VLOOKUP(C205,[1]B.D!$A:$B,2,FALSE)</f>
        <v>MARCO DOBLE RIEL CORREDERA S70 - NOGAL</v>
      </c>
      <c r="E205" s="71" t="str">
        <f>VLOOKUP(C205,[1]B.D!$A:$F,6,FALSE)</f>
        <v>NOGAL</v>
      </c>
      <c r="F205" s="71" t="str">
        <f>VLOOKUP(C205,[1]B.D!$A:$G,7,FALSE)</f>
        <v>SLIDING</v>
      </c>
      <c r="G205" s="13">
        <v>52473.75</v>
      </c>
      <c r="H205" s="87"/>
      <c r="I205" s="88">
        <f t="shared" ref="I205:I268" si="6">G205*H205</f>
        <v>0</v>
      </c>
      <c r="J205" s="89">
        <f>VLOOKUP(C205,[1]B.D!$A:$E,5,FALSE)</f>
        <v>7.68</v>
      </c>
      <c r="K205" s="89">
        <f t="shared" ref="K205:K268" si="7">$H205*$J205</f>
        <v>0</v>
      </c>
    </row>
    <row r="206" spans="2:11" ht="15" customHeight="1">
      <c r="B206" s="86">
        <v>194</v>
      </c>
      <c r="C206" s="71" t="s">
        <v>26</v>
      </c>
      <c r="D206" s="71" t="str">
        <f>VLOOKUP(C206,[1]B.D!$A:$B,2,FALSE)</f>
        <v>MARCO DOBLE RIEL CORREDERA S70 - ROBLE</v>
      </c>
      <c r="E206" s="71" t="str">
        <f>VLOOKUP(C206,[1]B.D!$A:$F,6,FALSE)</f>
        <v>ROBLE</v>
      </c>
      <c r="F206" s="71" t="str">
        <f>VLOOKUP(C206,[1]B.D!$A:$G,7,FALSE)</f>
        <v>SLIDING</v>
      </c>
      <c r="G206" s="13">
        <v>52473.75</v>
      </c>
      <c r="H206" s="87"/>
      <c r="I206" s="88">
        <f t="shared" si="6"/>
        <v>0</v>
      </c>
      <c r="J206" s="89">
        <f>VLOOKUP(C206,[1]B.D!$A:$E,5,FALSE)</f>
        <v>7.68</v>
      </c>
      <c r="K206" s="89">
        <f t="shared" si="7"/>
        <v>0</v>
      </c>
    </row>
    <row r="207" spans="2:11" ht="15" customHeight="1">
      <c r="B207" s="86">
        <v>195</v>
      </c>
      <c r="C207" s="71" t="s">
        <v>30</v>
      </c>
      <c r="D207" s="71" t="str">
        <f>VLOOKUP(C207,[1]B.D!$A:$B,2,FALSE)</f>
        <v>MARCO DOBLE RIEL CORREDERA S75 - BLANCO</v>
      </c>
      <c r="E207" s="71" t="str">
        <f>VLOOKUP(C207,[1]B.D!$A:$F,6,FALSE)</f>
        <v>BLANCO</v>
      </c>
      <c r="F207" s="71" t="str">
        <f>VLOOKUP(C207,[1]B.D!$A:$G,7,FALSE)</f>
        <v>SLIDING</v>
      </c>
      <c r="G207" s="13">
        <v>31905.300000000003</v>
      </c>
      <c r="H207" s="87"/>
      <c r="I207" s="88">
        <f t="shared" si="6"/>
        <v>0</v>
      </c>
      <c r="J207" s="89">
        <f>VLOOKUP(C207,[1]B.D!$A:$E,5,FALSE)</f>
        <v>7.05</v>
      </c>
      <c r="K207" s="89">
        <f t="shared" si="7"/>
        <v>0</v>
      </c>
    </row>
    <row r="208" spans="2:11" ht="15" customHeight="1">
      <c r="B208" s="86">
        <v>196</v>
      </c>
      <c r="C208" s="71" t="s">
        <v>33</v>
      </c>
      <c r="D208" s="71" t="str">
        <f>VLOOKUP(C208,[1]B.D!$A:$B,2,FALSE)</f>
        <v>MARCO DOBLE RIEL CORREDERA S75 - GRAFITO</v>
      </c>
      <c r="E208" s="71" t="str">
        <f>VLOOKUP(C208,[1]B.D!$A:$F,6,FALSE)</f>
        <v>GRAFITO</v>
      </c>
      <c r="F208" s="71" t="str">
        <f>VLOOKUP(C208,[1]B.D!$A:$G,7,FALSE)</f>
        <v>SLIDING</v>
      </c>
      <c r="G208" s="13">
        <v>56147.700000000004</v>
      </c>
      <c r="H208" s="87"/>
      <c r="I208" s="88">
        <f t="shared" si="6"/>
        <v>0</v>
      </c>
      <c r="J208" s="89">
        <f>VLOOKUP(C208,[1]B.D!$A:$E,5,FALSE)</f>
        <v>7.218</v>
      </c>
      <c r="K208" s="89">
        <f t="shared" si="7"/>
        <v>0</v>
      </c>
    </row>
    <row r="209" spans="2:11" ht="15" customHeight="1">
      <c r="B209" s="86">
        <v>197</v>
      </c>
      <c r="C209" s="71" t="s">
        <v>34</v>
      </c>
      <c r="D209" s="71" t="str">
        <f>VLOOKUP(C209,[1]B.D!$A:$B,2,FALSE)</f>
        <v>MARCO DOBLE RIEL CORREDERA S75 - NEW BLACK</v>
      </c>
      <c r="E209" s="71" t="str">
        <f>VLOOKUP(C209,[1]B.D!$A:$F,6,FALSE)</f>
        <v>NEW BLACK</v>
      </c>
      <c r="F209" s="71" t="str">
        <f>VLOOKUP(C209,[1]B.D!$A:$G,7,FALSE)</f>
        <v>SLIDING</v>
      </c>
      <c r="G209" s="13">
        <v>57073.8</v>
      </c>
      <c r="H209" s="87"/>
      <c r="I209" s="88">
        <f t="shared" si="6"/>
        <v>0</v>
      </c>
      <c r="J209" s="89">
        <f>VLOOKUP(C209,[1]B.D!$A:$E,5,FALSE)</f>
        <v>7.218</v>
      </c>
      <c r="K209" s="89">
        <f t="shared" si="7"/>
        <v>0</v>
      </c>
    </row>
    <row r="210" spans="2:11" ht="15" customHeight="1">
      <c r="B210" s="86">
        <v>198</v>
      </c>
      <c r="C210" s="71" t="s">
        <v>32</v>
      </c>
      <c r="D210" s="71" t="str">
        <f>VLOOKUP(C210,[1]B.D!$A:$B,2,FALSE)</f>
        <v>MARCO DOBLE RIEL CORREDERA S75 - NOGAL</v>
      </c>
      <c r="E210" s="71" t="str">
        <f>VLOOKUP(C210,[1]B.D!$A:$F,6,FALSE)</f>
        <v>NOGAL</v>
      </c>
      <c r="F210" s="71" t="str">
        <f>VLOOKUP(C210,[1]B.D!$A:$G,7,FALSE)</f>
        <v>SLIDING</v>
      </c>
      <c r="G210" s="13">
        <v>52473.75</v>
      </c>
      <c r="H210" s="87"/>
      <c r="I210" s="88">
        <f t="shared" si="6"/>
        <v>0</v>
      </c>
      <c r="J210" s="89">
        <f>VLOOKUP(C210,[1]B.D!$A:$E,5,FALSE)</f>
        <v>7.218</v>
      </c>
      <c r="K210" s="89">
        <f t="shared" si="7"/>
        <v>0</v>
      </c>
    </row>
    <row r="211" spans="2:11" ht="15" customHeight="1">
      <c r="B211" s="86">
        <v>199</v>
      </c>
      <c r="C211" s="71" t="s">
        <v>31</v>
      </c>
      <c r="D211" s="71" t="str">
        <f>VLOOKUP(C211,[1]B.D!$A:$B,2,FALSE)</f>
        <v>MARCO DOBLE RIEL CORREDERA S75 - ROBLE</v>
      </c>
      <c r="E211" s="71" t="str">
        <f>VLOOKUP(C211,[1]B.D!$A:$F,6,FALSE)</f>
        <v>ROBLE</v>
      </c>
      <c r="F211" s="71" t="str">
        <f>VLOOKUP(C211,[1]B.D!$A:$G,7,FALSE)</f>
        <v>SLIDING</v>
      </c>
      <c r="G211" s="13">
        <v>52473.75</v>
      </c>
      <c r="H211" s="87"/>
      <c r="I211" s="88">
        <f t="shared" si="6"/>
        <v>0</v>
      </c>
      <c r="J211" s="89">
        <f>VLOOKUP(C211,[1]B.D!$A:$E,5,FALSE)</f>
        <v>7.218</v>
      </c>
      <c r="K211" s="89">
        <f t="shared" si="7"/>
        <v>0</v>
      </c>
    </row>
    <row r="212" spans="2:11" ht="15" customHeight="1">
      <c r="B212" s="86">
        <v>200</v>
      </c>
      <c r="C212" s="71" t="s">
        <v>156</v>
      </c>
      <c r="D212" s="71" t="str">
        <f>VLOOKUP(C212,[1]B.D!$A:$B,2,FALSE)</f>
        <v>MARCO FIJO ANDES S38 - BLANCO</v>
      </c>
      <c r="E212" s="71" t="str">
        <f>VLOOKUP(C212,[1]B.D!$A:$F,6,FALSE)</f>
        <v>BLANCO</v>
      </c>
      <c r="F212" s="71" t="str">
        <f>VLOOKUP(C212,[1]B.D!$A:$G,7,FALSE)</f>
        <v>S38 - ANDES</v>
      </c>
      <c r="G212" s="13">
        <v>18916.8</v>
      </c>
      <c r="H212" s="87"/>
      <c r="I212" s="88">
        <f t="shared" si="6"/>
        <v>0</v>
      </c>
      <c r="J212" s="89">
        <f>VLOOKUP(C212,[1]B.D!$A:$E,5,FALSE)</f>
        <v>4.0019999999999998</v>
      </c>
      <c r="K212" s="89">
        <f t="shared" si="7"/>
        <v>0</v>
      </c>
    </row>
    <row r="213" spans="2:11" ht="15" customHeight="1">
      <c r="B213" s="86">
        <v>201</v>
      </c>
      <c r="C213" s="71" t="s">
        <v>159</v>
      </c>
      <c r="D213" s="71" t="str">
        <f>VLOOKUP(C213,[1]B.D!$A:$B,2,FALSE)</f>
        <v>MARCO FIJO ANDES S38 - GRAFITO</v>
      </c>
      <c r="E213" s="71" t="str">
        <f>VLOOKUP(C213,[1]B.D!$A:$F,6,FALSE)</f>
        <v>GRAFITO</v>
      </c>
      <c r="F213" s="71" t="str">
        <f>VLOOKUP(C213,[1]B.D!$A:$G,7,FALSE)</f>
        <v>S38 - ANDES</v>
      </c>
      <c r="G213" s="13">
        <v>30521.4</v>
      </c>
      <c r="H213" s="87"/>
      <c r="I213" s="88">
        <f t="shared" si="6"/>
        <v>0</v>
      </c>
      <c r="J213" s="89">
        <f>VLOOKUP(C213,[1]B.D!$A:$E,5,FALSE)</f>
        <v>4.0019999999999998</v>
      </c>
      <c r="K213" s="89">
        <f t="shared" si="7"/>
        <v>0</v>
      </c>
    </row>
    <row r="214" spans="2:11" ht="15" customHeight="1">
      <c r="B214" s="86">
        <v>202</v>
      </c>
      <c r="C214" s="71" t="s">
        <v>160</v>
      </c>
      <c r="D214" s="71" t="str">
        <f>VLOOKUP(C214,[1]B.D!$A:$B,2,FALSE)</f>
        <v>MARCO FIJO ANDES S38 - NEW BLACK</v>
      </c>
      <c r="E214" s="71" t="str">
        <f>VLOOKUP(C214,[1]B.D!$A:$F,6,FALSE)</f>
        <v>NEW BLACK</v>
      </c>
      <c r="F214" s="71" t="str">
        <f>VLOOKUP(C214,[1]B.D!$A:$G,7,FALSE)</f>
        <v>S38 - ANDES</v>
      </c>
      <c r="G214" s="13">
        <v>32047.050000000003</v>
      </c>
      <c r="H214" s="87"/>
      <c r="I214" s="88">
        <f t="shared" si="6"/>
        <v>0</v>
      </c>
      <c r="J214" s="89">
        <f>VLOOKUP(C214,[1]B.D!$A:$E,5,FALSE)</f>
        <v>4.1760000000000002</v>
      </c>
      <c r="K214" s="89">
        <f t="shared" si="7"/>
        <v>0</v>
      </c>
    </row>
    <row r="215" spans="2:11" ht="15" customHeight="1">
      <c r="B215" s="86">
        <v>203</v>
      </c>
      <c r="C215" s="71" t="s">
        <v>158</v>
      </c>
      <c r="D215" s="71" t="str">
        <f>VLOOKUP(C215,[1]B.D!$A:$B,2,FALSE)</f>
        <v>MARCO FIJO ANDES S38 - NOGAL</v>
      </c>
      <c r="E215" s="71" t="str">
        <f>VLOOKUP(C215,[1]B.D!$A:$F,6,FALSE)</f>
        <v>NOGAL</v>
      </c>
      <c r="F215" s="71" t="str">
        <f>VLOOKUP(C215,[1]B.D!$A:$G,7,FALSE)</f>
        <v>S38 - ANDES</v>
      </c>
      <c r="G215" s="13">
        <v>28405.65</v>
      </c>
      <c r="H215" s="87"/>
      <c r="I215" s="88">
        <f t="shared" si="6"/>
        <v>0</v>
      </c>
      <c r="J215" s="89">
        <f>VLOOKUP(C215,[1]B.D!$A:$E,5,FALSE)</f>
        <v>4.0019999999999998</v>
      </c>
      <c r="K215" s="89">
        <f t="shared" si="7"/>
        <v>0</v>
      </c>
    </row>
    <row r="216" spans="2:11" ht="15" customHeight="1">
      <c r="B216" s="86">
        <v>204</v>
      </c>
      <c r="C216" s="71" t="s">
        <v>157</v>
      </c>
      <c r="D216" s="71" t="str">
        <f>VLOOKUP(C216,[1]B.D!$A:$B,2,FALSE)</f>
        <v>MARCO FIJO ANDES S38 - ROBLE</v>
      </c>
      <c r="E216" s="71" t="str">
        <f>VLOOKUP(C216,[1]B.D!$A:$F,6,FALSE)</f>
        <v>ROBLE</v>
      </c>
      <c r="F216" s="71" t="str">
        <f>VLOOKUP(C216,[1]B.D!$A:$G,7,FALSE)</f>
        <v>S38 - ANDES</v>
      </c>
      <c r="G216" s="13">
        <v>28405.65</v>
      </c>
      <c r="H216" s="87"/>
      <c r="I216" s="88">
        <f t="shared" si="6"/>
        <v>0</v>
      </c>
      <c r="J216" s="89">
        <f>VLOOKUP(C216,[1]B.D!$A:$E,5,FALSE)</f>
        <v>4.0019999999999998</v>
      </c>
      <c r="K216" s="89">
        <f t="shared" si="7"/>
        <v>0</v>
      </c>
    </row>
    <row r="217" spans="2:11" ht="15" customHeight="1">
      <c r="B217" s="86">
        <v>205</v>
      </c>
      <c r="C217" s="71" t="s">
        <v>151</v>
      </c>
      <c r="D217" s="71" t="str">
        <f>VLOOKUP(C217,[1]B.D!$A:$B,2,FALSE)</f>
        <v>MARCO FIJO S60 - BLANCO</v>
      </c>
      <c r="E217" s="71" t="str">
        <f>VLOOKUP(C217,[1]B.D!$A:$F,6,FALSE)</f>
        <v>BLANCO</v>
      </c>
      <c r="F217" s="71" t="str">
        <f>VLOOKUP(C217,[1]B.D!$A:$G,7,FALSE)</f>
        <v>S60</v>
      </c>
      <c r="G217" s="13">
        <v>27642.300000000003</v>
      </c>
      <c r="H217" s="87"/>
      <c r="I217" s="88">
        <f t="shared" si="6"/>
        <v>0</v>
      </c>
      <c r="J217" s="89">
        <f>VLOOKUP(C217,[1]B.D!$A:$E,5,FALSE)</f>
        <v>7.2</v>
      </c>
      <c r="K217" s="89">
        <f t="shared" si="7"/>
        <v>0</v>
      </c>
    </row>
    <row r="218" spans="2:11" ht="15" customHeight="1">
      <c r="B218" s="86">
        <v>206</v>
      </c>
      <c r="C218" s="71" t="s">
        <v>154</v>
      </c>
      <c r="D218" s="71" t="str">
        <f>VLOOKUP(C218,[1]B.D!$A:$B,2,FALSE)</f>
        <v>MARCO FIJO S60 - GRAFITO</v>
      </c>
      <c r="E218" s="71" t="str">
        <f>VLOOKUP(C218,[1]B.D!$A:$F,6,FALSE)</f>
        <v>GRAFITO</v>
      </c>
      <c r="F218" s="71" t="str">
        <f>VLOOKUP(C218,[1]B.D!$A:$G,7,FALSE)</f>
        <v>S60</v>
      </c>
      <c r="G218" s="13">
        <v>41934.9</v>
      </c>
      <c r="H218" s="87"/>
      <c r="I218" s="88">
        <f t="shared" si="6"/>
        <v>0</v>
      </c>
      <c r="J218" s="89">
        <f>VLOOKUP(C218,[1]B.D!$A:$E,5,FALSE)</f>
        <v>7.2359999999999998</v>
      </c>
      <c r="K218" s="89">
        <f t="shared" si="7"/>
        <v>0</v>
      </c>
    </row>
    <row r="219" spans="2:11" ht="15" customHeight="1">
      <c r="B219" s="86">
        <v>207</v>
      </c>
      <c r="C219" s="71" t="s">
        <v>155</v>
      </c>
      <c r="D219" s="71" t="str">
        <f>VLOOKUP(C219,[1]B.D!$A:$B,2,FALSE)</f>
        <v>MARCO FIJO S60 - NEW BLACK</v>
      </c>
      <c r="E219" s="71" t="str">
        <f>VLOOKUP(C219,[1]B.D!$A:$F,6,FALSE)</f>
        <v>NEW BLACK</v>
      </c>
      <c r="F219" s="71" t="str">
        <f>VLOOKUP(C219,[1]B.D!$A:$G,7,FALSE)</f>
        <v>S60</v>
      </c>
      <c r="G219" s="13">
        <v>51681</v>
      </c>
      <c r="H219" s="87"/>
      <c r="I219" s="88">
        <f t="shared" si="6"/>
        <v>0</v>
      </c>
      <c r="J219" s="89">
        <f>VLOOKUP(C219,[1]B.D!$A:$E,5,FALSE)</f>
        <v>7.2359999999999998</v>
      </c>
      <c r="K219" s="89">
        <f t="shared" si="7"/>
        <v>0</v>
      </c>
    </row>
    <row r="220" spans="2:11" ht="15" customHeight="1">
      <c r="B220" s="86">
        <v>208</v>
      </c>
      <c r="C220" s="71" t="s">
        <v>153</v>
      </c>
      <c r="D220" s="71" t="str">
        <f>VLOOKUP(C220,[1]B.D!$A:$B,2,FALSE)</f>
        <v>MARCO FIJO S60 - NOGAL</v>
      </c>
      <c r="E220" s="71" t="str">
        <f>VLOOKUP(C220,[1]B.D!$A:$F,6,FALSE)</f>
        <v>NOGAL</v>
      </c>
      <c r="F220" s="71" t="str">
        <f>VLOOKUP(C220,[1]B.D!$A:$G,7,FALSE)</f>
        <v>S60</v>
      </c>
      <c r="G220" s="13">
        <v>39190.200000000004</v>
      </c>
      <c r="H220" s="87"/>
      <c r="I220" s="88">
        <f t="shared" si="6"/>
        <v>0</v>
      </c>
      <c r="J220" s="89">
        <f>VLOOKUP(C220,[1]B.D!$A:$E,5,FALSE)</f>
        <v>7.2359999999999998</v>
      </c>
      <c r="K220" s="89">
        <f t="shared" si="7"/>
        <v>0</v>
      </c>
    </row>
    <row r="221" spans="2:11" ht="15" customHeight="1">
      <c r="B221" s="86">
        <v>209</v>
      </c>
      <c r="C221" s="71" t="s">
        <v>152</v>
      </c>
      <c r="D221" s="71" t="str">
        <f>VLOOKUP(C221,[1]B.D!$A:$B,2,FALSE)</f>
        <v>MARCO FIJO S60 - ROBLE</v>
      </c>
      <c r="E221" s="71" t="str">
        <f>VLOOKUP(C221,[1]B.D!$A:$F,6,FALSE)</f>
        <v>ROBLE</v>
      </c>
      <c r="F221" s="71" t="str">
        <f>VLOOKUP(C221,[1]B.D!$A:$G,7,FALSE)</f>
        <v>S60</v>
      </c>
      <c r="G221" s="13">
        <v>39190.200000000004</v>
      </c>
      <c r="H221" s="87"/>
      <c r="I221" s="88">
        <f t="shared" si="6"/>
        <v>0</v>
      </c>
      <c r="J221" s="89">
        <f>VLOOKUP(C221,[1]B.D!$A:$E,5,FALSE)</f>
        <v>7.2359999999999998</v>
      </c>
      <c r="K221" s="89">
        <f t="shared" si="7"/>
        <v>0</v>
      </c>
    </row>
    <row r="222" spans="2:11" ht="15" customHeight="1">
      <c r="B222" s="86">
        <v>210</v>
      </c>
      <c r="C222" s="71" t="s">
        <v>325</v>
      </c>
      <c r="D222" s="71" t="str">
        <f>VLOOKUP(C222,[1]B.D!$A:$B,2,FALSE)</f>
        <v>MARCO INFERIOR REFORZADO ZENIA - MARRON</v>
      </c>
      <c r="E222" s="71" t="str">
        <f>VLOOKUP(C222,[1]B.D!$A:$F,6,FALSE)</f>
        <v>MARRON</v>
      </c>
      <c r="F222" s="71" t="str">
        <f>VLOOKUP(C222,[1]B.D!$A:$G,7,FALSE)</f>
        <v>SLIDING - ZENIA</v>
      </c>
      <c r="G222" s="13">
        <v>216729.45</v>
      </c>
      <c r="H222" s="87"/>
      <c r="I222" s="88">
        <f t="shared" si="6"/>
        <v>0</v>
      </c>
      <c r="J222" s="89">
        <f>VLOOKUP(C222,[1]B.D!$A:$E,5,FALSE)</f>
        <v>14.448</v>
      </c>
      <c r="K222" s="89">
        <f t="shared" si="7"/>
        <v>0</v>
      </c>
    </row>
    <row r="223" spans="2:11" ht="15" customHeight="1">
      <c r="B223" s="86">
        <v>211</v>
      </c>
      <c r="C223" s="71" t="s">
        <v>326</v>
      </c>
      <c r="D223" s="71" t="str">
        <f>VLOOKUP(C223,[1]B.D!$A:$B,2,FALSE)</f>
        <v>MARCO INFERIOR REFORZADO ZENIA - MARRON OSCURO</v>
      </c>
      <c r="E223" s="71" t="str">
        <f>VLOOKUP(C223,[1]B.D!$A:$F,6,FALSE)</f>
        <v>MARRON OSCURO</v>
      </c>
      <c r="F223" s="71" t="str">
        <f>VLOOKUP(C223,[1]B.D!$A:$G,7,FALSE)</f>
        <v>SLIDING - ZENIA</v>
      </c>
      <c r="G223" s="13">
        <v>259526.40000000002</v>
      </c>
      <c r="H223" s="87"/>
      <c r="I223" s="88">
        <f t="shared" si="6"/>
        <v>0</v>
      </c>
      <c r="J223" s="89">
        <f>VLOOKUP(C223,[1]B.D!$A:$E,5,FALSE)</f>
        <v>14.448</v>
      </c>
      <c r="K223" s="89">
        <f t="shared" si="7"/>
        <v>0</v>
      </c>
    </row>
    <row r="224" spans="2:11" ht="15" customHeight="1">
      <c r="B224" s="86">
        <v>212</v>
      </c>
      <c r="C224" s="71" t="s">
        <v>324</v>
      </c>
      <c r="D224" s="71" t="str">
        <f>VLOOKUP(C224,[1]B.D!$A:$B,2,FALSE)</f>
        <v>MARCO INFERIOR REFORZADO ZENIA - NATURAL</v>
      </c>
      <c r="E224" s="71" t="str">
        <f>VLOOKUP(C224,[1]B.D!$A:$F,6,FALSE)</f>
        <v>NATURAL</v>
      </c>
      <c r="F224" s="71" t="str">
        <f>VLOOKUP(C224,[1]B.D!$A:$G,7,FALSE)</f>
        <v>SLIDING - ZENIA</v>
      </c>
      <c r="G224" s="13">
        <v>216729.45</v>
      </c>
      <c r="H224" s="87"/>
      <c r="I224" s="88">
        <f t="shared" si="6"/>
        <v>0</v>
      </c>
      <c r="J224" s="89">
        <f>VLOOKUP(C224,[1]B.D!$A:$E,5,FALSE)</f>
        <v>14.448</v>
      </c>
      <c r="K224" s="89">
        <f t="shared" si="7"/>
        <v>0</v>
      </c>
    </row>
    <row r="225" spans="2:11" ht="15" customHeight="1">
      <c r="B225" s="86">
        <v>213</v>
      </c>
      <c r="C225" s="71" t="s">
        <v>40</v>
      </c>
      <c r="D225" s="71" t="str">
        <f>VLOOKUP(C225,[1]B.D!$A:$B,2,FALSE)</f>
        <v>MARCO MONORRIEL CORREDERA ANDES - BLANCO</v>
      </c>
      <c r="E225" s="71" t="str">
        <f>VLOOKUP(C225,[1]B.D!$A:$F,6,FALSE)</f>
        <v>BLANCO</v>
      </c>
      <c r="F225" s="71" t="str">
        <f>VLOOKUP(C225,[1]B.D!$A:$G,7,FALSE)</f>
        <v>SLIDING - ANDES</v>
      </c>
      <c r="G225" s="13">
        <v>31825.5</v>
      </c>
      <c r="H225" s="87"/>
      <c r="I225" s="88">
        <f t="shared" si="6"/>
        <v>0</v>
      </c>
      <c r="J225" s="89">
        <f>VLOOKUP(C225,[1]B.D!$A:$E,5,FALSE)</f>
        <v>6.9119999999999999</v>
      </c>
      <c r="K225" s="89">
        <f t="shared" si="7"/>
        <v>0</v>
      </c>
    </row>
    <row r="226" spans="2:11" ht="15" customHeight="1">
      <c r="B226" s="86">
        <v>214</v>
      </c>
      <c r="C226" s="71" t="s">
        <v>43</v>
      </c>
      <c r="D226" s="71" t="str">
        <f>VLOOKUP(C226,[1]B.D!$A:$B,2,FALSE)</f>
        <v>MARCO MONORRIEL CORREDERA ANDES - GRAFITO</v>
      </c>
      <c r="E226" s="71" t="str">
        <f>VLOOKUP(C226,[1]B.D!$A:$F,6,FALSE)</f>
        <v>GRAFITO</v>
      </c>
      <c r="F226" s="71" t="str">
        <f>VLOOKUP(C226,[1]B.D!$A:$G,7,FALSE)</f>
        <v>SLIDING - ANDES</v>
      </c>
      <c r="G226" s="13">
        <v>46217.85</v>
      </c>
      <c r="H226" s="87"/>
      <c r="I226" s="88">
        <f t="shared" si="6"/>
        <v>0</v>
      </c>
      <c r="J226" s="89">
        <f>VLOOKUP(C226,[1]B.D!$A:$E,5,FALSE)</f>
        <v>7.1520000000000001</v>
      </c>
      <c r="K226" s="89">
        <f t="shared" si="7"/>
        <v>0</v>
      </c>
    </row>
    <row r="227" spans="2:11" ht="15" customHeight="1">
      <c r="B227" s="86">
        <v>215</v>
      </c>
      <c r="C227" s="71" t="s">
        <v>44</v>
      </c>
      <c r="D227" s="71" t="str">
        <f>VLOOKUP(C227,[1]B.D!$A:$B,2,FALSE)</f>
        <v>MARCO MONORRIEL CORREDERA ANDES - NEW BLACK</v>
      </c>
      <c r="E227" s="71" t="str">
        <f>VLOOKUP(C227,[1]B.D!$A:$F,6,FALSE)</f>
        <v>NEW BLACK</v>
      </c>
      <c r="F227" s="71" t="str">
        <f>VLOOKUP(C227,[1]B.D!$A:$G,7,FALSE)</f>
        <v>SLIDING - ANDES</v>
      </c>
      <c r="G227" s="13">
        <v>50368.5</v>
      </c>
      <c r="H227" s="87"/>
      <c r="I227" s="88">
        <f t="shared" si="6"/>
        <v>0</v>
      </c>
      <c r="J227" s="89">
        <f>VLOOKUP(C227,[1]B.D!$A:$E,5,FALSE)</f>
        <v>7.1520000000000001</v>
      </c>
      <c r="K227" s="89">
        <f t="shared" si="7"/>
        <v>0</v>
      </c>
    </row>
    <row r="228" spans="2:11" ht="15" customHeight="1">
      <c r="B228" s="86">
        <v>216</v>
      </c>
      <c r="C228" s="71" t="s">
        <v>42</v>
      </c>
      <c r="D228" s="71" t="str">
        <f>VLOOKUP(C228,[1]B.D!$A:$B,2,FALSE)</f>
        <v>MARCO MONORRIEL CORREDERA ANDES - NOGAL</v>
      </c>
      <c r="E228" s="71" t="str">
        <f>VLOOKUP(C228,[1]B.D!$A:$F,6,FALSE)</f>
        <v>NOGAL</v>
      </c>
      <c r="F228" s="71" t="str">
        <f>VLOOKUP(C228,[1]B.D!$A:$G,7,FALSE)</f>
        <v>SLIDING - ANDES</v>
      </c>
      <c r="G228" s="13">
        <v>45512.25</v>
      </c>
      <c r="H228" s="87"/>
      <c r="I228" s="88">
        <f t="shared" si="6"/>
        <v>0</v>
      </c>
      <c r="J228" s="89">
        <f>VLOOKUP(C228,[1]B.D!$A:$E,5,FALSE)</f>
        <v>7.1520000000000001</v>
      </c>
      <c r="K228" s="89">
        <f t="shared" si="7"/>
        <v>0</v>
      </c>
    </row>
    <row r="229" spans="2:11" ht="15" customHeight="1">
      <c r="B229" s="86">
        <v>217</v>
      </c>
      <c r="C229" s="71" t="s">
        <v>41</v>
      </c>
      <c r="D229" s="71" t="str">
        <f>VLOOKUP(C229,[1]B.D!$A:$B,2,FALSE)</f>
        <v>MARCO MONORRIEL CORREDERA ANDES - ROBLE</v>
      </c>
      <c r="E229" s="71" t="str">
        <f>VLOOKUP(C229,[1]B.D!$A:$F,6,FALSE)</f>
        <v>ROBLE</v>
      </c>
      <c r="F229" s="71" t="str">
        <f>VLOOKUP(C229,[1]B.D!$A:$G,7,FALSE)</f>
        <v>SLIDING - ANDES</v>
      </c>
      <c r="G229" s="13">
        <v>45512.25</v>
      </c>
      <c r="H229" s="87"/>
      <c r="I229" s="88">
        <f t="shared" si="6"/>
        <v>0</v>
      </c>
      <c r="J229" s="89">
        <f>VLOOKUP(C229,[1]B.D!$A:$E,5,FALSE)</f>
        <v>7.1520000000000001</v>
      </c>
      <c r="K229" s="89">
        <f t="shared" si="7"/>
        <v>0</v>
      </c>
    </row>
    <row r="230" spans="2:11" ht="15" customHeight="1">
      <c r="B230" s="86">
        <v>218</v>
      </c>
      <c r="C230" s="71" t="s">
        <v>928</v>
      </c>
      <c r="D230" s="71" t="str">
        <f>VLOOKUP(C230,[1]B.D!$A:$B,2,FALSE)</f>
        <v>MARCO MOSQUITERO PLEGABLE - BLACK</v>
      </c>
      <c r="E230" s="71" t="str">
        <f>VLOOKUP(C230,[1]B.D!$A:$F,6,FALSE)</f>
        <v>BLACK</v>
      </c>
      <c r="F230" s="71" t="str">
        <f>VLOOKUP(C230,[1]B.D!$A:$G,7,FALSE)</f>
        <v>MOSQUITERO PLEGABLE</v>
      </c>
      <c r="G230" s="13">
        <v>33075</v>
      </c>
      <c r="H230" s="87"/>
      <c r="I230" s="88">
        <f t="shared" si="6"/>
        <v>0</v>
      </c>
      <c r="J230" s="89">
        <f>VLOOKUP(C230,[1]B.D!$A:$E,5,FALSE)</f>
        <v>2.8</v>
      </c>
      <c r="K230" s="89">
        <f t="shared" si="7"/>
        <v>0</v>
      </c>
    </row>
    <row r="231" spans="2:11" ht="15" customHeight="1">
      <c r="B231" s="86">
        <v>219</v>
      </c>
      <c r="C231" s="71" t="s">
        <v>875</v>
      </c>
      <c r="D231" s="71" t="str">
        <f>VLOOKUP(C231,[1]B.D!$A:$B,2,FALSE)</f>
        <v>MARCO MOSQUITERO PLEGABLE - BLANCO</v>
      </c>
      <c r="E231" s="71" t="str">
        <f>VLOOKUP(C231,[1]B.D!$A:$F,6,FALSE)</f>
        <v>BLANCO</v>
      </c>
      <c r="F231" s="71" t="str">
        <f>VLOOKUP(C231,[1]B.D!$A:$G,7,FALSE)</f>
        <v>MOSQUITERO PLEGABLE</v>
      </c>
      <c r="G231" s="13">
        <v>14713.650000000001</v>
      </c>
      <c r="H231" s="87"/>
      <c r="I231" s="88">
        <f t="shared" si="6"/>
        <v>0</v>
      </c>
      <c r="J231" s="89">
        <f>VLOOKUP(C231,[1]B.D!$A:$E,5,FALSE)</f>
        <v>2.4</v>
      </c>
      <c r="K231" s="89">
        <f t="shared" si="7"/>
        <v>0</v>
      </c>
    </row>
    <row r="232" spans="2:11" ht="15" customHeight="1">
      <c r="B232" s="86">
        <v>220</v>
      </c>
      <c r="C232" s="71" t="s">
        <v>876</v>
      </c>
      <c r="D232" s="71" t="str">
        <f>VLOOKUP(C232,[1]B.D!$A:$B,2,FALSE)</f>
        <v>MARCO MOSQUITERO PLEGABLE - GRAFITO</v>
      </c>
      <c r="E232" s="71" t="str">
        <f>VLOOKUP(C232,[1]B.D!$A:$F,6,FALSE)</f>
        <v>GRAFITO</v>
      </c>
      <c r="F232" s="71" t="str">
        <f>VLOOKUP(C232,[1]B.D!$A:$G,7,FALSE)</f>
        <v>MOSQUITERO PLEGABLE</v>
      </c>
      <c r="G232" s="13">
        <v>34332.9</v>
      </c>
      <c r="H232" s="87"/>
      <c r="I232" s="88">
        <f t="shared" si="6"/>
        <v>0</v>
      </c>
      <c r="J232" s="89">
        <f>VLOOKUP(C232,[1]B.D!$A:$E,5,FALSE)</f>
        <v>2.8</v>
      </c>
      <c r="K232" s="89">
        <f t="shared" si="7"/>
        <v>0</v>
      </c>
    </row>
    <row r="233" spans="2:11" ht="15" customHeight="1">
      <c r="B233" s="86">
        <v>221</v>
      </c>
      <c r="C233" s="71" t="s">
        <v>877</v>
      </c>
      <c r="D233" s="71" t="str">
        <f>VLOOKUP(C233,[1]B.D!$A:$B,2,FALSE)</f>
        <v>MARCO MOSQUITERO PLEGABLE - NOGAL</v>
      </c>
      <c r="E233" s="71" t="str">
        <f>VLOOKUP(C233,[1]B.D!$A:$F,6,FALSE)</f>
        <v>NOGAL</v>
      </c>
      <c r="F233" s="71" t="str">
        <f>VLOOKUP(C233,[1]B.D!$A:$G,7,FALSE)</f>
        <v>MOSQUITERO PLEGABLE</v>
      </c>
      <c r="G233" s="13">
        <v>34332.9</v>
      </c>
      <c r="H233" s="87"/>
      <c r="I233" s="88">
        <f t="shared" si="6"/>
        <v>0</v>
      </c>
      <c r="J233" s="89">
        <f>VLOOKUP(C233,[1]B.D!$A:$E,5,FALSE)</f>
        <v>2.8</v>
      </c>
      <c r="K233" s="89">
        <f t="shared" si="7"/>
        <v>0</v>
      </c>
    </row>
    <row r="234" spans="2:11" ht="15" customHeight="1">
      <c r="B234" s="86">
        <v>222</v>
      </c>
      <c r="C234" s="71" t="s">
        <v>878</v>
      </c>
      <c r="D234" s="71" t="str">
        <f>VLOOKUP(C234,[1]B.D!$A:$B,2,FALSE)</f>
        <v>MARCO MOSQUITERO PLEGABLE - ROBLE</v>
      </c>
      <c r="E234" s="71" t="str">
        <f>VLOOKUP(C234,[1]B.D!$A:$F,6,FALSE)</f>
        <v>ROBLE</v>
      </c>
      <c r="F234" s="71" t="str">
        <f>VLOOKUP(C234,[1]B.D!$A:$G,7,FALSE)</f>
        <v>MOSQUITERO PLEGABLE</v>
      </c>
      <c r="G234" s="13">
        <v>34332.9</v>
      </c>
      <c r="H234" s="87"/>
      <c r="I234" s="88">
        <f t="shared" si="6"/>
        <v>0</v>
      </c>
      <c r="J234" s="89">
        <f>VLOOKUP(C234,[1]B.D!$A:$E,5,FALSE)</f>
        <v>2.8</v>
      </c>
      <c r="K234" s="89">
        <f t="shared" si="7"/>
        <v>0</v>
      </c>
    </row>
    <row r="235" spans="2:11" ht="15" customHeight="1">
      <c r="B235" s="86">
        <v>223</v>
      </c>
      <c r="C235" s="71" t="s">
        <v>16</v>
      </c>
      <c r="D235" s="71" t="str">
        <f>VLOOKUP(C235,[1]B.D!$A:$B,2,FALSE)</f>
        <v>MARCO TRIPLE RIEL CORREDERA S70 - BLANCO</v>
      </c>
      <c r="E235" s="71" t="str">
        <f>VLOOKUP(C235,[1]B.D!$A:$F,6,FALSE)</f>
        <v>BLANCO</v>
      </c>
      <c r="F235" s="71" t="str">
        <f>VLOOKUP(C235,[1]B.D!$A:$G,7,FALSE)</f>
        <v>SLIDING</v>
      </c>
      <c r="G235" s="13">
        <v>53921.700000000004</v>
      </c>
      <c r="H235" s="87"/>
      <c r="I235" s="88">
        <f t="shared" si="6"/>
        <v>0</v>
      </c>
      <c r="J235" s="89">
        <f>VLOOKUP(C235,[1]B.D!$A:$E,5,FALSE)</f>
        <v>12.09</v>
      </c>
      <c r="K235" s="89">
        <f t="shared" si="7"/>
        <v>0</v>
      </c>
    </row>
    <row r="236" spans="2:11" ht="15" customHeight="1">
      <c r="B236" s="86">
        <v>224</v>
      </c>
      <c r="C236" s="71" t="s">
        <v>18</v>
      </c>
      <c r="D236" s="71" t="str">
        <f>VLOOKUP(C236,[1]B.D!$A:$B,2,FALSE)</f>
        <v>MARCO TRIPLE RIEL CORREDERA S70 - GRAFITO</v>
      </c>
      <c r="E236" s="71" t="str">
        <f>VLOOKUP(C236,[1]B.D!$A:$F,6,FALSE)</f>
        <v>GRAFITO</v>
      </c>
      <c r="F236" s="71" t="str">
        <f>VLOOKUP(C236,[1]B.D!$A:$G,7,FALSE)</f>
        <v>SLIDING</v>
      </c>
      <c r="G236" s="13">
        <v>78606.150000000009</v>
      </c>
      <c r="H236" s="87"/>
      <c r="I236" s="88">
        <f t="shared" si="6"/>
        <v>0</v>
      </c>
      <c r="J236" s="89">
        <f>VLOOKUP(C236,[1]B.D!$A:$E,5,FALSE)</f>
        <v>12.09</v>
      </c>
      <c r="K236" s="89">
        <f t="shared" si="7"/>
        <v>0</v>
      </c>
    </row>
    <row r="237" spans="2:11" ht="15" customHeight="1">
      <c r="B237" s="86">
        <v>225</v>
      </c>
      <c r="C237" s="71" t="s">
        <v>19</v>
      </c>
      <c r="D237" s="71" t="str">
        <f>VLOOKUP(C237,[1]B.D!$A:$B,2,FALSE)</f>
        <v>MARCO TRIPLE RIEL CORREDERA S70 - NEW BLACK</v>
      </c>
      <c r="E237" s="71" t="str">
        <f>VLOOKUP(C237,[1]B.D!$A:$F,6,FALSE)</f>
        <v>NEW BLACK</v>
      </c>
      <c r="F237" s="71" t="str">
        <f>VLOOKUP(C237,[1]B.D!$A:$G,7,FALSE)</f>
        <v>SLIDING</v>
      </c>
      <c r="G237" s="13">
        <v>84017.85</v>
      </c>
      <c r="H237" s="87"/>
      <c r="I237" s="88">
        <f t="shared" si="6"/>
        <v>0</v>
      </c>
      <c r="J237" s="89">
        <f>VLOOKUP(C237,[1]B.D!$A:$E,5,FALSE)</f>
        <v>12.09</v>
      </c>
      <c r="K237" s="89">
        <f t="shared" si="7"/>
        <v>0</v>
      </c>
    </row>
    <row r="238" spans="2:11" ht="15" customHeight="1">
      <c r="B238" s="86">
        <v>226</v>
      </c>
      <c r="C238" s="71" t="s">
        <v>17</v>
      </c>
      <c r="D238" s="71" t="str">
        <f>VLOOKUP(C238,[1]B.D!$A:$B,2,FALSE)</f>
        <v>MARCO TRIPLE RIEL CORREDERA S70 - ROBLE</v>
      </c>
      <c r="E238" s="71" t="str">
        <f>VLOOKUP(C238,[1]B.D!$A:$F,6,FALSE)</f>
        <v>ROBLE</v>
      </c>
      <c r="F238" s="71" t="str">
        <f>VLOOKUP(C238,[1]B.D!$A:$G,7,FALSE)</f>
        <v>SLIDING</v>
      </c>
      <c r="G238" s="13">
        <v>73465.350000000006</v>
      </c>
      <c r="H238" s="87"/>
      <c r="I238" s="88">
        <f t="shared" si="6"/>
        <v>0</v>
      </c>
      <c r="J238" s="89">
        <f>VLOOKUP(C238,[1]B.D!$A:$E,5,FALSE)</f>
        <v>12.09</v>
      </c>
      <c r="K238" s="89">
        <f t="shared" si="7"/>
        <v>0</v>
      </c>
    </row>
    <row r="239" spans="2:11" ht="15" customHeight="1">
      <c r="B239" s="86">
        <v>227</v>
      </c>
      <c r="C239" s="71" t="s">
        <v>20</v>
      </c>
      <c r="D239" s="71" t="str">
        <f>VLOOKUP(C239,[1]B.D!$A:$B,2,FALSE)</f>
        <v>MARCO TRIPLE RIEL CORREDERA S75 - BLANCO</v>
      </c>
      <c r="E239" s="71" t="str">
        <f>VLOOKUP(C239,[1]B.D!$A:$F,6,FALSE)</f>
        <v>BLANCO</v>
      </c>
      <c r="F239" s="71" t="str">
        <f>VLOOKUP(C239,[1]B.D!$A:$G,7,FALSE)</f>
        <v>SLIDING</v>
      </c>
      <c r="G239" s="13">
        <v>53921.700000000004</v>
      </c>
      <c r="H239" s="87"/>
      <c r="I239" s="88">
        <f t="shared" si="6"/>
        <v>0</v>
      </c>
      <c r="J239" s="89">
        <f>VLOOKUP(C239,[1]B.D!$A:$E,5,FALSE)</f>
        <v>11.526</v>
      </c>
      <c r="K239" s="89">
        <f t="shared" si="7"/>
        <v>0</v>
      </c>
    </row>
    <row r="240" spans="2:11" ht="15" customHeight="1">
      <c r="B240" s="86">
        <v>228</v>
      </c>
      <c r="C240" s="71" t="s">
        <v>23</v>
      </c>
      <c r="D240" s="71" t="str">
        <f>VLOOKUP(C240,[1]B.D!$A:$B,2,FALSE)</f>
        <v>MARCO TRIPLE RIEL CORREDERA S75 - GRAFITO</v>
      </c>
      <c r="E240" s="71" t="str">
        <f>VLOOKUP(C240,[1]B.D!$A:$F,6,FALSE)</f>
        <v>GRAFITO</v>
      </c>
      <c r="F240" s="71" t="str">
        <f>VLOOKUP(C240,[1]B.D!$A:$G,7,FALSE)</f>
        <v>SLIDING</v>
      </c>
      <c r="G240" s="13">
        <v>78606.150000000009</v>
      </c>
      <c r="H240" s="87"/>
      <c r="I240" s="88">
        <f t="shared" si="6"/>
        <v>0</v>
      </c>
      <c r="J240" s="89">
        <f>VLOOKUP(C240,[1]B.D!$A:$E,5,FALSE)</f>
        <v>11.526</v>
      </c>
      <c r="K240" s="89">
        <f t="shared" si="7"/>
        <v>0</v>
      </c>
    </row>
    <row r="241" spans="2:11" ht="15" customHeight="1">
      <c r="B241" s="86">
        <v>229</v>
      </c>
      <c r="C241" s="71" t="s">
        <v>24</v>
      </c>
      <c r="D241" s="71" t="str">
        <f>VLOOKUP(C241,[1]B.D!$A:$B,2,FALSE)</f>
        <v>MARCO TRIPLE RIEL CORREDERA S75 - NEW BLACK</v>
      </c>
      <c r="E241" s="71" t="str">
        <f>VLOOKUP(C241,[1]B.D!$A:$F,6,FALSE)</f>
        <v>NEW BLACK</v>
      </c>
      <c r="F241" s="71" t="str">
        <f>VLOOKUP(C241,[1]B.D!$A:$G,7,FALSE)</f>
        <v>SLIDING</v>
      </c>
      <c r="G241" s="13">
        <v>84017.85</v>
      </c>
      <c r="H241" s="87"/>
      <c r="I241" s="88">
        <f t="shared" si="6"/>
        <v>0</v>
      </c>
      <c r="J241" s="89">
        <f>VLOOKUP(C241,[1]B.D!$A:$E,5,FALSE)</f>
        <v>11.526</v>
      </c>
      <c r="K241" s="89">
        <f t="shared" si="7"/>
        <v>0</v>
      </c>
    </row>
    <row r="242" spans="2:11" ht="15" customHeight="1">
      <c r="B242" s="86">
        <v>230</v>
      </c>
      <c r="C242" s="71" t="s">
        <v>22</v>
      </c>
      <c r="D242" s="71" t="str">
        <f>VLOOKUP(C242,[1]B.D!$A:$B,2,FALSE)</f>
        <v>MARCO TRIPLE RIEL CORREDERA S75 - NOGAL</v>
      </c>
      <c r="E242" s="71" t="str">
        <f>VLOOKUP(C242,[1]B.D!$A:$F,6,FALSE)</f>
        <v>NOGAL</v>
      </c>
      <c r="F242" s="71" t="str">
        <f>VLOOKUP(C242,[1]B.D!$A:$G,7,FALSE)</f>
        <v>SLIDING</v>
      </c>
      <c r="G242" s="13">
        <v>73465.350000000006</v>
      </c>
      <c r="H242" s="87"/>
      <c r="I242" s="88">
        <f t="shared" si="6"/>
        <v>0</v>
      </c>
      <c r="J242" s="89">
        <f>VLOOKUP(C242,[1]B.D!$A:$E,5,FALSE)</f>
        <v>11.526</v>
      </c>
      <c r="K242" s="89">
        <f t="shared" si="7"/>
        <v>0</v>
      </c>
    </row>
    <row r="243" spans="2:11" ht="15" customHeight="1">
      <c r="B243" s="86">
        <v>231</v>
      </c>
      <c r="C243" s="71" t="s">
        <v>21</v>
      </c>
      <c r="D243" s="71" t="str">
        <f>VLOOKUP(C243,[1]B.D!$A:$B,2,FALSE)</f>
        <v>MARCO TRIPLE RIEL CORREDERA S75 - ROBLE</v>
      </c>
      <c r="E243" s="71" t="str">
        <f>VLOOKUP(C243,[1]B.D!$A:$F,6,FALSE)</f>
        <v>ROBLE</v>
      </c>
      <c r="F243" s="71" t="str">
        <f>VLOOKUP(C243,[1]B.D!$A:$G,7,FALSE)</f>
        <v>SLIDING</v>
      </c>
      <c r="G243" s="13">
        <v>73465.350000000006</v>
      </c>
      <c r="H243" s="87"/>
      <c r="I243" s="88">
        <f t="shared" si="6"/>
        <v>0</v>
      </c>
      <c r="J243" s="89">
        <f>VLOOKUP(C243,[1]B.D!$A:$E,5,FALSE)</f>
        <v>11.526</v>
      </c>
      <c r="K243" s="89">
        <f t="shared" si="7"/>
        <v>0</v>
      </c>
    </row>
    <row r="244" spans="2:11" ht="15" customHeight="1">
      <c r="B244" s="86">
        <v>232</v>
      </c>
      <c r="C244" s="71" t="s">
        <v>146</v>
      </c>
      <c r="D244" s="71" t="str">
        <f>VLOOKUP(C244,[1]B.D!$A:$B,2,FALSE)</f>
        <v>NEW ALETA SIDING MULTIPLE - BLANCO</v>
      </c>
      <c r="E244" s="71" t="str">
        <f>VLOOKUP(C244,[1]B.D!$A:$F,6,FALSE)</f>
        <v>BLANCO</v>
      </c>
      <c r="F244" s="71" t="str">
        <f>VLOOKUP(C244,[1]B.D!$A:$G,7,FALSE)</f>
        <v>COMPLEMENTARIOS</v>
      </c>
      <c r="G244" s="13">
        <v>10475.85</v>
      </c>
      <c r="H244" s="87"/>
      <c r="I244" s="88">
        <f t="shared" si="6"/>
        <v>0</v>
      </c>
      <c r="J244" s="89">
        <f>VLOOKUP(C244,[1]B.D!$A:$E,5,FALSE)</f>
        <v>3</v>
      </c>
      <c r="K244" s="89">
        <f t="shared" si="7"/>
        <v>0</v>
      </c>
    </row>
    <row r="245" spans="2:11" ht="15" customHeight="1">
      <c r="B245" s="86">
        <v>233</v>
      </c>
      <c r="C245" s="71" t="s">
        <v>149</v>
      </c>
      <c r="D245" s="71" t="str">
        <f>VLOOKUP(C245,[1]B.D!$A:$B,2,FALSE)</f>
        <v>NEW ALETA SIDING MULTIPLE - GRAFITO</v>
      </c>
      <c r="E245" s="71" t="str">
        <f>VLOOKUP(C245,[1]B.D!$A:$F,6,FALSE)</f>
        <v>GRAFITO</v>
      </c>
      <c r="F245" s="71" t="str">
        <f>VLOOKUP(C245,[1]B.D!$A:$G,7,FALSE)</f>
        <v>COMPLEMENTARIOS</v>
      </c>
      <c r="G245" s="13">
        <v>14437.5</v>
      </c>
      <c r="H245" s="87"/>
      <c r="I245" s="88">
        <f t="shared" si="6"/>
        <v>0</v>
      </c>
      <c r="J245" s="89">
        <f>VLOOKUP(C245,[1]B.D!$A:$E,5,FALSE)</f>
        <v>3.0960000000000001</v>
      </c>
      <c r="K245" s="89">
        <f t="shared" si="7"/>
        <v>0</v>
      </c>
    </row>
    <row r="246" spans="2:11" ht="15" customHeight="1">
      <c r="B246" s="86">
        <v>234</v>
      </c>
      <c r="C246" s="71" t="s">
        <v>150</v>
      </c>
      <c r="D246" s="71" t="str">
        <f>VLOOKUP(C246,[1]B.D!$A:$B,2,FALSE)</f>
        <v>NEW ALETA SIDING MULTIPLE - NEW BLACK</v>
      </c>
      <c r="E246" s="71" t="str">
        <f>VLOOKUP(C246,[1]B.D!$A:$F,6,FALSE)</f>
        <v>NEW BLACK</v>
      </c>
      <c r="F246" s="71" t="str">
        <f>VLOOKUP(C246,[1]B.D!$A:$G,7,FALSE)</f>
        <v>COMPLEMENTARIOS</v>
      </c>
      <c r="G246" s="13">
        <v>15270.150000000001</v>
      </c>
      <c r="H246" s="87"/>
      <c r="I246" s="88">
        <f t="shared" si="6"/>
        <v>0</v>
      </c>
      <c r="J246" s="89">
        <f>VLOOKUP(C246,[1]B.D!$A:$E,5,FALSE)</f>
        <v>3</v>
      </c>
      <c r="K246" s="89">
        <f t="shared" si="7"/>
        <v>0</v>
      </c>
    </row>
    <row r="247" spans="2:11" ht="15" customHeight="1">
      <c r="B247" s="86">
        <v>235</v>
      </c>
      <c r="C247" s="71" t="s">
        <v>147</v>
      </c>
      <c r="D247" s="71" t="str">
        <f>VLOOKUP(C247,[1]B.D!$A:$B,2,FALSE)</f>
        <v>NEW ALETA SIDING MULTIPLE - NOGAL</v>
      </c>
      <c r="E247" s="71" t="str">
        <f>VLOOKUP(C247,[1]B.D!$A:$F,6,FALSE)</f>
        <v>NOGAL</v>
      </c>
      <c r="F247" s="71" t="str">
        <f>VLOOKUP(C247,[1]B.D!$A:$G,7,FALSE)</f>
        <v>COMPLEMENTARIOS</v>
      </c>
      <c r="G247" s="13">
        <v>14159.25</v>
      </c>
      <c r="H247" s="87"/>
      <c r="I247" s="88">
        <f t="shared" si="6"/>
        <v>0</v>
      </c>
      <c r="J247" s="89">
        <f>VLOOKUP(C247,[1]B.D!$A:$E,5,FALSE)</f>
        <v>3.0960000000000001</v>
      </c>
      <c r="K247" s="89">
        <f t="shared" si="7"/>
        <v>0</v>
      </c>
    </row>
    <row r="248" spans="2:11" ht="15" customHeight="1">
      <c r="B248" s="86">
        <v>236</v>
      </c>
      <c r="C248" s="71" t="s">
        <v>148</v>
      </c>
      <c r="D248" s="71" t="str">
        <f>VLOOKUP(C248,[1]B.D!$A:$B,2,FALSE)</f>
        <v>NEW ALETA SIDING MULTIPLE - ROBLE</v>
      </c>
      <c r="E248" s="71" t="str">
        <f>VLOOKUP(C248,[1]B.D!$A:$F,6,FALSE)</f>
        <v>ROBLE</v>
      </c>
      <c r="F248" s="71" t="str">
        <f>VLOOKUP(C248,[1]B.D!$A:$G,7,FALSE)</f>
        <v>COMPLEMENTARIOS</v>
      </c>
      <c r="G248" s="13">
        <v>14159.25</v>
      </c>
      <c r="H248" s="87"/>
      <c r="I248" s="88">
        <f t="shared" si="6"/>
        <v>0</v>
      </c>
      <c r="J248" s="89">
        <f>VLOOKUP(C248,[1]B.D!$A:$E,5,FALSE)</f>
        <v>3.0960000000000001</v>
      </c>
      <c r="K248" s="89">
        <f t="shared" si="7"/>
        <v>0</v>
      </c>
    </row>
    <row r="249" spans="2:11" ht="15" customHeight="1">
      <c r="B249" s="86">
        <v>237</v>
      </c>
      <c r="C249" s="71" t="s">
        <v>912</v>
      </c>
      <c r="D249" s="71" t="str">
        <f>VLOOKUP(C249,[1]B.D!$A:$B,2,FALSE)</f>
        <v>NEW MARCO DOBLE RIEL CORREDERA S75 - BLANCO</v>
      </c>
      <c r="E249" s="71" t="str">
        <f>VLOOKUP(C249,[1]B.D!$A:$F,6,FALSE)</f>
        <v>BLANCO</v>
      </c>
      <c r="F249" s="71" t="str">
        <f>VLOOKUP(C249,[1]B.D!$A:$G,7,FALSE)</f>
        <v>SLIDING - S75</v>
      </c>
      <c r="G249" s="13">
        <v>31905.300000000003</v>
      </c>
      <c r="H249" s="87"/>
      <c r="I249" s="88">
        <f t="shared" si="6"/>
        <v>0</v>
      </c>
      <c r="J249" s="89">
        <f>VLOOKUP(C249,[1]B.D!$A:$E,5,FALSE)</f>
        <v>6.9240000000000004</v>
      </c>
      <c r="K249" s="89">
        <f t="shared" si="7"/>
        <v>0</v>
      </c>
    </row>
    <row r="250" spans="2:11" ht="15" customHeight="1">
      <c r="B250" s="86">
        <v>238</v>
      </c>
      <c r="C250" s="71" t="s">
        <v>913</v>
      </c>
      <c r="D250" s="71" t="str">
        <f>VLOOKUP(C250,[1]B.D!$A:$B,2,FALSE)</f>
        <v>NEW MARCO DOBLE RIEL CORREDERA S75 - GRAFITO</v>
      </c>
      <c r="E250" s="71" t="str">
        <f>VLOOKUP(C250,[1]B.D!$A:$F,6,FALSE)</f>
        <v>GRAFITO</v>
      </c>
      <c r="F250" s="71" t="str">
        <f>VLOOKUP(C250,[1]B.D!$A:$G,7,FALSE)</f>
        <v>SLIDING - S75</v>
      </c>
      <c r="G250" s="13">
        <v>56147.700000000004</v>
      </c>
      <c r="H250" s="87"/>
      <c r="I250" s="88">
        <f t="shared" si="6"/>
        <v>0</v>
      </c>
      <c r="J250" s="89">
        <f>VLOOKUP(C250,[1]B.D!$A:$E,5,FALSE)</f>
        <v>6.9240000000000004</v>
      </c>
      <c r="K250" s="89">
        <f t="shared" si="7"/>
        <v>0</v>
      </c>
    </row>
    <row r="251" spans="2:11" ht="15" customHeight="1">
      <c r="B251" s="86">
        <v>239</v>
      </c>
      <c r="C251" s="71" t="s">
        <v>914</v>
      </c>
      <c r="D251" s="71" t="str">
        <f>VLOOKUP(C251,[1]B.D!$A:$B,2,FALSE)</f>
        <v>NEW MARCO DOBLE RIEL CORREDERA S75 - NEW BLACK</v>
      </c>
      <c r="E251" s="71" t="str">
        <f>VLOOKUP(C251,[1]B.D!$A:$F,6,FALSE)</f>
        <v>NEW BLACK</v>
      </c>
      <c r="F251" s="71" t="str">
        <f>VLOOKUP(C251,[1]B.D!$A:$G,7,FALSE)</f>
        <v>SLIDING - S75</v>
      </c>
      <c r="G251" s="13">
        <v>57073.8</v>
      </c>
      <c r="H251" s="87"/>
      <c r="I251" s="88">
        <f t="shared" si="6"/>
        <v>0</v>
      </c>
      <c r="J251" s="89">
        <f>VLOOKUP(C251,[1]B.D!$A:$E,5,FALSE)</f>
        <v>6.9240000000000004</v>
      </c>
      <c r="K251" s="89">
        <f t="shared" si="7"/>
        <v>0</v>
      </c>
    </row>
    <row r="252" spans="2:11" ht="15" customHeight="1">
      <c r="B252" s="86">
        <v>240</v>
      </c>
      <c r="C252" s="71" t="s">
        <v>915</v>
      </c>
      <c r="D252" s="71" t="str">
        <f>VLOOKUP(C252,[1]B.D!$A:$B,2,FALSE)</f>
        <v>NEW MARCO DOBLE RIEL CORREDERA S75 - NOGAL</v>
      </c>
      <c r="E252" s="71" t="str">
        <f>VLOOKUP(C252,[1]B.D!$A:$F,6,FALSE)</f>
        <v>NOGAL</v>
      </c>
      <c r="F252" s="71" t="str">
        <f>VLOOKUP(C252,[1]B.D!$A:$G,7,FALSE)</f>
        <v>SLIDING - S75</v>
      </c>
      <c r="G252" s="13">
        <v>52473.75</v>
      </c>
      <c r="H252" s="87"/>
      <c r="I252" s="88">
        <f t="shared" si="6"/>
        <v>0</v>
      </c>
      <c r="J252" s="89">
        <f>VLOOKUP(C252,[1]B.D!$A:$E,5,FALSE)</f>
        <v>6.9240000000000004</v>
      </c>
      <c r="K252" s="89">
        <f t="shared" si="7"/>
        <v>0</v>
      </c>
    </row>
    <row r="253" spans="2:11" ht="15" customHeight="1">
      <c r="B253" s="86">
        <v>241</v>
      </c>
      <c r="C253" s="71" t="s">
        <v>916</v>
      </c>
      <c r="D253" s="71" t="str">
        <f>VLOOKUP(C253,[1]B.D!$A:$B,2,FALSE)</f>
        <v>NEW MARCO DOBLE RIEL CORREDERA S75 - ROBLE</v>
      </c>
      <c r="E253" s="71" t="str">
        <f>VLOOKUP(C253,[1]B.D!$A:$F,6,FALSE)</f>
        <v>ROBLE</v>
      </c>
      <c r="F253" s="71" t="str">
        <f>VLOOKUP(C253,[1]B.D!$A:$G,7,FALSE)</f>
        <v>SLIDING - S75</v>
      </c>
      <c r="G253" s="13">
        <v>52473.75</v>
      </c>
      <c r="H253" s="87"/>
      <c r="I253" s="88">
        <f t="shared" si="6"/>
        <v>0</v>
      </c>
      <c r="J253" s="89">
        <f>VLOOKUP(C253,[1]B.D!$A:$E,5,FALSE)</f>
        <v>6.9240000000000004</v>
      </c>
      <c r="K253" s="89">
        <f t="shared" si="7"/>
        <v>0</v>
      </c>
    </row>
    <row r="254" spans="2:11" ht="15" customHeight="1">
      <c r="B254" s="86">
        <v>242</v>
      </c>
      <c r="C254" s="71" t="s">
        <v>917</v>
      </c>
      <c r="D254" s="71" t="str">
        <f>VLOOKUP(C254,[1]B.D!$A:$B,2,FALSE)</f>
        <v>NEW MARCO TRIPLE RIEL CORREDERA S75 - BLANCO</v>
      </c>
      <c r="E254" s="71" t="str">
        <f>VLOOKUP(C254,[1]B.D!$A:$F,6,FALSE)</f>
        <v>BLANCO</v>
      </c>
      <c r="F254" s="71" t="str">
        <f>VLOOKUP(C254,[1]B.D!$A:$G,7,FALSE)</f>
        <v>SLIDING - S75</v>
      </c>
      <c r="G254" s="13">
        <v>53921.700000000004</v>
      </c>
      <c r="H254" s="87"/>
      <c r="I254" s="88">
        <f t="shared" si="6"/>
        <v>0</v>
      </c>
      <c r="J254" s="89">
        <f>VLOOKUP(C254,[1]B.D!$A:$E,5,FALSE)</f>
        <v>11.25</v>
      </c>
      <c r="K254" s="89">
        <f t="shared" si="7"/>
        <v>0</v>
      </c>
    </row>
    <row r="255" spans="2:11" ht="15" customHeight="1">
      <c r="B255" s="86">
        <v>243</v>
      </c>
      <c r="C255" s="71" t="s">
        <v>918</v>
      </c>
      <c r="D255" s="71" t="str">
        <f>VLOOKUP(C255,[1]B.D!$A:$B,2,FALSE)</f>
        <v>NEW MARCO TRIPLE RIEL CORREDERA S75 - GRAFITO</v>
      </c>
      <c r="E255" s="71" t="str">
        <f>VLOOKUP(C255,[1]B.D!$A:$F,6,FALSE)</f>
        <v>GRAFITO</v>
      </c>
      <c r="F255" s="71" t="str">
        <f>VLOOKUP(C255,[1]B.D!$A:$G,7,FALSE)</f>
        <v>SLIDING - S75</v>
      </c>
      <c r="G255" s="13">
        <v>78606.150000000009</v>
      </c>
      <c r="H255" s="87"/>
      <c r="I255" s="88">
        <f t="shared" si="6"/>
        <v>0</v>
      </c>
      <c r="J255" s="89">
        <f>VLOOKUP(C255,[1]B.D!$A:$E,5,FALSE)</f>
        <v>11.526</v>
      </c>
      <c r="K255" s="89">
        <f t="shared" si="7"/>
        <v>0</v>
      </c>
    </row>
    <row r="256" spans="2:11" ht="15" customHeight="1">
      <c r="B256" s="86">
        <v>244</v>
      </c>
      <c r="C256" s="71" t="s">
        <v>919</v>
      </c>
      <c r="D256" s="71" t="str">
        <f>VLOOKUP(C256,[1]B.D!$A:$B,2,FALSE)</f>
        <v>NEW MARCO TRIPLE RIEL CORREDERA S75 - NEW BLACK</v>
      </c>
      <c r="E256" s="71" t="str">
        <f>VLOOKUP(C256,[1]B.D!$A:$F,6,FALSE)</f>
        <v>NEW BLACK</v>
      </c>
      <c r="F256" s="71" t="str">
        <f>VLOOKUP(C256,[1]B.D!$A:$G,7,FALSE)</f>
        <v>SLIDING - S75</v>
      </c>
      <c r="G256" s="13">
        <v>84017.85</v>
      </c>
      <c r="H256" s="87"/>
      <c r="I256" s="88">
        <f t="shared" si="6"/>
        <v>0</v>
      </c>
      <c r="J256" s="89">
        <f>VLOOKUP(C256,[1]B.D!$A:$E,5,FALSE)</f>
        <v>11.526</v>
      </c>
      <c r="K256" s="89">
        <f t="shared" si="7"/>
        <v>0</v>
      </c>
    </row>
    <row r="257" spans="2:11" ht="15" customHeight="1">
      <c r="B257" s="86">
        <v>245</v>
      </c>
      <c r="C257" s="71" t="s">
        <v>920</v>
      </c>
      <c r="D257" s="71" t="str">
        <f>VLOOKUP(C257,[1]B.D!$A:$B,2,FALSE)</f>
        <v>NEW MARCO TRIPLE RIEL CORREDERA S75 - NOGAL</v>
      </c>
      <c r="E257" s="71" t="str">
        <f>VLOOKUP(C257,[1]B.D!$A:$F,6,FALSE)</f>
        <v>NOGAL</v>
      </c>
      <c r="F257" s="71" t="str">
        <f>VLOOKUP(C257,[1]B.D!$A:$G,7,FALSE)</f>
        <v>SLIDING - S75</v>
      </c>
      <c r="G257" s="13">
        <v>73465.350000000006</v>
      </c>
      <c r="H257" s="87"/>
      <c r="I257" s="88">
        <f t="shared" si="6"/>
        <v>0</v>
      </c>
      <c r="J257" s="89">
        <f>VLOOKUP(C257,[1]B.D!$A:$E,5,FALSE)</f>
        <v>11.526</v>
      </c>
      <c r="K257" s="89">
        <f t="shared" si="7"/>
        <v>0</v>
      </c>
    </row>
    <row r="258" spans="2:11" ht="15" customHeight="1">
      <c r="B258" s="86">
        <v>246</v>
      </c>
      <c r="C258" s="71" t="s">
        <v>921</v>
      </c>
      <c r="D258" s="71" t="str">
        <f>VLOOKUP(C258,[1]B.D!$A:$B,2,FALSE)</f>
        <v>NEW MARCO TRIPLE RIEL CORREDERA S75 - ROBLE</v>
      </c>
      <c r="E258" s="71" t="str">
        <f>VLOOKUP(C258,[1]B.D!$A:$F,6,FALSE)</f>
        <v>ROBLE</v>
      </c>
      <c r="F258" s="71" t="str">
        <f>VLOOKUP(C258,[1]B.D!$A:$G,7,FALSE)</f>
        <v>SLIDING - S75</v>
      </c>
      <c r="G258" s="13">
        <v>73465.350000000006</v>
      </c>
      <c r="H258" s="87"/>
      <c r="I258" s="88">
        <f t="shared" si="6"/>
        <v>0</v>
      </c>
      <c r="J258" s="89">
        <f>VLOOKUP(C258,[1]B.D!$A:$E,5,FALSE)</f>
        <v>11.526</v>
      </c>
      <c r="K258" s="89">
        <f t="shared" si="7"/>
        <v>0</v>
      </c>
    </row>
    <row r="259" spans="2:11" ht="15" customHeight="1">
      <c r="B259" s="86">
        <v>247</v>
      </c>
      <c r="C259" s="71" t="s">
        <v>262</v>
      </c>
      <c r="D259" s="71" t="str">
        <f>VLOOKUP(C259,[1]B.D!$A:$B,2,FALSE)</f>
        <v>PERFIL ELEVACION S60 30 mm - BLANCO</v>
      </c>
      <c r="E259" s="71" t="str">
        <f>VLOOKUP(C259,[1]B.D!$A:$F,6,FALSE)</f>
        <v>BLANCO</v>
      </c>
      <c r="F259" s="71" t="str">
        <f>VLOOKUP(C259,[1]B.D!$A:$G,7,FALSE)</f>
        <v>S60</v>
      </c>
      <c r="G259" s="13">
        <v>27582.45</v>
      </c>
      <c r="H259" s="87"/>
      <c r="I259" s="88">
        <f t="shared" si="6"/>
        <v>0</v>
      </c>
      <c r="J259" s="89">
        <f>VLOOKUP(C259,[1]B.D!$A:$E,5,FALSE)</f>
        <v>4.4400000000000004</v>
      </c>
      <c r="K259" s="89">
        <f t="shared" si="7"/>
        <v>0</v>
      </c>
    </row>
    <row r="260" spans="2:11" ht="15" customHeight="1">
      <c r="B260" s="86">
        <v>248</v>
      </c>
      <c r="C260" s="71" t="s">
        <v>265</v>
      </c>
      <c r="D260" s="71" t="str">
        <f>VLOOKUP(C260,[1]B.D!$A:$B,2,FALSE)</f>
        <v>PERFIL ELEVACION S60 30 mm - GRAFITO</v>
      </c>
      <c r="E260" s="71" t="str">
        <f>VLOOKUP(C260,[1]B.D!$A:$F,6,FALSE)</f>
        <v>GRAFITO</v>
      </c>
      <c r="F260" s="71" t="str">
        <f>VLOOKUP(C260,[1]B.D!$A:$G,7,FALSE)</f>
        <v>S60</v>
      </c>
      <c r="G260" s="13">
        <v>57265.950000000004</v>
      </c>
      <c r="H260" s="87"/>
      <c r="I260" s="88">
        <f t="shared" si="6"/>
        <v>0</v>
      </c>
      <c r="J260" s="89">
        <f>VLOOKUP(C260,[1]B.D!$A:$E,5,FALSE)</f>
        <v>6.51</v>
      </c>
      <c r="K260" s="89">
        <f t="shared" si="7"/>
        <v>0</v>
      </c>
    </row>
    <row r="261" spans="2:11" ht="15" customHeight="1">
      <c r="B261" s="86">
        <v>249</v>
      </c>
      <c r="C261" s="71" t="s">
        <v>261</v>
      </c>
      <c r="D261" s="71" t="str">
        <f>VLOOKUP(C261,[1]B.D!$A:$B,2,FALSE)</f>
        <v>PERFIL ELEVACION S60 30 mm - NEW BLACK</v>
      </c>
      <c r="E261" s="71" t="str">
        <f>VLOOKUP(C261,[1]B.D!$A:$F,6,FALSE)</f>
        <v>NEW BLACK</v>
      </c>
      <c r="F261" s="71" t="str">
        <f>VLOOKUP(C261,[1]B.D!$A:$G,7,FALSE)</f>
        <v>S60</v>
      </c>
      <c r="G261" s="13">
        <v>35830.200000000004</v>
      </c>
      <c r="H261" s="87"/>
      <c r="I261" s="88">
        <f t="shared" si="6"/>
        <v>0</v>
      </c>
      <c r="J261" s="89">
        <f>VLOOKUP(C261,[1]B.D!$A:$E,5,FALSE)</f>
        <v>6.51</v>
      </c>
      <c r="K261" s="89">
        <f t="shared" si="7"/>
        <v>0</v>
      </c>
    </row>
    <row r="262" spans="2:11" ht="15" customHeight="1">
      <c r="B262" s="86">
        <v>250</v>
      </c>
      <c r="C262" s="71" t="s">
        <v>264</v>
      </c>
      <c r="D262" s="71" t="str">
        <f>VLOOKUP(C262,[1]B.D!$A:$B,2,FALSE)</f>
        <v>PERFIL ELEVACION S60 30 mm - NOGAL</v>
      </c>
      <c r="E262" s="71" t="str">
        <f>VLOOKUP(C262,[1]B.D!$A:$F,6,FALSE)</f>
        <v>NOGAL</v>
      </c>
      <c r="F262" s="71" t="str">
        <f>VLOOKUP(C262,[1]B.D!$A:$G,7,FALSE)</f>
        <v>S60</v>
      </c>
      <c r="G262" s="13">
        <v>53034.450000000004</v>
      </c>
      <c r="H262" s="87"/>
      <c r="I262" s="88">
        <f t="shared" si="6"/>
        <v>0</v>
      </c>
      <c r="J262" s="89">
        <f>VLOOKUP(C262,[1]B.D!$A:$E,5,FALSE)</f>
        <v>6.51</v>
      </c>
      <c r="K262" s="89">
        <f t="shared" si="7"/>
        <v>0</v>
      </c>
    </row>
    <row r="263" spans="2:11" ht="15" customHeight="1">
      <c r="B263" s="86">
        <v>251</v>
      </c>
      <c r="C263" s="71" t="s">
        <v>263</v>
      </c>
      <c r="D263" s="71" t="str">
        <f>VLOOKUP(C263,[1]B.D!$A:$B,2,FALSE)</f>
        <v>PERFIL ELEVACION S60 30 mm - ROBLE</v>
      </c>
      <c r="E263" s="71" t="str">
        <f>VLOOKUP(C263,[1]B.D!$A:$F,6,FALSE)</f>
        <v>ROBLE</v>
      </c>
      <c r="F263" s="71" t="str">
        <f>VLOOKUP(C263,[1]B.D!$A:$G,7,FALSE)</f>
        <v>S60</v>
      </c>
      <c r="G263" s="13">
        <v>53034.450000000004</v>
      </c>
      <c r="H263" s="87"/>
      <c r="I263" s="88">
        <f t="shared" si="6"/>
        <v>0</v>
      </c>
      <c r="J263" s="89">
        <f>VLOOKUP(C263,[1]B.D!$A:$E,5,FALSE)</f>
        <v>6.51</v>
      </c>
      <c r="K263" s="89">
        <f t="shared" si="7"/>
        <v>0</v>
      </c>
    </row>
    <row r="264" spans="2:11" ht="15" customHeight="1">
      <c r="B264" s="86">
        <v>252</v>
      </c>
      <c r="C264" s="71" t="s">
        <v>256</v>
      </c>
      <c r="D264" s="71" t="str">
        <f>VLOOKUP(C264,[1]B.D!$A:$B,2,FALSE)</f>
        <v>PERFIL ELEVACION S60 60 mm - BLANCO</v>
      </c>
      <c r="E264" s="71" t="str">
        <f>VLOOKUP(C264,[1]B.D!$A:$F,6,FALSE)</f>
        <v>BLANCO</v>
      </c>
      <c r="F264" s="71" t="str">
        <f>VLOOKUP(C264,[1]B.D!$A:$G,7,FALSE)</f>
        <v>S60</v>
      </c>
      <c r="G264" s="13">
        <v>36149.4</v>
      </c>
      <c r="H264" s="87"/>
      <c r="I264" s="88">
        <f t="shared" si="6"/>
        <v>0</v>
      </c>
      <c r="J264" s="89">
        <f>VLOOKUP(C264,[1]B.D!$A:$E,5,FALSE)</f>
        <v>6.3</v>
      </c>
      <c r="K264" s="89">
        <f t="shared" si="7"/>
        <v>0</v>
      </c>
    </row>
    <row r="265" spans="2:11" ht="15" customHeight="1">
      <c r="B265" s="86">
        <v>253</v>
      </c>
      <c r="C265" s="71" t="s">
        <v>259</v>
      </c>
      <c r="D265" s="71" t="str">
        <f>VLOOKUP(C265,[1]B.D!$A:$B,2,FALSE)</f>
        <v>PERFIL ELEVACION S60 60 mm - GRAFITO</v>
      </c>
      <c r="E265" s="71" t="str">
        <f>VLOOKUP(C265,[1]B.D!$A:$F,6,FALSE)</f>
        <v>GRAFITO</v>
      </c>
      <c r="F265" s="71" t="str">
        <f>VLOOKUP(C265,[1]B.D!$A:$G,7,FALSE)</f>
        <v>S60</v>
      </c>
      <c r="G265" s="13">
        <v>64650.600000000006</v>
      </c>
      <c r="H265" s="87"/>
      <c r="I265" s="88">
        <f t="shared" si="6"/>
        <v>0</v>
      </c>
      <c r="J265" s="89">
        <f>VLOOKUP(C265,[1]B.D!$A:$E,5,FALSE)</f>
        <v>6.5039999999999996</v>
      </c>
      <c r="K265" s="89">
        <f t="shared" si="7"/>
        <v>0</v>
      </c>
    </row>
    <row r="266" spans="2:11" ht="15" customHeight="1">
      <c r="B266" s="86">
        <v>254</v>
      </c>
      <c r="C266" s="71" t="s">
        <v>260</v>
      </c>
      <c r="D266" s="71" t="str">
        <f>VLOOKUP(C266,[1]B.D!$A:$B,2,FALSE)</f>
        <v>PERFIL ELEVACION S60 60 mm - NEW BLACK</v>
      </c>
      <c r="E266" s="71" t="str">
        <f>VLOOKUP(C266,[1]B.D!$A:$F,6,FALSE)</f>
        <v>NEW BLACK</v>
      </c>
      <c r="F266" s="71" t="str">
        <f>VLOOKUP(C266,[1]B.D!$A:$G,7,FALSE)</f>
        <v>S60</v>
      </c>
      <c r="G266" s="13">
        <v>54343.8</v>
      </c>
      <c r="H266" s="87"/>
      <c r="I266" s="88">
        <f t="shared" si="6"/>
        <v>0</v>
      </c>
      <c r="J266" s="89">
        <f>VLOOKUP(C266,[1]B.D!$A:$E,5,FALSE)</f>
        <v>6.5039999999999996</v>
      </c>
      <c r="K266" s="89">
        <f t="shared" si="7"/>
        <v>0</v>
      </c>
    </row>
    <row r="267" spans="2:11" ht="15" customHeight="1">
      <c r="B267" s="86">
        <v>255</v>
      </c>
      <c r="C267" s="71" t="s">
        <v>258</v>
      </c>
      <c r="D267" s="71" t="str">
        <f>VLOOKUP(C267,[1]B.D!$A:$B,2,FALSE)</f>
        <v>PERFIL ELEVACION S60 60 mm - NOGAL</v>
      </c>
      <c r="E267" s="71" t="str">
        <f>VLOOKUP(C267,[1]B.D!$A:$F,6,FALSE)</f>
        <v>NOGAL</v>
      </c>
      <c r="F267" s="71" t="str">
        <f>VLOOKUP(C267,[1]B.D!$A:$G,7,FALSE)</f>
        <v>S60</v>
      </c>
      <c r="G267" s="13">
        <v>60421.200000000004</v>
      </c>
      <c r="H267" s="87"/>
      <c r="I267" s="88">
        <f t="shared" si="6"/>
        <v>0</v>
      </c>
      <c r="J267" s="89">
        <f>VLOOKUP(C267,[1]B.D!$A:$E,5,FALSE)</f>
        <v>6.5039999999999996</v>
      </c>
      <c r="K267" s="89">
        <f t="shared" si="7"/>
        <v>0</v>
      </c>
    </row>
    <row r="268" spans="2:11" ht="15" customHeight="1">
      <c r="B268" s="86">
        <v>256</v>
      </c>
      <c r="C268" s="71" t="s">
        <v>257</v>
      </c>
      <c r="D268" s="71" t="str">
        <f>VLOOKUP(C268,[1]B.D!$A:$B,2,FALSE)</f>
        <v>PERFIL ELEVACION S60 60 mm - ROBLE</v>
      </c>
      <c r="E268" s="71" t="str">
        <f>VLOOKUP(C268,[1]B.D!$A:$F,6,FALSE)</f>
        <v>ROBLE</v>
      </c>
      <c r="F268" s="71" t="str">
        <f>VLOOKUP(C268,[1]B.D!$A:$G,7,FALSE)</f>
        <v>S60</v>
      </c>
      <c r="G268" s="13">
        <v>60421.200000000004</v>
      </c>
      <c r="H268" s="87"/>
      <c r="I268" s="88">
        <f t="shared" si="6"/>
        <v>0</v>
      </c>
      <c r="J268" s="89">
        <f>VLOOKUP(C268,[1]B.D!$A:$E,5,FALSE)</f>
        <v>6.5039999999999996</v>
      </c>
      <c r="K268" s="89">
        <f t="shared" si="7"/>
        <v>0</v>
      </c>
    </row>
    <row r="269" spans="2:11" ht="15" customHeight="1">
      <c r="B269" s="86">
        <v>257</v>
      </c>
      <c r="C269" s="71" t="s">
        <v>346</v>
      </c>
      <c r="D269" s="71" t="str">
        <f>VLOOKUP(C269,[1]B.D!$A:$B,2,FALSE)</f>
        <v>PERFIL FIJACION INTERIOR CRISTAL 8-10-12mm - S40</v>
      </c>
      <c r="E269" s="71" t="str">
        <f>VLOOKUP(C269,[1]B.D!$A:$F,6,FALSE)</f>
        <v>NATURAL</v>
      </c>
      <c r="F269" s="71" t="str">
        <f>VLOOKUP(C269,[1]B.D!$A:$G,7,FALSE)</f>
        <v>BARANDAS</v>
      </c>
      <c r="G269" s="13">
        <v>40974</v>
      </c>
      <c r="H269" s="87"/>
      <c r="I269" s="88">
        <f t="shared" ref="I269:I332" si="8">G269*H269</f>
        <v>0</v>
      </c>
      <c r="J269" s="89">
        <f>VLOOKUP(C269,[1]B.D!$A:$E,5,FALSE)</f>
        <v>2.0499999999999998</v>
      </c>
      <c r="K269" s="89">
        <f t="shared" ref="K269:K332" si="9">$H269*$J269</f>
        <v>0</v>
      </c>
    </row>
    <row r="270" spans="2:11" ht="15" customHeight="1">
      <c r="B270" s="86">
        <v>258</v>
      </c>
      <c r="C270" s="71" t="s">
        <v>344</v>
      </c>
      <c r="D270" s="71" t="str">
        <f>VLOOKUP(C270,[1]B.D!$A:$B,2,FALSE)</f>
        <v>PERFIL PORTA BURLETE EXTERIOR N-50R</v>
      </c>
      <c r="E270" s="71" t="str">
        <f>VLOOKUP(C270,[1]B.D!$A:$F,6,FALSE)</f>
        <v>NATURAL</v>
      </c>
      <c r="F270" s="71" t="str">
        <f>VLOOKUP(C270,[1]B.D!$A:$G,7,FALSE)</f>
        <v>BARANDAS</v>
      </c>
      <c r="G270" s="13">
        <v>9808</v>
      </c>
      <c r="H270" s="87"/>
      <c r="I270" s="88">
        <f t="shared" si="8"/>
        <v>0</v>
      </c>
      <c r="J270" s="89">
        <f>VLOOKUP(C270,[1]B.D!$A:$E,5,FALSE)</f>
        <v>0.65</v>
      </c>
      <c r="K270" s="89">
        <f t="shared" si="9"/>
        <v>0</v>
      </c>
    </row>
    <row r="271" spans="2:11" ht="15" customHeight="1">
      <c r="B271" s="86">
        <v>259</v>
      </c>
      <c r="C271" s="71" t="s">
        <v>343</v>
      </c>
      <c r="D271" s="71" t="str">
        <f>VLOOKUP(C271,[1]B.D!$A:$B,2,FALSE)</f>
        <v>PERFIL TAPA FRONTAL N-50R</v>
      </c>
      <c r="E271" s="71" t="str">
        <f>VLOOKUP(C271,[1]B.D!$A:$F,6,FALSE)</f>
        <v>NATURAL</v>
      </c>
      <c r="F271" s="71" t="str">
        <f>VLOOKUP(C271,[1]B.D!$A:$G,7,FALSE)</f>
        <v>BARANDAS</v>
      </c>
      <c r="G271" s="13">
        <v>70448</v>
      </c>
      <c r="H271" s="87"/>
      <c r="I271" s="88">
        <f t="shared" si="8"/>
        <v>0</v>
      </c>
      <c r="J271" s="89">
        <f>VLOOKUP(C271,[1]B.D!$A:$E,5,FALSE)</f>
        <v>4.4000000000000004</v>
      </c>
      <c r="K271" s="89">
        <f t="shared" si="9"/>
        <v>0</v>
      </c>
    </row>
    <row r="272" spans="2:11" ht="15" customHeight="1">
      <c r="B272" s="86">
        <v>260</v>
      </c>
      <c r="C272" s="71" t="s">
        <v>226</v>
      </c>
      <c r="D272" s="71" t="str">
        <f>VLOOKUP(C272,[1]B.D!$A:$B,2,FALSE)</f>
        <v>PLACA MACHIEMBRE 18 mm - BLANCO</v>
      </c>
      <c r="E272" s="71" t="str">
        <f>VLOOKUP(C272,[1]B.D!$A:$F,6,FALSE)</f>
        <v>BLANCO</v>
      </c>
      <c r="F272" s="71" t="str">
        <f>VLOOKUP(C272,[1]B.D!$A:$G,7,FALSE)</f>
        <v>S60</v>
      </c>
      <c r="G272" s="13">
        <v>14983.5</v>
      </c>
      <c r="H272" s="87"/>
      <c r="I272" s="88">
        <f t="shared" si="8"/>
        <v>0</v>
      </c>
      <c r="J272" s="89">
        <f>VLOOKUP(C272,[1]B.D!$A:$E,5,FALSE)</f>
        <v>2.85</v>
      </c>
      <c r="K272" s="89">
        <f t="shared" si="9"/>
        <v>0</v>
      </c>
    </row>
    <row r="273" spans="2:11" ht="15" customHeight="1">
      <c r="B273" s="86">
        <v>261</v>
      </c>
      <c r="C273" s="71" t="s">
        <v>229</v>
      </c>
      <c r="D273" s="71" t="str">
        <f>VLOOKUP(C273,[1]B.D!$A:$B,2,FALSE)</f>
        <v>PLACA MACHIEMBRE 18 mm - GRAFITO</v>
      </c>
      <c r="E273" s="71" t="str">
        <f>VLOOKUP(C273,[1]B.D!$A:$F,6,FALSE)</f>
        <v>GRAFITO</v>
      </c>
      <c r="F273" s="71" t="str">
        <f>VLOOKUP(C273,[1]B.D!$A:$G,7,FALSE)</f>
        <v>S60</v>
      </c>
      <c r="G273" s="13">
        <v>32368.350000000002</v>
      </c>
      <c r="H273" s="87"/>
      <c r="I273" s="88">
        <f t="shared" si="8"/>
        <v>0</v>
      </c>
      <c r="J273" s="89">
        <f>VLOOKUP(C273,[1]B.D!$A:$E,5,FALSE)</f>
        <v>3.0779999999999998</v>
      </c>
      <c r="K273" s="89">
        <f t="shared" si="9"/>
        <v>0</v>
      </c>
    </row>
    <row r="274" spans="2:11" ht="15" customHeight="1">
      <c r="B274" s="86">
        <v>262</v>
      </c>
      <c r="C274" s="71" t="s">
        <v>230</v>
      </c>
      <c r="D274" s="71" t="str">
        <f>VLOOKUP(C274,[1]B.D!$A:$B,2,FALSE)</f>
        <v>PLACA MACHIEMBRE 18 mm - NEW BLACK</v>
      </c>
      <c r="E274" s="71" t="str">
        <f>VLOOKUP(C274,[1]B.D!$A:$F,6,FALSE)</f>
        <v>NEW BLACK</v>
      </c>
      <c r="F274" s="71" t="str">
        <f>VLOOKUP(C274,[1]B.D!$A:$G,7,FALSE)</f>
        <v>S60</v>
      </c>
      <c r="G274" s="13">
        <v>34513.5</v>
      </c>
      <c r="H274" s="87"/>
      <c r="I274" s="88">
        <f t="shared" si="8"/>
        <v>0</v>
      </c>
      <c r="J274" s="89">
        <f>VLOOKUP(C274,[1]B.D!$A:$E,5,FALSE)</f>
        <v>3.0779999999999998</v>
      </c>
      <c r="K274" s="89">
        <f t="shared" si="9"/>
        <v>0</v>
      </c>
    </row>
    <row r="275" spans="2:11" ht="15" customHeight="1">
      <c r="B275" s="86">
        <v>263</v>
      </c>
      <c r="C275" s="71" t="s">
        <v>228</v>
      </c>
      <c r="D275" s="71" t="str">
        <f>VLOOKUP(C275,[1]B.D!$A:$B,2,FALSE)</f>
        <v>PLACA MACHIEMBRE 18 mm - NOGAL</v>
      </c>
      <c r="E275" s="71" t="str">
        <f>VLOOKUP(C275,[1]B.D!$A:$F,6,FALSE)</f>
        <v>NOGAL</v>
      </c>
      <c r="F275" s="71" t="str">
        <f>VLOOKUP(C275,[1]B.D!$A:$G,7,FALSE)</f>
        <v>S60</v>
      </c>
      <c r="G275" s="13">
        <v>29964.9</v>
      </c>
      <c r="H275" s="87"/>
      <c r="I275" s="88">
        <f t="shared" si="8"/>
        <v>0</v>
      </c>
      <c r="J275" s="89">
        <f>VLOOKUP(C275,[1]B.D!$A:$E,5,FALSE)</f>
        <v>3.0779999999999998</v>
      </c>
      <c r="K275" s="89">
        <f t="shared" si="9"/>
        <v>0</v>
      </c>
    </row>
    <row r="276" spans="2:11" ht="15" customHeight="1">
      <c r="B276" s="86">
        <v>264</v>
      </c>
      <c r="C276" s="71" t="s">
        <v>227</v>
      </c>
      <c r="D276" s="71" t="str">
        <f>VLOOKUP(C276,[1]B.D!$A:$B,2,FALSE)</f>
        <v>PLACA MACHIEMBRE 18 mm - ROBLE</v>
      </c>
      <c r="E276" s="71" t="str">
        <f>VLOOKUP(C276,[1]B.D!$A:$F,6,FALSE)</f>
        <v>ROBLE</v>
      </c>
      <c r="F276" s="71" t="str">
        <f>VLOOKUP(C276,[1]B.D!$A:$G,7,FALSE)</f>
        <v>S60</v>
      </c>
      <c r="G276" s="13">
        <v>29964.9</v>
      </c>
      <c r="H276" s="87"/>
      <c r="I276" s="88">
        <f t="shared" si="8"/>
        <v>0</v>
      </c>
      <c r="J276" s="89">
        <f>VLOOKUP(C276,[1]B.D!$A:$E,5,FALSE)</f>
        <v>3.0779999999999998</v>
      </c>
      <c r="K276" s="89">
        <f t="shared" si="9"/>
        <v>0</v>
      </c>
    </row>
    <row r="277" spans="2:11" ht="15" customHeight="1">
      <c r="B277" s="86">
        <v>265</v>
      </c>
      <c r="C277" s="71" t="s">
        <v>211</v>
      </c>
      <c r="D277" s="71" t="str">
        <f>VLOOKUP(C277,[1]B.D!$A:$B,2,FALSE)</f>
        <v>POSTE INVERSOR O BATIENTE S60 - BLANCO</v>
      </c>
      <c r="E277" s="71" t="str">
        <f>VLOOKUP(C277,[1]B.D!$A:$F,6,FALSE)</f>
        <v>BLANCO</v>
      </c>
      <c r="F277" s="71" t="str">
        <f>VLOOKUP(C277,[1]B.D!$A:$G,7,FALSE)</f>
        <v>S60</v>
      </c>
      <c r="G277" s="13">
        <v>29885.100000000002</v>
      </c>
      <c r="H277" s="87"/>
      <c r="I277" s="88">
        <f t="shared" si="8"/>
        <v>0</v>
      </c>
      <c r="J277" s="89">
        <f>VLOOKUP(C277,[1]B.D!$A:$E,5,FALSE)</f>
        <v>5.8920000000000003</v>
      </c>
      <c r="K277" s="89">
        <f t="shared" si="9"/>
        <v>0</v>
      </c>
    </row>
    <row r="278" spans="2:11" ht="15" customHeight="1">
      <c r="B278" s="86">
        <v>266</v>
      </c>
      <c r="C278" s="71" t="s">
        <v>214</v>
      </c>
      <c r="D278" s="71" t="str">
        <f>VLOOKUP(C278,[1]B.D!$A:$B,2,FALSE)</f>
        <v>POSTE INVERSOR O BATIENTE S60 - GRAFITO</v>
      </c>
      <c r="E278" s="71" t="str">
        <f>VLOOKUP(C278,[1]B.D!$A:$F,6,FALSE)</f>
        <v>GRAFITO</v>
      </c>
      <c r="F278" s="71" t="str">
        <f>VLOOKUP(C278,[1]B.D!$A:$G,7,FALSE)</f>
        <v>S60</v>
      </c>
      <c r="G278" s="13">
        <v>46615.8</v>
      </c>
      <c r="H278" s="87"/>
      <c r="I278" s="88">
        <f t="shared" si="8"/>
        <v>0</v>
      </c>
      <c r="J278" s="89">
        <f>VLOOKUP(C278,[1]B.D!$A:$E,5,FALSE)</f>
        <v>6.4379999999999997</v>
      </c>
      <c r="K278" s="89">
        <f t="shared" si="9"/>
        <v>0</v>
      </c>
    </row>
    <row r="279" spans="2:11" ht="15" customHeight="1">
      <c r="B279" s="86">
        <v>267</v>
      </c>
      <c r="C279" s="71" t="s">
        <v>215</v>
      </c>
      <c r="D279" s="71" t="str">
        <f>VLOOKUP(C279,[1]B.D!$A:$B,2,FALSE)</f>
        <v>POSTE INVERSOR O BATIENTE S60 - NEW BLACK</v>
      </c>
      <c r="E279" s="71" t="str">
        <f>VLOOKUP(C279,[1]B.D!$A:$F,6,FALSE)</f>
        <v>NEW BLACK</v>
      </c>
      <c r="F279" s="71" t="str">
        <f>VLOOKUP(C279,[1]B.D!$A:$G,7,FALSE)</f>
        <v>S60</v>
      </c>
      <c r="G279" s="13">
        <v>54057.15</v>
      </c>
      <c r="H279" s="87"/>
      <c r="I279" s="88">
        <f t="shared" si="8"/>
        <v>0</v>
      </c>
      <c r="J279" s="89">
        <f>VLOOKUP(C279,[1]B.D!$A:$E,5,FALSE)</f>
        <v>6.4379999999999997</v>
      </c>
      <c r="K279" s="89">
        <f t="shared" si="9"/>
        <v>0</v>
      </c>
    </row>
    <row r="280" spans="2:11" ht="15" customHeight="1">
      <c r="B280" s="86">
        <v>268</v>
      </c>
      <c r="C280" s="71" t="s">
        <v>213</v>
      </c>
      <c r="D280" s="71" t="str">
        <f>VLOOKUP(C280,[1]B.D!$A:$B,2,FALSE)</f>
        <v>POSTE INVERSOR O BATIENTE S60 - NOGAL</v>
      </c>
      <c r="E280" s="71" t="str">
        <f>VLOOKUP(C280,[1]B.D!$A:$F,6,FALSE)</f>
        <v>NOGAL</v>
      </c>
      <c r="F280" s="71" t="str">
        <f>VLOOKUP(C280,[1]B.D!$A:$G,7,FALSE)</f>
        <v>S60</v>
      </c>
      <c r="G280" s="13">
        <v>43544.55</v>
      </c>
      <c r="H280" s="87"/>
      <c r="I280" s="88">
        <f t="shared" si="8"/>
        <v>0</v>
      </c>
      <c r="J280" s="89">
        <f>VLOOKUP(C280,[1]B.D!$A:$E,5,FALSE)</f>
        <v>6.4379999999999997</v>
      </c>
      <c r="K280" s="89">
        <f t="shared" si="9"/>
        <v>0</v>
      </c>
    </row>
    <row r="281" spans="2:11" ht="15" customHeight="1">
      <c r="B281" s="86">
        <v>269</v>
      </c>
      <c r="C281" s="71" t="s">
        <v>212</v>
      </c>
      <c r="D281" s="71" t="str">
        <f>VLOOKUP(C281,[1]B.D!$A:$B,2,FALSE)</f>
        <v>POSTE INVERSOR O BATIENTE S60 - ROBLE</v>
      </c>
      <c r="E281" s="71" t="str">
        <f>VLOOKUP(C281,[1]B.D!$A:$F,6,FALSE)</f>
        <v>ROBLE</v>
      </c>
      <c r="F281" s="71" t="str">
        <f>VLOOKUP(C281,[1]B.D!$A:$G,7,FALSE)</f>
        <v>S60</v>
      </c>
      <c r="G281" s="13">
        <v>43544.55</v>
      </c>
      <c r="H281" s="87"/>
      <c r="I281" s="88">
        <f t="shared" si="8"/>
        <v>0</v>
      </c>
      <c r="J281" s="89">
        <f>VLOOKUP(C281,[1]B.D!$A:$E,5,FALSE)</f>
        <v>6.4379999999999997</v>
      </c>
      <c r="K281" s="89">
        <f t="shared" si="9"/>
        <v>0</v>
      </c>
    </row>
    <row r="282" spans="2:11" ht="15" customHeight="1">
      <c r="B282" s="86">
        <v>270</v>
      </c>
      <c r="C282" s="71" t="s">
        <v>166</v>
      </c>
      <c r="D282" s="71" t="str">
        <f>VLOOKUP(C282,[1]B.D!$A:$B,2,FALSE)</f>
        <v>POSTE T &amp; HOJA EXTERIOR ANDES S38 - BLANCO</v>
      </c>
      <c r="E282" s="71" t="str">
        <f>VLOOKUP(C282,[1]B.D!$A:$F,6,FALSE)</f>
        <v>BLANCO</v>
      </c>
      <c r="F282" s="71" t="str">
        <f>VLOOKUP(C282,[1]B.D!$A:$G,7,FALSE)</f>
        <v>S38 - ANDES</v>
      </c>
      <c r="G282" s="13">
        <v>21449.4</v>
      </c>
      <c r="H282" s="87"/>
      <c r="I282" s="88">
        <f t="shared" si="8"/>
        <v>0</v>
      </c>
      <c r="J282" s="89">
        <f>VLOOKUP(C282,[1]B.D!$A:$E,5,FALSE)</f>
        <v>4.5540000000000003</v>
      </c>
      <c r="K282" s="89">
        <f t="shared" si="9"/>
        <v>0</v>
      </c>
    </row>
    <row r="283" spans="2:11" ht="15" customHeight="1">
      <c r="B283" s="86">
        <v>271</v>
      </c>
      <c r="C283" s="71" t="s">
        <v>169</v>
      </c>
      <c r="D283" s="71" t="str">
        <f>VLOOKUP(C283,[1]B.D!$A:$B,2,FALSE)</f>
        <v>POSTE T &amp; HOJA EXTERIOR ANDES S38 - GRAFITO</v>
      </c>
      <c r="E283" s="71" t="str">
        <f>VLOOKUP(C283,[1]B.D!$A:$F,6,FALSE)</f>
        <v>GRAFITO</v>
      </c>
      <c r="F283" s="71" t="str">
        <f>VLOOKUP(C283,[1]B.D!$A:$G,7,FALSE)</f>
        <v>S38 - ANDES</v>
      </c>
      <c r="G283" s="13">
        <v>35663.25</v>
      </c>
      <c r="H283" s="87"/>
      <c r="I283" s="88">
        <f t="shared" si="8"/>
        <v>0</v>
      </c>
      <c r="J283" s="89">
        <f>VLOOKUP(C283,[1]B.D!$A:$E,5,FALSE)</f>
        <v>4.5540000000000003</v>
      </c>
      <c r="K283" s="89">
        <f t="shared" si="9"/>
        <v>0</v>
      </c>
    </row>
    <row r="284" spans="2:11" ht="15" customHeight="1">
      <c r="B284" s="86">
        <v>272</v>
      </c>
      <c r="C284" s="71" t="s">
        <v>170</v>
      </c>
      <c r="D284" s="71" t="str">
        <f>VLOOKUP(C284,[1]B.D!$A:$B,2,FALSE)</f>
        <v>POSTE T &amp; HOJA EXTERIOR ANDES S38 - NEW BLACK</v>
      </c>
      <c r="E284" s="71" t="str">
        <f>VLOOKUP(C284,[1]B.D!$A:$F,6,FALSE)</f>
        <v>NEW BLACK</v>
      </c>
      <c r="F284" s="71" t="str">
        <f>VLOOKUP(C284,[1]B.D!$A:$G,7,FALSE)</f>
        <v>S38 - ANDES</v>
      </c>
      <c r="G284" s="13">
        <v>37446.15</v>
      </c>
      <c r="H284" s="87"/>
      <c r="I284" s="88">
        <f t="shared" si="8"/>
        <v>0</v>
      </c>
      <c r="J284" s="89">
        <f>VLOOKUP(C284,[1]B.D!$A:$E,5,FALSE)</f>
        <v>4.782</v>
      </c>
      <c r="K284" s="89">
        <f t="shared" si="9"/>
        <v>0</v>
      </c>
    </row>
    <row r="285" spans="2:11" ht="15" customHeight="1">
      <c r="B285" s="86">
        <v>273</v>
      </c>
      <c r="C285" s="71" t="s">
        <v>168</v>
      </c>
      <c r="D285" s="71" t="str">
        <f>VLOOKUP(C285,[1]B.D!$A:$B,2,FALSE)</f>
        <v>POSTE T &amp; HOJA EXTERIOR ANDES S38 - NOGAL</v>
      </c>
      <c r="E285" s="71" t="str">
        <f>VLOOKUP(C285,[1]B.D!$A:$F,6,FALSE)</f>
        <v>NOGAL</v>
      </c>
      <c r="F285" s="71" t="str">
        <f>VLOOKUP(C285,[1]B.D!$A:$G,7,FALSE)</f>
        <v>S38 - ANDES</v>
      </c>
      <c r="G285" s="13">
        <v>33180</v>
      </c>
      <c r="H285" s="87"/>
      <c r="I285" s="88">
        <f t="shared" si="8"/>
        <v>0</v>
      </c>
      <c r="J285" s="89">
        <f>VLOOKUP(C285,[1]B.D!$A:$E,5,FALSE)</f>
        <v>4.5540000000000003</v>
      </c>
      <c r="K285" s="89">
        <f t="shared" si="9"/>
        <v>0</v>
      </c>
    </row>
    <row r="286" spans="2:11" ht="15" customHeight="1">
      <c r="B286" s="86">
        <v>274</v>
      </c>
      <c r="C286" s="71" t="s">
        <v>167</v>
      </c>
      <c r="D286" s="71" t="str">
        <f>VLOOKUP(C286,[1]B.D!$A:$B,2,FALSE)</f>
        <v>POSTE T &amp; HOJA EXTERIOR ANDES S38 - ROBLE</v>
      </c>
      <c r="E286" s="71" t="str">
        <f>VLOOKUP(C286,[1]B.D!$A:$F,6,FALSE)</f>
        <v>ROBLE</v>
      </c>
      <c r="F286" s="71" t="str">
        <f>VLOOKUP(C286,[1]B.D!$A:$G,7,FALSE)</f>
        <v>S38 - ANDES</v>
      </c>
      <c r="G286" s="13">
        <v>33180</v>
      </c>
      <c r="H286" s="87"/>
      <c r="I286" s="88">
        <f t="shared" si="8"/>
        <v>0</v>
      </c>
      <c r="J286" s="89">
        <f>VLOOKUP(C286,[1]B.D!$A:$E,5,FALSE)</f>
        <v>4.5540000000000003</v>
      </c>
      <c r="K286" s="89">
        <f t="shared" si="9"/>
        <v>0</v>
      </c>
    </row>
    <row r="287" spans="2:11" ht="15" customHeight="1">
      <c r="B287" s="86">
        <v>275</v>
      </c>
      <c r="C287" s="71" t="s">
        <v>120</v>
      </c>
      <c r="D287" s="71" t="str">
        <f>VLOOKUP(C287,[1]B.D!$A:$B,2,FALSE)</f>
        <v>POSTE T CORREDERA - BLANCO</v>
      </c>
      <c r="E287" s="71" t="str">
        <f>VLOOKUP(C287,[1]B.D!$A:$F,6,FALSE)</f>
        <v>BLANCO</v>
      </c>
      <c r="F287" s="71" t="str">
        <f>VLOOKUP(C287,[1]B.D!$A:$G,7,FALSE)</f>
        <v>SLIDING</v>
      </c>
      <c r="G287" s="13">
        <v>32156.25</v>
      </c>
      <c r="H287" s="87"/>
      <c r="I287" s="88">
        <f t="shared" si="8"/>
        <v>0</v>
      </c>
      <c r="J287" s="89">
        <f>VLOOKUP(C287,[1]B.D!$A:$E,5,FALSE)</f>
        <v>6.8460000000000001</v>
      </c>
      <c r="K287" s="89">
        <f t="shared" si="9"/>
        <v>0</v>
      </c>
    </row>
    <row r="288" spans="2:11" ht="15" customHeight="1">
      <c r="B288" s="86">
        <v>276</v>
      </c>
      <c r="C288" s="71" t="s">
        <v>123</v>
      </c>
      <c r="D288" s="71" t="str">
        <f>VLOOKUP(C288,[1]B.D!$A:$B,2,FALSE)</f>
        <v>POSTE T CORREDERA - GRAFITO</v>
      </c>
      <c r="E288" s="71" t="str">
        <f>VLOOKUP(C288,[1]B.D!$A:$F,6,FALSE)</f>
        <v>GRAFITO</v>
      </c>
      <c r="F288" s="71" t="str">
        <f>VLOOKUP(C288,[1]B.D!$A:$G,7,FALSE)</f>
        <v>SLIDING</v>
      </c>
      <c r="G288" s="13">
        <v>57508.5</v>
      </c>
      <c r="H288" s="87"/>
      <c r="I288" s="88">
        <f t="shared" si="8"/>
        <v>0</v>
      </c>
      <c r="J288" s="89">
        <f>VLOOKUP(C288,[1]B.D!$A:$E,5,FALSE)</f>
        <v>6.8460000000000001</v>
      </c>
      <c r="K288" s="89">
        <f t="shared" si="9"/>
        <v>0</v>
      </c>
    </row>
    <row r="289" spans="2:11" ht="15" customHeight="1">
      <c r="B289" s="86">
        <v>277</v>
      </c>
      <c r="C289" s="71" t="s">
        <v>124</v>
      </c>
      <c r="D289" s="71" t="str">
        <f>VLOOKUP(C289,[1]B.D!$A:$B,2,FALSE)</f>
        <v>POSTE T CORREDERA - NEW BLACK</v>
      </c>
      <c r="E289" s="71" t="str">
        <f>VLOOKUP(C289,[1]B.D!$A:$F,6,FALSE)</f>
        <v>NEW BLACK</v>
      </c>
      <c r="F289" s="71" t="str">
        <f>VLOOKUP(C289,[1]B.D!$A:$G,7,FALSE)</f>
        <v>SLIDING</v>
      </c>
      <c r="G289" s="13">
        <v>46014.15</v>
      </c>
      <c r="H289" s="87"/>
      <c r="I289" s="88">
        <f t="shared" si="8"/>
        <v>0</v>
      </c>
      <c r="J289" s="89">
        <f>VLOOKUP(C289,[1]B.D!$A:$E,5,FALSE)</f>
        <v>6.8460000000000001</v>
      </c>
      <c r="K289" s="89">
        <f t="shared" si="9"/>
        <v>0</v>
      </c>
    </row>
    <row r="290" spans="2:11" ht="15" customHeight="1">
      <c r="B290" s="86">
        <v>278</v>
      </c>
      <c r="C290" s="71" t="s">
        <v>122</v>
      </c>
      <c r="D290" s="71" t="str">
        <f>VLOOKUP(C290,[1]B.D!$A:$B,2,FALSE)</f>
        <v>POSTE T CORREDERA - NOGAL</v>
      </c>
      <c r="E290" s="71" t="str">
        <f>VLOOKUP(C290,[1]B.D!$A:$F,6,FALSE)</f>
        <v>NOGAL</v>
      </c>
      <c r="F290" s="71" t="str">
        <f>VLOOKUP(C290,[1]B.D!$A:$G,7,FALSE)</f>
        <v>SLIDING</v>
      </c>
      <c r="G290" s="13">
        <v>53745.3</v>
      </c>
      <c r="H290" s="87"/>
      <c r="I290" s="88">
        <f t="shared" si="8"/>
        <v>0</v>
      </c>
      <c r="J290" s="89">
        <f>VLOOKUP(C290,[1]B.D!$A:$E,5,FALSE)</f>
        <v>6.8460000000000001</v>
      </c>
      <c r="K290" s="89">
        <f t="shared" si="9"/>
        <v>0</v>
      </c>
    </row>
    <row r="291" spans="2:11" ht="15" customHeight="1">
      <c r="B291" s="86">
        <v>279</v>
      </c>
      <c r="C291" s="71" t="s">
        <v>121</v>
      </c>
      <c r="D291" s="71" t="str">
        <f>VLOOKUP(C291,[1]B.D!$A:$B,2,FALSE)</f>
        <v>POSTE T CORREDERA - ROBLE</v>
      </c>
      <c r="E291" s="71" t="str">
        <f>VLOOKUP(C291,[1]B.D!$A:$F,6,FALSE)</f>
        <v>ROBLE</v>
      </c>
      <c r="F291" s="71" t="str">
        <f>VLOOKUP(C291,[1]B.D!$A:$G,7,FALSE)</f>
        <v>SLIDING</v>
      </c>
      <c r="G291" s="13">
        <v>53745.3</v>
      </c>
      <c r="H291" s="87"/>
      <c r="I291" s="88">
        <f t="shared" si="8"/>
        <v>0</v>
      </c>
      <c r="J291" s="89">
        <f>VLOOKUP(C291,[1]B.D!$A:$E,5,FALSE)</f>
        <v>6.8460000000000001</v>
      </c>
      <c r="K291" s="89">
        <f t="shared" si="9"/>
        <v>0</v>
      </c>
    </row>
    <row r="292" spans="2:11" ht="15" customHeight="1">
      <c r="B292" s="86">
        <v>280</v>
      </c>
      <c r="C292" s="71" t="s">
        <v>364</v>
      </c>
      <c r="D292" s="71" t="str">
        <f>VLOOKUP(C292,[1]B.D!$A:$B,2,FALSE)</f>
        <v>POSTE T MOSQUITERO - BLANCO</v>
      </c>
      <c r="E292" s="71" t="str">
        <f>VLOOKUP(C292,[1]B.D!$A:$F,6,FALSE)</f>
        <v>BLANCO</v>
      </c>
      <c r="F292" s="71" t="str">
        <f>VLOOKUP(C292,[1]B.D!$A:$G,7,FALSE)</f>
        <v>MOSQUITERO CORREDERA</v>
      </c>
      <c r="G292" s="13">
        <v>20151.600000000002</v>
      </c>
      <c r="H292" s="87"/>
      <c r="I292" s="88">
        <f t="shared" si="8"/>
        <v>0</v>
      </c>
      <c r="J292" s="89">
        <f>VLOOKUP(C292,[1]B.D!$A:$E,5,FALSE)</f>
        <v>1.5</v>
      </c>
      <c r="K292" s="89">
        <f t="shared" si="9"/>
        <v>0</v>
      </c>
    </row>
    <row r="293" spans="2:11" ht="15" customHeight="1">
      <c r="B293" s="86">
        <v>281</v>
      </c>
      <c r="C293" s="71" t="s">
        <v>367</v>
      </c>
      <c r="D293" s="71" t="str">
        <f>VLOOKUP(C293,[1]B.D!$A:$B,2,FALSE)</f>
        <v>POSTE T MOSQUITERO - GRAFITO</v>
      </c>
      <c r="E293" s="71" t="str">
        <f>VLOOKUP(C293,[1]B.D!$A:$F,6,FALSE)</f>
        <v>GRAFITO</v>
      </c>
      <c r="F293" s="71" t="str">
        <f>VLOOKUP(C293,[1]B.D!$A:$G,7,FALSE)</f>
        <v>MOSQUITERO CORREDERA</v>
      </c>
      <c r="G293" s="13">
        <v>20209.350000000002</v>
      </c>
      <c r="H293" s="87"/>
      <c r="I293" s="88">
        <f t="shared" si="8"/>
        <v>0</v>
      </c>
      <c r="J293" s="89">
        <f>VLOOKUP(C293,[1]B.D!$A:$E,5,FALSE)</f>
        <v>2.4239999999999999</v>
      </c>
      <c r="K293" s="89">
        <f t="shared" si="9"/>
        <v>0</v>
      </c>
    </row>
    <row r="294" spans="2:11" ht="15" customHeight="1">
      <c r="B294" s="86">
        <v>282</v>
      </c>
      <c r="C294" s="71" t="s">
        <v>368</v>
      </c>
      <c r="D294" s="71" t="str">
        <f>VLOOKUP(C294,[1]B.D!$A:$B,2,FALSE)</f>
        <v>POSTE T MOSQUITERO - NEW BLACK</v>
      </c>
      <c r="E294" s="71" t="str">
        <f>VLOOKUP(C294,[1]B.D!$A:$F,6,FALSE)</f>
        <v>NEW BLACK</v>
      </c>
      <c r="F294" s="71" t="str">
        <f>VLOOKUP(C294,[1]B.D!$A:$G,7,FALSE)</f>
        <v>MOSQUITERO CORREDERA</v>
      </c>
      <c r="G294" s="13">
        <v>21218.400000000001</v>
      </c>
      <c r="H294" s="87"/>
      <c r="I294" s="88">
        <f t="shared" si="8"/>
        <v>0</v>
      </c>
      <c r="J294" s="89">
        <f>VLOOKUP(C294,[1]B.D!$A:$E,5,FALSE)</f>
        <v>2.25</v>
      </c>
      <c r="K294" s="89">
        <f t="shared" si="9"/>
        <v>0</v>
      </c>
    </row>
    <row r="295" spans="2:11" ht="15" customHeight="1">
      <c r="B295" s="86">
        <v>283</v>
      </c>
      <c r="C295" s="71" t="s">
        <v>365</v>
      </c>
      <c r="D295" s="71" t="str">
        <f>VLOOKUP(C295,[1]B.D!$A:$B,2,FALSE)</f>
        <v>POSTE T MOSQUITERO - NOGAL</v>
      </c>
      <c r="E295" s="71" t="str">
        <f>VLOOKUP(C295,[1]B.D!$A:$F,6,FALSE)</f>
        <v>NOGAL</v>
      </c>
      <c r="F295" s="71" t="str">
        <f>VLOOKUP(C295,[1]B.D!$A:$G,7,FALSE)</f>
        <v>MOSQUITERO CORREDERA</v>
      </c>
      <c r="G295" s="13">
        <v>19620.3</v>
      </c>
      <c r="H295" s="87"/>
      <c r="I295" s="88">
        <f t="shared" si="8"/>
        <v>0</v>
      </c>
      <c r="J295" s="89">
        <f>VLOOKUP(C295,[1]B.D!$A:$E,5,FALSE)</f>
        <v>1.5</v>
      </c>
      <c r="K295" s="89">
        <f t="shared" si="9"/>
        <v>0</v>
      </c>
    </row>
    <row r="296" spans="2:11" ht="15" customHeight="1">
      <c r="B296" s="86">
        <v>284</v>
      </c>
      <c r="C296" s="71" t="s">
        <v>366</v>
      </c>
      <c r="D296" s="71" t="str">
        <f>VLOOKUP(C296,[1]B.D!$A:$B,2,FALSE)</f>
        <v>POSTE T MOSQUITERO - ROBLE</v>
      </c>
      <c r="E296" s="71" t="str">
        <f>VLOOKUP(C296,[1]B.D!$A:$F,6,FALSE)</f>
        <v>ROBLE</v>
      </c>
      <c r="F296" s="71" t="str">
        <f>VLOOKUP(C296,[1]B.D!$A:$G,7,FALSE)</f>
        <v>MOSQUITERO CORREDERA</v>
      </c>
      <c r="G296" s="13">
        <v>19620.3</v>
      </c>
      <c r="H296" s="87"/>
      <c r="I296" s="88">
        <f t="shared" si="8"/>
        <v>0</v>
      </c>
      <c r="J296" s="89">
        <f>VLOOKUP(C296,[1]B.D!$A:$E,5,FALSE)</f>
        <v>1.5</v>
      </c>
      <c r="K296" s="89">
        <f t="shared" si="9"/>
        <v>0</v>
      </c>
    </row>
    <row r="297" spans="2:11" ht="15" customHeight="1">
      <c r="B297" s="86">
        <v>285</v>
      </c>
      <c r="C297" s="71" t="s">
        <v>161</v>
      </c>
      <c r="D297" s="71" t="str">
        <f>VLOOKUP(C297,[1]B.D!$A:$B,2,FALSE)</f>
        <v>POSTE T S60 - BLANCO</v>
      </c>
      <c r="E297" s="71" t="str">
        <f>VLOOKUP(C297,[1]B.D!$A:$F,6,FALSE)</f>
        <v>BLANCO</v>
      </c>
      <c r="F297" s="71" t="str">
        <f>VLOOKUP(C297,[1]B.D!$A:$G,7,FALSE)</f>
        <v>S60</v>
      </c>
      <c r="G297" s="13">
        <v>32189.850000000002</v>
      </c>
      <c r="H297" s="87"/>
      <c r="I297" s="88">
        <f t="shared" si="8"/>
        <v>0</v>
      </c>
      <c r="J297" s="89">
        <f>VLOOKUP(C297,[1]B.D!$A:$E,5,FALSE)</f>
        <v>7.8120000000000003</v>
      </c>
      <c r="K297" s="89">
        <f t="shared" si="9"/>
        <v>0</v>
      </c>
    </row>
    <row r="298" spans="2:11" ht="15" customHeight="1">
      <c r="B298" s="86">
        <v>286</v>
      </c>
      <c r="C298" s="71" t="s">
        <v>164</v>
      </c>
      <c r="D298" s="71" t="str">
        <f>VLOOKUP(C298,[1]B.D!$A:$B,2,FALSE)</f>
        <v>POSTE T S60 - GRAFITO</v>
      </c>
      <c r="E298" s="71" t="str">
        <f>VLOOKUP(C298,[1]B.D!$A:$F,6,FALSE)</f>
        <v>GRAFITO</v>
      </c>
      <c r="F298" s="71" t="str">
        <f>VLOOKUP(C298,[1]B.D!$A:$G,7,FALSE)</f>
        <v>S60</v>
      </c>
      <c r="G298" s="13">
        <v>49848.75</v>
      </c>
      <c r="H298" s="87"/>
      <c r="I298" s="88">
        <f t="shared" si="8"/>
        <v>0</v>
      </c>
      <c r="J298" s="89">
        <f>VLOOKUP(C298,[1]B.D!$A:$E,5,FALSE)</f>
        <v>7.8840000000000003</v>
      </c>
      <c r="K298" s="89">
        <f t="shared" si="9"/>
        <v>0</v>
      </c>
    </row>
    <row r="299" spans="2:11" ht="15" customHeight="1">
      <c r="B299" s="86">
        <v>287</v>
      </c>
      <c r="C299" s="71" t="s">
        <v>165</v>
      </c>
      <c r="D299" s="71" t="str">
        <f>VLOOKUP(C299,[1]B.D!$A:$B,2,FALSE)</f>
        <v>POSTE T S60 - NEW BLACK</v>
      </c>
      <c r="E299" s="71" t="str">
        <f>VLOOKUP(C299,[1]B.D!$A:$F,6,FALSE)</f>
        <v>NEW BLACK</v>
      </c>
      <c r="F299" s="71" t="str">
        <f>VLOOKUP(C299,[1]B.D!$A:$G,7,FALSE)</f>
        <v>S60</v>
      </c>
      <c r="G299" s="13">
        <v>60801.3</v>
      </c>
      <c r="H299" s="87"/>
      <c r="I299" s="88">
        <f t="shared" si="8"/>
        <v>0</v>
      </c>
      <c r="J299" s="89">
        <f>VLOOKUP(C299,[1]B.D!$A:$E,5,FALSE)</f>
        <v>7.8840000000000003</v>
      </c>
      <c r="K299" s="89">
        <f t="shared" si="9"/>
        <v>0</v>
      </c>
    </row>
    <row r="300" spans="2:11" ht="15" customHeight="1">
      <c r="B300" s="86">
        <v>288</v>
      </c>
      <c r="C300" s="71" t="s">
        <v>163</v>
      </c>
      <c r="D300" s="71" t="str">
        <f>VLOOKUP(C300,[1]B.D!$A:$B,2,FALSE)</f>
        <v>POSTE T S60 - NOGAL</v>
      </c>
      <c r="E300" s="71" t="str">
        <f>VLOOKUP(C300,[1]B.D!$A:$F,6,FALSE)</f>
        <v>NOGAL</v>
      </c>
      <c r="F300" s="71" t="str">
        <f>VLOOKUP(C300,[1]B.D!$A:$G,7,FALSE)</f>
        <v>S60</v>
      </c>
      <c r="G300" s="13">
        <v>46585.35</v>
      </c>
      <c r="H300" s="87"/>
      <c r="I300" s="88">
        <f t="shared" si="8"/>
        <v>0</v>
      </c>
      <c r="J300" s="89">
        <f>VLOOKUP(C300,[1]B.D!$A:$E,5,FALSE)</f>
        <v>7.8840000000000003</v>
      </c>
      <c r="K300" s="89">
        <f t="shared" si="9"/>
        <v>0</v>
      </c>
    </row>
    <row r="301" spans="2:11" ht="15" customHeight="1">
      <c r="B301" s="86">
        <v>289</v>
      </c>
      <c r="C301" s="71" t="s">
        <v>162</v>
      </c>
      <c r="D301" s="71" t="str">
        <f>VLOOKUP(C301,[1]B.D!$A:$B,2,FALSE)</f>
        <v>POSTE T S60 - ROBLE</v>
      </c>
      <c r="E301" s="71" t="str">
        <f>VLOOKUP(C301,[1]B.D!$A:$F,6,FALSE)</f>
        <v>ROBLE</v>
      </c>
      <c r="F301" s="71" t="str">
        <f>VLOOKUP(C301,[1]B.D!$A:$G,7,FALSE)</f>
        <v>S60</v>
      </c>
      <c r="G301" s="13">
        <v>46585.35</v>
      </c>
      <c r="H301" s="87"/>
      <c r="I301" s="88">
        <f t="shared" si="8"/>
        <v>0</v>
      </c>
      <c r="J301" s="89">
        <f>VLOOKUP(C301,[1]B.D!$A:$E,5,FALSE)</f>
        <v>7.8840000000000003</v>
      </c>
      <c r="K301" s="89">
        <f t="shared" si="9"/>
        <v>0</v>
      </c>
    </row>
    <row r="302" spans="2:11" ht="15" customHeight="1">
      <c r="B302" s="86">
        <v>290</v>
      </c>
      <c r="C302" s="71" t="s">
        <v>267</v>
      </c>
      <c r="D302" s="71" t="str">
        <f>VLOOKUP(C302,[1]B.D!$A:$B,2,FALSE)</f>
        <v>REFUERZO BISAGRA HOJA PUERTA S60 1.2 mm</v>
      </c>
      <c r="E302" s="71" t="str">
        <f>VLOOKUP(C302,[1]B.D!$A:$F,6,FALSE)</f>
        <v>NATURAL</v>
      </c>
      <c r="F302" s="71" t="str">
        <f>VLOOKUP(C302,[1]B.D!$A:$G,7,FALSE)</f>
        <v>REFUERZO</v>
      </c>
      <c r="G302" s="13">
        <v>8628.9</v>
      </c>
      <c r="H302" s="87"/>
      <c r="I302" s="88">
        <f t="shared" si="8"/>
        <v>0</v>
      </c>
      <c r="J302" s="89">
        <f>VLOOKUP(C302,[1]B.D!$A:$E,5,FALSE)</f>
        <v>1.3380000000000001</v>
      </c>
      <c r="K302" s="89">
        <f t="shared" si="9"/>
        <v>0</v>
      </c>
    </row>
    <row r="303" spans="2:11" ht="15" customHeight="1">
      <c r="B303" s="86">
        <v>291</v>
      </c>
      <c r="C303" s="71" t="s">
        <v>380</v>
      </c>
      <c r="D303" s="71" t="str">
        <f>VLOOKUP(C303,[1]B.D!$A:$B,2,FALSE)</f>
        <v>REFUERZO BOX ESQ 45º S60 1.5 mm - TC</v>
      </c>
      <c r="E303" s="71" t="str">
        <f>VLOOKUP(C303,[1]B.D!$A:$F,6,FALSE)</f>
        <v>NATURAL</v>
      </c>
      <c r="F303" s="71" t="str">
        <f>VLOOKUP(C303,[1]B.D!$A:$G,7,FALSE)</f>
        <v>REFUERZO - WH</v>
      </c>
      <c r="G303" s="13">
        <v>13896.75</v>
      </c>
      <c r="H303" s="87"/>
      <c r="I303" s="88">
        <f t="shared" si="8"/>
        <v>0</v>
      </c>
      <c r="J303" s="89">
        <f>VLOOKUP(C303,[1]B.D!$A:$E,5,FALSE)</f>
        <v>3.4</v>
      </c>
      <c r="K303" s="89">
        <f t="shared" si="9"/>
        <v>0</v>
      </c>
    </row>
    <row r="304" spans="2:11" ht="15" customHeight="1">
      <c r="B304" s="86">
        <v>292</v>
      </c>
      <c r="C304" s="71" t="s">
        <v>378</v>
      </c>
      <c r="D304" s="71" t="str">
        <f>VLOOKUP(C304,[1]B.D!$A:$B,2,FALSE)</f>
        <v>REFUERZO BOX ESQ. 90° S60 1.5 mm - TC</v>
      </c>
      <c r="E304" s="71" t="str">
        <f>VLOOKUP(C304,[1]B.D!$A:$F,6,FALSE)</f>
        <v>NATURAL</v>
      </c>
      <c r="F304" s="71" t="str">
        <f>VLOOKUP(C304,[1]B.D!$A:$G,7,FALSE)</f>
        <v>REFUERZO - WH</v>
      </c>
      <c r="G304" s="13">
        <v>26468.400000000001</v>
      </c>
      <c r="H304" s="87"/>
      <c r="I304" s="88">
        <f t="shared" si="8"/>
        <v>0</v>
      </c>
      <c r="J304" s="89">
        <f>VLOOKUP(C304,[1]B.D!$A:$E,5,FALSE)</f>
        <v>10</v>
      </c>
      <c r="K304" s="89">
        <f t="shared" si="9"/>
        <v>0</v>
      </c>
    </row>
    <row r="305" spans="2:11" ht="15" customHeight="1">
      <c r="B305" s="86">
        <v>293</v>
      </c>
      <c r="C305" s="71" t="s">
        <v>379</v>
      </c>
      <c r="D305" s="71" t="str">
        <f>VLOOKUP(C305,[1]B.D!$A:$B,2,FALSE)</f>
        <v>REFUERZO BOX ESQ. 90° SLIDING 1.5 mm - TC</v>
      </c>
      <c r="E305" s="71" t="str">
        <f>VLOOKUP(C305,[1]B.D!$A:$F,6,FALSE)</f>
        <v>NATURAL</v>
      </c>
      <c r="F305" s="71" t="str">
        <f>VLOOKUP(C305,[1]B.D!$A:$G,7,FALSE)</f>
        <v>REFUERZO - WH</v>
      </c>
      <c r="G305" s="13">
        <v>35591.85</v>
      </c>
      <c r="H305" s="87"/>
      <c r="I305" s="88">
        <f t="shared" si="8"/>
        <v>0</v>
      </c>
      <c r="J305" s="89">
        <f>VLOOKUP(C305,[1]B.D!$A:$E,5,FALSE)</f>
        <v>11.5</v>
      </c>
      <c r="K305" s="89">
        <f t="shared" si="9"/>
        <v>0</v>
      </c>
    </row>
    <row r="306" spans="2:11" ht="15" customHeight="1">
      <c r="B306" s="86">
        <v>294</v>
      </c>
      <c r="C306" s="71" t="s">
        <v>373</v>
      </c>
      <c r="D306" s="71" t="str">
        <f>VLOOKUP(C306,[1]B.D!$A:$B,2,FALSE)</f>
        <v>REFUERZO BOX MARCO FIJO S60 1.2 mm - TC</v>
      </c>
      <c r="E306" s="71" t="str">
        <f>VLOOKUP(C306,[1]B.D!$A:$F,6,FALSE)</f>
        <v>NATURAL</v>
      </c>
      <c r="F306" s="71" t="str">
        <f>VLOOKUP(C306,[1]B.D!$A:$G,7,FALSE)</f>
        <v>REFUERZO - WH</v>
      </c>
      <c r="G306" s="13">
        <v>16486.05</v>
      </c>
      <c r="H306" s="87"/>
      <c r="I306" s="88">
        <f t="shared" si="8"/>
        <v>0</v>
      </c>
      <c r="J306" s="89">
        <f>VLOOKUP(C306,[1]B.D!$A:$E,5,FALSE)</f>
        <v>6.1</v>
      </c>
      <c r="K306" s="89">
        <f t="shared" si="9"/>
        <v>0</v>
      </c>
    </row>
    <row r="307" spans="2:11" ht="15" customHeight="1">
      <c r="B307" s="86">
        <v>295</v>
      </c>
      <c r="C307" s="71" t="s">
        <v>391</v>
      </c>
      <c r="D307" s="71" t="str">
        <f>VLOOKUP(C307,[1]B.D!$A:$B,2,FALSE)</f>
        <v>REFUERZO CONTRA FLECHA 2mm - TC</v>
      </c>
      <c r="E307" s="71" t="str">
        <f>VLOOKUP(C307,[1]B.D!$A:$F,6,FALSE)</f>
        <v>NATURAL</v>
      </c>
      <c r="F307" s="71" t="str">
        <f>VLOOKUP(C307,[1]B.D!$A:$G,7,FALSE)</f>
        <v>REFUERZO - WH</v>
      </c>
      <c r="G307" s="13">
        <v>6778.8</v>
      </c>
      <c r="H307" s="87"/>
      <c r="I307" s="88">
        <f t="shared" si="8"/>
        <v>0</v>
      </c>
      <c r="J307" s="89">
        <f>VLOOKUP(C307,[1]B.D!$A:$E,5,FALSE)</f>
        <v>2</v>
      </c>
      <c r="K307" s="89">
        <f t="shared" si="9"/>
        <v>0</v>
      </c>
    </row>
    <row r="308" spans="2:11" ht="15" customHeight="1">
      <c r="B308" s="86">
        <v>296</v>
      </c>
      <c r="C308" s="71" t="s">
        <v>389</v>
      </c>
      <c r="D308" s="71" t="str">
        <f>VLOOKUP(C308,[1]B.D!$A:$B,2,FALSE)</f>
        <v>REFUERZO HOJA ANDES 54 1,2 mm - TC</v>
      </c>
      <c r="E308" s="71" t="str">
        <f>VLOOKUP(C308,[1]B.D!$A:$F,6,FALSE)</f>
        <v>NATURAL</v>
      </c>
      <c r="F308" s="71" t="str">
        <f>VLOOKUP(C308,[1]B.D!$A:$G,7,FALSE)</f>
        <v>REFUERZO - ANDES</v>
      </c>
      <c r="G308" s="13">
        <v>7117.9500000000007</v>
      </c>
      <c r="H308" s="87"/>
      <c r="I308" s="88">
        <f t="shared" si="8"/>
        <v>0</v>
      </c>
      <c r="J308" s="89">
        <f>VLOOKUP(C308,[1]B.D!$A:$E,5,FALSE)</f>
        <v>3</v>
      </c>
      <c r="K308" s="89">
        <f t="shared" si="9"/>
        <v>0</v>
      </c>
    </row>
    <row r="309" spans="2:11" ht="15" customHeight="1">
      <c r="B309" s="86">
        <v>297</v>
      </c>
      <c r="C309" s="71" t="s">
        <v>386</v>
      </c>
      <c r="D309" s="71" t="str">
        <f>VLOOKUP(C309,[1]B.D!$A:$B,2,FALSE)</f>
        <v>REFUERZO HOJA ANDES 66 1,2mm - HS</v>
      </c>
      <c r="E309" s="71" t="str">
        <f>VLOOKUP(C309,[1]B.D!$A:$F,6,FALSE)</f>
        <v>NATURAL</v>
      </c>
      <c r="F309" s="71" t="str">
        <f>VLOOKUP(C309,[1]B.D!$A:$G,7,FALSE)</f>
        <v>HASKAR-REFUERZO</v>
      </c>
      <c r="G309" s="13">
        <v>4507.6500000000005</v>
      </c>
      <c r="H309" s="87"/>
      <c r="I309" s="88">
        <f t="shared" si="8"/>
        <v>0</v>
      </c>
      <c r="J309" s="89">
        <f>VLOOKUP(C309,[1]B.D!$A:$E,5,FALSE)</f>
        <v>3.3</v>
      </c>
      <c r="K309" s="89">
        <f t="shared" si="9"/>
        <v>0</v>
      </c>
    </row>
    <row r="310" spans="2:11" ht="15" customHeight="1">
      <c r="B310" s="86">
        <v>298</v>
      </c>
      <c r="C310" s="71" t="s">
        <v>387</v>
      </c>
      <c r="D310" s="71" t="str">
        <f>VLOOKUP(C310,[1]B.D!$A:$B,2,FALSE)</f>
        <v>REFUERZO HOJA ANDES 66 1.2mm - TC</v>
      </c>
      <c r="E310" s="71" t="str">
        <f>VLOOKUP(C310,[1]B.D!$A:$F,6,FALSE)</f>
        <v>NATURAL</v>
      </c>
      <c r="F310" s="71" t="str">
        <f>VLOOKUP(C310,[1]B.D!$A:$G,7,FALSE)</f>
        <v>REFUERZO - ANDES</v>
      </c>
      <c r="G310" s="13">
        <v>8862</v>
      </c>
      <c r="H310" s="87"/>
      <c r="I310" s="88">
        <f t="shared" si="8"/>
        <v>0</v>
      </c>
      <c r="J310" s="89">
        <f>VLOOKUP(C310,[1]B.D!$A:$E,5,FALSE)</f>
        <v>3.3</v>
      </c>
      <c r="K310" s="89">
        <f t="shared" si="9"/>
        <v>0</v>
      </c>
    </row>
    <row r="311" spans="2:11" ht="15" customHeight="1">
      <c r="B311" s="86">
        <v>299</v>
      </c>
      <c r="C311" s="71" t="s">
        <v>388</v>
      </c>
      <c r="D311" s="71" t="str">
        <f>VLOOKUP(C311,[1]B.D!$A:$B,2,FALSE)</f>
        <v>REFUERZO HOJA ANDES 66 1.5 mm - TC</v>
      </c>
      <c r="E311" s="71" t="str">
        <f>VLOOKUP(C311,[1]B.D!$A:$F,6,FALSE)</f>
        <v>NATURAL</v>
      </c>
      <c r="F311" s="71" t="str">
        <f>VLOOKUP(C311,[1]B.D!$A:$G,7,FALSE)</f>
        <v>REFUERZO - ANDES</v>
      </c>
      <c r="G311" s="13">
        <v>11165.7</v>
      </c>
      <c r="H311" s="87"/>
      <c r="I311" s="88">
        <f t="shared" si="8"/>
        <v>0</v>
      </c>
      <c r="J311" s="89">
        <f>VLOOKUP(C311,[1]B.D!$A:$E,5,FALSE)</f>
        <v>4</v>
      </c>
      <c r="K311" s="89">
        <f t="shared" si="9"/>
        <v>0</v>
      </c>
    </row>
    <row r="312" spans="2:11" ht="15" customHeight="1">
      <c r="B312" s="86">
        <v>300</v>
      </c>
      <c r="C312" s="71" t="s">
        <v>375</v>
      </c>
      <c r="D312" s="71" t="str">
        <f>VLOOKUP(C312,[1]B.D!$A:$B,2,FALSE)</f>
        <v>REFUERZO HOJA CORREDERA 98 2 mm - TC</v>
      </c>
      <c r="E312" s="71" t="str">
        <f>VLOOKUP(C312,[1]B.D!$A:$F,6,FALSE)</f>
        <v>NATURAL</v>
      </c>
      <c r="F312" s="71" t="str">
        <f>VLOOKUP(C312,[1]B.D!$A:$G,7,FALSE)</f>
        <v>REFUERZO - WH</v>
      </c>
      <c r="G312" s="13">
        <v>22947.75</v>
      </c>
      <c r="H312" s="87"/>
      <c r="I312" s="88">
        <f t="shared" si="8"/>
        <v>0</v>
      </c>
      <c r="J312" s="89">
        <f>VLOOKUP(C312,[1]B.D!$A:$E,5,FALSE)</f>
        <v>8.25</v>
      </c>
      <c r="K312" s="89">
        <f t="shared" si="9"/>
        <v>0</v>
      </c>
    </row>
    <row r="313" spans="2:11" ht="15" customHeight="1">
      <c r="B313" s="86">
        <v>301</v>
      </c>
      <c r="C313" s="71" t="s">
        <v>395</v>
      </c>
      <c r="D313" s="71" t="str">
        <f>VLOOKUP(C313,[1]B.D!$A:$B,2,FALSE)</f>
        <v>REFUERZO HOJA CORREDERA MOSQUITERO 1.2 mm - TC</v>
      </c>
      <c r="E313" s="71" t="str">
        <f>VLOOKUP(C313,[1]B.D!$A:$F,6,FALSE)</f>
        <v>NATURAL</v>
      </c>
      <c r="F313" s="71" t="str">
        <f>VLOOKUP(C313,[1]B.D!$A:$G,7,FALSE)</f>
        <v>REFUERZO</v>
      </c>
      <c r="G313" s="13">
        <v>14007</v>
      </c>
      <c r="H313" s="87"/>
      <c r="I313" s="88">
        <f t="shared" si="8"/>
        <v>0</v>
      </c>
      <c r="J313" s="89">
        <f>VLOOKUP(C313,[1]B.D!$A:$E,5,FALSE)</f>
        <v>4.4000000000000004</v>
      </c>
      <c r="K313" s="89">
        <f t="shared" si="9"/>
        <v>0</v>
      </c>
    </row>
    <row r="314" spans="2:11" ht="15" customHeight="1">
      <c r="B314" s="86">
        <v>302</v>
      </c>
      <c r="C314" s="71" t="s">
        <v>374</v>
      </c>
      <c r="D314" s="71" t="str">
        <f>VLOOKUP(C314,[1]B.D!$A:$B,2,FALSE)</f>
        <v>REFUERZO HOJA PUERTA S60 1.5mm - TC</v>
      </c>
      <c r="E314" s="71" t="str">
        <f>VLOOKUP(C314,[1]B.D!$A:$F,6,FALSE)</f>
        <v>NATURAL</v>
      </c>
      <c r="F314" s="71" t="str">
        <f>VLOOKUP(C314,[1]B.D!$A:$G,7,FALSE)</f>
        <v>REFUERZO - WH</v>
      </c>
      <c r="G314" s="13">
        <v>24103.8</v>
      </c>
      <c r="H314" s="87"/>
      <c r="I314" s="88">
        <f t="shared" si="8"/>
        <v>0</v>
      </c>
      <c r="J314" s="89">
        <f>VLOOKUP(C314,[1]B.D!$A:$E,5,FALSE)</f>
        <v>9.6</v>
      </c>
      <c r="K314" s="89">
        <f t="shared" si="9"/>
        <v>0</v>
      </c>
    </row>
    <row r="315" spans="2:11" ht="15" customHeight="1">
      <c r="B315" s="86">
        <v>303</v>
      </c>
      <c r="C315" s="71" t="s">
        <v>398</v>
      </c>
      <c r="D315" s="71" t="str">
        <f>VLOOKUP(C315,[1]B.D!$A:$B,2,FALSE)</f>
        <v>REFUERZO HOJA ZENIA 2 mm - TC</v>
      </c>
      <c r="E315" s="71" t="str">
        <f>VLOOKUP(C315,[1]B.D!$A:$F,6,FALSE)</f>
        <v>NATURAL</v>
      </c>
      <c r="F315" s="71" t="str">
        <f>VLOOKUP(C315,[1]B.D!$A:$G,7,FALSE)</f>
        <v>REFUERZO - ZENIA</v>
      </c>
      <c r="G315" s="13">
        <v>18545.100000000002</v>
      </c>
      <c r="H315" s="87"/>
      <c r="I315" s="88">
        <f t="shared" si="8"/>
        <v>0</v>
      </c>
      <c r="J315" s="89">
        <f>VLOOKUP(C315,[1]B.D!$A:$E,5,FALSE)</f>
        <v>4.4000000000000004</v>
      </c>
      <c r="K315" s="89">
        <f t="shared" si="9"/>
        <v>0</v>
      </c>
    </row>
    <row r="316" spans="2:11" ht="15" customHeight="1">
      <c r="B316" s="86">
        <v>304</v>
      </c>
      <c r="C316" s="71" t="s">
        <v>383</v>
      </c>
      <c r="D316" s="71" t="str">
        <f>VLOOKUP(C316,[1]B.D!$A:$B,2,FALSE)</f>
        <v>REFUERZO INERCIA T 2 mm - TC</v>
      </c>
      <c r="E316" s="71" t="str">
        <f>VLOOKUP(C316,[1]B.D!$A:$F,6,FALSE)</f>
        <v>NATURAL</v>
      </c>
      <c r="F316" s="71" t="str">
        <f>VLOOKUP(C316,[1]B.D!$A:$G,7,FALSE)</f>
        <v>REFUERZO - WH</v>
      </c>
      <c r="G316" s="13">
        <v>25477.200000000001</v>
      </c>
      <c r="H316" s="87"/>
      <c r="I316" s="88">
        <f t="shared" si="8"/>
        <v>0</v>
      </c>
      <c r="J316" s="89">
        <f>VLOOKUP(C316,[1]B.D!$A:$E,5,FALSE)</f>
        <v>4.4000000000000004</v>
      </c>
      <c r="K316" s="89">
        <f t="shared" si="9"/>
        <v>0</v>
      </c>
    </row>
    <row r="317" spans="2:11" ht="15" customHeight="1">
      <c r="B317" s="86">
        <v>305</v>
      </c>
      <c r="C317" s="71" t="s">
        <v>384</v>
      </c>
      <c r="D317" s="71" t="str">
        <f>VLOOKUP(C317,[1]B.D!$A:$B,2,FALSE)</f>
        <v>REFUERZO MARCO CORREDERA ANDES 1,2 mm - HS</v>
      </c>
      <c r="E317" s="71" t="str">
        <f>VLOOKUP(C317,[1]B.D!$A:$F,6,FALSE)</f>
        <v>NATURAL</v>
      </c>
      <c r="F317" s="71" t="str">
        <f>VLOOKUP(C317,[1]B.D!$A:$G,7,FALSE)</f>
        <v>HASKAR-REFUERZO</v>
      </c>
      <c r="G317" s="13">
        <v>4492.95</v>
      </c>
      <c r="H317" s="87"/>
      <c r="I317" s="88">
        <f t="shared" si="8"/>
        <v>0</v>
      </c>
      <c r="J317" s="89">
        <f>VLOOKUP(C317,[1]B.D!$A:$E,5,FALSE)</f>
        <v>1.9</v>
      </c>
      <c r="K317" s="89">
        <f t="shared" si="9"/>
        <v>0</v>
      </c>
    </row>
    <row r="318" spans="2:11" ht="15" customHeight="1">
      <c r="B318" s="86">
        <v>306</v>
      </c>
      <c r="C318" s="71" t="s">
        <v>385</v>
      </c>
      <c r="D318" s="71" t="str">
        <f>VLOOKUP(C318,[1]B.D!$A:$B,2,FALSE)</f>
        <v>REFUERZO MARCO CORREDERA ANDES 1.2 mm - TC</v>
      </c>
      <c r="E318" s="71" t="str">
        <f>VLOOKUP(C318,[1]B.D!$A:$F,6,FALSE)</f>
        <v>NATURAL</v>
      </c>
      <c r="F318" s="71" t="str">
        <f>VLOOKUP(C318,[1]B.D!$A:$G,7,FALSE)</f>
        <v>REFUERZO - ANDES</v>
      </c>
      <c r="G318" s="13">
        <v>5976.6</v>
      </c>
      <c r="H318" s="87"/>
      <c r="I318" s="88">
        <f t="shared" si="8"/>
        <v>0</v>
      </c>
      <c r="J318" s="89">
        <f>VLOOKUP(C318,[1]B.D!$A:$E,5,FALSE)</f>
        <v>1.9</v>
      </c>
      <c r="K318" s="89">
        <f t="shared" si="9"/>
        <v>0</v>
      </c>
    </row>
    <row r="319" spans="2:11" ht="15" customHeight="1">
      <c r="B319" s="86">
        <v>307</v>
      </c>
      <c r="C319" s="71" t="s">
        <v>376</v>
      </c>
      <c r="D319" s="71" t="str">
        <f>VLOOKUP(C319,[1]B.D!$A:$B,2,FALSE)</f>
        <v>REFUERZO MARCO CORREDERA S70 1.2 mm - TC</v>
      </c>
      <c r="E319" s="71" t="str">
        <f>VLOOKUP(C319,[1]B.D!$A:$F,6,FALSE)</f>
        <v>NATURAL</v>
      </c>
      <c r="F319" s="71" t="str">
        <f>VLOOKUP(C319,[1]B.D!$A:$G,7,FALSE)</f>
        <v>REFUERZO - WH</v>
      </c>
      <c r="G319" s="13">
        <v>9718.8000000000011</v>
      </c>
      <c r="H319" s="87"/>
      <c r="I319" s="88">
        <f t="shared" si="8"/>
        <v>0</v>
      </c>
      <c r="J319" s="89">
        <f>VLOOKUP(C319,[1]B.D!$A:$E,5,FALSE)</f>
        <v>3.72</v>
      </c>
      <c r="K319" s="89">
        <f t="shared" si="9"/>
        <v>0</v>
      </c>
    </row>
    <row r="320" spans="2:11" ht="15" customHeight="1">
      <c r="B320" s="86">
        <v>308</v>
      </c>
      <c r="C320" s="71" t="s">
        <v>377</v>
      </c>
      <c r="D320" s="71" t="str">
        <f>VLOOKUP(C320,[1]B.D!$A:$B,2,FALSE)</f>
        <v>REFUERZO MARCO CORREDERA S75 1.2 mm - TC</v>
      </c>
      <c r="E320" s="71" t="str">
        <f>VLOOKUP(C320,[1]B.D!$A:$F,6,FALSE)</f>
        <v>NATURAL</v>
      </c>
      <c r="F320" s="71" t="str">
        <f>VLOOKUP(C320,[1]B.D!$A:$G,7,FALSE)</f>
        <v>REFUERZO - WH</v>
      </c>
      <c r="G320" s="13">
        <v>11576.25</v>
      </c>
      <c r="H320" s="87"/>
      <c r="I320" s="88">
        <f t="shared" si="8"/>
        <v>0</v>
      </c>
      <c r="J320" s="89">
        <f>VLOOKUP(C320,[1]B.D!$A:$E,5,FALSE)</f>
        <v>0</v>
      </c>
      <c r="K320" s="89">
        <f t="shared" si="9"/>
        <v>0</v>
      </c>
    </row>
    <row r="321" spans="2:11" ht="15" customHeight="1">
      <c r="B321" s="86">
        <v>309</v>
      </c>
      <c r="C321" s="71" t="s">
        <v>394</v>
      </c>
      <c r="D321" s="71" t="str">
        <f>VLOOKUP(C321,[1]B.D!$A:$B,2,FALSE)</f>
        <v>REFUERZO MARCO MOSQUITERO 1.2 mm - TC</v>
      </c>
      <c r="E321" s="71" t="str">
        <f>VLOOKUP(C321,[1]B.D!$A:$F,6,FALSE)</f>
        <v>NATURAL</v>
      </c>
      <c r="F321" s="71" t="str">
        <f>VLOOKUP(C321,[1]B.D!$A:$G,7,FALSE)</f>
        <v>REFUERZO</v>
      </c>
      <c r="G321" s="13">
        <v>7385.7000000000007</v>
      </c>
      <c r="H321" s="87"/>
      <c r="I321" s="88">
        <f t="shared" si="8"/>
        <v>0</v>
      </c>
      <c r="J321" s="89">
        <f>VLOOKUP(C321,[1]B.D!$A:$E,5,FALSE)</f>
        <v>3.3</v>
      </c>
      <c r="K321" s="89">
        <f t="shared" si="9"/>
        <v>0</v>
      </c>
    </row>
    <row r="322" spans="2:11" ht="15" customHeight="1">
      <c r="B322" s="86">
        <v>310</v>
      </c>
      <c r="C322" s="71" t="s">
        <v>924</v>
      </c>
      <c r="D322" s="71" t="str">
        <f>VLOOKUP(C322,[1]B.D!$A:$B,2,FALSE)</f>
        <v>REFUERZO MARCO SLIDING MULTIPLE 1.2 mm - TC</v>
      </c>
      <c r="E322" s="71" t="str">
        <f>VLOOKUP(C322,[1]B.D!$A:$F,6,FALSE)</f>
        <v>NATURAL</v>
      </c>
      <c r="F322" s="71" t="str">
        <f>VLOOKUP(C322,[1]B.D!$A:$G,7,FALSE)</f>
        <v>REFUERZO - WH</v>
      </c>
      <c r="G322" s="13">
        <v>8746.5</v>
      </c>
      <c r="H322" s="87"/>
      <c r="I322" s="88">
        <f t="shared" si="8"/>
        <v>0</v>
      </c>
      <c r="J322" s="89">
        <f>VLOOKUP(C322,[1]B.D!$A:$E,5,FALSE)</f>
        <v>0</v>
      </c>
      <c r="K322" s="89">
        <f t="shared" si="9"/>
        <v>0</v>
      </c>
    </row>
    <row r="323" spans="2:11" ht="15" customHeight="1">
      <c r="B323" s="86">
        <v>311</v>
      </c>
      <c r="C323" s="71" t="s">
        <v>397</v>
      </c>
      <c r="D323" s="71" t="str">
        <f>VLOOKUP(C323,[1]B.D!$A:$B,2,FALSE)</f>
        <v>REFUERZO MARCO ZENIA 1.2 mm - TC</v>
      </c>
      <c r="E323" s="71" t="str">
        <f>VLOOKUP(C323,[1]B.D!$A:$F,6,FALSE)</f>
        <v>NATURAL</v>
      </c>
      <c r="F323" s="71" t="str">
        <f>VLOOKUP(C323,[1]B.D!$A:$G,7,FALSE)</f>
        <v>REFUERZO - ZENIA</v>
      </c>
      <c r="G323" s="13">
        <v>8993.25</v>
      </c>
      <c r="H323" s="87"/>
      <c r="I323" s="88">
        <f t="shared" si="8"/>
        <v>0</v>
      </c>
      <c r="J323" s="89">
        <f>VLOOKUP(C323,[1]B.D!$A:$E,5,FALSE)</f>
        <v>3.72</v>
      </c>
      <c r="K323" s="89">
        <f t="shared" si="9"/>
        <v>0</v>
      </c>
    </row>
    <row r="324" spans="2:11" ht="15" customHeight="1">
      <c r="B324" s="86">
        <v>312</v>
      </c>
      <c r="C324" s="71" t="s">
        <v>390</v>
      </c>
      <c r="D324" s="71" t="str">
        <f>VLOOKUP(C324,[1]B.D!$A:$B,2,FALSE)</f>
        <v>REFUERZO MULTIPLE ANDES 1.2 mm - TC</v>
      </c>
      <c r="E324" s="71" t="str">
        <f>VLOOKUP(C324,[1]B.D!$A:$F,6,FALSE)</f>
        <v>NATURAL</v>
      </c>
      <c r="F324" s="71" t="str">
        <f>VLOOKUP(C324,[1]B.D!$A:$G,7,FALSE)</f>
        <v>REFUERZO - ANDES</v>
      </c>
      <c r="G324" s="13">
        <v>7214.55</v>
      </c>
      <c r="H324" s="87"/>
      <c r="I324" s="88">
        <f t="shared" si="8"/>
        <v>0</v>
      </c>
      <c r="J324" s="89">
        <f>VLOOKUP(C324,[1]B.D!$A:$E,5,FALSE)</f>
        <v>3</v>
      </c>
      <c r="K324" s="89">
        <f t="shared" si="9"/>
        <v>0</v>
      </c>
    </row>
    <row r="325" spans="2:11" ht="15" customHeight="1">
      <c r="B325" s="86">
        <v>313</v>
      </c>
      <c r="C325" s="71" t="s">
        <v>369</v>
      </c>
      <c r="D325" s="71" t="str">
        <f>VLOOKUP(C325,[1]B.D!$A:$B,2,FALSE)</f>
        <v>REFUERZO NEW MULTIPLE 1.2 mm - TC</v>
      </c>
      <c r="E325" s="71" t="str">
        <f>VLOOKUP(C325,[1]B.D!$A:$F,6,FALSE)</f>
        <v>NATURAL</v>
      </c>
      <c r="F325" s="71" t="str">
        <f>VLOOKUP(C325,[1]B.D!$A:$G,7,FALSE)</f>
        <v>REFUERZO - WH</v>
      </c>
      <c r="G325" s="13">
        <v>11370.45</v>
      </c>
      <c r="H325" s="87"/>
      <c r="I325" s="88">
        <f t="shared" si="8"/>
        <v>0</v>
      </c>
      <c r="J325" s="89">
        <f>VLOOKUP(C325,[1]B.D!$A:$E,5,FALSE)</f>
        <v>4.4000000000000004</v>
      </c>
      <c r="K325" s="89">
        <f t="shared" si="9"/>
        <v>0</v>
      </c>
    </row>
    <row r="326" spans="2:11" ht="15" customHeight="1">
      <c r="B326" s="86">
        <v>314</v>
      </c>
      <c r="C326" s="71" t="s">
        <v>370</v>
      </c>
      <c r="D326" s="71" t="str">
        <f>VLOOKUP(C326,[1]B.D!$A:$B,2,FALSE)</f>
        <v>REFUERZO NEW MULTIPLE 2 mm - TC</v>
      </c>
      <c r="E326" s="71" t="str">
        <f>VLOOKUP(C326,[1]B.D!$A:$F,6,FALSE)</f>
        <v>NATURAL</v>
      </c>
      <c r="F326" s="71" t="str">
        <f>VLOOKUP(C326,[1]B.D!$A:$G,7,FALSE)</f>
        <v>REFUERZO - WH</v>
      </c>
      <c r="G326" s="13">
        <v>18607.05</v>
      </c>
      <c r="H326" s="87"/>
      <c r="I326" s="88">
        <f t="shared" si="8"/>
        <v>0</v>
      </c>
      <c r="J326" s="89">
        <f>VLOOKUP(C326,[1]B.D!$A:$E,5,FALSE)</f>
        <v>6.1</v>
      </c>
      <c r="K326" s="89">
        <f t="shared" si="9"/>
        <v>0</v>
      </c>
    </row>
    <row r="327" spans="2:11" ht="15" customHeight="1">
      <c r="B327" s="86">
        <v>315</v>
      </c>
      <c r="C327" s="71" t="s">
        <v>371</v>
      </c>
      <c r="D327" s="71" t="str">
        <f>VLOOKUP(C327,[1]B.D!$A:$B,2,FALSE)</f>
        <v>REFUERZO PLEGABLE 1.2 mm - TC</v>
      </c>
      <c r="E327" s="71" t="str">
        <f>VLOOKUP(C327,[1]B.D!$A:$F,6,FALSE)</f>
        <v>NATURAL</v>
      </c>
      <c r="F327" s="71" t="str">
        <f>VLOOKUP(C327,[1]B.D!$A:$G,7,FALSE)</f>
        <v>REFUERZO - WH</v>
      </c>
      <c r="G327" s="13">
        <v>10336.200000000001</v>
      </c>
      <c r="H327" s="87"/>
      <c r="I327" s="88">
        <f t="shared" si="8"/>
        <v>0</v>
      </c>
      <c r="J327" s="89">
        <f>VLOOKUP(C327,[1]B.D!$A:$E,5,FALSE)</f>
        <v>6.83</v>
      </c>
      <c r="K327" s="89">
        <f t="shared" si="9"/>
        <v>0</v>
      </c>
    </row>
    <row r="328" spans="2:11" ht="15" customHeight="1">
      <c r="B328" s="86">
        <v>316</v>
      </c>
      <c r="C328" s="71" t="s">
        <v>372</v>
      </c>
      <c r="D328" s="71" t="str">
        <f>VLOOKUP(C328,[1]B.D!$A:$B,2,FALSE)</f>
        <v>REFUERZO PLEGABLE 2 mm - TC</v>
      </c>
      <c r="E328" s="71" t="str">
        <f>VLOOKUP(C328,[1]B.D!$A:$F,6,FALSE)</f>
        <v>NATURAL</v>
      </c>
      <c r="F328" s="71" t="str">
        <f>VLOOKUP(C328,[1]B.D!$A:$G,7,FALSE)</f>
        <v>REFUERZO - WH</v>
      </c>
      <c r="G328" s="13">
        <v>18607.05</v>
      </c>
      <c r="H328" s="87"/>
      <c r="I328" s="88">
        <f t="shared" si="8"/>
        <v>0</v>
      </c>
      <c r="J328" s="89">
        <f>VLOOKUP(C328,[1]B.D!$A:$E,5,FALSE)</f>
        <v>6.83</v>
      </c>
      <c r="K328" s="89">
        <f t="shared" si="9"/>
        <v>0</v>
      </c>
    </row>
    <row r="329" spans="2:11" ht="15" customHeight="1">
      <c r="B329" s="86">
        <v>317</v>
      </c>
      <c r="C329" s="71" t="s">
        <v>396</v>
      </c>
      <c r="D329" s="71" t="str">
        <f>VLOOKUP(C329,[1]B.D!$A:$B,2,FALSE)</f>
        <v>REFUERZO POSTE T  MOSQUITERO 1.2 mm - TC</v>
      </c>
      <c r="E329" s="71" t="str">
        <f>VLOOKUP(C329,[1]B.D!$A:$F,6,FALSE)</f>
        <v>NATURAL</v>
      </c>
      <c r="F329" s="71" t="str">
        <f>VLOOKUP(C329,[1]B.D!$A:$G,7,FALSE)</f>
        <v>REFUERZO</v>
      </c>
      <c r="G329" s="13">
        <v>5093.55</v>
      </c>
      <c r="H329" s="87"/>
      <c r="I329" s="88">
        <f t="shared" si="8"/>
        <v>0</v>
      </c>
      <c r="J329" s="89">
        <f>VLOOKUP(C329,[1]B.D!$A:$E,5,FALSE)</f>
        <v>1.6</v>
      </c>
      <c r="K329" s="89">
        <f t="shared" si="9"/>
        <v>0</v>
      </c>
    </row>
    <row r="330" spans="2:11" ht="15" customHeight="1">
      <c r="B330" s="86">
        <v>318</v>
      </c>
      <c r="C330" s="71" t="s">
        <v>381</v>
      </c>
      <c r="D330" s="71" t="str">
        <f>VLOOKUP(C330,[1]B.D!$A:$B,2,FALSE)</f>
        <v>REFUERZO POSTE T S60 1.2 mm - TC</v>
      </c>
      <c r="E330" s="71" t="str">
        <f>VLOOKUP(C330,[1]B.D!$A:$F,6,FALSE)</f>
        <v>NATURAL</v>
      </c>
      <c r="F330" s="71" t="str">
        <f>VLOOKUP(C330,[1]B.D!$A:$G,7,FALSE)</f>
        <v>REFUERZO - WH</v>
      </c>
      <c r="G330" s="13">
        <v>11165.7</v>
      </c>
      <c r="H330" s="87"/>
      <c r="I330" s="88">
        <f t="shared" si="8"/>
        <v>0</v>
      </c>
      <c r="J330" s="89">
        <f>VLOOKUP(C330,[1]B.D!$A:$E,5,FALSE)</f>
        <v>4.5</v>
      </c>
      <c r="K330" s="89">
        <f t="shared" si="9"/>
        <v>0</v>
      </c>
    </row>
    <row r="331" spans="2:11" ht="15" customHeight="1">
      <c r="B331" s="86">
        <v>319</v>
      </c>
      <c r="C331" s="71" t="s">
        <v>392</v>
      </c>
      <c r="D331" s="71" t="str">
        <f>VLOOKUP(C331,[1]B.D!$A:$B,2,FALSE)</f>
        <v>REFUERZO TRASLAPO FIJO AMERICANA - TC</v>
      </c>
      <c r="E331" s="71" t="str">
        <f>VLOOKUP(C331,[1]B.D!$A:$F,6,FALSE)</f>
        <v>NATURAL</v>
      </c>
      <c r="F331" s="71" t="str">
        <f>VLOOKUP(C331,[1]B.D!$A:$G,7,FALSE)</f>
        <v>AMERICANA</v>
      </c>
      <c r="G331" s="13">
        <v>7056</v>
      </c>
      <c r="H331" s="87"/>
      <c r="I331" s="88">
        <f t="shared" si="8"/>
        <v>0</v>
      </c>
      <c r="J331" s="89">
        <f>VLOOKUP(C331,[1]B.D!$A:$E,5,FALSE)</f>
        <v>2.5</v>
      </c>
      <c r="K331" s="89">
        <f t="shared" si="9"/>
        <v>0</v>
      </c>
    </row>
    <row r="332" spans="2:11" ht="15" customHeight="1">
      <c r="B332" s="86">
        <v>320</v>
      </c>
      <c r="C332" s="71" t="s">
        <v>393</v>
      </c>
      <c r="D332" s="71" t="str">
        <f>VLOOKUP(C332,[1]B.D!$A:$B,2,FALSE)</f>
        <v>REFUERZO TRASLAPO MOVIL AMERICANA - TC</v>
      </c>
      <c r="E332" s="71" t="str">
        <f>VLOOKUP(C332,[1]B.D!$A:$F,6,FALSE)</f>
        <v>NATURAL</v>
      </c>
      <c r="F332" s="71" t="str">
        <f>VLOOKUP(C332,[1]B.D!$A:$G,7,FALSE)</f>
        <v>AMERICANA</v>
      </c>
      <c r="G332" s="13">
        <v>5292</v>
      </c>
      <c r="H332" s="87"/>
      <c r="I332" s="88">
        <f t="shared" si="8"/>
        <v>0</v>
      </c>
      <c r="J332" s="89">
        <f>VLOOKUP(C332,[1]B.D!$A:$E,5,FALSE)</f>
        <v>2.35</v>
      </c>
      <c r="K332" s="89">
        <f t="shared" si="9"/>
        <v>0</v>
      </c>
    </row>
    <row r="333" spans="2:11" ht="15" customHeight="1">
      <c r="B333" s="86">
        <v>321</v>
      </c>
      <c r="C333" s="71" t="s">
        <v>382</v>
      </c>
      <c r="D333" s="71" t="str">
        <f>VLOOKUP(C333,[1]B.D!$A:$B,2,FALSE)</f>
        <v>REFUERZO TUBULAR 60 x 100 - 2mm - TC</v>
      </c>
      <c r="E333" s="71" t="str">
        <f>VLOOKUP(C333,[1]B.D!$A:$F,6,FALSE)</f>
        <v>NATURAL</v>
      </c>
      <c r="F333" s="71" t="str">
        <f>VLOOKUP(C333,[1]B.D!$A:$G,7,FALSE)</f>
        <v>REFUERZO - WH</v>
      </c>
      <c r="G333" s="13">
        <v>67440.45</v>
      </c>
      <c r="H333" s="87"/>
      <c r="I333" s="88">
        <f t="shared" ref="I333:I396" si="10">G333*H333</f>
        <v>0</v>
      </c>
      <c r="J333" s="89">
        <f>VLOOKUP(C333,[1]B.D!$A:$E,5,FALSE)</f>
        <v>9.6</v>
      </c>
      <c r="K333" s="89">
        <f t="shared" ref="K333:K396" si="11">$H333*$J333</f>
        <v>0</v>
      </c>
    </row>
    <row r="334" spans="2:11" ht="15" customHeight="1">
      <c r="B334" s="86">
        <v>322</v>
      </c>
      <c r="C334" s="71" t="s">
        <v>135</v>
      </c>
      <c r="D334" s="71" t="str">
        <f>VLOOKUP(C334,[1]B.D!$A:$B,2,FALSE)</f>
        <v>RIEL ALUMINIO SLIDING-ANDES</v>
      </c>
      <c r="E334" s="71" t="str">
        <f>VLOOKUP(C334,[1]B.D!$A:$F,6,FALSE)</f>
        <v>NATURAL</v>
      </c>
      <c r="F334" s="71" t="str">
        <f>VLOOKUP(C334,[1]B.D!$A:$G,7,FALSE)</f>
        <v>SLIDING</v>
      </c>
      <c r="G334" s="13">
        <v>10635.45</v>
      </c>
      <c r="H334" s="87"/>
      <c r="I334" s="88">
        <f t="shared" si="10"/>
        <v>0</v>
      </c>
      <c r="J334" s="89">
        <f>VLOOKUP(C334,[1]B.D!$A:$E,5,FALSE)</f>
        <v>0.3</v>
      </c>
      <c r="K334" s="89">
        <f t="shared" si="11"/>
        <v>0</v>
      </c>
    </row>
    <row r="335" spans="2:11" ht="15" customHeight="1">
      <c r="B335" s="86">
        <v>323</v>
      </c>
      <c r="C335" s="71" t="s">
        <v>858</v>
      </c>
      <c r="D335" s="71" t="str">
        <f>VLOOKUP(C335,[1]B.D!$A:$B,2,FALSE)</f>
        <v>RIEL ALUMINIO SLIDING-ANDES MADERA-AQ</v>
      </c>
      <c r="E335" s="71" t="str">
        <f>VLOOKUP(C335,[1]B.D!$A:$F,6,FALSE)</f>
        <v>MADERA</v>
      </c>
      <c r="F335" s="71" t="str">
        <f>VLOOKUP(C335,[1]B.D!$A:$G,7,FALSE)</f>
        <v>PERFILES - BARANDAS</v>
      </c>
      <c r="G335" s="13">
        <v>10635.45</v>
      </c>
      <c r="H335" s="87"/>
      <c r="I335" s="88">
        <f t="shared" si="10"/>
        <v>0</v>
      </c>
      <c r="J335" s="89">
        <f>VLOOKUP(C335,[1]B.D!$A:$E,5,FALSE)</f>
        <v>0.3</v>
      </c>
      <c r="K335" s="89">
        <f t="shared" si="11"/>
        <v>0</v>
      </c>
    </row>
    <row r="336" spans="2:11" ht="15" customHeight="1">
      <c r="B336" s="86">
        <v>324</v>
      </c>
      <c r="C336" s="92" t="s">
        <v>923</v>
      </c>
      <c r="D336" s="71" t="str">
        <f>VLOOKUP(C336,[1]B.D!$A:$B,2,FALSE)</f>
        <v>RIEL ALUMINIO SLIDING-ANDES NATURAL - AQ</v>
      </c>
      <c r="E336" s="71" t="str">
        <f>VLOOKUP(C336,[1]B.D!$A:$F,6,FALSE)</f>
        <v>NATURAL</v>
      </c>
      <c r="F336" s="71" t="str">
        <f>VLOOKUP(C336,[1]B.D!$A:$G,7,FALSE)</f>
        <v>SLIDING - ANDES</v>
      </c>
      <c r="G336" s="13">
        <v>10635.45</v>
      </c>
      <c r="H336" s="87"/>
      <c r="I336" s="88">
        <f t="shared" si="10"/>
        <v>0</v>
      </c>
      <c r="J336" s="89">
        <f>VLOOKUP(C336,[1]B.D!$A:$E,5,FALSE)</f>
        <v>0.70379999999999998</v>
      </c>
      <c r="K336" s="89">
        <f t="shared" si="11"/>
        <v>0</v>
      </c>
    </row>
    <row r="337" spans="2:11" ht="15" customHeight="1">
      <c r="B337" s="86">
        <v>325</v>
      </c>
      <c r="C337" s="71" t="s">
        <v>859</v>
      </c>
      <c r="D337" s="71" t="str">
        <f>VLOOKUP(C337,[1]B.D!$A:$B,2,FALSE)</f>
        <v>RIEL ALUMINIO SLIDING-ANDES NEGRO-AQ</v>
      </c>
      <c r="E337" s="71" t="str">
        <f>VLOOKUP(C337,[1]B.D!$A:$F,6,FALSE)</f>
        <v>NEGRO</v>
      </c>
      <c r="F337" s="71" t="str">
        <f>VLOOKUP(C337,[1]B.D!$A:$G,7,FALSE)</f>
        <v>PERFILES - BARANDAS</v>
      </c>
      <c r="G337" s="13">
        <v>10635.45</v>
      </c>
      <c r="H337" s="87"/>
      <c r="I337" s="88">
        <f t="shared" si="10"/>
        <v>0</v>
      </c>
      <c r="J337" s="89">
        <f>VLOOKUP(C337,[1]B.D!$A:$E,5,FALSE)</f>
        <v>0</v>
      </c>
      <c r="K337" s="89">
        <f t="shared" si="11"/>
        <v>0</v>
      </c>
    </row>
    <row r="338" spans="2:11" ht="15" customHeight="1">
      <c r="B338" s="86">
        <v>326</v>
      </c>
      <c r="C338" s="71" t="s">
        <v>319</v>
      </c>
      <c r="D338" s="71" t="str">
        <f>VLOOKUP(C338,[1]B.D!$A:$B,2,FALSE)</f>
        <v>RIEL ALUMINIO ZENIA - MARRON</v>
      </c>
      <c r="E338" s="71" t="str">
        <f>VLOOKUP(C338,[1]B.D!$A:$F,6,FALSE)</f>
        <v>MARRON</v>
      </c>
      <c r="F338" s="71" t="str">
        <f>VLOOKUP(C338,[1]B.D!$A:$G,7,FALSE)</f>
        <v>SLIDING - ZENIA</v>
      </c>
      <c r="G338" s="13">
        <v>21390.600000000002</v>
      </c>
      <c r="H338" s="87"/>
      <c r="I338" s="88">
        <f t="shared" si="10"/>
        <v>0</v>
      </c>
      <c r="J338" s="89">
        <f>VLOOKUP(C338,[1]B.D!$A:$E,5,FALSE)</f>
        <v>1.1399999999999999</v>
      </c>
      <c r="K338" s="89">
        <f t="shared" si="11"/>
        <v>0</v>
      </c>
    </row>
    <row r="339" spans="2:11" ht="15" customHeight="1">
      <c r="B339" s="86">
        <v>327</v>
      </c>
      <c r="C339" s="71" t="s">
        <v>320</v>
      </c>
      <c r="D339" s="71" t="str">
        <f>VLOOKUP(C339,[1]B.D!$A:$B,2,FALSE)</f>
        <v>RIEL ALUMINIO ZENIA - NATURAL</v>
      </c>
      <c r="E339" s="71" t="str">
        <f>VLOOKUP(C339,[1]B.D!$A:$F,6,FALSE)</f>
        <v>NATURAL</v>
      </c>
      <c r="F339" s="71" t="str">
        <f>VLOOKUP(C339,[1]B.D!$A:$G,7,FALSE)</f>
        <v>SLIDING - ZENIA</v>
      </c>
      <c r="G339" s="13">
        <v>15979.95</v>
      </c>
      <c r="H339" s="87"/>
      <c r="I339" s="88">
        <f t="shared" si="10"/>
        <v>0</v>
      </c>
      <c r="J339" s="89">
        <f>VLOOKUP(C339,[1]B.D!$A:$E,5,FALSE)</f>
        <v>1.1399999999999999</v>
      </c>
      <c r="K339" s="89">
        <f t="shared" si="11"/>
        <v>0</v>
      </c>
    </row>
    <row r="340" spans="2:11" ht="15" customHeight="1">
      <c r="B340" s="86">
        <v>328</v>
      </c>
      <c r="C340" s="71" t="s">
        <v>318</v>
      </c>
      <c r="D340" s="71" t="str">
        <f>VLOOKUP(C340,[1]B.D!$A:$B,2,FALSE)</f>
        <v>RIEL ALUMINIO ZENIA - ROBLE</v>
      </c>
      <c r="E340" s="71" t="str">
        <f>VLOOKUP(C340,[1]B.D!$A:$F,6,FALSE)</f>
        <v>ROBLE</v>
      </c>
      <c r="F340" s="71" t="str">
        <f>VLOOKUP(C340,[1]B.D!$A:$G,7,FALSE)</f>
        <v>SLIDING - ZENIA</v>
      </c>
      <c r="G340" s="13">
        <v>21739.200000000001</v>
      </c>
      <c r="H340" s="87"/>
      <c r="I340" s="88">
        <f t="shared" si="10"/>
        <v>0</v>
      </c>
      <c r="J340" s="89">
        <f>VLOOKUP(C340,[1]B.D!$A:$E,5,FALSE)</f>
        <v>1.1399999999999999</v>
      </c>
      <c r="K340" s="89">
        <f t="shared" si="11"/>
        <v>0</v>
      </c>
    </row>
    <row r="341" spans="2:11" ht="15" customHeight="1">
      <c r="B341" s="86">
        <v>329</v>
      </c>
      <c r="C341" s="71" t="s">
        <v>351</v>
      </c>
      <c r="D341" s="71" t="str">
        <f>VLOOKUP(C341,[1]B.D!$A:$B,2,FALSE)</f>
        <v>RIEL AMERICANA SILTEK</v>
      </c>
      <c r="E341" s="71" t="str">
        <f>VLOOKUP(C341,[1]B.D!$A:$F,6,FALSE)</f>
        <v>BLANCO</v>
      </c>
      <c r="F341" s="71" t="str">
        <f>VLOOKUP(C341,[1]B.D!$A:$G,7,FALSE)</f>
        <v>AMERICANA</v>
      </c>
      <c r="G341" s="13">
        <v>2109.4500000000003</v>
      </c>
      <c r="H341" s="87"/>
      <c r="I341" s="88">
        <f t="shared" si="10"/>
        <v>0</v>
      </c>
      <c r="J341" s="89">
        <f>VLOOKUP(C341,[1]B.D!$A:$E,5,FALSE)</f>
        <v>0.7</v>
      </c>
      <c r="K341" s="89">
        <f t="shared" si="11"/>
        <v>0</v>
      </c>
    </row>
    <row r="342" spans="2:11" ht="15" customHeight="1">
      <c r="B342" s="86">
        <v>330</v>
      </c>
      <c r="C342" s="71" t="s">
        <v>293</v>
      </c>
      <c r="D342" s="71" t="str">
        <f>VLOOKUP(C342,[1]B.D!$A:$B,2,FALSE)</f>
        <v>RIEL INFERIOR ZENIA - BLANCO</v>
      </c>
      <c r="E342" s="71" t="str">
        <f>VLOOKUP(C342,[1]B.D!$A:$F,6,FALSE)</f>
        <v>BLANCO</v>
      </c>
      <c r="F342" s="71" t="str">
        <f>VLOOKUP(C342,[1]B.D!$A:$G,7,FALSE)</f>
        <v>SLIDING - ZENIA</v>
      </c>
      <c r="G342" s="13">
        <v>10407.6</v>
      </c>
      <c r="H342" s="87"/>
      <c r="I342" s="88">
        <f t="shared" si="10"/>
        <v>0</v>
      </c>
      <c r="J342" s="89">
        <f>VLOOKUP(C342,[1]B.D!$A:$E,5,FALSE)</f>
        <v>1.6020000000000001</v>
      </c>
      <c r="K342" s="89">
        <f t="shared" si="11"/>
        <v>0</v>
      </c>
    </row>
    <row r="343" spans="2:11" ht="15" customHeight="1">
      <c r="B343" s="86">
        <v>331</v>
      </c>
      <c r="C343" s="71" t="s">
        <v>296</v>
      </c>
      <c r="D343" s="71" t="str">
        <f>VLOOKUP(C343,[1]B.D!$A:$B,2,FALSE)</f>
        <v>RIEL INFERIOR ZENIA - GRAFITO</v>
      </c>
      <c r="E343" s="71" t="str">
        <f>VLOOKUP(C343,[1]B.D!$A:$F,6,FALSE)</f>
        <v>GRAFITO</v>
      </c>
      <c r="F343" s="71" t="str">
        <f>VLOOKUP(C343,[1]B.D!$A:$G,7,FALSE)</f>
        <v>SLIDING - ZENIA</v>
      </c>
      <c r="G343" s="13">
        <v>16807.350000000002</v>
      </c>
      <c r="H343" s="87"/>
      <c r="I343" s="88">
        <f t="shared" si="10"/>
        <v>0</v>
      </c>
      <c r="J343" s="89">
        <f>VLOOKUP(C343,[1]B.D!$A:$E,5,FALSE)</f>
        <v>1.6020000000000001</v>
      </c>
      <c r="K343" s="89">
        <f t="shared" si="11"/>
        <v>0</v>
      </c>
    </row>
    <row r="344" spans="2:11" ht="15" customHeight="1">
      <c r="B344" s="86">
        <v>332</v>
      </c>
      <c r="C344" s="71" t="s">
        <v>297</v>
      </c>
      <c r="D344" s="71" t="str">
        <f>VLOOKUP(C344,[1]B.D!$A:$B,2,FALSE)</f>
        <v>RIEL INFERIOR ZENIA - NEW BLACK</v>
      </c>
      <c r="E344" s="71" t="str">
        <f>VLOOKUP(C344,[1]B.D!$A:$F,6,FALSE)</f>
        <v>NEW BLACK</v>
      </c>
      <c r="F344" s="71" t="str">
        <f>VLOOKUP(C344,[1]B.D!$A:$G,7,FALSE)</f>
        <v>SLIDING - ZENIA</v>
      </c>
      <c r="G344" s="13">
        <v>19373.55</v>
      </c>
      <c r="H344" s="87"/>
      <c r="I344" s="88">
        <f t="shared" si="10"/>
        <v>0</v>
      </c>
      <c r="J344" s="89">
        <f>VLOOKUP(C344,[1]B.D!$A:$E,5,FALSE)</f>
        <v>1.6020000000000001</v>
      </c>
      <c r="K344" s="89">
        <f t="shared" si="11"/>
        <v>0</v>
      </c>
    </row>
    <row r="345" spans="2:11" ht="15" customHeight="1">
      <c r="B345" s="86">
        <v>333</v>
      </c>
      <c r="C345" s="71" t="s">
        <v>295</v>
      </c>
      <c r="D345" s="71" t="str">
        <f>VLOOKUP(C345,[1]B.D!$A:$B,2,FALSE)</f>
        <v>RIEL INFERIOR ZENIA - NOGAL</v>
      </c>
      <c r="E345" s="71" t="str">
        <f>VLOOKUP(C345,[1]B.D!$A:$F,6,FALSE)</f>
        <v>NOGAL</v>
      </c>
      <c r="F345" s="71" t="str">
        <f>VLOOKUP(C345,[1]B.D!$A:$G,7,FALSE)</f>
        <v>SLIDING - ZENIA</v>
      </c>
      <c r="G345" s="13">
        <v>16807.350000000002</v>
      </c>
      <c r="H345" s="87"/>
      <c r="I345" s="88">
        <f t="shared" si="10"/>
        <v>0</v>
      </c>
      <c r="J345" s="89">
        <f>VLOOKUP(C345,[1]B.D!$A:$E,5,FALSE)</f>
        <v>1.6020000000000001</v>
      </c>
      <c r="K345" s="89">
        <f t="shared" si="11"/>
        <v>0</v>
      </c>
    </row>
    <row r="346" spans="2:11" ht="15" customHeight="1">
      <c r="B346" s="86">
        <v>334</v>
      </c>
      <c r="C346" s="71" t="s">
        <v>294</v>
      </c>
      <c r="D346" s="71" t="str">
        <f>VLOOKUP(C346,[1]B.D!$A:$B,2,FALSE)</f>
        <v>RIEL INFERIOR ZENIA - ROBLE</v>
      </c>
      <c r="E346" s="71" t="str">
        <f>VLOOKUP(C346,[1]B.D!$A:$F,6,FALSE)</f>
        <v>ROBLE</v>
      </c>
      <c r="F346" s="71" t="str">
        <f>VLOOKUP(C346,[1]B.D!$A:$G,7,FALSE)</f>
        <v>SLIDING - ZENIA</v>
      </c>
      <c r="G346" s="13">
        <v>16807.350000000002</v>
      </c>
      <c r="H346" s="87"/>
      <c r="I346" s="88">
        <f t="shared" si="10"/>
        <v>0</v>
      </c>
      <c r="J346" s="89">
        <f>VLOOKUP(C346,[1]B.D!$A:$E,5,FALSE)</f>
        <v>1.6020000000000001</v>
      </c>
      <c r="K346" s="89">
        <f t="shared" si="11"/>
        <v>0</v>
      </c>
    </row>
    <row r="347" spans="2:11" ht="15" customHeight="1">
      <c r="B347" s="86">
        <v>335</v>
      </c>
      <c r="C347" s="71" t="s">
        <v>298</v>
      </c>
      <c r="D347" s="71" t="str">
        <f>VLOOKUP(C347,[1]B.D!$A:$B,2,FALSE)</f>
        <v>RIEL SUPERIOR ZENIA - BLANCO</v>
      </c>
      <c r="E347" s="71" t="str">
        <f>VLOOKUP(C347,[1]B.D!$A:$F,6,FALSE)</f>
        <v>BLANCO</v>
      </c>
      <c r="F347" s="71" t="str">
        <f>VLOOKUP(C347,[1]B.D!$A:$G,7,FALSE)</f>
        <v>SLIDING - ZENIA</v>
      </c>
      <c r="G347" s="13">
        <v>10569.300000000001</v>
      </c>
      <c r="H347" s="87"/>
      <c r="I347" s="88">
        <f t="shared" si="10"/>
        <v>0</v>
      </c>
      <c r="J347" s="89">
        <f>VLOOKUP(C347,[1]B.D!$A:$E,5,FALSE)</f>
        <v>2.2080000000000002</v>
      </c>
      <c r="K347" s="89">
        <f t="shared" si="11"/>
        <v>0</v>
      </c>
    </row>
    <row r="348" spans="2:11" ht="15" customHeight="1">
      <c r="B348" s="86">
        <v>336</v>
      </c>
      <c r="C348" s="71" t="s">
        <v>301</v>
      </c>
      <c r="D348" s="71" t="str">
        <f>VLOOKUP(C348,[1]B.D!$A:$B,2,FALSE)</f>
        <v>RIEL SUPERIOR ZENIA - GRAFITO</v>
      </c>
      <c r="E348" s="71" t="str">
        <f>VLOOKUP(C348,[1]B.D!$A:$F,6,FALSE)</f>
        <v>GRAFITO</v>
      </c>
      <c r="F348" s="71" t="str">
        <f>VLOOKUP(C348,[1]B.D!$A:$G,7,FALSE)</f>
        <v>SLIDING - ZENIA</v>
      </c>
      <c r="G348" s="13">
        <v>24377.850000000002</v>
      </c>
      <c r="H348" s="87"/>
      <c r="I348" s="88">
        <f t="shared" si="10"/>
        <v>0</v>
      </c>
      <c r="J348" s="89">
        <f>VLOOKUP(C348,[1]B.D!$A:$E,5,FALSE)</f>
        <v>2.2080000000000002</v>
      </c>
      <c r="K348" s="89">
        <f t="shared" si="11"/>
        <v>0</v>
      </c>
    </row>
    <row r="349" spans="2:11" ht="15" customHeight="1">
      <c r="B349" s="86">
        <v>337</v>
      </c>
      <c r="C349" s="71" t="s">
        <v>302</v>
      </c>
      <c r="D349" s="71" t="str">
        <f>VLOOKUP(C349,[1]B.D!$A:$B,2,FALSE)</f>
        <v>RIEL SUPERIOR ZENIA - NEW BLACK</v>
      </c>
      <c r="E349" s="71" t="str">
        <f>VLOOKUP(C349,[1]B.D!$A:$F,6,FALSE)</f>
        <v>NEW BLACK</v>
      </c>
      <c r="F349" s="71" t="str">
        <f>VLOOKUP(C349,[1]B.D!$A:$G,7,FALSE)</f>
        <v>SLIDING - ZENIA</v>
      </c>
      <c r="G349" s="13">
        <v>28089.600000000002</v>
      </c>
      <c r="H349" s="87"/>
      <c r="I349" s="88">
        <f t="shared" si="10"/>
        <v>0</v>
      </c>
      <c r="J349" s="89">
        <f>VLOOKUP(C349,[1]B.D!$A:$E,5,FALSE)</f>
        <v>2.2080000000000002</v>
      </c>
      <c r="K349" s="89">
        <f t="shared" si="11"/>
        <v>0</v>
      </c>
    </row>
    <row r="350" spans="2:11" ht="15" customHeight="1">
      <c r="B350" s="86">
        <v>338</v>
      </c>
      <c r="C350" s="71" t="s">
        <v>300</v>
      </c>
      <c r="D350" s="71" t="str">
        <f>VLOOKUP(C350,[1]B.D!$A:$B,2,FALSE)</f>
        <v>RIEL SUPERIOR ZENIA - NOGAL</v>
      </c>
      <c r="E350" s="71" t="str">
        <f>VLOOKUP(C350,[1]B.D!$A:$F,6,FALSE)</f>
        <v>NOGAL</v>
      </c>
      <c r="F350" s="71" t="str">
        <f>VLOOKUP(C350,[1]B.D!$A:$G,7,FALSE)</f>
        <v>SLIDING - ZENIA</v>
      </c>
      <c r="G350" s="13">
        <v>24377.850000000002</v>
      </c>
      <c r="H350" s="87"/>
      <c r="I350" s="88">
        <f t="shared" si="10"/>
        <v>0</v>
      </c>
      <c r="J350" s="89">
        <f>VLOOKUP(C350,[1]B.D!$A:$E,5,FALSE)</f>
        <v>2.2080000000000002</v>
      </c>
      <c r="K350" s="89">
        <f t="shared" si="11"/>
        <v>0</v>
      </c>
    </row>
    <row r="351" spans="2:11" ht="15" customHeight="1">
      <c r="B351" s="86">
        <v>339</v>
      </c>
      <c r="C351" s="71" t="s">
        <v>299</v>
      </c>
      <c r="D351" s="71" t="str">
        <f>VLOOKUP(C351,[1]B.D!$A:$B,2,FALSE)</f>
        <v>RIEL SUPERIOR ZENIA - ROBLE</v>
      </c>
      <c r="E351" s="71" t="str">
        <f>VLOOKUP(C351,[1]B.D!$A:$F,6,FALSE)</f>
        <v>ROBLE</v>
      </c>
      <c r="F351" s="71" t="str">
        <f>VLOOKUP(C351,[1]B.D!$A:$G,7,FALSE)</f>
        <v>SLIDING - ZENIA</v>
      </c>
      <c r="G351" s="13">
        <v>24377.850000000002</v>
      </c>
      <c r="H351" s="87"/>
      <c r="I351" s="88">
        <f t="shared" si="10"/>
        <v>0</v>
      </c>
      <c r="J351" s="89">
        <f>VLOOKUP(C351,[1]B.D!$A:$E,5,FALSE)</f>
        <v>2.2080000000000002</v>
      </c>
      <c r="K351" s="89">
        <f t="shared" si="11"/>
        <v>0</v>
      </c>
    </row>
    <row r="352" spans="2:11" ht="15" customHeight="1">
      <c r="B352" s="86">
        <v>340</v>
      </c>
      <c r="C352" s="71" t="s">
        <v>250</v>
      </c>
      <c r="D352" s="71" t="str">
        <f>VLOOKUP(C352,[1]B.D!$A:$B,2,FALSE)</f>
        <v>ROTULA ANDES 38 - BLANCO</v>
      </c>
      <c r="E352" s="71" t="str">
        <f>VLOOKUP(C352,[1]B.D!$A:$F,6,FALSE)</f>
        <v>BLANCO</v>
      </c>
      <c r="F352" s="71" t="str">
        <f>VLOOKUP(C352,[1]B.D!$A:$G,7,FALSE)</f>
        <v>S38 - ANDES</v>
      </c>
      <c r="G352" s="13">
        <v>10424.4</v>
      </c>
      <c r="H352" s="87"/>
      <c r="I352" s="88">
        <f t="shared" si="10"/>
        <v>0</v>
      </c>
      <c r="J352" s="89">
        <f>VLOOKUP(C352,[1]B.D!$A:$E,5,FALSE)</f>
        <v>1.716</v>
      </c>
      <c r="K352" s="89">
        <f t="shared" si="11"/>
        <v>0</v>
      </c>
    </row>
    <row r="353" spans="2:11" ht="15" customHeight="1">
      <c r="B353" s="86">
        <v>341</v>
      </c>
      <c r="C353" s="71" t="s">
        <v>252</v>
      </c>
      <c r="D353" s="71" t="str">
        <f>VLOOKUP(C353,[1]B.D!$A:$B,2,FALSE)</f>
        <v>ROTULA ANDES 38 - NOGAL</v>
      </c>
      <c r="E353" s="71" t="str">
        <f>VLOOKUP(C353,[1]B.D!$A:$F,6,FALSE)</f>
        <v>NOGAL</v>
      </c>
      <c r="F353" s="71" t="str">
        <f>VLOOKUP(C353,[1]B.D!$A:$G,7,FALSE)</f>
        <v>S38 - ANDES</v>
      </c>
      <c r="G353" s="13">
        <v>17609.55</v>
      </c>
      <c r="H353" s="87"/>
      <c r="I353" s="88">
        <f t="shared" si="10"/>
        <v>0</v>
      </c>
      <c r="J353" s="89">
        <f>VLOOKUP(C353,[1]B.D!$A:$E,5,FALSE)</f>
        <v>1.716</v>
      </c>
      <c r="K353" s="89">
        <f t="shared" si="11"/>
        <v>0</v>
      </c>
    </row>
    <row r="354" spans="2:11" ht="15" customHeight="1">
      <c r="B354" s="86">
        <v>342</v>
      </c>
      <c r="C354" s="71" t="s">
        <v>251</v>
      </c>
      <c r="D354" s="71" t="str">
        <f>VLOOKUP(C354,[1]B.D!$A:$B,2,FALSE)</f>
        <v>ROTULA ANDES 38 - ROBLE</v>
      </c>
      <c r="E354" s="71" t="str">
        <f>VLOOKUP(C354,[1]B.D!$A:$F,6,FALSE)</f>
        <v>ROBLE</v>
      </c>
      <c r="F354" s="71" t="str">
        <f>VLOOKUP(C354,[1]B.D!$A:$G,7,FALSE)</f>
        <v>S38 - ANDES</v>
      </c>
      <c r="G354" s="13">
        <v>17609.55</v>
      </c>
      <c r="H354" s="87"/>
      <c r="I354" s="88">
        <f t="shared" si="10"/>
        <v>0</v>
      </c>
      <c r="J354" s="89">
        <f>VLOOKUP(C354,[1]B.D!$A:$E,5,FALSE)</f>
        <v>1.716</v>
      </c>
      <c r="K354" s="89">
        <f t="shared" si="11"/>
        <v>0</v>
      </c>
    </row>
    <row r="355" spans="2:11" ht="15" customHeight="1">
      <c r="B355" s="86">
        <v>343</v>
      </c>
      <c r="C355" s="71" t="s">
        <v>245</v>
      </c>
      <c r="D355" s="71" t="str">
        <f>VLOOKUP(C355,[1]B.D!$A:$B,2,FALSE)</f>
        <v>ROTULA S60 - BLANCO</v>
      </c>
      <c r="E355" s="71" t="str">
        <f>VLOOKUP(C355,[1]B.D!$A:$F,6,FALSE)</f>
        <v>BLANCO</v>
      </c>
      <c r="F355" s="71" t="str">
        <f>VLOOKUP(C355,[1]B.D!$A:$G,7,FALSE)</f>
        <v>S60</v>
      </c>
      <c r="G355" s="13">
        <v>20469.75</v>
      </c>
      <c r="H355" s="87"/>
      <c r="I355" s="88">
        <f t="shared" si="10"/>
        <v>0</v>
      </c>
      <c r="J355" s="89">
        <f>VLOOKUP(C355,[1]B.D!$A:$E,5,FALSE)</f>
        <v>3</v>
      </c>
      <c r="K355" s="89">
        <f t="shared" si="11"/>
        <v>0</v>
      </c>
    </row>
    <row r="356" spans="2:11" ht="15" customHeight="1">
      <c r="B356" s="86">
        <v>344</v>
      </c>
      <c r="C356" s="71" t="s">
        <v>248</v>
      </c>
      <c r="D356" s="71" t="str">
        <f>VLOOKUP(C356,[1]B.D!$A:$B,2,FALSE)</f>
        <v>ROTULA S60 - GRAFITO</v>
      </c>
      <c r="E356" s="71" t="str">
        <f>VLOOKUP(C356,[1]B.D!$A:$F,6,FALSE)</f>
        <v>GRAFITO</v>
      </c>
      <c r="F356" s="71" t="str">
        <f>VLOOKUP(C356,[1]B.D!$A:$G,7,FALSE)</f>
        <v>S60</v>
      </c>
      <c r="G356" s="13">
        <v>49542.15</v>
      </c>
      <c r="H356" s="87"/>
      <c r="I356" s="88">
        <f t="shared" si="10"/>
        <v>0</v>
      </c>
      <c r="J356" s="89">
        <f>VLOOKUP(C356,[1]B.D!$A:$E,5,FALSE)</f>
        <v>3</v>
      </c>
      <c r="K356" s="89">
        <f t="shared" si="11"/>
        <v>0</v>
      </c>
    </row>
    <row r="357" spans="2:11" ht="15" customHeight="1">
      <c r="B357" s="86">
        <v>345</v>
      </c>
      <c r="C357" s="71" t="s">
        <v>249</v>
      </c>
      <c r="D357" s="71" t="str">
        <f>VLOOKUP(C357,[1]B.D!$A:$B,2,FALSE)</f>
        <v>ROTULA S60 - NEW BLACK</v>
      </c>
      <c r="E357" s="71" t="str">
        <f>VLOOKUP(C357,[1]B.D!$A:$F,6,FALSE)</f>
        <v>NEW BLACK</v>
      </c>
      <c r="F357" s="71" t="str">
        <f>VLOOKUP(C357,[1]B.D!$A:$G,7,FALSE)</f>
        <v>S60</v>
      </c>
      <c r="G357" s="13">
        <v>53987.850000000006</v>
      </c>
      <c r="H357" s="87"/>
      <c r="I357" s="88">
        <f t="shared" si="10"/>
        <v>0</v>
      </c>
      <c r="J357" s="89">
        <f>VLOOKUP(C357,[1]B.D!$A:$E,5,FALSE)</f>
        <v>3.1</v>
      </c>
      <c r="K357" s="89">
        <f t="shared" si="11"/>
        <v>0</v>
      </c>
    </row>
    <row r="358" spans="2:11" ht="15" customHeight="1">
      <c r="B358" s="86">
        <v>346</v>
      </c>
      <c r="C358" s="71" t="s">
        <v>247</v>
      </c>
      <c r="D358" s="71" t="str">
        <f>VLOOKUP(C358,[1]B.D!$A:$B,2,FALSE)</f>
        <v>ROTULA S60 - NOGAL</v>
      </c>
      <c r="E358" s="71" t="str">
        <f>VLOOKUP(C358,[1]B.D!$A:$F,6,FALSE)</f>
        <v>NOGAL</v>
      </c>
      <c r="F358" s="71" t="str">
        <f>VLOOKUP(C358,[1]B.D!$A:$G,7,FALSE)</f>
        <v>S60</v>
      </c>
      <c r="G358" s="13">
        <v>46299.75</v>
      </c>
      <c r="H358" s="87"/>
      <c r="I358" s="88">
        <f t="shared" si="10"/>
        <v>0</v>
      </c>
      <c r="J358" s="89">
        <f>VLOOKUP(C358,[1]B.D!$A:$E,5,FALSE)</f>
        <v>3</v>
      </c>
      <c r="K358" s="89">
        <f t="shared" si="11"/>
        <v>0</v>
      </c>
    </row>
    <row r="359" spans="2:11" ht="15" customHeight="1">
      <c r="B359" s="86">
        <v>347</v>
      </c>
      <c r="C359" s="71" t="s">
        <v>246</v>
      </c>
      <c r="D359" s="71" t="str">
        <f>VLOOKUP(C359,[1]B.D!$A:$B,2,FALSE)</f>
        <v>ROTULA S60 - ROBLE</v>
      </c>
      <c r="E359" s="71" t="str">
        <f>VLOOKUP(C359,[1]B.D!$A:$F,6,FALSE)</f>
        <v>ROBLE</v>
      </c>
      <c r="F359" s="71" t="str">
        <f>VLOOKUP(C359,[1]B.D!$A:$G,7,FALSE)</f>
        <v>S60</v>
      </c>
      <c r="G359" s="13">
        <v>46299.75</v>
      </c>
      <c r="H359" s="87"/>
      <c r="I359" s="88">
        <f t="shared" si="10"/>
        <v>0</v>
      </c>
      <c r="J359" s="89">
        <f>VLOOKUP(C359,[1]B.D!$A:$E,5,FALSE)</f>
        <v>3</v>
      </c>
      <c r="K359" s="89">
        <f t="shared" si="11"/>
        <v>0</v>
      </c>
    </row>
    <row r="360" spans="2:11" ht="15" customHeight="1">
      <c r="B360" s="86">
        <v>348</v>
      </c>
      <c r="C360" s="71" t="s">
        <v>303</v>
      </c>
      <c r="D360" s="71" t="str">
        <f>VLOOKUP(C360,[1]B.D!$A:$B,2,FALSE)</f>
        <v>SELLO INTERMEDIO ZENIA - BLANCO</v>
      </c>
      <c r="E360" s="71" t="str">
        <f>VLOOKUP(C360,[1]B.D!$A:$F,6,FALSE)</f>
        <v>BLANCO</v>
      </c>
      <c r="F360" s="71" t="str">
        <f>VLOOKUP(C360,[1]B.D!$A:$G,7,FALSE)</f>
        <v>SLIDING - ZENIA</v>
      </c>
      <c r="G360" s="13">
        <v>9299.85</v>
      </c>
      <c r="H360" s="87"/>
      <c r="I360" s="88">
        <f t="shared" si="10"/>
        <v>0</v>
      </c>
      <c r="J360" s="89">
        <f>VLOOKUP(C360,[1]B.D!$A:$E,5,FALSE)</f>
        <v>2.13</v>
      </c>
      <c r="K360" s="89">
        <f t="shared" si="11"/>
        <v>0</v>
      </c>
    </row>
    <row r="361" spans="2:11" ht="15" customHeight="1">
      <c r="B361" s="86">
        <v>349</v>
      </c>
      <c r="C361" s="71" t="s">
        <v>306</v>
      </c>
      <c r="D361" s="71" t="str">
        <f>VLOOKUP(C361,[1]B.D!$A:$B,2,FALSE)</f>
        <v>SELLO INTERMEDIO ZENIA - GRAFITO</v>
      </c>
      <c r="E361" s="71" t="str">
        <f>VLOOKUP(C361,[1]B.D!$A:$F,6,FALSE)</f>
        <v>GRAFITO</v>
      </c>
      <c r="F361" s="71" t="str">
        <f>VLOOKUP(C361,[1]B.D!$A:$G,7,FALSE)</f>
        <v>SLIDING - ZENIA</v>
      </c>
      <c r="G361" s="13">
        <v>21990.15</v>
      </c>
      <c r="H361" s="87"/>
      <c r="I361" s="88">
        <f t="shared" si="10"/>
        <v>0</v>
      </c>
      <c r="J361" s="89">
        <f>VLOOKUP(C361,[1]B.D!$A:$E,5,FALSE)</f>
        <v>2.13</v>
      </c>
      <c r="K361" s="89">
        <f t="shared" si="11"/>
        <v>0</v>
      </c>
    </row>
    <row r="362" spans="2:11" ht="15" customHeight="1">
      <c r="B362" s="86">
        <v>350</v>
      </c>
      <c r="C362" s="71" t="s">
        <v>307</v>
      </c>
      <c r="D362" s="71" t="str">
        <f>VLOOKUP(C362,[1]B.D!$A:$B,2,FALSE)</f>
        <v>SELLO INTERMEDIO ZENIA - NEW BLACK</v>
      </c>
      <c r="E362" s="71" t="str">
        <f>VLOOKUP(C362,[1]B.D!$A:$F,6,FALSE)</f>
        <v>NEW BLACK</v>
      </c>
      <c r="F362" s="71" t="str">
        <f>VLOOKUP(C362,[1]B.D!$A:$G,7,FALSE)</f>
        <v>SLIDING - ZENIA</v>
      </c>
      <c r="G362" s="13">
        <v>25309.200000000001</v>
      </c>
      <c r="H362" s="87"/>
      <c r="I362" s="88">
        <f t="shared" si="10"/>
        <v>0</v>
      </c>
      <c r="J362" s="89">
        <f>VLOOKUP(C362,[1]B.D!$A:$E,5,FALSE)</f>
        <v>2.13</v>
      </c>
      <c r="K362" s="89">
        <f t="shared" si="11"/>
        <v>0</v>
      </c>
    </row>
    <row r="363" spans="2:11" ht="15" customHeight="1">
      <c r="B363" s="86">
        <v>351</v>
      </c>
      <c r="C363" s="71" t="s">
        <v>305</v>
      </c>
      <c r="D363" s="71" t="str">
        <f>VLOOKUP(C363,[1]B.D!$A:$B,2,FALSE)</f>
        <v>SELLO INTERMEDIO ZENIA - NOGAL</v>
      </c>
      <c r="E363" s="71" t="str">
        <f>VLOOKUP(C363,[1]B.D!$A:$F,6,FALSE)</f>
        <v>NOGAL</v>
      </c>
      <c r="F363" s="71" t="str">
        <f>VLOOKUP(C363,[1]B.D!$A:$G,7,FALSE)</f>
        <v>SLIDING - ZENIA</v>
      </c>
      <c r="G363" s="13">
        <v>21990.15</v>
      </c>
      <c r="H363" s="87"/>
      <c r="I363" s="88">
        <f t="shared" si="10"/>
        <v>0</v>
      </c>
      <c r="J363" s="89">
        <f>VLOOKUP(C363,[1]B.D!$A:$E,5,FALSE)</f>
        <v>2.13</v>
      </c>
      <c r="K363" s="89">
        <f t="shared" si="11"/>
        <v>0</v>
      </c>
    </row>
    <row r="364" spans="2:11" ht="15" customHeight="1">
      <c r="B364" s="86">
        <v>352</v>
      </c>
      <c r="C364" s="71" t="s">
        <v>304</v>
      </c>
      <c r="D364" s="71" t="str">
        <f>VLOOKUP(C364,[1]B.D!$A:$B,2,FALSE)</f>
        <v>SELLO INTERMEDIO ZENIA - ROBLE</v>
      </c>
      <c r="E364" s="71" t="str">
        <f>VLOOKUP(C364,[1]B.D!$A:$F,6,FALSE)</f>
        <v>ROBLE</v>
      </c>
      <c r="F364" s="71" t="str">
        <f>VLOOKUP(C364,[1]B.D!$A:$G,7,FALSE)</f>
        <v>SLIDING - ZENIA</v>
      </c>
      <c r="G364" s="13">
        <v>21990.15</v>
      </c>
      <c r="H364" s="87"/>
      <c r="I364" s="88">
        <f t="shared" si="10"/>
        <v>0</v>
      </c>
      <c r="J364" s="89">
        <f>VLOOKUP(C364,[1]B.D!$A:$E,5,FALSE)</f>
        <v>2.13</v>
      </c>
      <c r="K364" s="89">
        <f t="shared" si="11"/>
        <v>0</v>
      </c>
    </row>
    <row r="365" spans="2:11" ht="15" customHeight="1">
      <c r="B365" s="86">
        <v>353</v>
      </c>
      <c r="C365" s="71" t="s">
        <v>313</v>
      </c>
      <c r="D365" s="71" t="str">
        <f>VLOOKUP(C365,[1]B.D!$A:$B,2,FALSE)</f>
        <v>TAPA CANAL ZENIA - BLANCO</v>
      </c>
      <c r="E365" s="71" t="str">
        <f>VLOOKUP(C365,[1]B.D!$A:$F,6,FALSE)</f>
        <v>BLANCO</v>
      </c>
      <c r="F365" s="71" t="str">
        <f>VLOOKUP(C365,[1]B.D!$A:$G,7,FALSE)</f>
        <v>SLIDING - ZENIA</v>
      </c>
      <c r="G365" s="13">
        <v>2839.2000000000003</v>
      </c>
      <c r="H365" s="87"/>
      <c r="I365" s="88">
        <f t="shared" si="10"/>
        <v>0</v>
      </c>
      <c r="J365" s="89">
        <f>VLOOKUP(C365,[1]B.D!$A:$E,5,FALSE)</f>
        <v>0.42</v>
      </c>
      <c r="K365" s="89">
        <f t="shared" si="11"/>
        <v>0</v>
      </c>
    </row>
    <row r="366" spans="2:11" ht="15" customHeight="1">
      <c r="B366" s="86">
        <v>354</v>
      </c>
      <c r="C366" s="71" t="s">
        <v>317</v>
      </c>
      <c r="D366" s="71" t="str">
        <f>VLOOKUP(C366,[1]B.D!$A:$B,2,FALSE)</f>
        <v>TAPA CANAL ZENIA - GRAFITO</v>
      </c>
      <c r="E366" s="71" t="str">
        <f>VLOOKUP(C366,[1]B.D!$A:$F,6,FALSE)</f>
        <v>GRAFITO</v>
      </c>
      <c r="F366" s="71" t="str">
        <f>VLOOKUP(C366,[1]B.D!$A:$G,7,FALSE)</f>
        <v>SLIDING - ZENIA</v>
      </c>
      <c r="G366" s="13">
        <v>5046.3</v>
      </c>
      <c r="H366" s="87"/>
      <c r="I366" s="88">
        <f t="shared" si="10"/>
        <v>0</v>
      </c>
      <c r="J366" s="89">
        <f>VLOOKUP(C366,[1]B.D!$A:$E,5,FALSE)</f>
        <v>0.42</v>
      </c>
      <c r="K366" s="89">
        <f t="shared" si="11"/>
        <v>0</v>
      </c>
    </row>
    <row r="367" spans="2:11" ht="15" customHeight="1">
      <c r="B367" s="86">
        <v>355</v>
      </c>
      <c r="C367" s="71" t="s">
        <v>315</v>
      </c>
      <c r="D367" s="71" t="str">
        <f>VLOOKUP(C367,[1]B.D!$A:$B,2,FALSE)</f>
        <v>TAPA CANAL ZENIA - NEW BLACK</v>
      </c>
      <c r="E367" s="71" t="str">
        <f>VLOOKUP(C367,[1]B.D!$A:$F,6,FALSE)</f>
        <v>NEW BLACK</v>
      </c>
      <c r="F367" s="71" t="str">
        <f>VLOOKUP(C367,[1]B.D!$A:$G,7,FALSE)</f>
        <v>SLIDING - ZENIA</v>
      </c>
      <c r="G367" s="13">
        <v>6458.55</v>
      </c>
      <c r="H367" s="87"/>
      <c r="I367" s="88">
        <f t="shared" si="10"/>
        <v>0</v>
      </c>
      <c r="J367" s="89">
        <f>VLOOKUP(C367,[1]B.D!$A:$E,5,FALSE)</f>
        <v>0.42</v>
      </c>
      <c r="K367" s="89">
        <f t="shared" si="11"/>
        <v>0</v>
      </c>
    </row>
    <row r="368" spans="2:11" ht="15" customHeight="1">
      <c r="B368" s="86">
        <v>356</v>
      </c>
      <c r="C368" s="71" t="s">
        <v>316</v>
      </c>
      <c r="D368" s="71" t="str">
        <f>VLOOKUP(C368,[1]B.D!$A:$B,2,FALSE)</f>
        <v>TAPA CANAL ZENIA - NOGAL</v>
      </c>
      <c r="E368" s="71" t="str">
        <f>VLOOKUP(C368,[1]B.D!$A:$F,6,FALSE)</f>
        <v>NOGAL</v>
      </c>
      <c r="F368" s="71" t="str">
        <f>VLOOKUP(C368,[1]B.D!$A:$G,7,FALSE)</f>
        <v>SLIDING - ZENIA</v>
      </c>
      <c r="G368" s="13">
        <v>5046.3</v>
      </c>
      <c r="H368" s="87"/>
      <c r="I368" s="88">
        <f t="shared" si="10"/>
        <v>0</v>
      </c>
      <c r="J368" s="89">
        <f>VLOOKUP(C368,[1]B.D!$A:$E,5,FALSE)</f>
        <v>0.42</v>
      </c>
      <c r="K368" s="89">
        <f t="shared" si="11"/>
        <v>0</v>
      </c>
    </row>
    <row r="369" spans="2:11" ht="15" customHeight="1">
      <c r="B369" s="86">
        <v>357</v>
      </c>
      <c r="C369" s="71" t="s">
        <v>314</v>
      </c>
      <c r="D369" s="71" t="str">
        <f>VLOOKUP(C369,[1]B.D!$A:$B,2,FALSE)</f>
        <v>TAPA CANAL ZENIA - ROBLE</v>
      </c>
      <c r="E369" s="71" t="str">
        <f>VLOOKUP(C369,[1]B.D!$A:$F,6,FALSE)</f>
        <v>ROBLE</v>
      </c>
      <c r="F369" s="71" t="str">
        <f>VLOOKUP(C369,[1]B.D!$A:$G,7,FALSE)</f>
        <v>SLIDING - ZENIA</v>
      </c>
      <c r="G369" s="13">
        <v>4914</v>
      </c>
      <c r="H369" s="87"/>
      <c r="I369" s="88">
        <f t="shared" si="10"/>
        <v>0</v>
      </c>
      <c r="J369" s="89">
        <f>VLOOKUP(C369,[1]B.D!$A:$E,5,FALSE)</f>
        <v>0.42</v>
      </c>
      <c r="K369" s="89">
        <f t="shared" si="11"/>
        <v>0</v>
      </c>
    </row>
    <row r="370" spans="2:11" ht="15" customHeight="1">
      <c r="B370" s="86">
        <v>358</v>
      </c>
      <c r="C370" s="71" t="s">
        <v>115</v>
      </c>
      <c r="D370" s="71" t="str">
        <f>VLOOKUP(C370,[1]B.D!$A:$B,2,FALSE)</f>
        <v>TAPA MARCO MONORRIEL ANDES - BLANCO</v>
      </c>
      <c r="E370" s="71" t="str">
        <f>VLOOKUP(C370,[1]B.D!$A:$F,6,FALSE)</f>
        <v>BLANCO</v>
      </c>
      <c r="F370" s="71" t="str">
        <f>VLOOKUP(C370,[1]B.D!$A:$G,7,FALSE)</f>
        <v>SLIDING - ANDES</v>
      </c>
      <c r="G370" s="13">
        <v>8958.6</v>
      </c>
      <c r="H370" s="87"/>
      <c r="I370" s="88">
        <f t="shared" si="10"/>
        <v>0</v>
      </c>
      <c r="J370" s="89">
        <f>VLOOKUP(C370,[1]B.D!$A:$E,5,FALSE)</f>
        <v>1.86</v>
      </c>
      <c r="K370" s="89">
        <f t="shared" si="11"/>
        <v>0</v>
      </c>
    </row>
    <row r="371" spans="2:11" ht="15" customHeight="1">
      <c r="B371" s="86">
        <v>359</v>
      </c>
      <c r="C371" s="71" t="s">
        <v>118</v>
      </c>
      <c r="D371" s="71" t="str">
        <f>VLOOKUP(C371,[1]B.D!$A:$B,2,FALSE)</f>
        <v>TAPA MARCO MONORRIEL ANDES - GRAFITO</v>
      </c>
      <c r="E371" s="71" t="str">
        <f>VLOOKUP(C371,[1]B.D!$A:$F,6,FALSE)</f>
        <v>GRAFITO</v>
      </c>
      <c r="F371" s="71" t="str">
        <f>VLOOKUP(C371,[1]B.D!$A:$G,7,FALSE)</f>
        <v>SLIDING - ANDES</v>
      </c>
      <c r="G371" s="13">
        <v>14424.900000000001</v>
      </c>
      <c r="H371" s="87"/>
      <c r="I371" s="88">
        <f t="shared" si="10"/>
        <v>0</v>
      </c>
      <c r="J371" s="89">
        <f>VLOOKUP(C371,[1]B.D!$A:$E,5,FALSE)</f>
        <v>1.944</v>
      </c>
      <c r="K371" s="89">
        <f t="shared" si="11"/>
        <v>0</v>
      </c>
    </row>
    <row r="372" spans="2:11" ht="15" customHeight="1">
      <c r="B372" s="86">
        <v>360</v>
      </c>
      <c r="C372" s="71" t="s">
        <v>119</v>
      </c>
      <c r="D372" s="71" t="str">
        <f>VLOOKUP(C372,[1]B.D!$A:$B,2,FALSE)</f>
        <v>TAPA MARCO MONORRIEL ANDES - NEW BLACK</v>
      </c>
      <c r="E372" s="71" t="str">
        <f>VLOOKUP(C372,[1]B.D!$A:$F,6,FALSE)</f>
        <v>NEW BLACK</v>
      </c>
      <c r="F372" s="71" t="str">
        <f>VLOOKUP(C372,[1]B.D!$A:$G,7,FALSE)</f>
        <v>SLIDING - ANDES</v>
      </c>
      <c r="G372" s="13">
        <v>15146.25</v>
      </c>
      <c r="H372" s="87"/>
      <c r="I372" s="88">
        <f t="shared" si="10"/>
        <v>0</v>
      </c>
      <c r="J372" s="89">
        <f>VLOOKUP(C372,[1]B.D!$A:$E,5,FALSE)</f>
        <v>1.944</v>
      </c>
      <c r="K372" s="89">
        <f t="shared" si="11"/>
        <v>0</v>
      </c>
    </row>
    <row r="373" spans="2:11" ht="15" customHeight="1">
      <c r="B373" s="86">
        <v>361</v>
      </c>
      <c r="C373" s="71" t="s">
        <v>117</v>
      </c>
      <c r="D373" s="71" t="str">
        <f>VLOOKUP(C373,[1]B.D!$A:$B,2,FALSE)</f>
        <v>TAPA MARCO MONORRIEL ANDES - NOGAL</v>
      </c>
      <c r="E373" s="71" t="str">
        <f>VLOOKUP(C373,[1]B.D!$A:$F,6,FALSE)</f>
        <v>NOGAL</v>
      </c>
      <c r="F373" s="71" t="str">
        <f>VLOOKUP(C373,[1]B.D!$A:$G,7,FALSE)</f>
        <v>SLIDING - ANDES</v>
      </c>
      <c r="G373" s="13">
        <v>13114.5</v>
      </c>
      <c r="H373" s="87"/>
      <c r="I373" s="88">
        <f t="shared" si="10"/>
        <v>0</v>
      </c>
      <c r="J373" s="89">
        <f>VLOOKUP(C373,[1]B.D!$A:$E,5,FALSE)</f>
        <v>1.944</v>
      </c>
      <c r="K373" s="89">
        <f t="shared" si="11"/>
        <v>0</v>
      </c>
    </row>
    <row r="374" spans="2:11" ht="15" customHeight="1">
      <c r="B374" s="86">
        <v>362</v>
      </c>
      <c r="C374" s="71" t="s">
        <v>116</v>
      </c>
      <c r="D374" s="71" t="str">
        <f>VLOOKUP(C374,[1]B.D!$A:$B,2,FALSE)</f>
        <v>TAPA MARCO MONORRIEL ANDES - ROBLE</v>
      </c>
      <c r="E374" s="71" t="str">
        <f>VLOOKUP(C374,[1]B.D!$A:$F,6,FALSE)</f>
        <v>ROBLE</v>
      </c>
      <c r="F374" s="71" t="str">
        <f>VLOOKUP(C374,[1]B.D!$A:$G,7,FALSE)</f>
        <v>SLIDING - ANDES</v>
      </c>
      <c r="G374" s="13">
        <v>13114.5</v>
      </c>
      <c r="H374" s="87"/>
      <c r="I374" s="88">
        <f t="shared" si="10"/>
        <v>0</v>
      </c>
      <c r="J374" s="89">
        <f>VLOOKUP(C374,[1]B.D!$A:$E,5,FALSE)</f>
        <v>1.944</v>
      </c>
      <c r="K374" s="89">
        <f t="shared" si="11"/>
        <v>0</v>
      </c>
    </row>
    <row r="375" spans="2:11" ht="15" customHeight="1">
      <c r="B375" s="86">
        <v>363</v>
      </c>
      <c r="C375" s="71" t="s">
        <v>278</v>
      </c>
      <c r="D375" s="71" t="str">
        <f>VLOOKUP(C375,[1]B.D!$A:$B,2,FALSE)</f>
        <v>TAPA RIEL SUPERIOR ZENIA - BLANCO</v>
      </c>
      <c r="E375" s="71" t="str">
        <f>VLOOKUP(C375,[1]B.D!$A:$F,6,FALSE)</f>
        <v>BLANCO</v>
      </c>
      <c r="F375" s="71" t="str">
        <f>VLOOKUP(C375,[1]B.D!$A:$G,7,FALSE)</f>
        <v>SLIDING - ZENIA</v>
      </c>
      <c r="G375" s="13">
        <v>9242.1</v>
      </c>
      <c r="H375" s="87"/>
      <c r="I375" s="88">
        <f t="shared" si="10"/>
        <v>0</v>
      </c>
      <c r="J375" s="89">
        <f>VLOOKUP(C375,[1]B.D!$A:$E,5,FALSE)</f>
        <v>1.89</v>
      </c>
      <c r="K375" s="89">
        <f t="shared" si="11"/>
        <v>0</v>
      </c>
    </row>
    <row r="376" spans="2:11" ht="15" customHeight="1">
      <c r="B376" s="86">
        <v>364</v>
      </c>
      <c r="C376" s="71" t="s">
        <v>281</v>
      </c>
      <c r="D376" s="71" t="str">
        <f>VLOOKUP(C376,[1]B.D!$A:$B,2,FALSE)</f>
        <v>TAPA RIEL SUPERIOR ZENIA - GRAFITO</v>
      </c>
      <c r="E376" s="71" t="str">
        <f>VLOOKUP(C376,[1]B.D!$A:$F,6,FALSE)</f>
        <v>GRAFITO</v>
      </c>
      <c r="F376" s="71" t="str">
        <f>VLOOKUP(C376,[1]B.D!$A:$G,7,FALSE)</f>
        <v>SLIDING - ZENIA</v>
      </c>
      <c r="G376" s="13">
        <v>21990.15</v>
      </c>
      <c r="H376" s="87"/>
      <c r="I376" s="88">
        <f t="shared" si="10"/>
        <v>0</v>
      </c>
      <c r="J376" s="89">
        <f>VLOOKUP(C376,[1]B.D!$A:$E,5,FALSE)</f>
        <v>1.89</v>
      </c>
      <c r="K376" s="89">
        <f t="shared" si="11"/>
        <v>0</v>
      </c>
    </row>
    <row r="377" spans="2:11" ht="15" customHeight="1">
      <c r="B377" s="86">
        <v>365</v>
      </c>
      <c r="C377" s="71" t="s">
        <v>282</v>
      </c>
      <c r="D377" s="71" t="str">
        <f>VLOOKUP(C377,[1]B.D!$A:$B,2,FALSE)</f>
        <v>TAPA RIEL SUPERIOR ZENIA - NEW BLACK</v>
      </c>
      <c r="E377" s="71" t="str">
        <f>VLOOKUP(C377,[1]B.D!$A:$F,6,FALSE)</f>
        <v>NEW BLACK</v>
      </c>
      <c r="F377" s="71" t="str">
        <f>VLOOKUP(C377,[1]B.D!$A:$G,7,FALSE)</f>
        <v>SLIDING - ZENIA</v>
      </c>
      <c r="G377" s="13">
        <v>25309.200000000001</v>
      </c>
      <c r="H377" s="87"/>
      <c r="I377" s="88">
        <f t="shared" si="10"/>
        <v>0</v>
      </c>
      <c r="J377" s="89">
        <f>VLOOKUP(C377,[1]B.D!$A:$E,5,FALSE)</f>
        <v>1.89</v>
      </c>
      <c r="K377" s="89">
        <f t="shared" si="11"/>
        <v>0</v>
      </c>
    </row>
    <row r="378" spans="2:11" ht="15" customHeight="1">
      <c r="B378" s="86">
        <v>366</v>
      </c>
      <c r="C378" s="71" t="s">
        <v>280</v>
      </c>
      <c r="D378" s="71" t="str">
        <f>VLOOKUP(C378,[1]B.D!$A:$B,2,FALSE)</f>
        <v>TAPA RIEL SUPERIOR ZENIA - NOGAL</v>
      </c>
      <c r="E378" s="71" t="str">
        <f>VLOOKUP(C378,[1]B.D!$A:$F,6,FALSE)</f>
        <v>NOGAL</v>
      </c>
      <c r="F378" s="71" t="str">
        <f>VLOOKUP(C378,[1]B.D!$A:$G,7,FALSE)</f>
        <v>SLIDING - ZENIA</v>
      </c>
      <c r="G378" s="13">
        <v>21990.15</v>
      </c>
      <c r="H378" s="87"/>
      <c r="I378" s="88">
        <f t="shared" si="10"/>
        <v>0</v>
      </c>
      <c r="J378" s="89">
        <f>VLOOKUP(C378,[1]B.D!$A:$E,5,FALSE)</f>
        <v>1.89</v>
      </c>
      <c r="K378" s="89">
        <f t="shared" si="11"/>
        <v>0</v>
      </c>
    </row>
    <row r="379" spans="2:11" ht="15" customHeight="1">
      <c r="B379" s="86">
        <v>367</v>
      </c>
      <c r="C379" s="71" t="s">
        <v>279</v>
      </c>
      <c r="D379" s="71" t="str">
        <f>VLOOKUP(C379,[1]B.D!$A:$B,2,FALSE)</f>
        <v>TAPA RIEL SUPERIOR ZENIA - ROBLE</v>
      </c>
      <c r="E379" s="71" t="str">
        <f>VLOOKUP(C379,[1]B.D!$A:$F,6,FALSE)</f>
        <v>ROBLE</v>
      </c>
      <c r="F379" s="71" t="str">
        <f>VLOOKUP(C379,[1]B.D!$A:$G,7,FALSE)</f>
        <v>SLIDING - ZENIA</v>
      </c>
      <c r="G379" s="13">
        <v>21990.15</v>
      </c>
      <c r="H379" s="87"/>
      <c r="I379" s="88">
        <f t="shared" si="10"/>
        <v>0</v>
      </c>
      <c r="J379" s="89">
        <f>VLOOKUP(C379,[1]B.D!$A:$E,5,FALSE)</f>
        <v>1.89</v>
      </c>
      <c r="K379" s="89">
        <f t="shared" si="11"/>
        <v>0</v>
      </c>
    </row>
    <row r="380" spans="2:11" ht="15" customHeight="1">
      <c r="B380" s="86">
        <v>368</v>
      </c>
      <c r="C380" s="71" t="s">
        <v>283</v>
      </c>
      <c r="D380" s="71" t="str">
        <f>VLOOKUP(C380,[1]B.D!$A:$B,2,FALSE)</f>
        <v>TAPA TRASLAPO ZENIA - BLANCO</v>
      </c>
      <c r="E380" s="71" t="str">
        <f>VLOOKUP(C380,[1]B.D!$A:$F,6,FALSE)</f>
        <v>BLANCO</v>
      </c>
      <c r="F380" s="71" t="str">
        <f>VLOOKUP(C380,[1]B.D!$A:$G,7,FALSE)</f>
        <v>SLIDING - ZENIA</v>
      </c>
      <c r="G380" s="13">
        <v>5351.85</v>
      </c>
      <c r="H380" s="87"/>
      <c r="I380" s="88">
        <f t="shared" si="10"/>
        <v>0</v>
      </c>
      <c r="J380" s="89">
        <f>VLOOKUP(C380,[1]B.D!$A:$E,5,FALSE)</f>
        <v>1.026</v>
      </c>
      <c r="K380" s="89">
        <f t="shared" si="11"/>
        <v>0</v>
      </c>
    </row>
    <row r="381" spans="2:11" ht="15" customHeight="1">
      <c r="B381" s="86">
        <v>369</v>
      </c>
      <c r="C381" s="71" t="s">
        <v>286</v>
      </c>
      <c r="D381" s="71" t="str">
        <f>VLOOKUP(C381,[1]B.D!$A:$B,2,FALSE)</f>
        <v>TAPA TRASLAPO ZENIA - GRAFITO</v>
      </c>
      <c r="E381" s="71" t="str">
        <f>VLOOKUP(C381,[1]B.D!$A:$F,6,FALSE)</f>
        <v>GRAFITO</v>
      </c>
      <c r="F381" s="71" t="str">
        <f>VLOOKUP(C381,[1]B.D!$A:$G,7,FALSE)</f>
        <v>SLIDING - ZENIA</v>
      </c>
      <c r="G381" s="13">
        <v>13533.45</v>
      </c>
      <c r="H381" s="87"/>
      <c r="I381" s="88">
        <f t="shared" si="10"/>
        <v>0</v>
      </c>
      <c r="J381" s="89">
        <f>VLOOKUP(C381,[1]B.D!$A:$E,5,FALSE)</f>
        <v>1.026</v>
      </c>
      <c r="K381" s="89">
        <f t="shared" si="11"/>
        <v>0</v>
      </c>
    </row>
    <row r="382" spans="2:11" ht="15" customHeight="1">
      <c r="B382" s="86">
        <v>370</v>
      </c>
      <c r="C382" s="71" t="s">
        <v>287</v>
      </c>
      <c r="D382" s="71" t="str">
        <f>VLOOKUP(C382,[1]B.D!$A:$B,2,FALSE)</f>
        <v>TAPA TRASLAPO ZENIA - NEW BLACK</v>
      </c>
      <c r="E382" s="71" t="str">
        <f>VLOOKUP(C382,[1]B.D!$A:$F,6,FALSE)</f>
        <v>NEW BLACK</v>
      </c>
      <c r="F382" s="71" t="str">
        <f>VLOOKUP(C382,[1]B.D!$A:$G,7,FALSE)</f>
        <v>SLIDING - ZENIA</v>
      </c>
      <c r="G382" s="13">
        <v>15580.95</v>
      </c>
      <c r="H382" s="87"/>
      <c r="I382" s="88">
        <f t="shared" si="10"/>
        <v>0</v>
      </c>
      <c r="J382" s="89">
        <f>VLOOKUP(C382,[1]B.D!$A:$E,5,FALSE)</f>
        <v>1.026</v>
      </c>
      <c r="K382" s="89">
        <f t="shared" si="11"/>
        <v>0</v>
      </c>
    </row>
    <row r="383" spans="2:11" ht="15" customHeight="1">
      <c r="B383" s="86">
        <v>371</v>
      </c>
      <c r="C383" s="71" t="s">
        <v>285</v>
      </c>
      <c r="D383" s="71" t="str">
        <f>VLOOKUP(C383,[1]B.D!$A:$B,2,FALSE)</f>
        <v>TAPA TRASLAPO ZENIA - NOGAL</v>
      </c>
      <c r="E383" s="71" t="str">
        <f>VLOOKUP(C383,[1]B.D!$A:$F,6,FALSE)</f>
        <v>NOGAL</v>
      </c>
      <c r="F383" s="71" t="str">
        <f>VLOOKUP(C383,[1]B.D!$A:$G,7,FALSE)</f>
        <v>SLIDING - ZENIA</v>
      </c>
      <c r="G383" s="13">
        <v>13533.45</v>
      </c>
      <c r="H383" s="87"/>
      <c r="I383" s="88">
        <f t="shared" si="10"/>
        <v>0</v>
      </c>
      <c r="J383" s="89">
        <f>VLOOKUP(C383,[1]B.D!$A:$E,5,FALSE)</f>
        <v>1.026</v>
      </c>
      <c r="K383" s="89">
        <f t="shared" si="11"/>
        <v>0</v>
      </c>
    </row>
    <row r="384" spans="2:11" ht="15" customHeight="1">
      <c r="B384" s="86">
        <v>372</v>
      </c>
      <c r="C384" s="71" t="s">
        <v>284</v>
      </c>
      <c r="D384" s="71" t="str">
        <f>VLOOKUP(C384,[1]B.D!$A:$B,2,FALSE)</f>
        <v>TAPA TRASLAPO ZENIA - ROBLE</v>
      </c>
      <c r="E384" s="71" t="str">
        <f>VLOOKUP(C384,[1]B.D!$A:$F,6,FALSE)</f>
        <v>ROBLE</v>
      </c>
      <c r="F384" s="71" t="str">
        <f>VLOOKUP(C384,[1]B.D!$A:$G,7,FALSE)</f>
        <v>SLIDING - ZENIA</v>
      </c>
      <c r="G384" s="13">
        <v>13533.45</v>
      </c>
      <c r="H384" s="87"/>
      <c r="I384" s="88">
        <f t="shared" si="10"/>
        <v>0</v>
      </c>
      <c r="J384" s="89">
        <f>VLOOKUP(C384,[1]B.D!$A:$E,5,FALSE)</f>
        <v>1.026</v>
      </c>
      <c r="K384" s="89">
        <f t="shared" si="11"/>
        <v>0</v>
      </c>
    </row>
    <row r="385" spans="2:11" ht="15" customHeight="1">
      <c r="B385" s="86">
        <v>373</v>
      </c>
      <c r="C385" s="71" t="s">
        <v>109</v>
      </c>
      <c r="D385" s="71" t="str">
        <f>VLOOKUP(C385,[1]B.D!$A:$B,2,FALSE)</f>
        <v>TRASLAPO ANDES 54 - BLANCO</v>
      </c>
      <c r="E385" s="71" t="str">
        <f>VLOOKUP(C385,[1]B.D!$A:$F,6,FALSE)</f>
        <v>BLANCO</v>
      </c>
      <c r="F385" s="71" t="str">
        <f>VLOOKUP(C385,[1]B.D!$A:$G,7,FALSE)</f>
        <v>SLIDING - ANDES</v>
      </c>
      <c r="G385" s="13">
        <v>7225.05</v>
      </c>
      <c r="H385" s="87"/>
      <c r="I385" s="88">
        <f t="shared" si="10"/>
        <v>0</v>
      </c>
      <c r="J385" s="89">
        <f>VLOOKUP(C385,[1]B.D!$A:$E,5,FALSE)</f>
        <v>1.9079999999999999</v>
      </c>
      <c r="K385" s="89">
        <f t="shared" si="11"/>
        <v>0</v>
      </c>
    </row>
    <row r="386" spans="2:11" ht="15" customHeight="1">
      <c r="B386" s="86">
        <v>374</v>
      </c>
      <c r="C386" s="71" t="s">
        <v>110</v>
      </c>
      <c r="D386" s="71" t="str">
        <f>VLOOKUP(C386,[1]B.D!$A:$B,2,FALSE)</f>
        <v>TRASLAPO ANDES 66 - BLANCO</v>
      </c>
      <c r="E386" s="71" t="str">
        <f>VLOOKUP(C386,[1]B.D!$A:$F,6,FALSE)</f>
        <v>BLANCO</v>
      </c>
      <c r="F386" s="71" t="str">
        <f>VLOOKUP(C386,[1]B.D!$A:$G,7,FALSE)</f>
        <v>SLIDING - ANDES</v>
      </c>
      <c r="G386" s="13">
        <v>8605.8000000000011</v>
      </c>
      <c r="H386" s="87"/>
      <c r="I386" s="88">
        <f t="shared" si="10"/>
        <v>0</v>
      </c>
      <c r="J386" s="89">
        <f>VLOOKUP(C386,[1]B.D!$A:$E,5,FALSE)</f>
        <v>1.9079999999999999</v>
      </c>
      <c r="K386" s="89">
        <f t="shared" si="11"/>
        <v>0</v>
      </c>
    </row>
    <row r="387" spans="2:11" ht="15" customHeight="1">
      <c r="B387" s="86">
        <v>375</v>
      </c>
      <c r="C387" s="71" t="s">
        <v>113</v>
      </c>
      <c r="D387" s="71" t="str">
        <f>VLOOKUP(C387,[1]B.D!$A:$B,2,FALSE)</f>
        <v>TRASLAPO ANDES 66 - GRAFITO</v>
      </c>
      <c r="E387" s="71" t="str">
        <f>VLOOKUP(C387,[1]B.D!$A:$F,6,FALSE)</f>
        <v>GRAFITO</v>
      </c>
      <c r="F387" s="71" t="str">
        <f>VLOOKUP(C387,[1]B.D!$A:$G,7,FALSE)</f>
        <v>SLIDING - ANDES</v>
      </c>
      <c r="G387" s="13">
        <v>21390.600000000002</v>
      </c>
      <c r="H387" s="87"/>
      <c r="I387" s="88">
        <f t="shared" si="10"/>
        <v>0</v>
      </c>
      <c r="J387" s="89">
        <f>VLOOKUP(C387,[1]B.D!$A:$E,5,FALSE)</f>
        <v>1.9379999999999999</v>
      </c>
      <c r="K387" s="89">
        <f t="shared" si="11"/>
        <v>0</v>
      </c>
    </row>
    <row r="388" spans="2:11" ht="15" customHeight="1">
      <c r="B388" s="86">
        <v>376</v>
      </c>
      <c r="C388" s="71" t="s">
        <v>114</v>
      </c>
      <c r="D388" s="71" t="str">
        <f>VLOOKUP(C388,[1]B.D!$A:$B,2,FALSE)</f>
        <v>TRASLAPO ANDES 66 - NEW BLACK</v>
      </c>
      <c r="E388" s="71" t="str">
        <f>VLOOKUP(C388,[1]B.D!$A:$F,6,FALSE)</f>
        <v>NEW BLACK</v>
      </c>
      <c r="F388" s="71" t="str">
        <f>VLOOKUP(C388,[1]B.D!$A:$G,7,FALSE)</f>
        <v>SLIDING - ANDES</v>
      </c>
      <c r="G388" s="13">
        <v>22460.55</v>
      </c>
      <c r="H388" s="87"/>
      <c r="I388" s="88">
        <f t="shared" si="10"/>
        <v>0</v>
      </c>
      <c r="J388" s="89">
        <f>VLOOKUP(C388,[1]B.D!$A:$E,5,FALSE)</f>
        <v>2.6880000000000002</v>
      </c>
      <c r="K388" s="89">
        <f t="shared" si="11"/>
        <v>0</v>
      </c>
    </row>
    <row r="389" spans="2:11" ht="15" customHeight="1">
      <c r="B389" s="86">
        <v>377</v>
      </c>
      <c r="C389" s="71" t="s">
        <v>112</v>
      </c>
      <c r="D389" s="71" t="str">
        <f>VLOOKUP(C389,[1]B.D!$A:$B,2,FALSE)</f>
        <v>TRASLAPO ANDES 66 - NOGAL</v>
      </c>
      <c r="E389" s="71" t="str">
        <f>VLOOKUP(C389,[1]B.D!$A:$F,6,FALSE)</f>
        <v>NOGAL</v>
      </c>
      <c r="F389" s="71" t="str">
        <f>VLOOKUP(C389,[1]B.D!$A:$G,7,FALSE)</f>
        <v>SLIDING - ANDES</v>
      </c>
      <c r="G389" s="13">
        <v>17844.75</v>
      </c>
      <c r="H389" s="87"/>
      <c r="I389" s="88">
        <f t="shared" si="10"/>
        <v>0</v>
      </c>
      <c r="J389" s="89">
        <f>VLOOKUP(C389,[1]B.D!$A:$E,5,FALSE)</f>
        <v>1.9379999999999999</v>
      </c>
      <c r="K389" s="89">
        <f t="shared" si="11"/>
        <v>0</v>
      </c>
    </row>
    <row r="390" spans="2:11" ht="15" customHeight="1">
      <c r="B390" s="86">
        <v>378</v>
      </c>
      <c r="C390" s="71" t="s">
        <v>111</v>
      </c>
      <c r="D390" s="71" t="str">
        <f>VLOOKUP(C390,[1]B.D!$A:$B,2,FALSE)</f>
        <v>TRASLAPO ANDES 66 - ROBLE</v>
      </c>
      <c r="E390" s="71" t="str">
        <f>VLOOKUP(C390,[1]B.D!$A:$F,6,FALSE)</f>
        <v>ROBLE</v>
      </c>
      <c r="F390" s="71" t="str">
        <f>VLOOKUP(C390,[1]B.D!$A:$G,7,FALSE)</f>
        <v>SLIDING - ANDES</v>
      </c>
      <c r="G390" s="13">
        <v>17844.75</v>
      </c>
      <c r="H390" s="87"/>
      <c r="I390" s="88">
        <f t="shared" si="10"/>
        <v>0</v>
      </c>
      <c r="J390" s="89">
        <f>VLOOKUP(C390,[1]B.D!$A:$E,5,FALSE)</f>
        <v>1.9379999999999999</v>
      </c>
      <c r="K390" s="89">
        <f t="shared" si="11"/>
        <v>0</v>
      </c>
    </row>
    <row r="391" spans="2:11" ht="15" customHeight="1">
      <c r="B391" s="86">
        <v>379</v>
      </c>
      <c r="C391" s="71" t="s">
        <v>89</v>
      </c>
      <c r="D391" s="71" t="str">
        <f>VLOOKUP(C391,[1]B.D!$A:$B,2,FALSE)</f>
        <v>TRASLAPO CORREDERA 80 S70 - BLANCO</v>
      </c>
      <c r="E391" s="71" t="str">
        <f>VLOOKUP(C391,[1]B.D!$A:$F,6,FALSE)</f>
        <v>BLANCO</v>
      </c>
      <c r="F391" s="71" t="str">
        <f>VLOOKUP(C391,[1]B.D!$A:$G,7,FALSE)</f>
        <v>SLIDING</v>
      </c>
      <c r="G391" s="13">
        <v>10521</v>
      </c>
      <c r="H391" s="87"/>
      <c r="I391" s="88">
        <f t="shared" si="10"/>
        <v>0</v>
      </c>
      <c r="J391" s="89">
        <f>VLOOKUP(C391,[1]B.D!$A:$E,5,FALSE)</f>
        <v>1.9079999999999999</v>
      </c>
      <c r="K391" s="89">
        <f t="shared" si="11"/>
        <v>0</v>
      </c>
    </row>
    <row r="392" spans="2:11" ht="15" customHeight="1">
      <c r="B392" s="86">
        <v>380</v>
      </c>
      <c r="C392" s="71" t="s">
        <v>92</v>
      </c>
      <c r="D392" s="71" t="str">
        <f>VLOOKUP(C392,[1]B.D!$A:$B,2,FALSE)</f>
        <v>TRASLAPO CORREDERA 80 S70 - GRAFITO</v>
      </c>
      <c r="E392" s="71" t="str">
        <f>VLOOKUP(C392,[1]B.D!$A:$F,6,FALSE)</f>
        <v>GRAFITO</v>
      </c>
      <c r="F392" s="71" t="str">
        <f>VLOOKUP(C392,[1]B.D!$A:$G,7,FALSE)</f>
        <v>SLIDING</v>
      </c>
      <c r="G392" s="13">
        <v>26132.400000000001</v>
      </c>
      <c r="H392" s="87"/>
      <c r="I392" s="88">
        <f t="shared" si="10"/>
        <v>0</v>
      </c>
      <c r="J392" s="89">
        <f>VLOOKUP(C392,[1]B.D!$A:$E,5,FALSE)</f>
        <v>1.9079999999999999</v>
      </c>
      <c r="K392" s="89">
        <f t="shared" si="11"/>
        <v>0</v>
      </c>
    </row>
    <row r="393" spans="2:11" ht="15" customHeight="1">
      <c r="B393" s="86">
        <v>381</v>
      </c>
      <c r="C393" s="71" t="s">
        <v>93</v>
      </c>
      <c r="D393" s="71" t="str">
        <f>VLOOKUP(C393,[1]B.D!$A:$B,2,FALSE)</f>
        <v>TRASLAPO CORREDERA 80 S70 - NEW BLACK</v>
      </c>
      <c r="E393" s="71" t="str">
        <f>VLOOKUP(C393,[1]B.D!$A:$F,6,FALSE)</f>
        <v>NEW BLACK</v>
      </c>
      <c r="F393" s="71" t="str">
        <f>VLOOKUP(C393,[1]B.D!$A:$G,7,FALSE)</f>
        <v>SLIDING</v>
      </c>
      <c r="G393" s="13">
        <v>17779.650000000001</v>
      </c>
      <c r="H393" s="87"/>
      <c r="I393" s="88">
        <f t="shared" si="10"/>
        <v>0</v>
      </c>
      <c r="J393" s="89">
        <f>VLOOKUP(C393,[1]B.D!$A:$E,5,FALSE)</f>
        <v>1.9079999999999999</v>
      </c>
      <c r="K393" s="89">
        <f t="shared" si="11"/>
        <v>0</v>
      </c>
    </row>
    <row r="394" spans="2:11" ht="15" customHeight="1">
      <c r="B394" s="86">
        <v>382</v>
      </c>
      <c r="C394" s="71" t="s">
        <v>91</v>
      </c>
      <c r="D394" s="71" t="str">
        <f>VLOOKUP(C394,[1]B.D!$A:$B,2,FALSE)</f>
        <v>TRASLAPO CORREDERA 80 S70 - NOGAL</v>
      </c>
      <c r="E394" s="71" t="str">
        <f>VLOOKUP(C394,[1]B.D!$A:$F,6,FALSE)</f>
        <v>NOGAL</v>
      </c>
      <c r="F394" s="71" t="str">
        <f>VLOOKUP(C394,[1]B.D!$A:$G,7,FALSE)</f>
        <v>SLIDING</v>
      </c>
      <c r="G394" s="13">
        <v>24423</v>
      </c>
      <c r="H394" s="87"/>
      <c r="I394" s="88">
        <f t="shared" si="10"/>
        <v>0</v>
      </c>
      <c r="J394" s="89">
        <f>VLOOKUP(C394,[1]B.D!$A:$E,5,FALSE)</f>
        <v>1.9079999999999999</v>
      </c>
      <c r="K394" s="89">
        <f t="shared" si="11"/>
        <v>0</v>
      </c>
    </row>
    <row r="395" spans="2:11" ht="15" customHeight="1">
      <c r="B395" s="86">
        <v>383</v>
      </c>
      <c r="C395" s="71" t="s">
        <v>90</v>
      </c>
      <c r="D395" s="71" t="str">
        <f>VLOOKUP(C395,[1]B.D!$A:$B,2,FALSE)</f>
        <v>TRASLAPO CORREDERA 80 S70 - ROBLE</v>
      </c>
      <c r="E395" s="71" t="str">
        <f>VLOOKUP(C395,[1]B.D!$A:$F,6,FALSE)</f>
        <v>ROBLE</v>
      </c>
      <c r="F395" s="71" t="str">
        <f>VLOOKUP(C395,[1]B.D!$A:$G,7,FALSE)</f>
        <v>SLIDING</v>
      </c>
      <c r="G395" s="13">
        <v>24423</v>
      </c>
      <c r="H395" s="87"/>
      <c r="I395" s="88">
        <f t="shared" si="10"/>
        <v>0</v>
      </c>
      <c r="J395" s="89">
        <f>VLOOKUP(C395,[1]B.D!$A:$E,5,FALSE)</f>
        <v>1.9079999999999999</v>
      </c>
      <c r="K395" s="89">
        <f t="shared" si="11"/>
        <v>0</v>
      </c>
    </row>
    <row r="396" spans="2:11" ht="15" customHeight="1">
      <c r="B396" s="86">
        <v>384</v>
      </c>
      <c r="C396" s="71" t="s">
        <v>94</v>
      </c>
      <c r="D396" s="71" t="str">
        <f>VLOOKUP(C396,[1]B.D!$A:$B,2,FALSE)</f>
        <v>TRASLAPO CORREDERA 80 S75 - BLANCO</v>
      </c>
      <c r="E396" s="71" t="str">
        <f>VLOOKUP(C396,[1]B.D!$A:$F,6,FALSE)</f>
        <v>BLANCO</v>
      </c>
      <c r="F396" s="71" t="str">
        <f>VLOOKUP(C396,[1]B.D!$A:$G,7,FALSE)</f>
        <v>SLIDING</v>
      </c>
      <c r="G396" s="13">
        <v>11573.1</v>
      </c>
      <c r="H396" s="87"/>
      <c r="I396" s="88">
        <f t="shared" si="10"/>
        <v>0</v>
      </c>
      <c r="J396" s="89">
        <f>VLOOKUP(C396,[1]B.D!$A:$E,5,FALSE)</f>
        <v>2.58</v>
      </c>
      <c r="K396" s="89">
        <f t="shared" si="11"/>
        <v>0</v>
      </c>
    </row>
    <row r="397" spans="2:11" ht="15" customHeight="1">
      <c r="B397" s="86">
        <v>385</v>
      </c>
      <c r="C397" s="71" t="s">
        <v>97</v>
      </c>
      <c r="D397" s="71" t="str">
        <f>VLOOKUP(C397,[1]B.D!$A:$B,2,FALSE)</f>
        <v>TRASLAPO CORREDERA 80 S75 - GRAFITO</v>
      </c>
      <c r="E397" s="71" t="str">
        <f>VLOOKUP(C397,[1]B.D!$A:$F,6,FALSE)</f>
        <v>GRAFITO</v>
      </c>
      <c r="F397" s="71" t="str">
        <f>VLOOKUP(C397,[1]B.D!$A:$G,7,FALSE)</f>
        <v>SLIDING</v>
      </c>
      <c r="G397" s="13">
        <v>25155.9</v>
      </c>
      <c r="H397" s="87"/>
      <c r="I397" s="88">
        <f t="shared" ref="I397:I423" si="12">G397*H397</f>
        <v>0</v>
      </c>
      <c r="J397" s="89">
        <f>VLOOKUP(C397,[1]B.D!$A:$E,5,FALSE)</f>
        <v>3.012</v>
      </c>
      <c r="K397" s="89">
        <f t="shared" ref="K397:K423" si="13">$H397*$J397</f>
        <v>0</v>
      </c>
    </row>
    <row r="398" spans="2:11" ht="15" customHeight="1">
      <c r="B398" s="86">
        <v>386</v>
      </c>
      <c r="C398" s="71" t="s">
        <v>98</v>
      </c>
      <c r="D398" s="71" t="str">
        <f>VLOOKUP(C398,[1]B.D!$A:$B,2,FALSE)</f>
        <v>TRASLAPO CORREDERA 80 S75 - NEW BLACK</v>
      </c>
      <c r="E398" s="71" t="str">
        <f>VLOOKUP(C398,[1]B.D!$A:$F,6,FALSE)</f>
        <v>NEW BLACK</v>
      </c>
      <c r="F398" s="71" t="str">
        <f>VLOOKUP(C398,[1]B.D!$A:$G,7,FALSE)</f>
        <v>SLIDING</v>
      </c>
      <c r="G398" s="13">
        <v>26412.75</v>
      </c>
      <c r="H398" s="87"/>
      <c r="I398" s="88">
        <f t="shared" si="12"/>
        <v>0</v>
      </c>
      <c r="J398" s="89">
        <f>VLOOKUP(C398,[1]B.D!$A:$E,5,FALSE)</f>
        <v>3.012</v>
      </c>
      <c r="K398" s="89">
        <f t="shared" si="13"/>
        <v>0</v>
      </c>
    </row>
    <row r="399" spans="2:11" ht="15" customHeight="1">
      <c r="B399" s="86">
        <v>387</v>
      </c>
      <c r="C399" s="71" t="s">
        <v>96</v>
      </c>
      <c r="D399" s="71" t="str">
        <f>VLOOKUP(C399,[1]B.D!$A:$B,2,FALSE)</f>
        <v>TRASLAPO CORREDERA 80 S75 - NOGAL</v>
      </c>
      <c r="E399" s="71" t="str">
        <f>VLOOKUP(C399,[1]B.D!$A:$F,6,FALSE)</f>
        <v>NOGAL</v>
      </c>
      <c r="F399" s="71" t="str">
        <f>VLOOKUP(C399,[1]B.D!$A:$G,7,FALSE)</f>
        <v>SLIDING</v>
      </c>
      <c r="G399" s="13">
        <v>24423</v>
      </c>
      <c r="H399" s="87"/>
      <c r="I399" s="88">
        <f t="shared" si="12"/>
        <v>0</v>
      </c>
      <c r="J399" s="89">
        <f>VLOOKUP(C399,[1]B.D!$A:$E,5,FALSE)</f>
        <v>3.012</v>
      </c>
      <c r="K399" s="89">
        <f t="shared" si="13"/>
        <v>0</v>
      </c>
    </row>
    <row r="400" spans="2:11" ht="15" customHeight="1">
      <c r="B400" s="86">
        <v>388</v>
      </c>
      <c r="C400" s="71" t="s">
        <v>95</v>
      </c>
      <c r="D400" s="71" t="str">
        <f>VLOOKUP(C400,[1]B.D!$A:$B,2,FALSE)</f>
        <v>TRASLAPO CORREDERA 80 S75 - ROBLE</v>
      </c>
      <c r="E400" s="71" t="str">
        <f>VLOOKUP(C400,[1]B.D!$A:$F,6,FALSE)</f>
        <v>ROBLE</v>
      </c>
      <c r="F400" s="71" t="str">
        <f>VLOOKUP(C400,[1]B.D!$A:$G,7,FALSE)</f>
        <v>SLIDING</v>
      </c>
      <c r="G400" s="13">
        <v>24423</v>
      </c>
      <c r="H400" s="87"/>
      <c r="I400" s="88">
        <f t="shared" si="12"/>
        <v>0</v>
      </c>
      <c r="J400" s="89">
        <f>VLOOKUP(C400,[1]B.D!$A:$E,5,FALSE)</f>
        <v>3.012</v>
      </c>
      <c r="K400" s="89">
        <f t="shared" si="13"/>
        <v>0</v>
      </c>
    </row>
    <row r="401" spans="2:11" ht="15" customHeight="1">
      <c r="B401" s="86">
        <v>389</v>
      </c>
      <c r="C401" s="71" t="s">
        <v>99</v>
      </c>
      <c r="D401" s="71" t="str">
        <f>VLOOKUP(C401,[1]B.D!$A:$B,2,FALSE)</f>
        <v>TRASLAPO CORREDERA 98 S70 - BLANCO</v>
      </c>
      <c r="E401" s="71" t="str">
        <f>VLOOKUP(C401,[1]B.D!$A:$F,6,FALSE)</f>
        <v>BLANCO</v>
      </c>
      <c r="F401" s="71" t="str">
        <f>VLOOKUP(C401,[1]B.D!$A:$G,7,FALSE)</f>
        <v>SLIDING</v>
      </c>
      <c r="G401" s="13">
        <v>12624.15</v>
      </c>
      <c r="H401" s="87"/>
      <c r="I401" s="88">
        <f t="shared" si="12"/>
        <v>0</v>
      </c>
      <c r="J401" s="89">
        <f>VLOOKUP(C401,[1]B.D!$A:$E,5,FALSE)</f>
        <v>2.1059999999999999</v>
      </c>
      <c r="K401" s="89">
        <f t="shared" si="13"/>
        <v>0</v>
      </c>
    </row>
    <row r="402" spans="2:11" ht="15" customHeight="1">
      <c r="B402" s="86">
        <v>390</v>
      </c>
      <c r="C402" s="71" t="s">
        <v>102</v>
      </c>
      <c r="D402" s="71" t="str">
        <f>VLOOKUP(C402,[1]B.D!$A:$B,2,FALSE)</f>
        <v>TRASLAPO CORREDERA 98 S70 - GRAFITO</v>
      </c>
      <c r="E402" s="71" t="str">
        <f>VLOOKUP(C402,[1]B.D!$A:$F,6,FALSE)</f>
        <v>GRAFITO</v>
      </c>
      <c r="F402" s="71" t="str">
        <f>VLOOKUP(C402,[1]B.D!$A:$G,7,FALSE)</f>
        <v>SLIDING</v>
      </c>
      <c r="G402" s="13">
        <v>26132.400000000001</v>
      </c>
      <c r="H402" s="87"/>
      <c r="I402" s="88">
        <f t="shared" si="12"/>
        <v>0</v>
      </c>
      <c r="J402" s="89">
        <f>VLOOKUP(C402,[1]B.D!$A:$E,5,FALSE)</f>
        <v>2.1059999999999999</v>
      </c>
      <c r="K402" s="89">
        <f t="shared" si="13"/>
        <v>0</v>
      </c>
    </row>
    <row r="403" spans="2:11" ht="15" customHeight="1">
      <c r="B403" s="86">
        <v>391</v>
      </c>
      <c r="C403" s="71" t="s">
        <v>103</v>
      </c>
      <c r="D403" s="71" t="str">
        <f>VLOOKUP(C403,[1]B.D!$A:$B,2,FALSE)</f>
        <v>TRASLAPO CORREDERA 98 S70 - NEW BLACK</v>
      </c>
      <c r="E403" s="71" t="str">
        <f>VLOOKUP(C403,[1]B.D!$A:$F,6,FALSE)</f>
        <v>NEW BLACK</v>
      </c>
      <c r="F403" s="71" t="str">
        <f>VLOOKUP(C403,[1]B.D!$A:$G,7,FALSE)</f>
        <v>SLIDING</v>
      </c>
      <c r="G403" s="13">
        <v>20131.650000000001</v>
      </c>
      <c r="H403" s="87"/>
      <c r="I403" s="88">
        <f t="shared" si="12"/>
        <v>0</v>
      </c>
      <c r="J403" s="89">
        <f>VLOOKUP(C403,[1]B.D!$A:$E,5,FALSE)</f>
        <v>2.1059999999999999</v>
      </c>
      <c r="K403" s="89">
        <f t="shared" si="13"/>
        <v>0</v>
      </c>
    </row>
    <row r="404" spans="2:11" ht="15" customHeight="1">
      <c r="B404" s="86">
        <v>392</v>
      </c>
      <c r="C404" s="71" t="s">
        <v>101</v>
      </c>
      <c r="D404" s="71" t="str">
        <f>VLOOKUP(C404,[1]B.D!$A:$B,2,FALSE)</f>
        <v>TRASLAPO CORREDERA 98 S70 - NOGAL</v>
      </c>
      <c r="E404" s="71" t="str">
        <f>VLOOKUP(C404,[1]B.D!$A:$F,6,FALSE)</f>
        <v>NOGAL</v>
      </c>
      <c r="F404" s="71" t="str">
        <f>VLOOKUP(C404,[1]B.D!$A:$G,7,FALSE)</f>
        <v>SLIDING</v>
      </c>
      <c r="G404" s="13">
        <v>24423</v>
      </c>
      <c r="H404" s="87"/>
      <c r="I404" s="88">
        <f t="shared" si="12"/>
        <v>0</v>
      </c>
      <c r="J404" s="89">
        <f>VLOOKUP(C404,[1]B.D!$A:$E,5,FALSE)</f>
        <v>2.1059999999999999</v>
      </c>
      <c r="K404" s="89">
        <f t="shared" si="13"/>
        <v>0</v>
      </c>
    </row>
    <row r="405" spans="2:11" ht="15" customHeight="1">
      <c r="B405" s="86">
        <v>393</v>
      </c>
      <c r="C405" s="71" t="s">
        <v>100</v>
      </c>
      <c r="D405" s="71" t="str">
        <f>VLOOKUP(C405,[1]B.D!$A:$B,2,FALSE)</f>
        <v>TRASLAPO CORREDERA 98 S70 - ROBLE</v>
      </c>
      <c r="E405" s="71" t="str">
        <f>VLOOKUP(C405,[1]B.D!$A:$F,6,FALSE)</f>
        <v>ROBLE</v>
      </c>
      <c r="F405" s="71" t="str">
        <f>VLOOKUP(C405,[1]B.D!$A:$G,7,FALSE)</f>
        <v>SLIDING</v>
      </c>
      <c r="G405" s="13">
        <v>24423</v>
      </c>
      <c r="H405" s="87"/>
      <c r="I405" s="88">
        <f t="shared" si="12"/>
        <v>0</v>
      </c>
      <c r="J405" s="89">
        <f>VLOOKUP(C405,[1]B.D!$A:$E,5,FALSE)</f>
        <v>2.1059999999999999</v>
      </c>
      <c r="K405" s="89">
        <f t="shared" si="13"/>
        <v>0</v>
      </c>
    </row>
    <row r="406" spans="2:11" ht="15" customHeight="1">
      <c r="B406" s="86">
        <v>394</v>
      </c>
      <c r="C406" s="71" t="s">
        <v>104</v>
      </c>
      <c r="D406" s="71" t="str">
        <f>VLOOKUP(C406,[1]B.D!$A:$B,2,FALSE)</f>
        <v>TRASLAPO CORREDERA 98 S75 - BLANCO</v>
      </c>
      <c r="E406" s="71" t="str">
        <f>VLOOKUP(C406,[1]B.D!$A:$F,6,FALSE)</f>
        <v>BLANCO</v>
      </c>
      <c r="F406" s="71" t="str">
        <f>VLOOKUP(C406,[1]B.D!$A:$G,7,FALSE)</f>
        <v>SLIDING</v>
      </c>
      <c r="G406" s="13">
        <v>12624.15</v>
      </c>
      <c r="H406" s="87"/>
      <c r="I406" s="88">
        <f t="shared" si="12"/>
        <v>0</v>
      </c>
      <c r="J406" s="89">
        <f>VLOOKUP(C406,[1]B.D!$A:$E,5,FALSE)</f>
        <v>2.88</v>
      </c>
      <c r="K406" s="89">
        <f t="shared" si="13"/>
        <v>0</v>
      </c>
    </row>
    <row r="407" spans="2:11" ht="15" customHeight="1">
      <c r="B407" s="86">
        <v>395</v>
      </c>
      <c r="C407" s="71" t="s">
        <v>107</v>
      </c>
      <c r="D407" s="71" t="str">
        <f>VLOOKUP(C407,[1]B.D!$A:$B,2,FALSE)</f>
        <v>TRASLAPO CORREDERA 98 S75 - GRAFITO</v>
      </c>
      <c r="E407" s="71" t="str">
        <f>VLOOKUP(C407,[1]B.D!$A:$F,6,FALSE)</f>
        <v>GRAFITO</v>
      </c>
      <c r="F407" s="71" t="str">
        <f>VLOOKUP(C407,[1]B.D!$A:$G,7,FALSE)</f>
        <v>SLIDING</v>
      </c>
      <c r="G407" s="13">
        <v>25155.9</v>
      </c>
      <c r="H407" s="87"/>
      <c r="I407" s="88">
        <f t="shared" si="12"/>
        <v>0</v>
      </c>
      <c r="J407" s="89">
        <f>VLOOKUP(C407,[1]B.D!$A:$E,5,FALSE)</f>
        <v>3.3239999999999998</v>
      </c>
      <c r="K407" s="89">
        <f t="shared" si="13"/>
        <v>0</v>
      </c>
    </row>
    <row r="408" spans="2:11" ht="15" customHeight="1">
      <c r="B408" s="86">
        <v>396</v>
      </c>
      <c r="C408" s="71" t="s">
        <v>108</v>
      </c>
      <c r="D408" s="71" t="str">
        <f>VLOOKUP(C408,[1]B.D!$A:$B,2,FALSE)</f>
        <v>TRASLAPO CORREDERA 98 S75 - NEW BLACK</v>
      </c>
      <c r="E408" s="71" t="str">
        <f>VLOOKUP(C408,[1]B.D!$A:$F,6,FALSE)</f>
        <v>NEW BLACK</v>
      </c>
      <c r="F408" s="71" t="str">
        <f>VLOOKUP(C408,[1]B.D!$A:$G,7,FALSE)</f>
        <v>SLIDING</v>
      </c>
      <c r="G408" s="13">
        <v>26412.75</v>
      </c>
      <c r="H408" s="87"/>
      <c r="I408" s="88">
        <f t="shared" si="12"/>
        <v>0</v>
      </c>
      <c r="J408" s="89">
        <f>VLOOKUP(C408,[1]B.D!$A:$E,5,FALSE)</f>
        <v>3.3239999999999998</v>
      </c>
      <c r="K408" s="89">
        <f t="shared" si="13"/>
        <v>0</v>
      </c>
    </row>
    <row r="409" spans="2:11" ht="15" customHeight="1">
      <c r="B409" s="86">
        <v>397</v>
      </c>
      <c r="C409" s="71" t="s">
        <v>106</v>
      </c>
      <c r="D409" s="71" t="str">
        <f>VLOOKUP(C409,[1]B.D!$A:$B,2,FALSE)</f>
        <v>TRASLAPO CORREDERA 98 S75 - NOGAL</v>
      </c>
      <c r="E409" s="71" t="str">
        <f>VLOOKUP(C409,[1]B.D!$A:$F,6,FALSE)</f>
        <v>NOGAL</v>
      </c>
      <c r="F409" s="71" t="str">
        <f>VLOOKUP(C409,[1]B.D!$A:$G,7,FALSE)</f>
        <v>SLIDING</v>
      </c>
      <c r="G409" s="13">
        <v>24423</v>
      </c>
      <c r="H409" s="87"/>
      <c r="I409" s="88">
        <f t="shared" si="12"/>
        <v>0</v>
      </c>
      <c r="J409" s="89">
        <f>VLOOKUP(C409,[1]B.D!$A:$E,5,FALSE)</f>
        <v>3.3239999999999998</v>
      </c>
      <c r="K409" s="89">
        <f t="shared" si="13"/>
        <v>0</v>
      </c>
    </row>
    <row r="410" spans="2:11" ht="15" customHeight="1">
      <c r="B410" s="86">
        <v>398</v>
      </c>
      <c r="C410" s="71" t="s">
        <v>105</v>
      </c>
      <c r="D410" s="71" t="str">
        <f>VLOOKUP(C410,[1]B.D!$A:$B,2,FALSE)</f>
        <v>TRASLAPO CORREDERA 98 S75 - ROBLE</v>
      </c>
      <c r="E410" s="71" t="str">
        <f>VLOOKUP(C410,[1]B.D!$A:$F,6,FALSE)</f>
        <v>ROBLE</v>
      </c>
      <c r="F410" s="71" t="str">
        <f>VLOOKUP(C410,[1]B.D!$A:$G,7,FALSE)</f>
        <v>SLIDING</v>
      </c>
      <c r="G410" s="13">
        <v>24423</v>
      </c>
      <c r="H410" s="87"/>
      <c r="I410" s="88">
        <f t="shared" si="12"/>
        <v>0</v>
      </c>
      <c r="J410" s="89">
        <f>VLOOKUP(C410,[1]B.D!$A:$E,5,FALSE)</f>
        <v>3.3239999999999998</v>
      </c>
      <c r="K410" s="89">
        <f t="shared" si="13"/>
        <v>0</v>
      </c>
    </row>
    <row r="411" spans="2:11" ht="15" customHeight="1">
      <c r="B411" s="86">
        <v>399</v>
      </c>
      <c r="C411" s="71" t="s">
        <v>352</v>
      </c>
      <c r="D411" s="71" t="str">
        <f>VLOOKUP(C411,[1]B.D!$A:$B,2,FALSE)</f>
        <v>TRASLAPO FIJO AMERICANA SILTEK</v>
      </c>
      <c r="E411" s="71" t="str">
        <f>VLOOKUP(C411,[1]B.D!$A:$F,6,FALSE)</f>
        <v>BLANCO</v>
      </c>
      <c r="F411" s="71" t="str">
        <f>VLOOKUP(C411,[1]B.D!$A:$G,7,FALSE)</f>
        <v>AMERICANA</v>
      </c>
      <c r="G411" s="13">
        <v>7908.6</v>
      </c>
      <c r="H411" s="87"/>
      <c r="I411" s="88">
        <f t="shared" si="12"/>
        <v>0</v>
      </c>
      <c r="J411" s="89">
        <f>VLOOKUP(C411,[1]B.D!$A:$E,5,FALSE)</f>
        <v>2.61</v>
      </c>
      <c r="K411" s="89">
        <f t="shared" si="13"/>
        <v>0</v>
      </c>
    </row>
    <row r="412" spans="2:11" ht="15" customHeight="1">
      <c r="B412" s="86">
        <v>400</v>
      </c>
      <c r="C412" s="71" t="s">
        <v>353</v>
      </c>
      <c r="D412" s="71" t="str">
        <f>VLOOKUP(C412,[1]B.D!$A:$B,2,FALSE)</f>
        <v>TRASLAPO MOVIL AMERICANA SILTEK</v>
      </c>
      <c r="E412" s="71" t="str">
        <f>VLOOKUP(C412,[1]B.D!$A:$F,6,FALSE)</f>
        <v>BLANCO</v>
      </c>
      <c r="F412" s="71" t="str">
        <f>VLOOKUP(C412,[1]B.D!$A:$G,7,FALSE)</f>
        <v>AMERICANA</v>
      </c>
      <c r="G412" s="13">
        <v>5623.8</v>
      </c>
      <c r="H412" s="87"/>
      <c r="I412" s="88">
        <f t="shared" si="12"/>
        <v>0</v>
      </c>
      <c r="J412" s="89">
        <f>VLOOKUP(C412,[1]B.D!$A:$E,5,FALSE)</f>
        <v>1.86</v>
      </c>
      <c r="K412" s="89">
        <f t="shared" si="13"/>
        <v>0</v>
      </c>
    </row>
    <row r="413" spans="2:11" ht="15" customHeight="1">
      <c r="B413" s="86">
        <v>401</v>
      </c>
      <c r="C413" s="71" t="s">
        <v>288</v>
      </c>
      <c r="D413" s="71" t="str">
        <f>VLOOKUP(C413,[1]B.D!$A:$B,2,FALSE)</f>
        <v>TRASLAPO ZENIA - BLANCO</v>
      </c>
      <c r="E413" s="71" t="str">
        <f>VLOOKUP(C413,[1]B.D!$A:$F,6,FALSE)</f>
        <v>BLANCO</v>
      </c>
      <c r="F413" s="71" t="str">
        <f>VLOOKUP(C413,[1]B.D!$A:$G,7,FALSE)</f>
        <v>SLIDING - ZENIA</v>
      </c>
      <c r="G413" s="13">
        <v>11685.45</v>
      </c>
      <c r="H413" s="87"/>
      <c r="I413" s="88">
        <f t="shared" si="12"/>
        <v>0</v>
      </c>
      <c r="J413" s="89">
        <f>VLOOKUP(C413,[1]B.D!$A:$E,5,FALSE)</f>
        <v>2.3940000000000001</v>
      </c>
      <c r="K413" s="89">
        <f t="shared" si="13"/>
        <v>0</v>
      </c>
    </row>
    <row r="414" spans="2:11" ht="15" customHeight="1">
      <c r="B414" s="86">
        <v>402</v>
      </c>
      <c r="C414" s="71" t="s">
        <v>291</v>
      </c>
      <c r="D414" s="71" t="str">
        <f>VLOOKUP(C414,[1]B.D!$A:$B,2,FALSE)</f>
        <v>TRASLAPO ZENIA - GRAFITO</v>
      </c>
      <c r="E414" s="71" t="str">
        <f>VLOOKUP(C414,[1]B.D!$A:$F,6,FALSE)</f>
        <v>GRAFITO</v>
      </c>
      <c r="F414" s="71" t="str">
        <f>VLOOKUP(C414,[1]B.D!$A:$G,7,FALSE)</f>
        <v>SLIDING - ZENIA</v>
      </c>
      <c r="G414" s="13">
        <v>24377.850000000002</v>
      </c>
      <c r="H414" s="87"/>
      <c r="I414" s="88">
        <f t="shared" si="12"/>
        <v>0</v>
      </c>
      <c r="J414" s="89">
        <f>VLOOKUP(C414,[1]B.D!$A:$E,5,FALSE)</f>
        <v>2.3940000000000001</v>
      </c>
      <c r="K414" s="89">
        <f t="shared" si="13"/>
        <v>0</v>
      </c>
    </row>
    <row r="415" spans="2:11" ht="15" customHeight="1">
      <c r="B415" s="86">
        <v>403</v>
      </c>
      <c r="C415" s="71" t="s">
        <v>292</v>
      </c>
      <c r="D415" s="71" t="str">
        <f>VLOOKUP(C415,[1]B.D!$A:$B,2,FALSE)</f>
        <v>TRASLAPO ZENIA - NEW BLACK</v>
      </c>
      <c r="E415" s="71" t="str">
        <f>VLOOKUP(C415,[1]B.D!$A:$F,6,FALSE)</f>
        <v>NEW BLACK</v>
      </c>
      <c r="F415" s="71" t="str">
        <f>VLOOKUP(C415,[1]B.D!$A:$G,7,FALSE)</f>
        <v>SLIDING - ZENIA</v>
      </c>
      <c r="G415" s="13">
        <v>28089.600000000002</v>
      </c>
      <c r="H415" s="87"/>
      <c r="I415" s="88">
        <f t="shared" si="12"/>
        <v>0</v>
      </c>
      <c r="J415" s="89">
        <f>VLOOKUP(C415,[1]B.D!$A:$E,5,FALSE)</f>
        <v>2.3940000000000001</v>
      </c>
      <c r="K415" s="89">
        <f t="shared" si="13"/>
        <v>0</v>
      </c>
    </row>
    <row r="416" spans="2:11" ht="15" customHeight="1">
      <c r="B416" s="86">
        <v>404</v>
      </c>
      <c r="C416" s="71" t="s">
        <v>290</v>
      </c>
      <c r="D416" s="71" t="str">
        <f>VLOOKUP(C416,[1]B.D!$A:$B,2,FALSE)</f>
        <v>TRASLAPO ZENIA - NOGAL</v>
      </c>
      <c r="E416" s="71" t="str">
        <f>VLOOKUP(C416,[1]B.D!$A:$F,6,FALSE)</f>
        <v>NOGAL</v>
      </c>
      <c r="F416" s="71" t="str">
        <f>VLOOKUP(C416,[1]B.D!$A:$G,7,FALSE)</f>
        <v>SLIDING - ZENIA</v>
      </c>
      <c r="G416" s="13">
        <v>24377.850000000002</v>
      </c>
      <c r="H416" s="87"/>
      <c r="I416" s="88">
        <f t="shared" si="12"/>
        <v>0</v>
      </c>
      <c r="J416" s="89">
        <f>VLOOKUP(C416,[1]B.D!$A:$E,5,FALSE)</f>
        <v>2.3940000000000001</v>
      </c>
      <c r="K416" s="89">
        <f t="shared" si="13"/>
        <v>0</v>
      </c>
    </row>
    <row r="417" spans="2:11" ht="15" customHeight="1">
      <c r="B417" s="86">
        <v>405</v>
      </c>
      <c r="C417" s="71" t="s">
        <v>289</v>
      </c>
      <c r="D417" s="71" t="str">
        <f>VLOOKUP(C417,[1]B.D!$A:$B,2,FALSE)</f>
        <v>TRASLAPO ZENIA - ROBLE</v>
      </c>
      <c r="E417" s="71" t="str">
        <f>VLOOKUP(C417,[1]B.D!$A:$F,6,FALSE)</f>
        <v>ROBLE</v>
      </c>
      <c r="F417" s="71" t="str">
        <f>VLOOKUP(C417,[1]B.D!$A:$G,7,FALSE)</f>
        <v>SLIDING - ZENIA</v>
      </c>
      <c r="G417" s="13">
        <v>24333.75</v>
      </c>
      <c r="H417" s="87"/>
      <c r="I417" s="88">
        <f t="shared" si="12"/>
        <v>0</v>
      </c>
      <c r="J417" s="89">
        <f>VLOOKUP(C417,[1]B.D!$A:$E,5,FALSE)</f>
        <v>2.3940000000000001</v>
      </c>
      <c r="K417" s="89">
        <f t="shared" si="13"/>
        <v>0</v>
      </c>
    </row>
    <row r="418" spans="2:11" ht="15" customHeight="1">
      <c r="B418" s="86">
        <v>406</v>
      </c>
      <c r="C418" s="71" t="s">
        <v>335</v>
      </c>
      <c r="D418" s="71" t="str">
        <f>VLOOKUP(C418,[1]B.D!$A:$B,2,FALSE)</f>
        <v>TUBULAR 60 x 100 - BLANCO</v>
      </c>
      <c r="E418" s="71" t="str">
        <f>VLOOKUP(C418,[1]B.D!$A:$F,6,FALSE)</f>
        <v>BLANCO</v>
      </c>
      <c r="F418" s="71" t="str">
        <f>VLOOKUP(C418,[1]B.D!$A:$G,7,FALSE)</f>
        <v>S60</v>
      </c>
      <c r="G418" s="13">
        <v>30116.100000000002</v>
      </c>
      <c r="H418" s="87"/>
      <c r="I418" s="88">
        <f t="shared" si="12"/>
        <v>0</v>
      </c>
      <c r="J418" s="89">
        <f>VLOOKUP(C418,[1]B.D!$A:$E,5,FALSE)</f>
        <v>5.88</v>
      </c>
      <c r="K418" s="89">
        <f t="shared" si="13"/>
        <v>0</v>
      </c>
    </row>
    <row r="419" spans="2:11" ht="15" customHeight="1">
      <c r="B419" s="86">
        <v>407</v>
      </c>
      <c r="C419" s="71" t="s">
        <v>338</v>
      </c>
      <c r="D419" s="71" t="str">
        <f>VLOOKUP(C419,[1]B.D!$A:$B,2,FALSE)</f>
        <v>TUBULAR 60 x 100 - GRAFITO</v>
      </c>
      <c r="E419" s="71" t="str">
        <f>VLOOKUP(C419,[1]B.D!$A:$F,6,FALSE)</f>
        <v>GRAFITO</v>
      </c>
      <c r="F419" s="71" t="str">
        <f>VLOOKUP(C419,[1]B.D!$A:$G,7,FALSE)</f>
        <v>S60</v>
      </c>
      <c r="G419" s="13">
        <v>50889.3</v>
      </c>
      <c r="H419" s="87"/>
      <c r="I419" s="88">
        <f t="shared" si="12"/>
        <v>0</v>
      </c>
      <c r="J419" s="89">
        <f>VLOOKUP(C419,[1]B.D!$A:$E,5,FALSE)</f>
        <v>5.67</v>
      </c>
      <c r="K419" s="89">
        <f t="shared" si="13"/>
        <v>0</v>
      </c>
    </row>
    <row r="420" spans="2:11" ht="15" customHeight="1">
      <c r="B420" s="86">
        <v>408</v>
      </c>
      <c r="C420" s="71" t="s">
        <v>339</v>
      </c>
      <c r="D420" s="71" t="str">
        <f>VLOOKUP(C420,[1]B.D!$A:$B,2,FALSE)</f>
        <v>TUBULAR 60 x 100 - NEW BLACK</v>
      </c>
      <c r="E420" s="71" t="str">
        <f>VLOOKUP(C420,[1]B.D!$A:$F,6,FALSE)</f>
        <v>NEW BLACK</v>
      </c>
      <c r="F420" s="71" t="str">
        <f>VLOOKUP(C420,[1]B.D!$A:$G,7,FALSE)</f>
        <v>S60</v>
      </c>
      <c r="G420" s="13">
        <v>68539.8</v>
      </c>
      <c r="H420" s="87"/>
      <c r="I420" s="88">
        <f t="shared" si="12"/>
        <v>0</v>
      </c>
      <c r="J420" s="89">
        <f>VLOOKUP(C420,[1]B.D!$A:$E,5,FALSE)</f>
        <v>6.0780000000000003</v>
      </c>
      <c r="K420" s="89">
        <f t="shared" si="13"/>
        <v>0</v>
      </c>
    </row>
    <row r="421" spans="2:11" ht="15" customHeight="1">
      <c r="B421" s="86">
        <v>409</v>
      </c>
      <c r="C421" s="71" t="s">
        <v>337</v>
      </c>
      <c r="D421" s="71" t="str">
        <f>VLOOKUP(C421,[1]B.D!$A:$B,2,FALSE)</f>
        <v>TUBULAR 60 x 100 - NOGAL</v>
      </c>
      <c r="E421" s="71" t="str">
        <f>VLOOKUP(C421,[1]B.D!$A:$F,6,FALSE)</f>
        <v>NOGAL</v>
      </c>
      <c r="F421" s="71" t="str">
        <f>VLOOKUP(C421,[1]B.D!$A:$G,7,FALSE)</f>
        <v>S60</v>
      </c>
      <c r="G421" s="13">
        <v>50889.3</v>
      </c>
      <c r="H421" s="87"/>
      <c r="I421" s="88">
        <f t="shared" si="12"/>
        <v>0</v>
      </c>
      <c r="J421" s="89">
        <f>VLOOKUP(C421,[1]B.D!$A:$E,5,FALSE)</f>
        <v>5.67</v>
      </c>
      <c r="K421" s="89">
        <f t="shared" si="13"/>
        <v>0</v>
      </c>
    </row>
    <row r="422" spans="2:11" ht="15" customHeight="1">
      <c r="B422" s="86">
        <v>410</v>
      </c>
      <c r="C422" s="71" t="s">
        <v>336</v>
      </c>
      <c r="D422" s="71" t="str">
        <f>VLOOKUP(C422,[1]B.D!$A:$B,2,FALSE)</f>
        <v>TUBULAR 60 x 100 - ROBLE</v>
      </c>
      <c r="E422" s="71" t="str">
        <f>VLOOKUP(C422,[1]B.D!$A:$F,6,FALSE)</f>
        <v>ROBLE</v>
      </c>
      <c r="F422" s="71" t="str">
        <f>VLOOKUP(C422,[1]B.D!$A:$G,7,FALSE)</f>
        <v>S60</v>
      </c>
      <c r="G422" s="13">
        <v>50028.3</v>
      </c>
      <c r="H422" s="87"/>
      <c r="I422" s="88">
        <f t="shared" si="12"/>
        <v>0</v>
      </c>
      <c r="J422" s="89">
        <f>VLOOKUP(C422,[1]B.D!$A:$E,5,FALSE)</f>
        <v>6.0780000000000003</v>
      </c>
      <c r="K422" s="89">
        <f t="shared" si="13"/>
        <v>0</v>
      </c>
    </row>
    <row r="423" spans="2:11" ht="15" customHeight="1">
      <c r="B423" s="86">
        <v>411</v>
      </c>
      <c r="C423" s="71" t="s">
        <v>266</v>
      </c>
      <c r="D423" s="71" t="str">
        <f>VLOOKUP(C423,[1]B.D!$A:$B,2,FALSE)</f>
        <v>ZAPATA PUERTA ALUMINIO 60mm - 3MT</v>
      </c>
      <c r="E423" s="71" t="str">
        <f>VLOOKUP(C423,[1]B.D!$A:$F,6,FALSE)</f>
        <v>NATURAL</v>
      </c>
      <c r="F423" s="71" t="str">
        <f>VLOOKUP(C423,[1]B.D!$A:$G,7,FALSE)</f>
        <v>S60</v>
      </c>
      <c r="G423" s="13">
        <v>48012.3</v>
      </c>
      <c r="H423" s="87"/>
      <c r="I423" s="88">
        <f t="shared" si="12"/>
        <v>0</v>
      </c>
      <c r="J423" s="89">
        <f>VLOOKUP(C423,[1]B.D!$A:$E,5,FALSE)</f>
        <v>3</v>
      </c>
      <c r="K423" s="89">
        <f t="shared" si="13"/>
        <v>0</v>
      </c>
    </row>
    <row r="424" spans="2:11" ht="15" customHeight="1">
      <c r="B424" s="25"/>
      <c r="C424" s="31"/>
      <c r="D424" s="31"/>
      <c r="E424" s="31"/>
      <c r="F424" s="31"/>
      <c r="G424" s="31"/>
      <c r="H424" s="26"/>
      <c r="I424" s="26"/>
      <c r="J424" s="32"/>
      <c r="K424" s="39"/>
    </row>
    <row r="425" spans="2:11" ht="15" customHeight="1">
      <c r="B425" s="25"/>
      <c r="C425" s="31"/>
      <c r="D425" s="31"/>
      <c r="E425" s="31"/>
      <c r="F425" s="59"/>
      <c r="G425" s="60"/>
      <c r="H425" s="26"/>
      <c r="I425" s="26"/>
      <c r="J425" s="32"/>
      <c r="K425" s="33"/>
    </row>
    <row r="426" spans="2:11" ht="15" customHeight="1">
      <c r="B426"/>
      <c r="C426"/>
      <c r="D426"/>
      <c r="E426"/>
      <c r="F426"/>
      <c r="G426"/>
      <c r="H426" s="26"/>
      <c r="I426" s="26"/>
      <c r="J426" s="32"/>
      <c r="K426" s="33"/>
    </row>
    <row r="427" spans="2:11" ht="15" customHeight="1">
      <c r="B427"/>
      <c r="C427"/>
      <c r="D427"/>
      <c r="E427"/>
      <c r="F427"/>
      <c r="G427"/>
      <c r="H427" s="26"/>
      <c r="I427" s="26"/>
      <c r="J427" s="32"/>
      <c r="K427" s="33"/>
    </row>
    <row r="428" spans="2:11" ht="15" customHeight="1">
      <c r="C428"/>
      <c r="D428"/>
      <c r="E428"/>
      <c r="F428"/>
      <c r="G428" s="103" t="s">
        <v>399</v>
      </c>
      <c r="H428" s="104"/>
      <c r="I428" s="57">
        <f>SUM($I13:$I423)</f>
        <v>0</v>
      </c>
      <c r="J428" s="61"/>
      <c r="K428" s="21"/>
    </row>
    <row r="429" spans="2:11" ht="15" customHeight="1">
      <c r="C429"/>
      <c r="D429"/>
      <c r="E429"/>
      <c r="F429"/>
      <c r="G429" s="42" t="s">
        <v>400</v>
      </c>
      <c r="H429" s="20">
        <v>0.19</v>
      </c>
      <c r="I429" s="58">
        <f>($H429*$I$428)</f>
        <v>0</v>
      </c>
      <c r="J429" s="29"/>
      <c r="K429" s="21"/>
    </row>
    <row r="430" spans="2:11" ht="15" customHeight="1">
      <c r="C430"/>
      <c r="D430"/>
      <c r="E430"/>
      <c r="F430"/>
      <c r="G430" s="103" t="s">
        <v>401</v>
      </c>
      <c r="H430" s="104"/>
      <c r="I430" s="62">
        <f>$I$428+$I$429</f>
        <v>0</v>
      </c>
      <c r="J430" s="61"/>
      <c r="K430" s="21"/>
    </row>
    <row r="431" spans="2:11" ht="15" customHeight="1" thickBot="1"/>
    <row r="432" spans="2:11" ht="15" customHeight="1">
      <c r="G432" s="97" t="s">
        <v>0</v>
      </c>
      <c r="H432" s="98"/>
      <c r="I432" s="101">
        <f>SUM(K13:K423)</f>
        <v>0</v>
      </c>
      <c r="J432"/>
    </row>
    <row r="433" spans="7:10" ht="15" customHeight="1" thickBot="1">
      <c r="G433" s="99"/>
      <c r="H433" s="100"/>
      <c r="I433" s="102"/>
      <c r="J433"/>
    </row>
  </sheetData>
  <sheetProtection algorithmName="SHA-512" hashValue="FyAShmAcriu81QwFVc7FC+0sJs7Vy14AAOCMyHMWZ0qc2lEcExCvRboWyORvIJghPdKsXhkGN1F6zRIeAH5Bsw==" saltValue="PJiCViucDACakANhJxpOEA==" spinCount="100000" sheet="1" formatCells="0" formatRows="0" sort="0" autoFilter="0"/>
  <protectedRanges>
    <protectedRange sqref="K424:K427 H13:H423" name="Rango1"/>
  </protectedRanges>
  <autoFilter ref="C12:K423" xr:uid="{8693EA55-0707-4E49-A102-EFD28EFAD734}"/>
  <mergeCells count="13">
    <mergeCell ref="F1:H1"/>
    <mergeCell ref="D8:F8"/>
    <mergeCell ref="D9:F9"/>
    <mergeCell ref="D10:F10"/>
    <mergeCell ref="G428:H428"/>
    <mergeCell ref="G432:H433"/>
    <mergeCell ref="I432:I433"/>
    <mergeCell ref="G430:H430"/>
    <mergeCell ref="C2:K2"/>
    <mergeCell ref="C3:K3"/>
    <mergeCell ref="D5:F5"/>
    <mergeCell ref="D6:F6"/>
    <mergeCell ref="D7:F7"/>
  </mergeCells>
  <conditionalFormatting sqref="C13:F13 C14:C20 C23:C423 D14:F423 C424:G425">
    <cfRule type="containsText" dxfId="4" priority="5" operator="containsText" text="SERA BORRADO">
      <formula>NOT(ISERROR(SEARCH("SERA BORRADO",C13)))</formula>
    </cfRule>
  </conditionalFormatting>
  <conditionalFormatting sqref="C21:C22">
    <cfRule type="containsText" dxfId="3" priority="1" operator="containsText" text="SERA BORRADO">
      <formula>NOT(ISERROR(SEARCH("SERA BORRADO",C21)))</formula>
    </cfRule>
  </conditionalFormatting>
  <printOptions verticalCentered="1"/>
  <pageMargins left="0.7" right="0.7" top="0.75" bottom="0.75" header="0.3" footer="0.3"/>
  <pageSetup paperSize="9" scale="57" fitToHeight="0" orientation="landscape" r:id="rId1"/>
  <headerFooter>
    <oddFooter>&amp;CWinhouse-chile, Tucapel 1540, La Pintana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2826"/>
  <sheetViews>
    <sheetView showGridLines="0" topLeftCell="A3" zoomScale="70" zoomScaleNormal="70" workbookViewId="0">
      <pane xSplit="11" ySplit="11" topLeftCell="L14" activePane="bottomRight" state="frozen"/>
      <selection pane="topRight" activeCell="N3" sqref="N3"/>
      <selection pane="bottomLeft" activeCell="A13" sqref="A13"/>
      <selection pane="bottomRight" activeCell="I30" sqref="I30"/>
    </sheetView>
  </sheetViews>
  <sheetFormatPr baseColWidth="10" defaultColWidth="11.42578125" defaultRowHeight="15"/>
  <cols>
    <col min="1" max="1" width="2.7109375" style="2" customWidth="1"/>
    <col min="2" max="2" width="5.7109375" style="3" customWidth="1"/>
    <col min="3" max="3" width="28.5703125" style="23" customWidth="1"/>
    <col min="4" max="4" width="63.7109375" style="7" customWidth="1"/>
    <col min="5" max="5" width="20.5703125" style="7" customWidth="1"/>
    <col min="6" max="6" width="28.7109375" style="2" customWidth="1"/>
    <col min="7" max="7" width="24.140625" style="2" customWidth="1"/>
    <col min="8" max="8" width="19.7109375" style="2" bestFit="1" customWidth="1"/>
    <col min="9" max="9" width="38.5703125" style="2" customWidth="1"/>
    <col min="10" max="11" width="23.5703125" style="2" hidden="1" customWidth="1"/>
  </cols>
  <sheetData>
    <row r="1" spans="1:11" ht="23.25" customHeight="1">
      <c r="B1" s="1"/>
      <c r="D1" s="2"/>
      <c r="E1" s="113" t="s">
        <v>0</v>
      </c>
      <c r="F1" s="114"/>
      <c r="G1" s="114"/>
      <c r="H1" s="16">
        <f>H440</f>
        <v>0</v>
      </c>
      <c r="I1" s="9"/>
      <c r="J1" s="9"/>
      <c r="K1" s="9"/>
    </row>
    <row r="2" spans="1:11" ht="48.75" customHeight="1">
      <c r="B2" s="8"/>
      <c r="C2" s="105"/>
      <c r="D2" s="105"/>
      <c r="E2" s="105"/>
      <c r="F2" s="105"/>
      <c r="G2" s="105"/>
      <c r="H2" s="105"/>
      <c r="I2" s="105"/>
      <c r="J2" s="105"/>
      <c r="K2" s="105"/>
    </row>
    <row r="3" spans="1:11" ht="48.75" customHeight="1">
      <c r="B3" s="8"/>
      <c r="C3" s="43"/>
      <c r="D3" s="43"/>
      <c r="E3" s="43"/>
      <c r="F3" s="117" t="str">
        <f>F440</f>
        <v>Peso Total Pedido en Kg</v>
      </c>
      <c r="G3" s="117"/>
      <c r="H3" s="118"/>
      <c r="I3" s="46">
        <f>H440</f>
        <v>0</v>
      </c>
      <c r="J3" s="43"/>
      <c r="K3" s="43"/>
    </row>
    <row r="4" spans="1:11" ht="28.5" customHeight="1">
      <c r="B4" s="8"/>
      <c r="C4" s="106"/>
      <c r="D4" s="106"/>
      <c r="E4" s="106"/>
      <c r="F4" s="106"/>
      <c r="G4" s="106"/>
      <c r="H4" s="106"/>
      <c r="I4" s="106"/>
      <c r="J4" s="106"/>
      <c r="K4" s="106"/>
    </row>
    <row r="5" spans="1:11" ht="21" customHeight="1" thickBot="1">
      <c r="B5" s="8"/>
      <c r="C5" s="44"/>
      <c r="D5" s="44"/>
      <c r="E5" s="44"/>
      <c r="F5" s="44"/>
      <c r="G5" s="44"/>
      <c r="H5" s="44"/>
      <c r="I5" s="44"/>
      <c r="J5" s="44"/>
      <c r="K5" s="44"/>
    </row>
    <row r="6" spans="1:11" ht="15" customHeight="1">
      <c r="B6" s="1"/>
      <c r="C6" s="34" t="s">
        <v>1</v>
      </c>
      <c r="D6" s="107"/>
      <c r="E6" s="109"/>
      <c r="F6" s="17"/>
      <c r="G6" s="17"/>
      <c r="I6" s="14"/>
      <c r="J6" s="14"/>
      <c r="K6" s="14"/>
    </row>
    <row r="7" spans="1:11" ht="15" customHeight="1">
      <c r="B7" s="1"/>
      <c r="C7" s="35" t="s">
        <v>2</v>
      </c>
      <c r="D7" s="110"/>
      <c r="E7" s="112"/>
      <c r="F7" s="18"/>
      <c r="G7" s="18"/>
      <c r="H7"/>
      <c r="I7" s="15"/>
      <c r="J7" s="15"/>
      <c r="K7" s="15"/>
    </row>
    <row r="8" spans="1:11" ht="15" customHeight="1">
      <c r="B8" s="1"/>
      <c r="C8" s="35" t="s">
        <v>3</v>
      </c>
      <c r="D8" s="110"/>
      <c r="E8" s="112"/>
      <c r="F8" s="19"/>
      <c r="G8" s="19"/>
      <c r="H8"/>
      <c r="I8" s="15"/>
      <c r="J8" s="15"/>
      <c r="K8" s="15"/>
    </row>
    <row r="9" spans="1:11" ht="15" customHeight="1">
      <c r="B9" s="1"/>
      <c r="C9" s="35" t="s">
        <v>4</v>
      </c>
      <c r="D9" s="110"/>
      <c r="E9" s="112"/>
      <c r="F9" s="15"/>
      <c r="G9" s="15"/>
      <c r="H9"/>
      <c r="I9" s="15"/>
      <c r="J9" s="15"/>
      <c r="K9" s="15"/>
    </row>
    <row r="10" spans="1:11" ht="15" customHeight="1">
      <c r="B10" s="1"/>
      <c r="C10" s="35" t="s">
        <v>5</v>
      </c>
      <c r="D10" s="110"/>
      <c r="E10" s="112"/>
      <c r="F10" s="15"/>
      <c r="G10" s="15"/>
      <c r="H10"/>
      <c r="I10" s="15"/>
      <c r="J10" s="15"/>
      <c r="K10" s="15"/>
    </row>
    <row r="11" spans="1:11" ht="15" customHeight="1">
      <c r="B11" s="1"/>
      <c r="C11" s="35" t="s">
        <v>6</v>
      </c>
      <c r="D11" s="110"/>
      <c r="E11" s="112"/>
      <c r="F11" s="15"/>
      <c r="G11" s="15"/>
      <c r="H11" s="15"/>
      <c r="I11" s="15"/>
      <c r="J11" s="15"/>
      <c r="K11" s="15"/>
    </row>
    <row r="12" spans="1:11" ht="14.25" customHeight="1">
      <c r="A12" s="4"/>
      <c r="B12" s="6"/>
      <c r="C12" s="30"/>
      <c r="D12" s="30"/>
      <c r="E12" s="30"/>
      <c r="F12" s="30"/>
      <c r="G12" s="30"/>
      <c r="H12" s="30"/>
      <c r="I12" s="30"/>
      <c r="J12" s="30"/>
      <c r="K12" s="36"/>
    </row>
    <row r="13" spans="1:11" s="12" customFormat="1" ht="39.950000000000003" customHeight="1">
      <c r="A13" s="11"/>
      <c r="B13" s="28"/>
      <c r="C13" s="50" t="s">
        <v>7</v>
      </c>
      <c r="D13" s="50" t="s">
        <v>402</v>
      </c>
      <c r="E13" s="50" t="s">
        <v>9</v>
      </c>
      <c r="F13" s="50" t="s">
        <v>403</v>
      </c>
      <c r="G13" s="50" t="s">
        <v>11</v>
      </c>
      <c r="H13" s="50" t="s">
        <v>12</v>
      </c>
      <c r="I13" s="50" t="s">
        <v>404</v>
      </c>
      <c r="J13" s="10" t="s">
        <v>405</v>
      </c>
      <c r="K13" s="10" t="s">
        <v>15</v>
      </c>
    </row>
    <row r="14" spans="1:11" ht="15" customHeight="1">
      <c r="B14" s="70">
        <v>1</v>
      </c>
      <c r="C14" s="71" t="s">
        <v>406</v>
      </c>
      <c r="D14" s="71" t="str">
        <f>VLOOKUP(C14,[1]B.D!$A:$B,2,FALSE)</f>
        <v>APOYO CERRADERO 5 x 5 - M</v>
      </c>
      <c r="E14" s="71" t="str">
        <f>VLOOKUP(C14,[1]B.D!$A:$F,6,FALSE)</f>
        <v>NEGRO</v>
      </c>
      <c r="F14" s="71" t="str">
        <f>VLOOKUP(C14,[1]B.D!$A:$G,7,FALSE)</f>
        <v>ACCESORIOS</v>
      </c>
      <c r="G14" s="64">
        <v>6126.75</v>
      </c>
      <c r="H14" s="72"/>
      <c r="I14" s="73">
        <f t="shared" ref="I14:I77" si="0">G14*H14</f>
        <v>0</v>
      </c>
      <c r="J14" s="74">
        <f>VLOOKUP(C14,[1]B.D!$A:$E,5,FALSE)</f>
        <v>0.1</v>
      </c>
      <c r="K14" s="63">
        <f t="shared" ref="K14:K77" si="1">$H14*$J14</f>
        <v>0</v>
      </c>
    </row>
    <row r="15" spans="1:11" ht="15" customHeight="1">
      <c r="B15" s="70">
        <v>2</v>
      </c>
      <c r="C15" s="71" t="s">
        <v>407</v>
      </c>
      <c r="D15" s="71" t="str">
        <f>VLOOKUP(C15,[1]B.D!$A:$B,2,FALSE)</f>
        <v>APOYO CERRADERO 7 x 7 - M</v>
      </c>
      <c r="E15" s="71" t="str">
        <f>VLOOKUP(C15,[1]B.D!$A:$F,6,FALSE)</f>
        <v>NEGRO</v>
      </c>
      <c r="F15" s="71" t="str">
        <f>VLOOKUP(C15,[1]B.D!$A:$G,7,FALSE)</f>
        <v>ACCESORIOS</v>
      </c>
      <c r="G15" s="64">
        <v>6667.5</v>
      </c>
      <c r="H15" s="72"/>
      <c r="I15" s="73">
        <f t="shared" si="0"/>
        <v>0</v>
      </c>
      <c r="J15" s="74">
        <f>VLOOKUP(C15,[1]B.D!$A:$E,5,FALSE)</f>
        <v>0.22</v>
      </c>
      <c r="K15" s="63">
        <f t="shared" si="1"/>
        <v>0</v>
      </c>
    </row>
    <row r="16" spans="1:11" ht="15" customHeight="1">
      <c r="B16" s="70">
        <v>3</v>
      </c>
      <c r="C16" s="75" t="s">
        <v>408</v>
      </c>
      <c r="D16" s="71" t="str">
        <f>VLOOKUP(C16,[1]B.D!$A:$B,2,FALSE)</f>
        <v>APOYO CERRADERO 9 x 9 - M</v>
      </c>
      <c r="E16" s="71" t="str">
        <f>VLOOKUP(C16,[1]B.D!$A:$F,6,FALSE)</f>
        <v>NEGRO</v>
      </c>
      <c r="F16" s="71" t="str">
        <f>VLOOKUP(C16,[1]B.D!$A:$G,7,FALSE)</f>
        <v>ACCESORIOS</v>
      </c>
      <c r="G16" s="64">
        <v>9182.25</v>
      </c>
      <c r="H16" s="76"/>
      <c r="I16" s="73">
        <f t="shared" si="0"/>
        <v>0</v>
      </c>
      <c r="J16" s="74">
        <f>VLOOKUP(C16,[1]B.D!$A:$E,5,FALSE)</f>
        <v>0.35</v>
      </c>
      <c r="K16" s="63">
        <f t="shared" si="1"/>
        <v>0</v>
      </c>
    </row>
    <row r="17" spans="2:11" ht="15" customHeight="1">
      <c r="B17" s="70">
        <v>4</v>
      </c>
      <c r="C17" s="71" t="s">
        <v>409</v>
      </c>
      <c r="D17" s="71" t="str">
        <f>VLOOKUP(C17,[1]B.D!$A:$B,2,FALSE)</f>
        <v>BURLETE PERIMETRAL ZENIA</v>
      </c>
      <c r="E17" s="71" t="str">
        <f>VLOOKUP(C17,[1]B.D!$A:$F,6,FALSE)</f>
        <v>NEGRO</v>
      </c>
      <c r="F17" s="71" t="str">
        <f>VLOOKUP(C17,[1]B.D!$A:$G,7,FALSE)</f>
        <v>ACCESORIOS</v>
      </c>
      <c r="G17" s="64">
        <v>742.35</v>
      </c>
      <c r="H17" s="72"/>
      <c r="I17" s="73">
        <f t="shared" si="0"/>
        <v>0</v>
      </c>
      <c r="J17" s="74">
        <f>VLOOKUP(C17,[1]B.D!$A:$E,5,FALSE)</f>
        <v>0.04</v>
      </c>
      <c r="K17" s="63">
        <f t="shared" si="1"/>
        <v>0</v>
      </c>
    </row>
    <row r="18" spans="2:11" ht="15" customHeight="1">
      <c r="B18" s="70">
        <v>5</v>
      </c>
      <c r="C18" s="71" t="s">
        <v>900</v>
      </c>
      <c r="D18" s="71" t="str">
        <f>VLOOKUP(C18,[1]B.D!$A:$B,2,FALSE)</f>
        <v>BURLETE REPOSICION LINEAS WINHOUSE - GRIS</v>
      </c>
      <c r="E18" s="71" t="str">
        <f>VLOOKUP(C18,[1]B.D!$A:$F,6,FALSE)</f>
        <v>GRIS</v>
      </c>
      <c r="F18" s="71" t="str">
        <f>VLOOKUP(C18,[1]B.D!$A:$G,7,FALSE)</f>
        <v>ACCESORIOS</v>
      </c>
      <c r="G18" s="64">
        <v>174.3</v>
      </c>
      <c r="H18" s="72"/>
      <c r="I18" s="73">
        <f t="shared" si="0"/>
        <v>0</v>
      </c>
      <c r="J18" s="74">
        <f>VLOOKUP(C18,[1]B.D!$A:$E,5,FALSE)</f>
        <v>0</v>
      </c>
      <c r="K18" s="63">
        <f t="shared" si="1"/>
        <v>0</v>
      </c>
    </row>
    <row r="19" spans="2:11" ht="15" customHeight="1">
      <c r="B19" s="70">
        <v>6</v>
      </c>
      <c r="C19" s="71" t="s">
        <v>901</v>
      </c>
      <c r="D19" s="71" t="str">
        <f>VLOOKUP(C19,[1]B.D!$A:$B,2,FALSE)</f>
        <v>BURLETE REPOSICION LINEAS WINHOUSE - NEGRO</v>
      </c>
      <c r="E19" s="71" t="str">
        <f>VLOOKUP(C19,[1]B.D!$A:$F,6,FALSE)</f>
        <v>NEGRO</v>
      </c>
      <c r="F19" s="71" t="str">
        <f>VLOOKUP(C19,[1]B.D!$A:$G,7,FALSE)</f>
        <v>ACCESORIOS</v>
      </c>
      <c r="G19" s="64">
        <v>174.3</v>
      </c>
      <c r="H19" s="72"/>
      <c r="I19" s="73">
        <f t="shared" si="0"/>
        <v>0</v>
      </c>
      <c r="J19" s="74">
        <f>VLOOKUP(C19,[1]B.D!$A:$E,5,FALSE)</f>
        <v>0</v>
      </c>
      <c r="K19" s="63">
        <f t="shared" si="1"/>
        <v>0</v>
      </c>
    </row>
    <row r="20" spans="2:11" ht="15" customHeight="1">
      <c r="B20" s="70">
        <v>7</v>
      </c>
      <c r="C20" s="77" t="s">
        <v>410</v>
      </c>
      <c r="D20" s="71" t="str">
        <f>VLOOKUP(C20,[1]B.D!$A:$B,2,FALSE)</f>
        <v>BURLETE SUPERIOR ZENIA</v>
      </c>
      <c r="E20" s="71" t="str">
        <f>VLOOKUP(C20,[1]B.D!$A:$F,6,FALSE)</f>
        <v>NEGRO</v>
      </c>
      <c r="F20" s="71" t="str">
        <f>VLOOKUP(C20,[1]B.D!$A:$G,7,FALSE)</f>
        <v>ACCESORIOS</v>
      </c>
      <c r="G20" s="64">
        <v>195.3</v>
      </c>
      <c r="H20" s="72"/>
      <c r="I20" s="73">
        <f t="shared" si="0"/>
        <v>0</v>
      </c>
      <c r="J20" s="74">
        <f>VLOOKUP(C20,[1]B.D!$A:$E,5,FALSE)</f>
        <v>0.03</v>
      </c>
      <c r="K20" s="63">
        <f t="shared" si="1"/>
        <v>0</v>
      </c>
    </row>
    <row r="21" spans="2:11" ht="15" customHeight="1">
      <c r="B21" s="70">
        <v>8</v>
      </c>
      <c r="C21" s="71" t="s">
        <v>411</v>
      </c>
      <c r="D21" s="71" t="str">
        <f>VLOOKUP(C21,[1]B.D!$A:$B,2,FALSE)</f>
        <v>BURLETE TRASLAPO ZENIA</v>
      </c>
      <c r="E21" s="71" t="str">
        <f>VLOOKUP(C21,[1]B.D!$A:$F,6,FALSE)</f>
        <v>NEGRO</v>
      </c>
      <c r="F21" s="71" t="str">
        <f>VLOOKUP(C21,[1]B.D!$A:$G,7,FALSE)</f>
        <v>ACCESORIOS</v>
      </c>
      <c r="G21" s="64">
        <v>195.3</v>
      </c>
      <c r="H21" s="72"/>
      <c r="I21" s="73">
        <f t="shared" si="0"/>
        <v>0</v>
      </c>
      <c r="J21" s="74">
        <f>VLOOKUP(C21,[1]B.D!$A:$E,5,FALSE)</f>
        <v>0.04</v>
      </c>
      <c r="K21" s="63">
        <f t="shared" si="1"/>
        <v>0</v>
      </c>
    </row>
    <row r="22" spans="2:11" ht="15" customHeight="1">
      <c r="B22" s="70">
        <v>9</v>
      </c>
      <c r="C22" s="71" t="s">
        <v>412</v>
      </c>
      <c r="D22" s="71" t="str">
        <f>VLOOKUP(C22,[1]B.D!$A:$B,2,FALSE)</f>
        <v>CALZO ACRISTALAR 2MM - AZUL - MV</v>
      </c>
      <c r="E22" s="71" t="str">
        <f>VLOOKUP(C22,[1]B.D!$A:$F,6,FALSE)</f>
        <v>NATURAL</v>
      </c>
      <c r="F22" s="71" t="str">
        <f>VLOOKUP(C22,[1]B.D!$A:$G,7,FALSE)</f>
        <v>ACCESORIOS</v>
      </c>
      <c r="G22" s="64">
        <v>40.950000000000003</v>
      </c>
      <c r="H22" s="72"/>
      <c r="I22" s="73">
        <f t="shared" si="0"/>
        <v>0</v>
      </c>
      <c r="J22" s="74">
        <f>VLOOKUP(C22,[1]B.D!$A:$E,5,FALSE)</f>
        <v>2.2000000000000001E-3</v>
      </c>
      <c r="K22" s="63">
        <f t="shared" si="1"/>
        <v>0</v>
      </c>
    </row>
    <row r="23" spans="2:11" ht="15" customHeight="1">
      <c r="B23" s="70">
        <v>10</v>
      </c>
      <c r="C23" s="71" t="s">
        <v>413</v>
      </c>
      <c r="D23" s="71" t="str">
        <f>VLOOKUP(C23,[1]B.D!$A:$B,2,FALSE)</f>
        <v>CALZO ACRISTALAR 3MM - ROJO - MV</v>
      </c>
      <c r="E23" s="71" t="str">
        <f>VLOOKUP(C23,[1]B.D!$A:$F,6,FALSE)</f>
        <v>NATURAL</v>
      </c>
      <c r="F23" s="71" t="str">
        <f>VLOOKUP(C23,[1]B.D!$A:$G,7,FALSE)</f>
        <v>ACCESORIOS</v>
      </c>
      <c r="G23" s="64">
        <v>48.300000000000004</v>
      </c>
      <c r="H23" s="72"/>
      <c r="I23" s="73">
        <f t="shared" si="0"/>
        <v>0</v>
      </c>
      <c r="J23" s="74">
        <f>VLOOKUP(C23,[1]B.D!$A:$E,5,FALSE)</f>
        <v>2.5999999999999999E-3</v>
      </c>
      <c r="K23" s="63">
        <f t="shared" si="1"/>
        <v>0</v>
      </c>
    </row>
    <row r="24" spans="2:11" ht="15" customHeight="1">
      <c r="B24" s="70">
        <v>11</v>
      </c>
      <c r="C24" s="71" t="s">
        <v>414</v>
      </c>
      <c r="D24" s="71" t="str">
        <f>VLOOKUP(C24,[1]B.D!$A:$B,2,FALSE)</f>
        <v>CALZO ACRISTALAR 4MM - AMARILLO - MV</v>
      </c>
      <c r="E24" s="71" t="str">
        <f>VLOOKUP(C24,[1]B.D!$A:$F,6,FALSE)</f>
        <v>NATURAL</v>
      </c>
      <c r="F24" s="71" t="str">
        <f>VLOOKUP(C24,[1]B.D!$A:$G,7,FALSE)</f>
        <v>ACCESORIOS</v>
      </c>
      <c r="G24" s="64">
        <v>51.45</v>
      </c>
      <c r="H24" s="72"/>
      <c r="I24" s="73">
        <f t="shared" si="0"/>
        <v>0</v>
      </c>
      <c r="J24" s="74">
        <f>VLOOKUP(C24,[1]B.D!$A:$E,5,FALSE)</f>
        <v>3.0999999999999999E-3</v>
      </c>
      <c r="K24" s="63">
        <f t="shared" si="1"/>
        <v>0</v>
      </c>
    </row>
    <row r="25" spans="2:11" ht="15" customHeight="1">
      <c r="B25" s="70">
        <v>12</v>
      </c>
      <c r="C25" s="71" t="s">
        <v>415</v>
      </c>
      <c r="D25" s="71" t="str">
        <f>VLOOKUP(C25,[1]B.D!$A:$B,2,FALSE)</f>
        <v>CALZO AMARILLO 100 x 20 x 4 - M</v>
      </c>
      <c r="E25" s="71" t="str">
        <f>VLOOKUP(C25,[1]B.D!$A:$F,6,FALSE)</f>
        <v>AMARILLO</v>
      </c>
      <c r="F25" s="71" t="str">
        <f>VLOOKUP(C25,[1]B.D!$A:$G,7,FALSE)</f>
        <v>ACCESORIOS</v>
      </c>
      <c r="G25" s="64">
        <v>72.45</v>
      </c>
      <c r="H25" s="72"/>
      <c r="I25" s="73">
        <f t="shared" si="0"/>
        <v>0</v>
      </c>
      <c r="J25" s="74">
        <f>VLOOKUP(C25,[1]B.D!$A:$E,5,FALSE)</f>
        <v>4.5999999999999999E-3</v>
      </c>
      <c r="K25" s="63">
        <f t="shared" si="1"/>
        <v>0</v>
      </c>
    </row>
    <row r="26" spans="2:11" ht="15" customHeight="1">
      <c r="B26" s="70">
        <v>13</v>
      </c>
      <c r="C26" s="71" t="s">
        <v>416</v>
      </c>
      <c r="D26" s="71" t="str">
        <f>VLOOKUP(C26,[1]B.D!$A:$B,2,FALSE)</f>
        <v>CALZO CELESTE 100 x 202 x 2 - M</v>
      </c>
      <c r="E26" s="71" t="str">
        <f>VLOOKUP(C26,[1]B.D!$A:$F,6,FALSE)</f>
        <v>CELESTE</v>
      </c>
      <c r="F26" s="71" t="str">
        <f>VLOOKUP(C26,[1]B.D!$A:$G,7,FALSE)</f>
        <v>ACCESORIOS</v>
      </c>
      <c r="G26" s="64">
        <v>47.25</v>
      </c>
      <c r="H26" s="72"/>
      <c r="I26" s="73">
        <f t="shared" si="0"/>
        <v>0</v>
      </c>
      <c r="J26" s="74">
        <f>VLOOKUP(C26,[1]B.D!$A:$E,5,FALSE)</f>
        <v>3.3999999999999998E-3</v>
      </c>
      <c r="K26" s="63">
        <f t="shared" si="1"/>
        <v>0</v>
      </c>
    </row>
    <row r="27" spans="2:11" ht="15" customHeight="1">
      <c r="B27" s="70">
        <v>14</v>
      </c>
      <c r="C27" s="71" t="s">
        <v>417</v>
      </c>
      <c r="D27" s="71" t="str">
        <f>VLOOKUP(C27,[1]B.D!$A:$B,2,FALSE)</f>
        <v>CALZO ROJO 100 x 20 x 3 - M</v>
      </c>
      <c r="E27" s="71" t="str">
        <f>VLOOKUP(C27,[1]B.D!$A:$F,6,FALSE)</f>
        <v>ROJO</v>
      </c>
      <c r="F27" s="71" t="str">
        <f>VLOOKUP(C27,[1]B.D!$A:$G,7,FALSE)</f>
        <v>ACCESORIOS</v>
      </c>
      <c r="G27" s="64">
        <v>52.5</v>
      </c>
      <c r="H27" s="72"/>
      <c r="I27" s="73">
        <f t="shared" si="0"/>
        <v>0</v>
      </c>
      <c r="J27" s="74">
        <f>VLOOKUP(C27,[1]B.D!$A:$E,5,FALSE)</f>
        <v>3.0000000000000001E-3</v>
      </c>
      <c r="K27" s="63">
        <f t="shared" si="1"/>
        <v>0</v>
      </c>
    </row>
    <row r="28" spans="2:11" ht="15" customHeight="1">
      <c r="B28" s="70">
        <v>15</v>
      </c>
      <c r="C28" s="71" t="s">
        <v>418</v>
      </c>
      <c r="D28" s="71" t="str">
        <f>VLOOKUP(C28,[1]B.D!$A:$B,2,FALSE)</f>
        <v>CALZO VERDE 100 x 20 x 5 - M</v>
      </c>
      <c r="E28" s="71" t="str">
        <f>VLOOKUP(C28,[1]B.D!$A:$F,6,FALSE)</f>
        <v>VERDE</v>
      </c>
      <c r="F28" s="71" t="str">
        <f>VLOOKUP(C28,[1]B.D!$A:$G,7,FALSE)</f>
        <v>ACCESORIOS</v>
      </c>
      <c r="G28" s="64">
        <v>68.25</v>
      </c>
      <c r="H28" s="72"/>
      <c r="I28" s="73">
        <f t="shared" si="0"/>
        <v>0</v>
      </c>
      <c r="J28" s="74">
        <f>VLOOKUP(C28,[1]B.D!$A:$E,5,FALSE)</f>
        <v>4.4999999999999997E-3</v>
      </c>
      <c r="K28" s="63">
        <f t="shared" si="1"/>
        <v>0</v>
      </c>
    </row>
    <row r="29" spans="2:11" ht="15" customHeight="1">
      <c r="B29" s="70">
        <v>16</v>
      </c>
      <c r="C29" s="71" t="s">
        <v>419</v>
      </c>
      <c r="D29" s="71" t="str">
        <f>VLOOKUP(C29,[1]B.D!$A:$B,2,FALSE)</f>
        <v>CENTRADOR DE HOJA - BLANCO</v>
      </c>
      <c r="E29" s="71" t="str">
        <f>VLOOKUP(C29,[1]B.D!$A:$F,6,FALSE)</f>
        <v>BLANCO</v>
      </c>
      <c r="F29" s="71" t="str">
        <f>VLOOKUP(C29,[1]B.D!$A:$G,7,FALSE)</f>
        <v>ACCESORIOS</v>
      </c>
      <c r="G29" s="64">
        <v>55.650000000000006</v>
      </c>
      <c r="H29" s="72"/>
      <c r="I29" s="73">
        <f t="shared" si="0"/>
        <v>0</v>
      </c>
      <c r="J29" s="74">
        <f>VLOOKUP(C29,[1]B.D!$A:$E,5,FALSE)</f>
        <v>3.3E-3</v>
      </c>
      <c r="K29" s="63">
        <f t="shared" si="1"/>
        <v>0</v>
      </c>
    </row>
    <row r="30" spans="2:11" ht="15" customHeight="1">
      <c r="B30" s="80">
        <v>17</v>
      </c>
      <c r="C30" s="81" t="s">
        <v>420</v>
      </c>
      <c r="D30" s="81" t="str">
        <f>VLOOKUP(C30,[1]B.D!$A:$B,2,FALSE)</f>
        <v>CENTRADOR DE HOJA - MARRON</v>
      </c>
      <c r="E30" s="81" t="str">
        <f>VLOOKUP(C30,[1]B.D!$A:$F,6,FALSE)</f>
        <v>MARRON</v>
      </c>
      <c r="F30" s="81" t="str">
        <f>VLOOKUP(C30,[1]B.D!$A:$G,7,FALSE)</f>
        <v>ACCESORIOS</v>
      </c>
      <c r="G30" s="82">
        <v>71.400000000000006</v>
      </c>
      <c r="H30" s="83"/>
      <c r="I30" s="84">
        <f t="shared" si="0"/>
        <v>0</v>
      </c>
      <c r="J30" s="85">
        <f>VLOOKUP(C30,[1]B.D!$A:$E,5,FALSE)</f>
        <v>3.3E-3</v>
      </c>
      <c r="K30" s="63">
        <f t="shared" si="1"/>
        <v>0</v>
      </c>
    </row>
    <row r="31" spans="2:11" ht="15" customHeight="1">
      <c r="B31" s="70">
        <v>18</v>
      </c>
      <c r="C31" s="71" t="s">
        <v>421</v>
      </c>
      <c r="D31" s="71" t="str">
        <f>VLOOKUP(C31,[1]B.D!$A:$B,2,FALSE)</f>
        <v>CENTRADOR DE HOJA - NEGRO</v>
      </c>
      <c r="E31" s="71" t="str">
        <f>VLOOKUP(C31,[1]B.D!$A:$F,6,FALSE)</f>
        <v>NEGRO</v>
      </c>
      <c r="F31" s="71" t="str">
        <f>VLOOKUP(C31,[1]B.D!$A:$G,7,FALSE)</f>
        <v>ACCESORIOS</v>
      </c>
      <c r="G31" s="64">
        <v>77.7</v>
      </c>
      <c r="H31" s="72"/>
      <c r="I31" s="73">
        <f t="shared" si="0"/>
        <v>0</v>
      </c>
      <c r="J31" s="74">
        <f>VLOOKUP(C31,[1]B.D!$A:$E,5,FALSE)</f>
        <v>3.3E-3</v>
      </c>
      <c r="K31" s="63">
        <f t="shared" si="1"/>
        <v>0</v>
      </c>
    </row>
    <row r="32" spans="2:11" ht="15" customHeight="1">
      <c r="B32" s="70">
        <v>19</v>
      </c>
      <c r="C32" s="71" t="s">
        <v>422</v>
      </c>
      <c r="D32" s="71" t="str">
        <f>VLOOKUP(C32,[1]B.D!$A:$B,2,FALSE)</f>
        <v>CONECTOR POSTE HORIZONTAL M.M. ANDES - BLANCO</v>
      </c>
      <c r="E32" s="71" t="str">
        <f>VLOOKUP(C32,[1]B.D!$A:$F,6,FALSE)</f>
        <v>BLANCO</v>
      </c>
      <c r="F32" s="71" t="str">
        <f>VLOOKUP(C32,[1]B.D!$A:$G,7,FALSE)</f>
        <v>ACCESORIOS</v>
      </c>
      <c r="G32" s="64">
        <v>174.3</v>
      </c>
      <c r="H32" s="72"/>
      <c r="I32" s="73">
        <f t="shared" si="0"/>
        <v>0</v>
      </c>
      <c r="J32" s="74">
        <f>VLOOKUP(C32,[1]B.D!$A:$E,5,FALSE)</f>
        <v>0.01</v>
      </c>
      <c r="K32" s="63">
        <f t="shared" si="1"/>
        <v>0</v>
      </c>
    </row>
    <row r="33" spans="2:11" ht="15" customHeight="1">
      <c r="B33" s="70">
        <v>20</v>
      </c>
      <c r="C33" s="71" t="s">
        <v>423</v>
      </c>
      <c r="D33" s="71" t="str">
        <f>VLOOKUP(C33,[1]B.D!$A:$B,2,FALSE)</f>
        <v>CONECTOR POSTE HORIZONTAL M.M. ANDES - MARRON</v>
      </c>
      <c r="E33" s="71" t="str">
        <f>VLOOKUP(C33,[1]B.D!$A:$F,6,FALSE)</f>
        <v>MARRON</v>
      </c>
      <c r="F33" s="71" t="str">
        <f>VLOOKUP(C33,[1]B.D!$A:$G,7,FALSE)</f>
        <v>ACCESORIOS</v>
      </c>
      <c r="G33" s="64">
        <v>174.3</v>
      </c>
      <c r="H33" s="72"/>
      <c r="I33" s="73">
        <f t="shared" si="0"/>
        <v>0</v>
      </c>
      <c r="J33" s="74">
        <f>VLOOKUP(C33,[1]B.D!$A:$E,5,FALSE)</f>
        <v>0.01</v>
      </c>
      <c r="K33" s="63">
        <f t="shared" si="1"/>
        <v>0</v>
      </c>
    </row>
    <row r="34" spans="2:11" ht="15" customHeight="1">
      <c r="B34" s="70">
        <v>21</v>
      </c>
      <c r="C34" s="71" t="s">
        <v>424</v>
      </c>
      <c r="D34" s="71" t="str">
        <f>VLOOKUP(C34,[1]B.D!$A:$B,2,FALSE)</f>
        <v>CONECTOR POSTE HORIZONTAL M.M. ANDES - NEGRO</v>
      </c>
      <c r="E34" s="71" t="str">
        <f>VLOOKUP(C34,[1]B.D!$A:$F,6,FALSE)</f>
        <v>NEGRO</v>
      </c>
      <c r="F34" s="71" t="str">
        <f>VLOOKUP(C34,[1]B.D!$A:$G,7,FALSE)</f>
        <v>ACCESORIOS</v>
      </c>
      <c r="G34" s="64">
        <v>174.3</v>
      </c>
      <c r="H34" s="72"/>
      <c r="I34" s="73">
        <f t="shared" si="0"/>
        <v>0</v>
      </c>
      <c r="J34" s="74">
        <f>VLOOKUP(C34,[1]B.D!$A:$E,5,FALSE)</f>
        <v>0.01</v>
      </c>
      <c r="K34" s="63">
        <f t="shared" si="1"/>
        <v>0</v>
      </c>
    </row>
    <row r="35" spans="2:11" ht="15" customHeight="1">
      <c r="B35" s="70">
        <v>22</v>
      </c>
      <c r="C35" s="71" t="s">
        <v>425</v>
      </c>
      <c r="D35" s="71" t="str">
        <f>VLOOKUP(C35,[1]B.D!$A:$B,2,FALSE)</f>
        <v>CONECTOR POSTE O UNION MECANICA S60</v>
      </c>
      <c r="E35" s="71" t="str">
        <f>VLOOKUP(C35,[1]B.D!$A:$F,6,FALSE)</f>
        <v>NATURAL</v>
      </c>
      <c r="F35" s="71" t="str">
        <f>VLOOKUP(C35,[1]B.D!$A:$G,7,FALSE)</f>
        <v>ACCESORIOS</v>
      </c>
      <c r="G35" s="64">
        <v>988.05000000000007</v>
      </c>
      <c r="H35" s="72"/>
      <c r="I35" s="73">
        <f t="shared" si="0"/>
        <v>0</v>
      </c>
      <c r="J35" s="74">
        <f>VLOOKUP(C35,[1]B.D!$A:$E,5,FALSE)</f>
        <v>0.05</v>
      </c>
      <c r="K35" s="63">
        <f t="shared" si="1"/>
        <v>0</v>
      </c>
    </row>
    <row r="36" spans="2:11" ht="15" customHeight="1">
      <c r="B36" s="70">
        <v>23</v>
      </c>
      <c r="C36" s="71" t="s">
        <v>426</v>
      </c>
      <c r="D36" s="71" t="str">
        <f>VLOOKUP(C36,[1]B.D!$A:$B,2,FALSE)</f>
        <v>CONECTOR POSTE T ANDES S38</v>
      </c>
      <c r="E36" s="71" t="str">
        <f>VLOOKUP(C36,[1]B.D!$A:$F,6,FALSE)</f>
        <v>NATURAL</v>
      </c>
      <c r="F36" s="71" t="str">
        <f>VLOOKUP(C36,[1]B.D!$A:$G,7,FALSE)</f>
        <v>ACCESORIOS</v>
      </c>
      <c r="G36" s="64">
        <v>662.55000000000007</v>
      </c>
      <c r="H36" s="72"/>
      <c r="I36" s="73">
        <f t="shared" si="0"/>
        <v>0</v>
      </c>
      <c r="J36" s="74">
        <f>VLOOKUP(C36,[1]B.D!$A:$E,5,FALSE)</f>
        <v>0.03</v>
      </c>
      <c r="K36" s="63">
        <f t="shared" si="1"/>
        <v>0</v>
      </c>
    </row>
    <row r="37" spans="2:11" ht="15" customHeight="1">
      <c r="B37" s="70">
        <v>24</v>
      </c>
      <c r="C37" s="71" t="s">
        <v>427</v>
      </c>
      <c r="D37" s="71" t="str">
        <f>VLOOKUP(C37,[1]B.D!$A:$B,2,FALSE)</f>
        <v>CONECTOR POSTE VERTICAL ANDES 66 - BLANCO</v>
      </c>
      <c r="E37" s="71" t="str">
        <f>VLOOKUP(C37,[1]B.D!$A:$F,6,FALSE)</f>
        <v>BLANCO</v>
      </c>
      <c r="F37" s="71" t="str">
        <f>VLOOKUP(C37,[1]B.D!$A:$G,7,FALSE)</f>
        <v>ACCESORIOS</v>
      </c>
      <c r="G37" s="64">
        <v>228.9</v>
      </c>
      <c r="H37" s="72"/>
      <c r="I37" s="73">
        <f t="shared" si="0"/>
        <v>0</v>
      </c>
      <c r="J37" s="74">
        <f>VLOOKUP(C37,[1]B.D!$A:$E,5,FALSE)</f>
        <v>0.01</v>
      </c>
      <c r="K37" s="63">
        <f t="shared" si="1"/>
        <v>0</v>
      </c>
    </row>
    <row r="38" spans="2:11" ht="15" customHeight="1">
      <c r="B38" s="70">
        <v>25</v>
      </c>
      <c r="C38" s="71" t="s">
        <v>428</v>
      </c>
      <c r="D38" s="71" t="str">
        <f>VLOOKUP(C38,[1]B.D!$A:$B,2,FALSE)</f>
        <v>CONECTOR POSTE VERTICAL ANDES 66 - MARRON</v>
      </c>
      <c r="E38" s="71" t="str">
        <f>VLOOKUP(C38,[1]B.D!$A:$F,6,FALSE)</f>
        <v>MARRON</v>
      </c>
      <c r="F38" s="71" t="str">
        <f>VLOOKUP(C38,[1]B.D!$A:$G,7,FALSE)</f>
        <v>ACCESORIOS</v>
      </c>
      <c r="G38" s="64">
        <v>228.9</v>
      </c>
      <c r="H38" s="72"/>
      <c r="I38" s="73">
        <f t="shared" si="0"/>
        <v>0</v>
      </c>
      <c r="J38" s="74">
        <f>VLOOKUP(C38,[1]B.D!$A:$E,5,FALSE)</f>
        <v>0.01</v>
      </c>
      <c r="K38" s="63">
        <f t="shared" si="1"/>
        <v>0</v>
      </c>
    </row>
    <row r="39" spans="2:11" ht="15" customHeight="1">
      <c r="B39" s="70">
        <v>26</v>
      </c>
      <c r="C39" s="71" t="s">
        <v>429</v>
      </c>
      <c r="D39" s="71" t="str">
        <f>VLOOKUP(C39,[1]B.D!$A:$B,2,FALSE)</f>
        <v>CONECTOR POSTE VERTICAL ANDES 66 - NEGRO</v>
      </c>
      <c r="E39" s="71" t="str">
        <f>VLOOKUP(C39,[1]B.D!$A:$F,6,FALSE)</f>
        <v>NEGRO</v>
      </c>
      <c r="F39" s="71" t="str">
        <f>VLOOKUP(C39,[1]B.D!$A:$G,7,FALSE)</f>
        <v>ACCESORIOS</v>
      </c>
      <c r="G39" s="64">
        <v>228.9</v>
      </c>
      <c r="H39" s="72"/>
      <c r="I39" s="73">
        <f t="shared" si="0"/>
        <v>0</v>
      </c>
      <c r="J39" s="74">
        <f>VLOOKUP(C39,[1]B.D!$A:$E,5,FALSE)</f>
        <v>0.01</v>
      </c>
      <c r="K39" s="63">
        <f t="shared" si="1"/>
        <v>0</v>
      </c>
    </row>
    <row r="40" spans="2:11" ht="15" customHeight="1">
      <c r="B40" s="70">
        <v>27</v>
      </c>
      <c r="C40" s="71" t="s">
        <v>430</v>
      </c>
      <c r="D40" s="71" t="str">
        <f>VLOOKUP(C40,[1]B.D!$A:$B,2,FALSE)</f>
        <v>CONECTOR ZAPATA ALUMINIO - BLANCO</v>
      </c>
      <c r="E40" s="71" t="str">
        <f>VLOOKUP(C40,[1]B.D!$A:$F,6,FALSE)</f>
        <v>BLANCO</v>
      </c>
      <c r="F40" s="71" t="str">
        <f>VLOOKUP(C40,[1]B.D!$A:$G,7,FALSE)</f>
        <v>ACCESORIOS</v>
      </c>
      <c r="G40" s="64">
        <v>1359.75</v>
      </c>
      <c r="H40" s="72"/>
      <c r="I40" s="73">
        <f t="shared" si="0"/>
        <v>0</v>
      </c>
      <c r="J40" s="74">
        <f>VLOOKUP(C40,[1]B.D!$A:$E,5,FALSE)</f>
        <v>0.04</v>
      </c>
      <c r="K40" s="63">
        <f t="shared" si="1"/>
        <v>0</v>
      </c>
    </row>
    <row r="41" spans="2:11" ht="15" customHeight="1">
      <c r="B41" s="70">
        <v>28</v>
      </c>
      <c r="C41" s="71" t="s">
        <v>431</v>
      </c>
      <c r="D41" s="71" t="str">
        <f>VLOOKUP(C41,[1]B.D!$A:$B,2,FALSE)</f>
        <v>CONECTOR ZAPATA ALUMINIO - GRIS</v>
      </c>
      <c r="E41" s="71" t="str">
        <f>VLOOKUP(C41,[1]B.D!$A:$F,6,FALSE)</f>
        <v>GRAFITO</v>
      </c>
      <c r="F41" s="71" t="str">
        <f>VLOOKUP(C41,[1]B.D!$A:$G,7,FALSE)</f>
        <v>ACCESORIOS</v>
      </c>
      <c r="G41" s="64">
        <v>1789.2</v>
      </c>
      <c r="H41" s="72"/>
      <c r="I41" s="73">
        <f t="shared" si="0"/>
        <v>0</v>
      </c>
      <c r="J41" s="74">
        <f>VLOOKUP(C41,[1]B.D!$A:$E,5,FALSE)</f>
        <v>0.04</v>
      </c>
      <c r="K41" s="63">
        <f t="shared" si="1"/>
        <v>0</v>
      </c>
    </row>
    <row r="42" spans="2:11" ht="15" customHeight="1">
      <c r="B42" s="70">
        <v>29</v>
      </c>
      <c r="C42" s="71" t="s">
        <v>432</v>
      </c>
      <c r="D42" s="71" t="str">
        <f>VLOOKUP(C42,[1]B.D!$A:$B,2,FALSE)</f>
        <v>CONECTOR ZAPATA ALUMINIO - MARRON</v>
      </c>
      <c r="E42" s="71" t="str">
        <f>VLOOKUP(C42,[1]B.D!$A:$F,6,FALSE)</f>
        <v>MARRON</v>
      </c>
      <c r="F42" s="71" t="str">
        <f>VLOOKUP(C42,[1]B.D!$A:$G,7,FALSE)</f>
        <v>ACCESORIOS</v>
      </c>
      <c r="G42" s="64">
        <v>1412.25</v>
      </c>
      <c r="H42" s="72"/>
      <c r="I42" s="73">
        <f t="shared" si="0"/>
        <v>0</v>
      </c>
      <c r="J42" s="74">
        <f>VLOOKUP(C42,[1]B.D!$A:$E,5,FALSE)</f>
        <v>0.04</v>
      </c>
      <c r="K42" s="63">
        <f t="shared" si="1"/>
        <v>0</v>
      </c>
    </row>
    <row r="43" spans="2:11" ht="15" customHeight="1">
      <c r="B43" s="70">
        <v>30</v>
      </c>
      <c r="C43" s="71" t="s">
        <v>433</v>
      </c>
      <c r="D43" s="71" t="str">
        <f>VLOOKUP(C43,[1]B.D!$A:$B,2,FALSE)</f>
        <v>CONECTOR ZAPATA ALUMINIO - NEGRO</v>
      </c>
      <c r="E43" s="71" t="str">
        <f>VLOOKUP(C43,[1]B.D!$A:$F,6,FALSE)</f>
        <v>NEGRO</v>
      </c>
      <c r="F43" s="71" t="str">
        <f>VLOOKUP(C43,[1]B.D!$A:$G,7,FALSE)</f>
        <v>ACCESORIOS</v>
      </c>
      <c r="G43" s="64">
        <v>1773.45</v>
      </c>
      <c r="H43" s="72"/>
      <c r="I43" s="73">
        <f t="shared" si="0"/>
        <v>0</v>
      </c>
      <c r="J43" s="74">
        <f>VLOOKUP(C43,[1]B.D!$A:$E,5,FALSE)</f>
        <v>0.04</v>
      </c>
      <c r="K43" s="63">
        <f t="shared" si="1"/>
        <v>0</v>
      </c>
    </row>
    <row r="44" spans="2:11" ht="15" customHeight="1">
      <c r="B44" s="70">
        <v>31</v>
      </c>
      <c r="C44" s="75" t="s">
        <v>886</v>
      </c>
      <c r="D44" s="71" t="str">
        <f>VLOOKUP(C44,[1]B.D!$A:$B,2,FALSE)</f>
        <v>LAPIZ DE RETOQUE ANTRACITA - SILTEK</v>
      </c>
      <c r="E44" s="71" t="str">
        <f>VLOOKUP(C44,[1]B.D!$A:$F,6,FALSE)</f>
        <v>GRIS</v>
      </c>
      <c r="F44" s="71" t="str">
        <f>VLOOKUP(C44,[1]B.D!$A:$G,7,FALSE)</f>
        <v>ACCESORIOS</v>
      </c>
      <c r="G44" s="64">
        <v>19362</v>
      </c>
      <c r="H44" s="76"/>
      <c r="I44" s="73">
        <f t="shared" si="0"/>
        <v>0</v>
      </c>
      <c r="J44" s="74">
        <f>VLOOKUP(C44,[1]B.D!$A:$E,5,FALSE)</f>
        <v>2.7300000000000001E-2</v>
      </c>
      <c r="K44" s="63">
        <f t="shared" si="1"/>
        <v>0</v>
      </c>
    </row>
    <row r="45" spans="2:11" ht="15" customHeight="1">
      <c r="B45" s="70">
        <v>32</v>
      </c>
      <c r="C45" s="75" t="s">
        <v>887</v>
      </c>
      <c r="D45" s="71" t="str">
        <f>VLOOKUP(C45,[1]B.D!$A:$B,2,FALSE)</f>
        <v>LAPIZ DE RETOQUE NEGRO - SILTEK</v>
      </c>
      <c r="E45" s="71" t="str">
        <f>VLOOKUP(C45,[1]B.D!$A:$F,6,FALSE)</f>
        <v>NEGRO</v>
      </c>
      <c r="F45" s="71" t="str">
        <f>VLOOKUP(C45,[1]B.D!$A:$G,7,FALSE)</f>
        <v>ACCESORIOS</v>
      </c>
      <c r="G45" s="64">
        <v>19362</v>
      </c>
      <c r="H45" s="76"/>
      <c r="I45" s="73">
        <f t="shared" si="0"/>
        <v>0</v>
      </c>
      <c r="J45" s="74">
        <f>VLOOKUP(C45,[1]B.D!$A:$E,5,FALSE)</f>
        <v>2.7300000000000001E-2</v>
      </c>
      <c r="K45" s="63">
        <f t="shared" si="1"/>
        <v>0</v>
      </c>
    </row>
    <row r="46" spans="2:11" ht="15" customHeight="1">
      <c r="B46" s="70">
        <v>33</v>
      </c>
      <c r="C46" s="75" t="s">
        <v>888</v>
      </c>
      <c r="D46" s="71" t="str">
        <f>VLOOKUP(C46,[1]B.D!$A:$B,2,FALSE)</f>
        <v>LAPIZ DE RETOQUE NOGAL - SILTEK</v>
      </c>
      <c r="E46" s="71" t="str">
        <f>VLOOKUP(C46,[1]B.D!$A:$F,6,FALSE)</f>
        <v>NOGAL</v>
      </c>
      <c r="F46" s="71" t="str">
        <f>VLOOKUP(C46,[1]B.D!$A:$G,7,FALSE)</f>
        <v>ACCESORIOS</v>
      </c>
      <c r="G46" s="64">
        <v>25495.05</v>
      </c>
      <c r="H46" s="76"/>
      <c r="I46" s="73">
        <f t="shared" si="0"/>
        <v>0</v>
      </c>
      <c r="J46" s="74">
        <f>VLOOKUP(C46,[1]B.D!$A:$E,5,FALSE)</f>
        <v>2.7300000000000001E-2</v>
      </c>
      <c r="K46" s="63">
        <f t="shared" si="1"/>
        <v>0</v>
      </c>
    </row>
    <row r="47" spans="2:11" ht="15" customHeight="1">
      <c r="B47" s="70">
        <v>34</v>
      </c>
      <c r="C47" s="75" t="s">
        <v>889</v>
      </c>
      <c r="D47" s="71" t="str">
        <f>VLOOKUP(C47,[1]B.D!$A:$B,2,FALSE)</f>
        <v>LAPIZ DE RETOQUE ROBLE - SILTEK</v>
      </c>
      <c r="E47" s="71" t="str">
        <f>VLOOKUP(C47,[1]B.D!$A:$F,6,FALSE)</f>
        <v>ROBLE</v>
      </c>
      <c r="F47" s="71" t="str">
        <f>VLOOKUP(C47,[1]B.D!$A:$G,7,FALSE)</f>
        <v>ACCESORIOS</v>
      </c>
      <c r="G47" s="64">
        <v>19362</v>
      </c>
      <c r="H47" s="76"/>
      <c r="I47" s="73">
        <f t="shared" si="0"/>
        <v>0</v>
      </c>
      <c r="J47" s="74">
        <f>VLOOKUP(C47,[1]B.D!$A:$E,5,FALSE)</f>
        <v>2.7300000000000001E-2</v>
      </c>
      <c r="K47" s="63">
        <f t="shared" si="1"/>
        <v>0</v>
      </c>
    </row>
    <row r="48" spans="2:11" ht="15" customHeight="1">
      <c r="B48" s="70">
        <v>35</v>
      </c>
      <c r="C48" s="71" t="s">
        <v>434</v>
      </c>
      <c r="D48" s="71" t="str">
        <f>VLOOKUP(C48,[1]B.D!$A:$B,2,FALSE)</f>
        <v>PUENTE DE ACRISTALAR ABATIBLE - M</v>
      </c>
      <c r="E48" s="71" t="str">
        <f>VLOOKUP(C48,[1]B.D!$A:$F,6,FALSE)</f>
        <v>GRAFITO</v>
      </c>
      <c r="F48" s="71" t="str">
        <f>VLOOKUP(C48,[1]B.D!$A:$G,7,FALSE)</f>
        <v>ACCESORIOS</v>
      </c>
      <c r="G48" s="64">
        <v>136.5</v>
      </c>
      <c r="H48" s="72"/>
      <c r="I48" s="73">
        <f t="shared" si="0"/>
        <v>0</v>
      </c>
      <c r="J48" s="74">
        <f>VLOOKUP(C48,[1]B.D!$A:$E,5,FALSE)</f>
        <v>4.0000000000000001E-3</v>
      </c>
      <c r="K48" s="63">
        <f t="shared" si="1"/>
        <v>0</v>
      </c>
    </row>
    <row r="49" spans="2:11" ht="15" customHeight="1">
      <c r="B49" s="70">
        <v>36</v>
      </c>
      <c r="C49" s="71" t="s">
        <v>435</v>
      </c>
      <c r="D49" s="71" t="str">
        <f>VLOOKUP(C49,[1]B.D!$A:$B,2,FALSE)</f>
        <v>PUENTE DE ACRISTALAR ANDES - M</v>
      </c>
      <c r="E49" s="71" t="str">
        <f>VLOOKUP(C49,[1]B.D!$A:$F,6,FALSE)</f>
        <v>GRAFITO</v>
      </c>
      <c r="F49" s="71" t="str">
        <f>VLOOKUP(C49,[1]B.D!$A:$G,7,FALSE)</f>
        <v>ACCESORIOS</v>
      </c>
      <c r="G49" s="64">
        <v>116.55000000000001</v>
      </c>
      <c r="H49" s="72"/>
      <c r="I49" s="73">
        <f t="shared" si="0"/>
        <v>0</v>
      </c>
      <c r="J49" s="74">
        <f>VLOOKUP(C49,[1]B.D!$A:$E,5,FALSE)</f>
        <v>3.5999999999999999E-3</v>
      </c>
      <c r="K49" s="63">
        <f t="shared" si="1"/>
        <v>0</v>
      </c>
    </row>
    <row r="50" spans="2:11" ht="15" customHeight="1">
      <c r="B50" s="70">
        <v>37</v>
      </c>
      <c r="C50" s="71" t="s">
        <v>436</v>
      </c>
      <c r="D50" s="71" t="str">
        <f>VLOOKUP(C50,[1]B.D!$A:$B,2,FALSE)</f>
        <v>PUENTE DE ACRISTALAR CORREDERA - M</v>
      </c>
      <c r="E50" s="71" t="str">
        <f>VLOOKUP(C50,[1]B.D!$A:$F,6,FALSE)</f>
        <v>GRAFITO</v>
      </c>
      <c r="F50" s="71" t="str">
        <f>VLOOKUP(C50,[1]B.D!$A:$G,7,FALSE)</f>
        <v>ACCESORIOS</v>
      </c>
      <c r="G50" s="64">
        <v>143.85</v>
      </c>
      <c r="H50" s="72"/>
      <c r="I50" s="73">
        <f t="shared" si="0"/>
        <v>0</v>
      </c>
      <c r="J50" s="74">
        <f>VLOOKUP(C50,[1]B.D!$A:$E,5,FALSE)</f>
        <v>0.01</v>
      </c>
      <c r="K50" s="63">
        <f t="shared" si="1"/>
        <v>0</v>
      </c>
    </row>
    <row r="51" spans="2:11" ht="15" customHeight="1">
      <c r="B51" s="70">
        <v>38</v>
      </c>
      <c r="C51" s="71" t="s">
        <v>437</v>
      </c>
      <c r="D51" s="71" t="str">
        <f>VLOOKUP(C51,[1]B.D!$A:$B,2,FALSE)</f>
        <v>REMATE TRASLAPO ZENIA - BLANCO</v>
      </c>
      <c r="E51" s="71" t="str">
        <f>VLOOKUP(C51,[1]B.D!$A:$F,6,FALSE)</f>
        <v>BLANCO</v>
      </c>
      <c r="F51" s="71" t="str">
        <f>VLOOKUP(C51,[1]B.D!$A:$G,7,FALSE)</f>
        <v>ACCESORIOS</v>
      </c>
      <c r="G51" s="64">
        <v>58.800000000000004</v>
      </c>
      <c r="H51" s="72"/>
      <c r="I51" s="73">
        <f t="shared" si="0"/>
        <v>0</v>
      </c>
      <c r="J51" s="74">
        <f>VLOOKUP(C51,[1]B.D!$A:$E,5,FALSE)</f>
        <v>1.9E-3</v>
      </c>
      <c r="K51" s="63">
        <f t="shared" si="1"/>
        <v>0</v>
      </c>
    </row>
    <row r="52" spans="2:11" ht="15" customHeight="1">
      <c r="B52" s="70">
        <v>39</v>
      </c>
      <c r="C52" s="71" t="s">
        <v>438</v>
      </c>
      <c r="D52" s="71" t="str">
        <f>VLOOKUP(C52,[1]B.D!$A:$B,2,FALSE)</f>
        <v>REMATE TRASLAPO ZENIA - MARRON</v>
      </c>
      <c r="E52" s="71" t="str">
        <f>VLOOKUP(C52,[1]B.D!$A:$F,6,FALSE)</f>
        <v>MARRON</v>
      </c>
      <c r="F52" s="71" t="str">
        <f>VLOOKUP(C52,[1]B.D!$A:$G,7,FALSE)</f>
        <v>ACCESORIOS</v>
      </c>
      <c r="G52" s="64">
        <v>59.85</v>
      </c>
      <c r="H52" s="72"/>
      <c r="I52" s="73">
        <f t="shared" si="0"/>
        <v>0</v>
      </c>
      <c r="J52" s="74">
        <f>VLOOKUP(C52,[1]B.D!$A:$E,5,FALSE)</f>
        <v>1.9E-3</v>
      </c>
      <c r="K52" s="63">
        <f t="shared" si="1"/>
        <v>0</v>
      </c>
    </row>
    <row r="53" spans="2:11" ht="15" customHeight="1">
      <c r="B53" s="70">
        <v>40</v>
      </c>
      <c r="C53" s="71" t="s">
        <v>439</v>
      </c>
      <c r="D53" s="71" t="str">
        <f>VLOOKUP(C53,[1]B.D!$A:$B,2,FALSE)</f>
        <v>REMATE TRASLAPO ZENIA - NEGRO</v>
      </c>
      <c r="E53" s="71" t="str">
        <f>VLOOKUP(C53,[1]B.D!$A:$F,6,FALSE)</f>
        <v>NEGRO</v>
      </c>
      <c r="F53" s="71" t="str">
        <f>VLOOKUP(C53,[1]B.D!$A:$G,7,FALSE)</f>
        <v>ACCESORIOS</v>
      </c>
      <c r="G53" s="64">
        <v>58.800000000000004</v>
      </c>
      <c r="H53" s="72"/>
      <c r="I53" s="73">
        <f t="shared" si="0"/>
        <v>0</v>
      </c>
      <c r="J53" s="74">
        <f>VLOOKUP(C53,[1]B.D!$A:$E,5,FALSE)</f>
        <v>1.9E-3</v>
      </c>
      <c r="K53" s="63">
        <f t="shared" si="1"/>
        <v>0</v>
      </c>
    </row>
    <row r="54" spans="2:11" ht="15" customHeight="1">
      <c r="B54" s="70">
        <v>41</v>
      </c>
      <c r="C54" s="71" t="s">
        <v>911</v>
      </c>
      <c r="D54" s="71" t="str">
        <f>VLOOKUP(C54,[1]B.D!$A:$B,2,FALSE)</f>
        <v>RESBALON MANILLA PARCHE - BLANCO - HS</v>
      </c>
      <c r="E54" s="71" t="str">
        <f>VLOOKUP(C54,[1]B.D!$A:$F,6,FALSE)</f>
        <v>BLANCO</v>
      </c>
      <c r="F54" s="71" t="str">
        <f>VLOOKUP(C54,[1]B.D!$A:$G,7,FALSE)</f>
        <v>ACCESORIOS</v>
      </c>
      <c r="G54" s="64">
        <v>315</v>
      </c>
      <c r="H54" s="72"/>
      <c r="I54" s="73">
        <f t="shared" si="0"/>
        <v>0</v>
      </c>
      <c r="J54" s="74">
        <f>VLOOKUP(C54,[1]B.D!$A:$E,5,FALSE)</f>
        <v>0</v>
      </c>
      <c r="K54" s="63">
        <f t="shared" si="1"/>
        <v>0</v>
      </c>
    </row>
    <row r="55" spans="2:11" ht="15" customHeight="1">
      <c r="B55" s="70">
        <v>42</v>
      </c>
      <c r="C55" s="75" t="s">
        <v>953</v>
      </c>
      <c r="D55" s="71" t="str">
        <f>VLOOKUP(C55,[1]B.D!$A:$B,2,FALSE)</f>
        <v>RETENEDOR DE HOJA</v>
      </c>
      <c r="E55" s="71" t="str">
        <f>VLOOKUP(C55,[1]B.D!$A:$F,6,FALSE)</f>
        <v>NATURAL</v>
      </c>
      <c r="F55" s="71" t="str">
        <f>VLOOKUP(C55,[1]B.D!$A:$G,7,FALSE)</f>
        <v>ACCESORIOS</v>
      </c>
      <c r="G55" s="64">
        <v>1437.45</v>
      </c>
      <c r="H55" s="76"/>
      <c r="I55" s="73">
        <f t="shared" si="0"/>
        <v>0</v>
      </c>
      <c r="J55" s="74">
        <f>VLOOKUP(C55,[1]B.D!$A:$E,5,FALSE)</f>
        <v>0.05</v>
      </c>
      <c r="K55" s="63">
        <f t="shared" si="1"/>
        <v>0</v>
      </c>
    </row>
    <row r="56" spans="2:11" ht="15" customHeight="1">
      <c r="B56" s="70">
        <v>43</v>
      </c>
      <c r="C56" s="71" t="s">
        <v>440</v>
      </c>
      <c r="D56" s="71" t="str">
        <f>VLOOKUP(C56,[1]B.D!$A:$B,2,FALSE)</f>
        <v>SUPLEMENTO CARROS CELSUS 13 mm</v>
      </c>
      <c r="E56" s="71" t="str">
        <f>VLOOKUP(C56,[1]B.D!$A:$F,6,FALSE)</f>
        <v>GRAFITO</v>
      </c>
      <c r="F56" s="71" t="str">
        <f>VLOOKUP(C56,[1]B.D!$A:$G,7,FALSE)</f>
        <v>ACCESORIOS</v>
      </c>
      <c r="G56" s="64">
        <v>280.35000000000002</v>
      </c>
      <c r="H56" s="72"/>
      <c r="I56" s="73">
        <f t="shared" si="0"/>
        <v>0</v>
      </c>
      <c r="J56" s="74">
        <f>VLOOKUP(C56,[1]B.D!$A:$E,5,FALSE)</f>
        <v>0.01</v>
      </c>
      <c r="K56" s="63">
        <f t="shared" si="1"/>
        <v>0</v>
      </c>
    </row>
    <row r="57" spans="2:11" ht="15" customHeight="1">
      <c r="B57" s="70">
        <v>44</v>
      </c>
      <c r="C57" s="71" t="s">
        <v>441</v>
      </c>
      <c r="D57" s="71" t="str">
        <f>VLOOKUP(C57,[1]B.D!$A:$B,2,FALSE)</f>
        <v>SUPLEMENTO CARROS CELSUS 18.5 mm</v>
      </c>
      <c r="E57" s="71" t="str">
        <f>VLOOKUP(C57,[1]B.D!$A:$F,6,FALSE)</f>
        <v>GRAFITO</v>
      </c>
      <c r="F57" s="71" t="str">
        <f>VLOOKUP(C57,[1]B.D!$A:$G,7,FALSE)</f>
        <v>ACCESORIOS</v>
      </c>
      <c r="G57" s="64">
        <v>373.8</v>
      </c>
      <c r="H57" s="72"/>
      <c r="I57" s="73">
        <f t="shared" si="0"/>
        <v>0</v>
      </c>
      <c r="J57" s="74">
        <f>VLOOKUP(C57,[1]B.D!$A:$E,5,FALSE)</f>
        <v>0.01</v>
      </c>
      <c r="K57" s="63">
        <f t="shared" si="1"/>
        <v>0</v>
      </c>
    </row>
    <row r="58" spans="2:11" ht="15" customHeight="1">
      <c r="B58" s="70">
        <v>45</v>
      </c>
      <c r="C58" s="71" t="s">
        <v>442</v>
      </c>
      <c r="D58" s="71" t="str">
        <f>VLOOKUP(C58,[1]B.D!$A:$B,2,FALSE)</f>
        <v>SUPLEMENTO CARROS CELSUS 30 mm</v>
      </c>
      <c r="E58" s="71" t="str">
        <f>VLOOKUP(C58,[1]B.D!$A:$F,6,FALSE)</f>
        <v>GRAFITO</v>
      </c>
      <c r="F58" s="71" t="str">
        <f>VLOOKUP(C58,[1]B.D!$A:$G,7,FALSE)</f>
        <v>ACCESORIOS</v>
      </c>
      <c r="G58" s="64">
        <v>444.15000000000003</v>
      </c>
      <c r="H58" s="72"/>
      <c r="I58" s="73">
        <f t="shared" si="0"/>
        <v>0</v>
      </c>
      <c r="J58" s="74">
        <f>VLOOKUP(C58,[1]B.D!$A:$E,5,FALSE)</f>
        <v>0.01</v>
      </c>
      <c r="K58" s="63">
        <f t="shared" si="1"/>
        <v>0</v>
      </c>
    </row>
    <row r="59" spans="2:11" ht="15" customHeight="1">
      <c r="B59" s="70">
        <v>46</v>
      </c>
      <c r="C59" s="71" t="s">
        <v>443</v>
      </c>
      <c r="D59" s="71" t="str">
        <f>VLOOKUP(C59,[1]B.D!$A:$B,2,FALSE)</f>
        <v>SUPLEMENTO CARROS CELSUS 6 mm</v>
      </c>
      <c r="E59" s="71" t="str">
        <f>VLOOKUP(C59,[1]B.D!$A:$F,6,FALSE)</f>
        <v>GRAFITO</v>
      </c>
      <c r="F59" s="71" t="str">
        <f>VLOOKUP(C59,[1]B.D!$A:$G,7,FALSE)</f>
        <v>ACCESORIOS</v>
      </c>
      <c r="G59" s="64">
        <v>187.95000000000002</v>
      </c>
      <c r="H59" s="72"/>
      <c r="I59" s="73">
        <f t="shared" si="0"/>
        <v>0</v>
      </c>
      <c r="J59" s="74">
        <f>VLOOKUP(C59,[1]B.D!$A:$E,5,FALSE)</f>
        <v>3.2000000000000002E-3</v>
      </c>
      <c r="K59" s="63">
        <f t="shared" si="1"/>
        <v>0</v>
      </c>
    </row>
    <row r="60" spans="2:11" ht="15" customHeight="1">
      <c r="B60" s="70">
        <v>47</v>
      </c>
      <c r="C60" s="71" t="s">
        <v>444</v>
      </c>
      <c r="D60" s="71" t="str">
        <f>VLOOKUP(C60,[1]B.D!$A:$B,2,FALSE)</f>
        <v>TAPA BATIENTE - BLANCO</v>
      </c>
      <c r="E60" s="71" t="str">
        <f>VLOOKUP(C60,[1]B.D!$A:$F,6,FALSE)</f>
        <v>BLANCO</v>
      </c>
      <c r="F60" s="71" t="str">
        <f>VLOOKUP(C60,[1]B.D!$A:$G,7,FALSE)</f>
        <v>ACCESORIOS</v>
      </c>
      <c r="G60" s="64">
        <v>535.5</v>
      </c>
      <c r="H60" s="72"/>
      <c r="I60" s="73">
        <f t="shared" si="0"/>
        <v>0</v>
      </c>
      <c r="J60" s="74">
        <f>VLOOKUP(C60,[1]B.D!$A:$E,5,FALSE)</f>
        <v>0.06</v>
      </c>
      <c r="K60" s="63">
        <f t="shared" si="1"/>
        <v>0</v>
      </c>
    </row>
    <row r="61" spans="2:11" ht="15" customHeight="1">
      <c r="B61" s="70">
        <v>48</v>
      </c>
      <c r="C61" s="71" t="s">
        <v>445</v>
      </c>
      <c r="D61" s="71" t="str">
        <f>VLOOKUP(C61,[1]B.D!$A:$B,2,FALSE)</f>
        <v>TAPA BATIENTE - MARRON</v>
      </c>
      <c r="E61" s="71" t="str">
        <f>VLOOKUP(C61,[1]B.D!$A:$F,6,FALSE)</f>
        <v>MARRON</v>
      </c>
      <c r="F61" s="71" t="str">
        <f>VLOOKUP(C61,[1]B.D!$A:$G,7,FALSE)</f>
        <v>ACCESORIOS</v>
      </c>
      <c r="G61" s="64">
        <v>576.45000000000005</v>
      </c>
      <c r="H61" s="72"/>
      <c r="I61" s="73">
        <f t="shared" si="0"/>
        <v>0</v>
      </c>
      <c r="J61" s="74">
        <f>VLOOKUP(C61,[1]B.D!$A:$E,5,FALSE)</f>
        <v>0.06</v>
      </c>
      <c r="K61" s="63">
        <f t="shared" si="1"/>
        <v>0</v>
      </c>
    </row>
    <row r="62" spans="2:11" ht="15" customHeight="1">
      <c r="B62" s="70">
        <v>49</v>
      </c>
      <c r="C62" s="71" t="s">
        <v>446</v>
      </c>
      <c r="D62" s="71" t="str">
        <f>VLOOKUP(C62,[1]B.D!$A:$B,2,FALSE)</f>
        <v>TAPA BATIENTE - MARRON OSCURO</v>
      </c>
      <c r="E62" s="71" t="str">
        <f>VLOOKUP(C62,[1]B.D!$A:$F,6,FALSE)</f>
        <v>MARRON OSCURO</v>
      </c>
      <c r="F62" s="71" t="str">
        <f>VLOOKUP(C62,[1]B.D!$A:$G,7,FALSE)</f>
        <v>ACCESORIOS</v>
      </c>
      <c r="G62" s="64">
        <v>535.5</v>
      </c>
      <c r="H62" s="72"/>
      <c r="I62" s="73">
        <f t="shared" si="0"/>
        <v>0</v>
      </c>
      <c r="J62" s="74">
        <f>VLOOKUP(C62,[1]B.D!$A:$E,5,FALSE)</f>
        <v>0.06</v>
      </c>
      <c r="K62" s="63">
        <f t="shared" si="1"/>
        <v>0</v>
      </c>
    </row>
    <row r="63" spans="2:11" ht="15" customHeight="1">
      <c r="B63" s="70">
        <v>50</v>
      </c>
      <c r="C63" s="71" t="s">
        <v>447</v>
      </c>
      <c r="D63" s="71" t="str">
        <f>VLOOKUP(C63,[1]B.D!$A:$B,2,FALSE)</f>
        <v>TAPA BATIENTE - NEGRO</v>
      </c>
      <c r="E63" s="71" t="str">
        <f>VLOOKUP(C63,[1]B.D!$A:$F,6,FALSE)</f>
        <v>NEGRO</v>
      </c>
      <c r="F63" s="71" t="str">
        <f>VLOOKUP(C63,[1]B.D!$A:$G,7,FALSE)</f>
        <v>ACCESORIOS</v>
      </c>
      <c r="G63" s="64">
        <v>730.80000000000007</v>
      </c>
      <c r="H63" s="72"/>
      <c r="I63" s="73">
        <f t="shared" si="0"/>
        <v>0</v>
      </c>
      <c r="J63" s="74">
        <f>VLOOKUP(C63,[1]B.D!$A:$E,5,FALSE)</f>
        <v>0.06</v>
      </c>
      <c r="K63" s="63">
        <f t="shared" si="1"/>
        <v>0</v>
      </c>
    </row>
    <row r="64" spans="2:11" ht="15" customHeight="1">
      <c r="B64" s="70">
        <v>51</v>
      </c>
      <c r="C64" s="71" t="s">
        <v>448</v>
      </c>
      <c r="D64" s="71" t="str">
        <f>VLOOKUP(C64,[1]B.D!$A:$B,2,FALSE)</f>
        <v>TAPA DESAGUE - BLANCO</v>
      </c>
      <c r="E64" s="71" t="str">
        <f>VLOOKUP(C64,[1]B.D!$A:$F,6,FALSE)</f>
        <v>BLANCO</v>
      </c>
      <c r="F64" s="71" t="str">
        <f>VLOOKUP(C64,[1]B.D!$A:$G,7,FALSE)</f>
        <v>ACCESORIOS</v>
      </c>
      <c r="G64" s="64">
        <v>33.6</v>
      </c>
      <c r="H64" s="72"/>
      <c r="I64" s="73">
        <f t="shared" si="0"/>
        <v>0</v>
      </c>
      <c r="J64" s="74">
        <f>VLOOKUP(C64,[1]B.D!$A:$E,5,FALSE)</f>
        <v>1.1000000000000001E-3</v>
      </c>
      <c r="K64" s="63">
        <f t="shared" si="1"/>
        <v>0</v>
      </c>
    </row>
    <row r="65" spans="2:11" ht="15" customHeight="1">
      <c r="B65" s="70">
        <v>52</v>
      </c>
      <c r="C65" s="71" t="s">
        <v>449</v>
      </c>
      <c r="D65" s="71" t="str">
        <f>VLOOKUP(C65,[1]B.D!$A:$B,2,FALSE)</f>
        <v>TAPA DESAGUE - MARRON</v>
      </c>
      <c r="E65" s="71" t="str">
        <f>VLOOKUP(C65,[1]B.D!$A:$F,6,FALSE)</f>
        <v>MARRON</v>
      </c>
      <c r="F65" s="71" t="str">
        <f>VLOOKUP(C65,[1]B.D!$A:$G,7,FALSE)</f>
        <v>ACCESORIOS</v>
      </c>
      <c r="G65" s="64">
        <v>33.6</v>
      </c>
      <c r="H65" s="72"/>
      <c r="I65" s="73">
        <f t="shared" si="0"/>
        <v>0</v>
      </c>
      <c r="J65" s="74">
        <f>VLOOKUP(C65,[1]B.D!$A:$E,5,FALSE)</f>
        <v>1.1000000000000001E-3</v>
      </c>
      <c r="K65" s="63">
        <f t="shared" si="1"/>
        <v>0</v>
      </c>
    </row>
    <row r="66" spans="2:11" ht="15" customHeight="1">
      <c r="B66" s="70">
        <v>53</v>
      </c>
      <c r="C66" s="71" t="s">
        <v>450</v>
      </c>
      <c r="D66" s="71" t="str">
        <f>VLOOKUP(C66,[1]B.D!$A:$B,2,FALSE)</f>
        <v>TAPA DESAGUE - NEGRO</v>
      </c>
      <c r="E66" s="71" t="str">
        <f>VLOOKUP(C66,[1]B.D!$A:$F,6,FALSE)</f>
        <v>NEGRO</v>
      </c>
      <c r="F66" s="71" t="str">
        <f>VLOOKUP(C66,[1]B.D!$A:$G,7,FALSE)</f>
        <v>ACCESORIOS</v>
      </c>
      <c r="G66" s="64">
        <v>33.6</v>
      </c>
      <c r="H66" s="72"/>
      <c r="I66" s="73">
        <f t="shared" si="0"/>
        <v>0</v>
      </c>
      <c r="J66" s="74">
        <f>VLOOKUP(C66,[1]B.D!$A:$E,5,FALSE)</f>
        <v>1.1000000000000001E-3</v>
      </c>
      <c r="K66" s="63">
        <f t="shared" si="1"/>
        <v>0</v>
      </c>
    </row>
    <row r="67" spans="2:11" ht="15" customHeight="1">
      <c r="B67" s="70">
        <v>54</v>
      </c>
      <c r="C67" s="71" t="s">
        <v>451</v>
      </c>
      <c r="D67" s="71" t="str">
        <f>VLOOKUP(C67,[1]B.D!$A:$B,2,FALSE)</f>
        <v>TAPA TORNILLO AMO III - BLANCO</v>
      </c>
      <c r="E67" s="71" t="str">
        <f>VLOOKUP(C67,[1]B.D!$A:$F,6,FALSE)</f>
        <v>BLANCO</v>
      </c>
      <c r="F67" s="71" t="str">
        <f>VLOOKUP(C67,[1]B.D!$A:$G,7,FALSE)</f>
        <v>ACCESORIOS</v>
      </c>
      <c r="G67" s="64">
        <v>29.400000000000002</v>
      </c>
      <c r="H67" s="72"/>
      <c r="I67" s="73">
        <f t="shared" si="0"/>
        <v>0</v>
      </c>
      <c r="J67" s="74">
        <f>VLOOKUP(C67,[1]B.D!$A:$E,5,FALSE)</f>
        <v>2.9999999999999997E-4</v>
      </c>
      <c r="K67" s="63">
        <f t="shared" si="1"/>
        <v>0</v>
      </c>
    </row>
    <row r="68" spans="2:11" ht="15" customHeight="1">
      <c r="B68" s="70">
        <v>55</v>
      </c>
      <c r="C68" s="71" t="s">
        <v>452</v>
      </c>
      <c r="D68" s="71" t="str">
        <f>VLOOKUP(C68,[1]B.D!$A:$B,2,FALSE)</f>
        <v>TAPA TORNILLO AMO III - MARRON</v>
      </c>
      <c r="E68" s="71" t="str">
        <f>VLOOKUP(C68,[1]B.D!$A:$F,6,FALSE)</f>
        <v>MARRON</v>
      </c>
      <c r="F68" s="71" t="str">
        <f>VLOOKUP(C68,[1]B.D!$A:$G,7,FALSE)</f>
        <v>ACCESORIOS</v>
      </c>
      <c r="G68" s="64">
        <v>29.400000000000002</v>
      </c>
      <c r="H68" s="72"/>
      <c r="I68" s="73">
        <f t="shared" si="0"/>
        <v>0</v>
      </c>
      <c r="J68" s="74">
        <f>VLOOKUP(C68,[1]B.D!$A:$E,5,FALSE)</f>
        <v>2.9999999999999997E-4</v>
      </c>
      <c r="K68" s="63">
        <f t="shared" si="1"/>
        <v>0</v>
      </c>
    </row>
    <row r="69" spans="2:11" ht="15" customHeight="1">
      <c r="B69" s="70">
        <v>56</v>
      </c>
      <c r="C69" s="71" t="s">
        <v>453</v>
      </c>
      <c r="D69" s="71" t="str">
        <f>VLOOKUP(C69,[1]B.D!$A:$B,2,FALSE)</f>
        <v>TAPA TORNILLO AMO III - NEGRO</v>
      </c>
      <c r="E69" s="71" t="str">
        <f>VLOOKUP(C69,[1]B.D!$A:$F,6,FALSE)</f>
        <v>NEGRO</v>
      </c>
      <c r="F69" s="71" t="str">
        <f>VLOOKUP(C69,[1]B.D!$A:$G,7,FALSE)</f>
        <v>ACCESORIOS</v>
      </c>
      <c r="G69" s="64">
        <v>16.8</v>
      </c>
      <c r="H69" s="72"/>
      <c r="I69" s="73">
        <f t="shared" si="0"/>
        <v>0</v>
      </c>
      <c r="J69" s="74">
        <f>VLOOKUP(C69,[1]B.D!$A:$E,5,FALSE)</f>
        <v>2.9999999999999997E-4</v>
      </c>
      <c r="K69" s="63">
        <f t="shared" si="1"/>
        <v>0</v>
      </c>
    </row>
    <row r="70" spans="2:11" ht="15" customHeight="1">
      <c r="B70" s="70">
        <v>57</v>
      </c>
      <c r="C70" s="71" t="s">
        <v>454</v>
      </c>
      <c r="D70" s="71" t="str">
        <f>VLOOKUP(C70,[1]B.D!$A:$B,2,FALSE)</f>
        <v>TERMINAL TRASLAPO ZENIA - BLANCO</v>
      </c>
      <c r="E70" s="71" t="str">
        <f>VLOOKUP(C70,[1]B.D!$A:$F,6,FALSE)</f>
        <v>BLANCO</v>
      </c>
      <c r="F70" s="71" t="str">
        <f>VLOOKUP(C70,[1]B.D!$A:$G,7,FALSE)</f>
        <v>ACCESORIOS</v>
      </c>
      <c r="G70" s="64">
        <v>177.45000000000002</v>
      </c>
      <c r="H70" s="72"/>
      <c r="I70" s="73">
        <f t="shared" si="0"/>
        <v>0</v>
      </c>
      <c r="J70" s="74">
        <f>VLOOKUP(C70,[1]B.D!$A:$E,5,FALSE)</f>
        <v>0.01</v>
      </c>
      <c r="K70" s="63">
        <f t="shared" si="1"/>
        <v>0</v>
      </c>
    </row>
    <row r="71" spans="2:11" ht="15" customHeight="1">
      <c r="B71" s="70">
        <v>58</v>
      </c>
      <c r="C71" s="71" t="s">
        <v>455</v>
      </c>
      <c r="D71" s="71" t="str">
        <f>VLOOKUP(C71,[1]B.D!$A:$B,2,FALSE)</f>
        <v>TERMINAL TRASLAPO ZENIA - GRIS</v>
      </c>
      <c r="E71" s="71" t="str">
        <f>VLOOKUP(C71,[1]B.D!$A:$F,6,FALSE)</f>
        <v>GRAFITO</v>
      </c>
      <c r="F71" s="71" t="str">
        <f>VLOOKUP(C71,[1]B.D!$A:$G,7,FALSE)</f>
        <v>ACCESORIOS</v>
      </c>
      <c r="G71" s="64">
        <v>199.5</v>
      </c>
      <c r="H71" s="72"/>
      <c r="I71" s="73">
        <f t="shared" si="0"/>
        <v>0</v>
      </c>
      <c r="J71" s="74">
        <f>VLOOKUP(C71,[1]B.D!$A:$E,5,FALSE)</f>
        <v>0.01</v>
      </c>
      <c r="K71" s="63">
        <f t="shared" si="1"/>
        <v>0</v>
      </c>
    </row>
    <row r="72" spans="2:11" ht="15" customHeight="1">
      <c r="B72" s="70">
        <v>59</v>
      </c>
      <c r="C72" s="71" t="s">
        <v>456</v>
      </c>
      <c r="D72" s="71" t="str">
        <f>VLOOKUP(C72,[1]B.D!$A:$B,2,FALSE)</f>
        <v>TERMINAL TRASLAPO ZENIA - MARRON</v>
      </c>
      <c r="E72" s="71" t="str">
        <f>VLOOKUP(C72,[1]B.D!$A:$F,6,FALSE)</f>
        <v>MARRON</v>
      </c>
      <c r="F72" s="71" t="str">
        <f>VLOOKUP(C72,[1]B.D!$A:$G,7,FALSE)</f>
        <v>ACCESORIOS</v>
      </c>
      <c r="G72" s="64">
        <v>194.25</v>
      </c>
      <c r="H72" s="72"/>
      <c r="I72" s="73">
        <f t="shared" si="0"/>
        <v>0</v>
      </c>
      <c r="J72" s="74">
        <f>VLOOKUP(C72,[1]B.D!$A:$E,5,FALSE)</f>
        <v>0.01</v>
      </c>
      <c r="K72" s="63">
        <f t="shared" si="1"/>
        <v>0</v>
      </c>
    </row>
    <row r="73" spans="2:11" ht="15" customHeight="1">
      <c r="B73" s="70">
        <v>60</v>
      </c>
      <c r="C73" s="71" t="s">
        <v>457</v>
      </c>
      <c r="D73" s="71" t="str">
        <f>VLOOKUP(C73,[1]B.D!$A:$B,2,FALSE)</f>
        <v>TOPE AMORTIGUADOR 13 mm - M</v>
      </c>
      <c r="E73" s="71" t="str">
        <f>VLOOKUP(C73,[1]B.D!$A:$F,6,FALSE)</f>
        <v>NEGRO</v>
      </c>
      <c r="F73" s="71" t="str">
        <f>VLOOKUP(C73,[1]B.D!$A:$G,7,FALSE)</f>
        <v>ACCESORIOS</v>
      </c>
      <c r="G73" s="64">
        <v>387.45</v>
      </c>
      <c r="H73" s="72"/>
      <c r="I73" s="73">
        <f t="shared" si="0"/>
        <v>0</v>
      </c>
      <c r="J73" s="74">
        <f>VLOOKUP(C73,[1]B.D!$A:$E,5,FALSE)</f>
        <v>1.9E-3</v>
      </c>
      <c r="K73" s="63">
        <f t="shared" si="1"/>
        <v>0</v>
      </c>
    </row>
    <row r="74" spans="2:11" ht="15" customHeight="1">
      <c r="B74" s="70">
        <v>61</v>
      </c>
      <c r="C74" s="71" t="s">
        <v>458</v>
      </c>
      <c r="D74" s="71" t="str">
        <f>VLOOKUP(C74,[1]B.D!$A:$B,2,FALSE)</f>
        <v>TOPE CORREDERA 90° - BLANCO</v>
      </c>
      <c r="E74" s="71" t="str">
        <f>VLOOKUP(C74,[1]B.D!$A:$F,6,FALSE)</f>
        <v>BLANCO</v>
      </c>
      <c r="F74" s="71" t="str">
        <f>VLOOKUP(C74,[1]B.D!$A:$G,7,FALSE)</f>
        <v>ACCESORIOS</v>
      </c>
      <c r="G74" s="64">
        <v>2042.25</v>
      </c>
      <c r="H74" s="72"/>
      <c r="I74" s="73">
        <f t="shared" si="0"/>
        <v>0</v>
      </c>
      <c r="J74" s="74">
        <f>VLOOKUP(C74,[1]B.D!$A:$E,5,FALSE)</f>
        <v>0.05</v>
      </c>
      <c r="K74" s="63">
        <f t="shared" si="1"/>
        <v>0</v>
      </c>
    </row>
    <row r="75" spans="2:11" ht="15" customHeight="1">
      <c r="B75" s="70">
        <v>62</v>
      </c>
      <c r="C75" s="71" t="s">
        <v>459</v>
      </c>
      <c r="D75" s="71" t="str">
        <f>VLOOKUP(C75,[1]B.D!$A:$B,2,FALSE)</f>
        <v>TOPE CORREDERA 90° - NEGRO</v>
      </c>
      <c r="E75" s="71" t="str">
        <f>VLOOKUP(C75,[1]B.D!$A:$F,6,FALSE)</f>
        <v>NEGRO</v>
      </c>
      <c r="F75" s="71" t="str">
        <f>VLOOKUP(C75,[1]B.D!$A:$G,7,FALSE)</f>
        <v>ACCESORIOS</v>
      </c>
      <c r="G75" s="64">
        <v>2780.4</v>
      </c>
      <c r="H75" s="72"/>
      <c r="I75" s="73">
        <f t="shared" si="0"/>
        <v>0</v>
      </c>
      <c r="J75" s="74">
        <f>VLOOKUP(C75,[1]B.D!$A:$E,5,FALSE)</f>
        <v>0.05</v>
      </c>
      <c r="K75" s="63">
        <f t="shared" si="1"/>
        <v>0</v>
      </c>
    </row>
    <row r="76" spans="2:11" ht="15" customHeight="1">
      <c r="B76" s="70">
        <v>63</v>
      </c>
      <c r="C76" s="71" t="s">
        <v>460</v>
      </c>
      <c r="D76" s="71" t="str">
        <f>VLOOKUP(C76,[1]B.D!$A:$B,2,FALSE)</f>
        <v>TOPE CORREDERA 90º - MARRON</v>
      </c>
      <c r="E76" s="71" t="str">
        <f>VLOOKUP(C76,[1]B.D!$A:$F,6,FALSE)</f>
        <v>MARRON</v>
      </c>
      <c r="F76" s="71" t="str">
        <f>VLOOKUP(C76,[1]B.D!$A:$G,7,FALSE)</f>
        <v>ACCESORIOS</v>
      </c>
      <c r="G76" s="64">
        <v>2780.4</v>
      </c>
      <c r="H76" s="72"/>
      <c r="I76" s="73">
        <f t="shared" si="0"/>
        <v>0</v>
      </c>
      <c r="J76" s="74">
        <f>VLOOKUP(C76,[1]B.D!$A:$E,5,FALSE)</f>
        <v>0.05</v>
      </c>
      <c r="K76" s="63">
        <f t="shared" si="1"/>
        <v>0</v>
      </c>
    </row>
    <row r="77" spans="2:11" ht="15" customHeight="1">
      <c r="B77" s="70">
        <v>64</v>
      </c>
      <c r="C77" s="71" t="s">
        <v>462</v>
      </c>
      <c r="D77" s="71" t="str">
        <f>VLOOKUP(C77,[1]B.D!$A:$B,2,FALSE)</f>
        <v>TOPE ESTANCO CORREDERA - GRIS</v>
      </c>
      <c r="E77" s="71" t="str">
        <f>VLOOKUP(C77,[1]B.D!$A:$F,6,FALSE)</f>
        <v>GRAFITO</v>
      </c>
      <c r="F77" s="71" t="str">
        <f>VLOOKUP(C77,[1]B.D!$A:$G,7,FALSE)</f>
        <v>ACCESORIOS</v>
      </c>
      <c r="G77" s="64">
        <v>481.95000000000005</v>
      </c>
      <c r="H77" s="72"/>
      <c r="I77" s="73">
        <f t="shared" si="0"/>
        <v>0</v>
      </c>
      <c r="J77" s="74">
        <f>VLOOKUP(C77,[1]B.D!$A:$E,5,FALSE)</f>
        <v>0.02</v>
      </c>
      <c r="K77" s="63">
        <f t="shared" si="1"/>
        <v>0</v>
      </c>
    </row>
    <row r="78" spans="2:11" ht="15" customHeight="1">
      <c r="B78" s="70">
        <v>65</v>
      </c>
      <c r="C78" s="71" t="s">
        <v>461</v>
      </c>
      <c r="D78" s="71" t="str">
        <f>VLOOKUP(C78,[1]B.D!$A:$B,2,FALSE)</f>
        <v>TOPE ESTANCO CORREDERA S70 - BLANCO</v>
      </c>
      <c r="E78" s="71" t="str">
        <f>VLOOKUP(C78,[1]B.D!$A:$F,6,FALSE)</f>
        <v>BLANCO</v>
      </c>
      <c r="F78" s="71" t="str">
        <f>VLOOKUP(C78,[1]B.D!$A:$G,7,FALSE)</f>
        <v>ACCESORIOS</v>
      </c>
      <c r="G78" s="64">
        <v>481.95000000000005</v>
      </c>
      <c r="H78" s="72"/>
      <c r="I78" s="73">
        <f t="shared" ref="I78:I141" si="2">G78*H78</f>
        <v>0</v>
      </c>
      <c r="J78" s="74">
        <f>VLOOKUP(C78,[1]B.D!$A:$E,5,FALSE)</f>
        <v>0.02</v>
      </c>
      <c r="K78" s="63">
        <f t="shared" ref="K78:K141" si="3">$H78*$J78</f>
        <v>0</v>
      </c>
    </row>
    <row r="79" spans="2:11" ht="15" customHeight="1">
      <c r="B79" s="70">
        <v>66</v>
      </c>
      <c r="C79" s="71" t="s">
        <v>463</v>
      </c>
      <c r="D79" s="71" t="str">
        <f>VLOOKUP(C79,[1]B.D!$A:$B,2,FALSE)</f>
        <v>TOPE ESTANCO CORREDERA S70 - MARRON</v>
      </c>
      <c r="E79" s="71" t="str">
        <f>VLOOKUP(C79,[1]B.D!$A:$F,6,FALSE)</f>
        <v>MARRON</v>
      </c>
      <c r="F79" s="71" t="str">
        <f>VLOOKUP(C79,[1]B.D!$A:$G,7,FALSE)</f>
        <v>ACCESORIOS</v>
      </c>
      <c r="G79" s="64">
        <v>481.95000000000005</v>
      </c>
      <c r="H79" s="72"/>
      <c r="I79" s="73">
        <f t="shared" si="2"/>
        <v>0</v>
      </c>
      <c r="J79" s="74">
        <f>VLOOKUP(C79,[1]B.D!$A:$E,5,FALSE)</f>
        <v>0.02</v>
      </c>
      <c r="K79" s="63">
        <f t="shared" si="3"/>
        <v>0</v>
      </c>
    </row>
    <row r="80" spans="2:11" ht="15" customHeight="1">
      <c r="B80" s="70">
        <v>67</v>
      </c>
      <c r="C80" s="71" t="s">
        <v>464</v>
      </c>
      <c r="D80" s="71" t="str">
        <f>VLOOKUP(C80,[1]B.D!$A:$B,2,FALSE)</f>
        <v>TOPE ESTANCO CORREDERA S70 - NEGRO</v>
      </c>
      <c r="E80" s="71" t="str">
        <f>VLOOKUP(C80,[1]B.D!$A:$F,6,FALSE)</f>
        <v>NEGRO</v>
      </c>
      <c r="F80" s="71" t="str">
        <f>VLOOKUP(C80,[1]B.D!$A:$G,7,FALSE)</f>
        <v>ACCESORIOS</v>
      </c>
      <c r="G80" s="64">
        <v>509.25</v>
      </c>
      <c r="H80" s="72"/>
      <c r="I80" s="73">
        <f t="shared" si="2"/>
        <v>0</v>
      </c>
      <c r="J80" s="74">
        <f>VLOOKUP(C80,[1]B.D!$A:$E,5,FALSE)</f>
        <v>0.02</v>
      </c>
      <c r="K80" s="63">
        <f t="shared" si="3"/>
        <v>0</v>
      </c>
    </row>
    <row r="81" spans="2:11" ht="15" customHeight="1">
      <c r="B81" s="70">
        <v>68</v>
      </c>
      <c r="C81" s="71" t="s">
        <v>465</v>
      </c>
      <c r="D81" s="71" t="str">
        <f>VLOOKUP(C81,[1]B.D!$A:$B,2,FALSE)</f>
        <v>TOPE ESTANCO CORREDERA S75 - BLANCO</v>
      </c>
      <c r="E81" s="71" t="str">
        <f>VLOOKUP(C81,[1]B.D!$A:$F,6,FALSE)</f>
        <v>BLANCO</v>
      </c>
      <c r="F81" s="71" t="str">
        <f>VLOOKUP(C81,[1]B.D!$A:$G,7,FALSE)</f>
        <v>ACCESORIOS</v>
      </c>
      <c r="G81" s="64">
        <v>481.95000000000005</v>
      </c>
      <c r="H81" s="72"/>
      <c r="I81" s="73">
        <f t="shared" si="2"/>
        <v>0</v>
      </c>
      <c r="J81" s="74">
        <f>VLOOKUP(C81,[1]B.D!$A:$E,5,FALSE)</f>
        <v>0.02</v>
      </c>
      <c r="K81" s="63">
        <f t="shared" si="3"/>
        <v>0</v>
      </c>
    </row>
    <row r="82" spans="2:11" ht="15" customHeight="1">
      <c r="B82" s="70">
        <v>69</v>
      </c>
      <c r="C82" s="71" t="s">
        <v>466</v>
      </c>
      <c r="D82" s="71" t="str">
        <f>VLOOKUP(C82,[1]B.D!$A:$B,2,FALSE)</f>
        <v>TOPE ESTANCO CORREDERA S75 - MARRON</v>
      </c>
      <c r="E82" s="71" t="str">
        <f>VLOOKUP(C82,[1]B.D!$A:$F,6,FALSE)</f>
        <v>MARRON</v>
      </c>
      <c r="F82" s="71" t="str">
        <f>VLOOKUP(C82,[1]B.D!$A:$G,7,FALSE)</f>
        <v>ACCESORIOS</v>
      </c>
      <c r="G82" s="64">
        <v>481.95000000000005</v>
      </c>
      <c r="H82" s="72"/>
      <c r="I82" s="73">
        <f t="shared" si="2"/>
        <v>0</v>
      </c>
      <c r="J82" s="74">
        <f>VLOOKUP(C82,[1]B.D!$A:$E,5,FALSE)</f>
        <v>0.02</v>
      </c>
      <c r="K82" s="63">
        <f t="shared" si="3"/>
        <v>0</v>
      </c>
    </row>
    <row r="83" spans="2:11" ht="15" customHeight="1">
      <c r="B83" s="70">
        <v>70</v>
      </c>
      <c r="C83" s="71" t="s">
        <v>467</v>
      </c>
      <c r="D83" s="71" t="str">
        <f>VLOOKUP(C83,[1]B.D!$A:$B,2,FALSE)</f>
        <v>TOPE ESTANCO CORREDERA S75 - NEGRO</v>
      </c>
      <c r="E83" s="71" t="str">
        <f>VLOOKUP(C83,[1]B.D!$A:$F,6,FALSE)</f>
        <v>NEGRO</v>
      </c>
      <c r="F83" s="71" t="str">
        <f>VLOOKUP(C83,[1]B.D!$A:$G,7,FALSE)</f>
        <v>ACCESORIOS</v>
      </c>
      <c r="G83" s="64">
        <v>509.25</v>
      </c>
      <c r="H83" s="72"/>
      <c r="I83" s="73">
        <f t="shared" si="2"/>
        <v>0</v>
      </c>
      <c r="J83" s="74">
        <f>VLOOKUP(C83,[1]B.D!$A:$E,5,FALSE)</f>
        <v>0.02</v>
      </c>
      <c r="K83" s="63">
        <f t="shared" si="3"/>
        <v>0</v>
      </c>
    </row>
    <row r="84" spans="2:11" ht="15" customHeight="1">
      <c r="B84" s="70">
        <v>71</v>
      </c>
      <c r="C84" s="71" t="s">
        <v>468</v>
      </c>
      <c r="D84" s="71" t="str">
        <f>VLOOKUP(C84,[1]B.D!$A:$B,2,FALSE)</f>
        <v>TOPE ESTANCO MARCO DOBLE RIEL ANDES - BLANCO</v>
      </c>
      <c r="E84" s="71" t="str">
        <f>VLOOKUP(C84,[1]B.D!$A:$F,6,FALSE)</f>
        <v>BLANCO</v>
      </c>
      <c r="F84" s="71" t="str">
        <f>VLOOKUP(C84,[1]B.D!$A:$G,7,FALSE)</f>
        <v>ACCESORIOS</v>
      </c>
      <c r="G84" s="64">
        <v>256.2</v>
      </c>
      <c r="H84" s="72"/>
      <c r="I84" s="73">
        <f t="shared" si="2"/>
        <v>0</v>
      </c>
      <c r="J84" s="74">
        <f>VLOOKUP(C84,[1]B.D!$A:$E,5,FALSE)</f>
        <v>0.01</v>
      </c>
      <c r="K84" s="63">
        <f t="shared" si="3"/>
        <v>0</v>
      </c>
    </row>
    <row r="85" spans="2:11" ht="15" customHeight="1">
      <c r="B85" s="70">
        <v>72</v>
      </c>
      <c r="C85" s="71" t="s">
        <v>469</v>
      </c>
      <c r="D85" s="71" t="str">
        <f>VLOOKUP(C85,[1]B.D!$A:$B,2,FALSE)</f>
        <v>TOPE ESTANCO MARCO DOBLE RIEL ANDES - MARRON</v>
      </c>
      <c r="E85" s="71" t="str">
        <f>VLOOKUP(C85,[1]B.D!$A:$F,6,FALSE)</f>
        <v>MARRON</v>
      </c>
      <c r="F85" s="71" t="str">
        <f>VLOOKUP(C85,[1]B.D!$A:$G,7,FALSE)</f>
        <v>ACCESORIOS</v>
      </c>
      <c r="G85" s="64">
        <v>201.60000000000002</v>
      </c>
      <c r="H85" s="72"/>
      <c r="I85" s="73">
        <f t="shared" si="2"/>
        <v>0</v>
      </c>
      <c r="J85" s="74">
        <f>VLOOKUP(C85,[1]B.D!$A:$E,5,FALSE)</f>
        <v>0.01</v>
      </c>
      <c r="K85" s="63">
        <f t="shared" si="3"/>
        <v>0</v>
      </c>
    </row>
    <row r="86" spans="2:11" ht="15" customHeight="1">
      <c r="B86" s="70">
        <v>73</v>
      </c>
      <c r="C86" s="71" t="s">
        <v>470</v>
      </c>
      <c r="D86" s="71" t="str">
        <f>VLOOKUP(C86,[1]B.D!$A:$B,2,FALSE)</f>
        <v>TOPE ESTANCO MARCO DOBLE RIEL ANDES - NEGRO</v>
      </c>
      <c r="E86" s="71" t="str">
        <f>VLOOKUP(C86,[1]B.D!$A:$F,6,FALSE)</f>
        <v>NEGRO</v>
      </c>
      <c r="F86" s="71" t="str">
        <f>VLOOKUP(C86,[1]B.D!$A:$G,7,FALSE)</f>
        <v>ACCESORIOS</v>
      </c>
      <c r="G86" s="64">
        <v>187.95000000000002</v>
      </c>
      <c r="H86" s="72"/>
      <c r="I86" s="73">
        <f t="shared" si="2"/>
        <v>0</v>
      </c>
      <c r="J86" s="74">
        <f>VLOOKUP(C86,[1]B.D!$A:$E,5,FALSE)</f>
        <v>0.01</v>
      </c>
      <c r="K86" s="63">
        <f t="shared" si="3"/>
        <v>0</v>
      </c>
    </row>
    <row r="87" spans="2:11" ht="15" customHeight="1">
      <c r="B87" s="70">
        <v>74</v>
      </c>
      <c r="C87" s="71" t="s">
        <v>471</v>
      </c>
      <c r="D87" s="71" t="str">
        <f>VLOOKUP(C87,[1]B.D!$A:$B,2,FALSE)</f>
        <v>TOPE ESTANCO MARCO MONORRIEL ANDES - BLANCO</v>
      </c>
      <c r="E87" s="71" t="str">
        <f>VLOOKUP(C87,[1]B.D!$A:$F,6,FALSE)</f>
        <v>BLANCO</v>
      </c>
      <c r="F87" s="71" t="str">
        <f>VLOOKUP(C87,[1]B.D!$A:$G,7,FALSE)</f>
        <v>ACCESORIOS</v>
      </c>
      <c r="G87" s="64">
        <v>187.95000000000002</v>
      </c>
      <c r="H87" s="72"/>
      <c r="I87" s="73">
        <f t="shared" si="2"/>
        <v>0</v>
      </c>
      <c r="J87" s="74">
        <f>VLOOKUP(C87,[1]B.D!$A:$E,5,FALSE)</f>
        <v>0.01</v>
      </c>
      <c r="K87" s="63">
        <f t="shared" si="3"/>
        <v>0</v>
      </c>
    </row>
    <row r="88" spans="2:11" ht="15" customHeight="1">
      <c r="B88" s="70">
        <v>75</v>
      </c>
      <c r="C88" s="71" t="s">
        <v>472</v>
      </c>
      <c r="D88" s="71" t="str">
        <f>VLOOKUP(C88,[1]B.D!$A:$B,2,FALSE)</f>
        <v>TOPE ESTANCO MARCO MONORRIEL ANDES - MARRON</v>
      </c>
      <c r="E88" s="71" t="str">
        <f>VLOOKUP(C88,[1]B.D!$A:$F,6,FALSE)</f>
        <v>MARRON</v>
      </c>
      <c r="F88" s="71" t="str">
        <f>VLOOKUP(C88,[1]B.D!$A:$G,7,FALSE)</f>
        <v>ACCESORIOS</v>
      </c>
      <c r="G88" s="64">
        <v>187.95000000000002</v>
      </c>
      <c r="H88" s="72"/>
      <c r="I88" s="73">
        <f t="shared" si="2"/>
        <v>0</v>
      </c>
      <c r="J88" s="74">
        <f>VLOOKUP(C88,[1]B.D!$A:$E,5,FALSE)</f>
        <v>0.01</v>
      </c>
      <c r="K88" s="63">
        <f t="shared" si="3"/>
        <v>0</v>
      </c>
    </row>
    <row r="89" spans="2:11" ht="15" customHeight="1">
      <c r="B89" s="70">
        <v>76</v>
      </c>
      <c r="C89" s="71" t="s">
        <v>473</v>
      </c>
      <c r="D89" s="71" t="str">
        <f>VLOOKUP(C89,[1]B.D!$A:$B,2,FALSE)</f>
        <v>TOPE ESTANCO MARCO MONORRIEL ANDES - NEGRO</v>
      </c>
      <c r="E89" s="71" t="str">
        <f>VLOOKUP(C89,[1]B.D!$A:$F,6,FALSE)</f>
        <v>NEGRO</v>
      </c>
      <c r="F89" s="71" t="str">
        <f>VLOOKUP(C89,[1]B.D!$A:$G,7,FALSE)</f>
        <v>ACCESORIOS</v>
      </c>
      <c r="G89" s="64">
        <v>187.95000000000002</v>
      </c>
      <c r="H89" s="72"/>
      <c r="I89" s="73">
        <f t="shared" si="2"/>
        <v>0</v>
      </c>
      <c r="J89" s="74">
        <f>VLOOKUP(C89,[1]B.D!$A:$E,5,FALSE)</f>
        <v>0.01</v>
      </c>
      <c r="K89" s="63">
        <f t="shared" si="3"/>
        <v>0</v>
      </c>
    </row>
    <row r="90" spans="2:11" ht="15" customHeight="1">
      <c r="B90" s="70">
        <v>77</v>
      </c>
      <c r="C90" s="71" t="s">
        <v>474</v>
      </c>
      <c r="D90" s="71" t="str">
        <f>VLOOKUP(C90,[1]B.D!$A:$B,2,FALSE)</f>
        <v>TOPE ESTANCO ZENIA - BLANCO</v>
      </c>
      <c r="E90" s="71" t="str">
        <f>VLOOKUP(C90,[1]B.D!$A:$F,6,FALSE)</f>
        <v>BLANCO</v>
      </c>
      <c r="F90" s="71" t="str">
        <f>VLOOKUP(C90,[1]B.D!$A:$G,7,FALSE)</f>
        <v>ACCESORIOS</v>
      </c>
      <c r="G90" s="64">
        <v>156.45000000000002</v>
      </c>
      <c r="H90" s="72"/>
      <c r="I90" s="73">
        <f t="shared" si="2"/>
        <v>0</v>
      </c>
      <c r="J90" s="74">
        <f>VLOOKUP(C90,[1]B.D!$A:$E,5,FALSE)</f>
        <v>0.01</v>
      </c>
      <c r="K90" s="63">
        <f t="shared" si="3"/>
        <v>0</v>
      </c>
    </row>
    <row r="91" spans="2:11" ht="15" customHeight="1">
      <c r="B91" s="70">
        <v>78</v>
      </c>
      <c r="C91" s="71" t="s">
        <v>475</v>
      </c>
      <c r="D91" s="71" t="str">
        <f>VLOOKUP(C91,[1]B.D!$A:$B,2,FALSE)</f>
        <v>TOPE ESTANCO ZENIA - GRAFITO</v>
      </c>
      <c r="E91" s="71" t="str">
        <f>VLOOKUP(C91,[1]B.D!$A:$F,6,FALSE)</f>
        <v>GRAFITO</v>
      </c>
      <c r="F91" s="71" t="str">
        <f>VLOOKUP(C91,[1]B.D!$A:$G,7,FALSE)</f>
        <v>ACCESORIOS</v>
      </c>
      <c r="G91" s="64">
        <v>156.45000000000002</v>
      </c>
      <c r="H91" s="72"/>
      <c r="I91" s="73">
        <f t="shared" si="2"/>
        <v>0</v>
      </c>
      <c r="J91" s="74">
        <f>VLOOKUP(C91,[1]B.D!$A:$E,5,FALSE)</f>
        <v>0.01</v>
      </c>
      <c r="K91" s="63">
        <f t="shared" si="3"/>
        <v>0</v>
      </c>
    </row>
    <row r="92" spans="2:11" ht="15" customHeight="1">
      <c r="B92" s="70">
        <v>79</v>
      </c>
      <c r="C92" s="71" t="s">
        <v>476</v>
      </c>
      <c r="D92" s="71" t="str">
        <f>VLOOKUP(C92,[1]B.D!$A:$B,2,FALSE)</f>
        <v>TOPE ESTANCO ZENIA - MARRON</v>
      </c>
      <c r="E92" s="71" t="str">
        <f>VLOOKUP(C92,[1]B.D!$A:$F,6,FALSE)</f>
        <v>MARRON</v>
      </c>
      <c r="F92" s="71" t="str">
        <f>VLOOKUP(C92,[1]B.D!$A:$G,7,FALSE)</f>
        <v>ACCESORIOS</v>
      </c>
      <c r="G92" s="64">
        <v>156.45000000000002</v>
      </c>
      <c r="H92" s="72"/>
      <c r="I92" s="73">
        <f t="shared" si="2"/>
        <v>0</v>
      </c>
      <c r="J92" s="74">
        <f>VLOOKUP(C92,[1]B.D!$A:$E,5,FALSE)</f>
        <v>0.01</v>
      </c>
      <c r="K92" s="63">
        <f t="shared" si="3"/>
        <v>0</v>
      </c>
    </row>
    <row r="93" spans="2:11" ht="15" customHeight="1">
      <c r="B93" s="70">
        <v>80</v>
      </c>
      <c r="C93" s="71" t="s">
        <v>492</v>
      </c>
      <c r="D93" s="71" t="str">
        <f>VLOOKUP(C93,[1]B.D!$A:$B,2,FALSE)</f>
        <v>CARRO AMERICANA SILTEK</v>
      </c>
      <c r="E93" s="71" t="str">
        <f>VLOOKUP(C93,[1]B.D!$A:$F,6,FALSE)</f>
        <v>NATURAL</v>
      </c>
      <c r="F93" s="71" t="str">
        <f>VLOOKUP(C93,[1]B.D!$A:$G,7,FALSE)</f>
        <v>AMERICANA</v>
      </c>
      <c r="G93" s="64">
        <v>2010.75</v>
      </c>
      <c r="H93" s="72"/>
      <c r="I93" s="73">
        <f t="shared" si="2"/>
        <v>0</v>
      </c>
      <c r="J93" s="74">
        <f>VLOOKUP(C93,[1]B.D!$A:$E,5,FALSE)</f>
        <v>1.37E-2</v>
      </c>
      <c r="K93" s="63">
        <f t="shared" si="3"/>
        <v>0</v>
      </c>
    </row>
    <row r="94" spans="2:11" ht="15" customHeight="1">
      <c r="B94" s="70">
        <v>81</v>
      </c>
      <c r="C94" s="71" t="s">
        <v>491</v>
      </c>
      <c r="D94" s="71" t="str">
        <f>VLOOKUP(C94,[1]B.D!$A:$B,2,FALSE)</f>
        <v>CERRADERO AMERICANA SILTEK</v>
      </c>
      <c r="E94" s="71" t="str">
        <f>VLOOKUP(C94,[1]B.D!$A:$F,6,FALSE)</f>
        <v>NATURAL</v>
      </c>
      <c r="F94" s="71" t="str">
        <f>VLOOKUP(C94,[1]B.D!$A:$G,7,FALSE)</f>
        <v>AMERICANA</v>
      </c>
      <c r="G94" s="64">
        <v>3519.6000000000004</v>
      </c>
      <c r="H94" s="72"/>
      <c r="I94" s="73">
        <f t="shared" si="2"/>
        <v>0</v>
      </c>
      <c r="J94" s="74">
        <f>VLOOKUP(C94,[1]B.D!$A:$E,5,FALSE)</f>
        <v>6.1899999999999997E-2</v>
      </c>
      <c r="K94" s="63">
        <f t="shared" si="3"/>
        <v>0</v>
      </c>
    </row>
    <row r="95" spans="2:11" ht="15" customHeight="1">
      <c r="B95" s="70">
        <v>82</v>
      </c>
      <c r="C95" s="71" t="s">
        <v>490</v>
      </c>
      <c r="D95" s="71" t="str">
        <f>VLOOKUP(C95,[1]B.D!$A:$B,2,FALSE)</f>
        <v>CINTA DOBLE CONTACTO - 50 mts</v>
      </c>
      <c r="E95" s="71" t="str">
        <f>VLOOKUP(C95,[1]B.D!$A:$F,6,FALSE)</f>
        <v>NATURAL</v>
      </c>
      <c r="F95" s="71" t="str">
        <f>VLOOKUP(C95,[1]B.D!$A:$G,7,FALSE)</f>
        <v>AMERICANA</v>
      </c>
      <c r="G95" s="64">
        <v>4021.5</v>
      </c>
      <c r="H95" s="72"/>
      <c r="I95" s="73">
        <f t="shared" si="2"/>
        <v>0</v>
      </c>
      <c r="J95" s="74">
        <f>VLOOKUP(C95,[1]B.D!$A:$E,5,FALSE)</f>
        <v>0.1177</v>
      </c>
      <c r="K95" s="63">
        <f t="shared" si="3"/>
        <v>0</v>
      </c>
    </row>
    <row r="96" spans="2:11" ht="15" customHeight="1">
      <c r="B96" s="70">
        <v>83</v>
      </c>
      <c r="C96" s="75" t="s">
        <v>863</v>
      </c>
      <c r="D96" s="71" t="str">
        <f>VLOOKUP(C96,[1]B.D!$A:$B,2,FALSE)</f>
        <v>CONTRA FORMA HOJAS AMERICANA - FA</v>
      </c>
      <c r="E96" s="71" t="str">
        <f>VLOOKUP(C96,[1]B.D!$A:$F,6,FALSE)</f>
        <v>NATURAL</v>
      </c>
      <c r="F96" s="71" t="str">
        <f>VLOOKUP(C96,[1]B.D!$A:$G,7,FALSE)</f>
        <v>AMERICANA</v>
      </c>
      <c r="G96" s="64">
        <v>248062.5</v>
      </c>
      <c r="H96" s="76"/>
      <c r="I96" s="73">
        <f t="shared" si="2"/>
        <v>0</v>
      </c>
      <c r="J96" s="74">
        <f>VLOOKUP(C96,[1]B.D!$A:$E,5,FALSE)</f>
        <v>1.9477</v>
      </c>
      <c r="K96" s="63">
        <f t="shared" si="3"/>
        <v>0</v>
      </c>
    </row>
    <row r="97" spans="2:11" ht="15" customHeight="1">
      <c r="B97" s="70">
        <v>84</v>
      </c>
      <c r="C97" s="75" t="s">
        <v>864</v>
      </c>
      <c r="D97" s="71" t="str">
        <f>VLOOKUP(C97,[1]B.D!$A:$B,2,FALSE)</f>
        <v>CONTRA FORMA MARCO AMERICANA - FA</v>
      </c>
      <c r="E97" s="71" t="str">
        <f>VLOOKUP(C97,[1]B.D!$A:$F,6,FALSE)</f>
        <v>NATURAL</v>
      </c>
      <c r="F97" s="71" t="str">
        <f>VLOOKUP(C97,[1]B.D!$A:$G,7,FALSE)</f>
        <v>AMERICANA</v>
      </c>
      <c r="G97" s="64">
        <v>248062.5</v>
      </c>
      <c r="H97" s="76"/>
      <c r="I97" s="73">
        <f t="shared" si="2"/>
        <v>0</v>
      </c>
      <c r="J97" s="74">
        <f>VLOOKUP(C97,[1]B.D!$A:$E,5,FALSE)</f>
        <v>1.8132999999999999</v>
      </c>
      <c r="K97" s="63">
        <f t="shared" si="3"/>
        <v>0</v>
      </c>
    </row>
    <row r="98" spans="2:11" ht="15" customHeight="1">
      <c r="B98" s="70">
        <v>85</v>
      </c>
      <c r="C98" s="75" t="s">
        <v>493</v>
      </c>
      <c r="D98" s="71" t="str">
        <f>VLOOKUP(C98,[1]B.D!$A:$B,2,FALSE)</f>
        <v>DISCO RETESTEADOR - TRASLAPO FIJO</v>
      </c>
      <c r="E98" s="71" t="str">
        <f>VLOOKUP(C98,[1]B.D!$A:$F,6,FALSE)</f>
        <v>NATURAL</v>
      </c>
      <c r="F98" s="71" t="str">
        <f>VLOOKUP(C98,[1]B.D!$A:$G,7,FALSE)</f>
        <v>AMERICANA</v>
      </c>
      <c r="G98" s="64">
        <v>335160</v>
      </c>
      <c r="H98" s="76"/>
      <c r="I98" s="73">
        <f t="shared" si="2"/>
        <v>0</v>
      </c>
      <c r="J98" s="74">
        <f>VLOOKUP(C98,[1]B.D!$A:$E,5,FALSE)</f>
        <v>2</v>
      </c>
      <c r="K98" s="63">
        <f t="shared" si="3"/>
        <v>0</v>
      </c>
    </row>
    <row r="99" spans="2:11" ht="15" customHeight="1">
      <c r="B99" s="70">
        <v>86</v>
      </c>
      <c r="C99" s="75" t="s">
        <v>494</v>
      </c>
      <c r="D99" s="71" t="str">
        <f>VLOOKUP(C99,[1]B.D!$A:$B,2,FALSE)</f>
        <v>FELPA AMERICANA SILTEK - 210 mts</v>
      </c>
      <c r="E99" s="71" t="str">
        <f>VLOOKUP(C99,[1]B.D!$A:$F,6,FALSE)</f>
        <v>GRIS</v>
      </c>
      <c r="F99" s="71" t="str">
        <f>VLOOKUP(C99,[1]B.D!$A:$G,7,FALSE)</f>
        <v>AMERICANA</v>
      </c>
      <c r="G99" s="64">
        <v>21282.45</v>
      </c>
      <c r="H99" s="76"/>
      <c r="I99" s="73">
        <f t="shared" si="2"/>
        <v>0</v>
      </c>
      <c r="J99" s="74">
        <f>VLOOKUP(C99,[1]B.D!$A:$E,5,FALSE)</f>
        <v>1.3924000000000001</v>
      </c>
      <c r="K99" s="63">
        <f t="shared" si="3"/>
        <v>0</v>
      </c>
    </row>
    <row r="100" spans="2:11" ht="15" customHeight="1">
      <c r="B100" s="70">
        <v>87</v>
      </c>
      <c r="C100" s="75" t="s">
        <v>947</v>
      </c>
      <c r="D100" s="71" t="str">
        <f>VLOOKUP(C100,[1]B.D!$A:$B,2,FALSE)</f>
        <v>FELPA AMERICANA SILTEK - 500 mts</v>
      </c>
      <c r="E100" s="71" t="str">
        <f>VLOOKUP(C100,[1]B.D!$A:$F,6,FALSE)</f>
        <v>NATURAL</v>
      </c>
      <c r="F100" s="71" t="str">
        <f>VLOOKUP(C100,[1]B.D!$A:$G,7,FALSE)</f>
        <v>AMERICANA</v>
      </c>
      <c r="G100" s="64">
        <v>38004.75</v>
      </c>
      <c r="H100" s="76"/>
      <c r="I100" s="73">
        <f t="shared" si="2"/>
        <v>0</v>
      </c>
      <c r="J100" s="74">
        <f>VLOOKUP(C100,[1]B.D!$A:$E,5,FALSE)</f>
        <v>2.9664000000000001</v>
      </c>
      <c r="K100" s="63">
        <f t="shared" si="3"/>
        <v>0</v>
      </c>
    </row>
    <row r="101" spans="2:11" ht="15" customHeight="1">
      <c r="B101" s="70">
        <v>88</v>
      </c>
      <c r="C101" s="71" t="s">
        <v>495</v>
      </c>
      <c r="D101" s="71" t="str">
        <f>VLOOKUP(C101,[1]B.D!$A:$B,2,FALSE)</f>
        <v>BISAGRA 100 mm C/ CLAVIJA SEGURIDAD - BLANCO</v>
      </c>
      <c r="E101" s="71" t="str">
        <f>VLOOKUP(C101,[1]B.D!$A:$F,6,FALSE)</f>
        <v>BLANCO</v>
      </c>
      <c r="F101" s="71" t="str">
        <f>VLOOKUP(C101,[1]B.D!$A:$G,7,FALSE)</f>
        <v>BISAGRAS</v>
      </c>
      <c r="G101" s="64">
        <v>1704.15</v>
      </c>
      <c r="H101" s="72"/>
      <c r="I101" s="73">
        <f t="shared" si="2"/>
        <v>0</v>
      </c>
      <c r="J101" s="74">
        <f>VLOOKUP(C101,[1]B.D!$A:$E,5,FALSE)</f>
        <v>0.11</v>
      </c>
      <c r="K101" s="63">
        <f t="shared" si="3"/>
        <v>0</v>
      </c>
    </row>
    <row r="102" spans="2:11" ht="15" customHeight="1">
      <c r="B102" s="70">
        <v>89</v>
      </c>
      <c r="C102" s="71" t="s">
        <v>496</v>
      </c>
      <c r="D102" s="71" t="str">
        <f>VLOOKUP(C102,[1]B.D!$A:$B,2,FALSE)</f>
        <v>BISAGRA 100 mm C/ CLAVIJA SEGURIDAD - MARRON</v>
      </c>
      <c r="E102" s="71" t="str">
        <f>VLOOKUP(C102,[1]B.D!$A:$F,6,FALSE)</f>
        <v>MARRON</v>
      </c>
      <c r="F102" s="71" t="str">
        <f>VLOOKUP(C102,[1]B.D!$A:$G,7,FALSE)</f>
        <v>BISAGRAS</v>
      </c>
      <c r="G102" s="64">
        <v>1768.2</v>
      </c>
      <c r="H102" s="72"/>
      <c r="I102" s="73">
        <f t="shared" si="2"/>
        <v>0</v>
      </c>
      <c r="J102" s="74">
        <f>VLOOKUP(C102,[1]B.D!$A:$E,5,FALSE)</f>
        <v>0.11</v>
      </c>
      <c r="K102" s="63">
        <f t="shared" si="3"/>
        <v>0</v>
      </c>
    </row>
    <row r="103" spans="2:11" ht="15" customHeight="1">
      <c r="B103" s="70">
        <v>90</v>
      </c>
      <c r="C103" s="71" t="s">
        <v>497</v>
      </c>
      <c r="D103" s="71" t="str">
        <f>VLOOKUP(C103,[1]B.D!$A:$B,2,FALSE)</f>
        <v>BISAGRA 100 mm C/ CLAVIJA SEGURIDAD - NEGRO</v>
      </c>
      <c r="E103" s="71" t="str">
        <f>VLOOKUP(C103,[1]B.D!$A:$F,6,FALSE)</f>
        <v>NEGRO</v>
      </c>
      <c r="F103" s="71" t="str">
        <f>VLOOKUP(C103,[1]B.D!$A:$G,7,FALSE)</f>
        <v>BISAGRAS</v>
      </c>
      <c r="G103" s="64">
        <v>1768.2</v>
      </c>
      <c r="H103" s="72"/>
      <c r="I103" s="73">
        <f t="shared" si="2"/>
        <v>0</v>
      </c>
      <c r="J103" s="74">
        <f>VLOOKUP(C103,[1]B.D!$A:$E,5,FALSE)</f>
        <v>0.11</v>
      </c>
      <c r="K103" s="63">
        <f t="shared" si="3"/>
        <v>0</v>
      </c>
    </row>
    <row r="104" spans="2:11" ht="15" customHeight="1">
      <c r="B104" s="70">
        <v>91</v>
      </c>
      <c r="C104" s="75" t="s">
        <v>498</v>
      </c>
      <c r="D104" s="71" t="str">
        <f>VLOOKUP(C104,[1]B.D!$A:$B,2,FALSE)</f>
        <v>BISAGRA 3D AJUSTABLE 125 kg PAVO - BLANCO</v>
      </c>
      <c r="E104" s="71" t="str">
        <f>VLOOKUP(C104,[1]B.D!$A:$F,6,FALSE)</f>
        <v>BLANCO</v>
      </c>
      <c r="F104" s="71" t="str">
        <f>VLOOKUP(C104,[1]B.D!$A:$G,7,FALSE)</f>
        <v>BISAGRAS</v>
      </c>
      <c r="G104" s="64">
        <v>8991.15</v>
      </c>
      <c r="H104" s="76"/>
      <c r="I104" s="73">
        <f t="shared" si="2"/>
        <v>0</v>
      </c>
      <c r="J104" s="74">
        <f>VLOOKUP(C104,[1]B.D!$A:$E,5,FALSE)</f>
        <v>0.7</v>
      </c>
      <c r="K104" s="63">
        <f t="shared" si="3"/>
        <v>0</v>
      </c>
    </row>
    <row r="105" spans="2:11" ht="15" customHeight="1">
      <c r="B105" s="70">
        <v>92</v>
      </c>
      <c r="C105" s="75" t="s">
        <v>499</v>
      </c>
      <c r="D105" s="71" t="str">
        <f>VLOOKUP(C105,[1]B.D!$A:$B,2,FALSE)</f>
        <v>BISAGRA 3D AJUSTABLE 125 kg PAVO - MARRON</v>
      </c>
      <c r="E105" s="71" t="str">
        <f>VLOOKUP(C105,[1]B.D!$A:$F,6,FALSE)</f>
        <v>MARRON</v>
      </c>
      <c r="F105" s="71" t="str">
        <f>VLOOKUP(C105,[1]B.D!$A:$G,7,FALSE)</f>
        <v>BISAGRAS</v>
      </c>
      <c r="G105" s="64">
        <v>8991.15</v>
      </c>
      <c r="H105" s="76"/>
      <c r="I105" s="73">
        <f t="shared" si="2"/>
        <v>0</v>
      </c>
      <c r="J105" s="74">
        <f>VLOOKUP(C105,[1]B.D!$A:$E,5,FALSE)</f>
        <v>0.7</v>
      </c>
      <c r="K105" s="63">
        <f t="shared" si="3"/>
        <v>0</v>
      </c>
    </row>
    <row r="106" spans="2:11" ht="15" customHeight="1">
      <c r="B106" s="70">
        <v>93</v>
      </c>
      <c r="C106" s="75" t="s">
        <v>500</v>
      </c>
      <c r="D106" s="71" t="str">
        <f>VLOOKUP(C106,[1]B.D!$A:$B,2,FALSE)</f>
        <v>BISAGRA 3D AJUSTABLE 125 kg PAVO - NEGRO</v>
      </c>
      <c r="E106" s="71" t="str">
        <f>VLOOKUP(C106,[1]B.D!$A:$F,6,FALSE)</f>
        <v>NEGRO</v>
      </c>
      <c r="F106" s="71" t="str">
        <f>VLOOKUP(C106,[1]B.D!$A:$G,7,FALSE)</f>
        <v>BISAGRAS</v>
      </c>
      <c r="G106" s="64">
        <v>8991.15</v>
      </c>
      <c r="H106" s="76"/>
      <c r="I106" s="73">
        <f t="shared" si="2"/>
        <v>0</v>
      </c>
      <c r="J106" s="74">
        <f>VLOOKUP(C106,[1]B.D!$A:$E,5,FALSE)</f>
        <v>0.7</v>
      </c>
      <c r="K106" s="63">
        <f t="shared" si="3"/>
        <v>0</v>
      </c>
    </row>
    <row r="107" spans="2:11" ht="15" customHeight="1">
      <c r="B107" s="70">
        <v>94</v>
      </c>
      <c r="C107" s="71" t="s">
        <v>902</v>
      </c>
      <c r="D107" s="71" t="str">
        <f>VLOOKUP(C107,[1]B.D!$A:$B,2,FALSE)</f>
        <v>KIT BISAGRA GUIA PLEGABLE - MARRON</v>
      </c>
      <c r="E107" s="71" t="str">
        <f>VLOOKUP(C107,[1]B.D!$A:$F,6,FALSE)</f>
        <v>MARRON</v>
      </c>
      <c r="F107" s="71" t="str">
        <f>VLOOKUP(C107,[1]B.D!$A:$G,7,FALSE)</f>
        <v>BISAGRAS</v>
      </c>
      <c r="G107" s="64">
        <v>3706.5</v>
      </c>
      <c r="H107" s="72"/>
      <c r="I107" s="73">
        <f t="shared" si="2"/>
        <v>0</v>
      </c>
      <c r="J107" s="74">
        <f>VLOOKUP(C107,[1]B.D!$A:$E,5,FALSE)</f>
        <v>0.20300000000000001</v>
      </c>
      <c r="K107" s="63">
        <f t="shared" si="3"/>
        <v>0</v>
      </c>
    </row>
    <row r="108" spans="2:11" ht="15" customHeight="1">
      <c r="B108" s="70">
        <v>95</v>
      </c>
      <c r="C108" s="75" t="s">
        <v>945</v>
      </c>
      <c r="D108" s="71" t="str">
        <f>VLOOKUP(C108,[1]B.D!$A:$B,2,FALSE)</f>
        <v>PIVOTE DE PUERTA DERECHO - GU</v>
      </c>
      <c r="E108" s="71" t="str">
        <f>VLOOKUP(C108,[1]B.D!$A:$F,6,FALSE)</f>
        <v>NATURAL</v>
      </c>
      <c r="F108" s="71" t="str">
        <f>VLOOKUP(C108,[1]B.D!$A:$G,7,FALSE)</f>
        <v>BISAGRAS</v>
      </c>
      <c r="G108" s="64">
        <v>454202.7</v>
      </c>
      <c r="H108" s="76"/>
      <c r="I108" s="73">
        <f t="shared" si="2"/>
        <v>0</v>
      </c>
      <c r="J108" s="74">
        <f>VLOOKUP(C108,[1]B.D!$A:$E,5,FALSE)</f>
        <v>0</v>
      </c>
      <c r="K108" s="63">
        <f t="shared" si="3"/>
        <v>0</v>
      </c>
    </row>
    <row r="109" spans="2:11" ht="15" customHeight="1">
      <c r="B109" s="70">
        <v>96</v>
      </c>
      <c r="C109" s="75" t="s">
        <v>946</v>
      </c>
      <c r="D109" s="71" t="str">
        <f>VLOOKUP(C109,[1]B.D!$A:$B,2,FALSE)</f>
        <v>PIVOTE DE PUERTA IZQUIERDO - GU</v>
      </c>
      <c r="E109" s="71" t="str">
        <f>VLOOKUP(C109,[1]B.D!$A:$F,6,FALSE)</f>
        <v>NATURAL</v>
      </c>
      <c r="F109" s="71" t="str">
        <f>VLOOKUP(C109,[1]B.D!$A:$G,7,FALSE)</f>
        <v>BISAGRAS</v>
      </c>
      <c r="G109" s="64">
        <v>454202.7</v>
      </c>
      <c r="H109" s="76"/>
      <c r="I109" s="73">
        <f t="shared" si="2"/>
        <v>0</v>
      </c>
      <c r="J109" s="74">
        <f>VLOOKUP(C109,[1]B.D!$A:$E,5,FALSE)</f>
        <v>0</v>
      </c>
      <c r="K109" s="63">
        <f t="shared" si="3"/>
        <v>0</v>
      </c>
    </row>
    <row r="110" spans="2:11" ht="15" customHeight="1">
      <c r="B110" s="70">
        <v>97</v>
      </c>
      <c r="C110" s="71" t="s">
        <v>501</v>
      </c>
      <c r="D110" s="71" t="str">
        <f>VLOOKUP(C110,[1]B.D!$A:$B,2,FALSE)</f>
        <v>SOPORTE BISAGRA DE COMPAS CON EJE</v>
      </c>
      <c r="E110" s="71" t="str">
        <f>VLOOKUP(C110,[1]B.D!$A:$F,6,FALSE)</f>
        <v>NATURAL</v>
      </c>
      <c r="F110" s="71" t="str">
        <f>VLOOKUP(C110,[1]B.D!$A:$G,7,FALSE)</f>
        <v>BISAGRAS</v>
      </c>
      <c r="G110" s="64">
        <v>1195.95</v>
      </c>
      <c r="H110" s="72"/>
      <c r="I110" s="73">
        <f t="shared" si="2"/>
        <v>0</v>
      </c>
      <c r="J110" s="74">
        <f>VLOOKUP(C110,[1]B.D!$A:$E,5,FALSE)</f>
        <v>0.06</v>
      </c>
      <c r="K110" s="63">
        <f t="shared" si="3"/>
        <v>0</v>
      </c>
    </row>
    <row r="111" spans="2:11" ht="15" customHeight="1">
      <c r="B111" s="70">
        <v>98</v>
      </c>
      <c r="C111" s="71" t="s">
        <v>502</v>
      </c>
      <c r="D111" s="71" t="str">
        <f>VLOOKUP(C111,[1]B.D!$A:$B,2,FALSE)</f>
        <v>BRAZO FERRITICO COTSWOLD 10 - PLG (PR) - FB</v>
      </c>
      <c r="E111" s="71" t="str">
        <f>VLOOKUP(C111,[1]B.D!$A:$F,6,FALSE)</f>
        <v>NATURAL</v>
      </c>
      <c r="F111" s="71" t="str">
        <f>VLOOKUP(C111,[1]B.D!$A:$G,7,FALSE)</f>
        <v>BRAZO</v>
      </c>
      <c r="G111" s="64">
        <v>3500.7000000000003</v>
      </c>
      <c r="H111" s="72"/>
      <c r="I111" s="73">
        <f t="shared" si="2"/>
        <v>0</v>
      </c>
      <c r="J111" s="74">
        <f>VLOOKUP(C111,[1]B.D!$A:$E,5,FALSE)</f>
        <v>0.17</v>
      </c>
      <c r="K111" s="63">
        <f t="shared" si="3"/>
        <v>0</v>
      </c>
    </row>
    <row r="112" spans="2:11" ht="15" customHeight="1">
      <c r="B112" s="70">
        <v>99</v>
      </c>
      <c r="C112" s="71" t="s">
        <v>503</v>
      </c>
      <c r="D112" s="71" t="str">
        <f>VLOOKUP(C112,[1]B.D!$A:$B,2,FALSE)</f>
        <v>BRAZO FERRITICO COTSWOLD 12 - PLG (PR-AB) - FB</v>
      </c>
      <c r="E112" s="71" t="str">
        <f>VLOOKUP(C112,[1]B.D!$A:$F,6,FALSE)</f>
        <v>NATURAL</v>
      </c>
      <c r="F112" s="71" t="str">
        <f>VLOOKUP(C112,[1]B.D!$A:$G,7,FALSE)</f>
        <v>BRAZO</v>
      </c>
      <c r="G112" s="64">
        <v>3906</v>
      </c>
      <c r="H112" s="72"/>
      <c r="I112" s="73">
        <f t="shared" si="2"/>
        <v>0</v>
      </c>
      <c r="J112" s="74">
        <f>VLOOKUP(C112,[1]B.D!$A:$E,5,FALSE)</f>
        <v>0.2</v>
      </c>
      <c r="K112" s="63">
        <f t="shared" si="3"/>
        <v>0</v>
      </c>
    </row>
    <row r="113" spans="2:11" ht="15" customHeight="1">
      <c r="B113" s="70">
        <v>100</v>
      </c>
      <c r="C113" s="71" t="s">
        <v>504</v>
      </c>
      <c r="D113" s="71" t="str">
        <f>VLOOKUP(C113,[1]B.D!$A:$B,2,FALSE)</f>
        <v>BRAZO FERRITICO COTSWOLD 16 - PLG (PR-AB) - FB</v>
      </c>
      <c r="E113" s="71" t="str">
        <f>VLOOKUP(C113,[1]B.D!$A:$F,6,FALSE)</f>
        <v>NATURAL</v>
      </c>
      <c r="F113" s="71" t="str">
        <f>VLOOKUP(C113,[1]B.D!$A:$G,7,FALSE)</f>
        <v>BRAZO</v>
      </c>
      <c r="G113" s="64">
        <v>5026.3500000000004</v>
      </c>
      <c r="H113" s="72"/>
      <c r="I113" s="73">
        <f t="shared" si="2"/>
        <v>0</v>
      </c>
      <c r="J113" s="74">
        <f>VLOOKUP(C113,[1]B.D!$A:$E,5,FALSE)</f>
        <v>0.27</v>
      </c>
      <c r="K113" s="63">
        <f t="shared" si="3"/>
        <v>0</v>
      </c>
    </row>
    <row r="114" spans="2:11" ht="15" customHeight="1">
      <c r="B114" s="70">
        <v>101</v>
      </c>
      <c r="C114" s="71" t="s">
        <v>505</v>
      </c>
      <c r="D114" s="71" t="str">
        <f>VLOOKUP(C114,[1]B.D!$A:$B,2,FALSE)</f>
        <v>BRAZO FERRITICO COTSWOLD 20 - PLG (PR) - FB</v>
      </c>
      <c r="E114" s="71" t="str">
        <f>VLOOKUP(C114,[1]B.D!$A:$F,6,FALSE)</f>
        <v>NATURAL</v>
      </c>
      <c r="F114" s="71" t="str">
        <f>VLOOKUP(C114,[1]B.D!$A:$G,7,FALSE)</f>
        <v>BRAZO</v>
      </c>
      <c r="G114" s="64">
        <v>5810.7</v>
      </c>
      <c r="H114" s="72"/>
      <c r="I114" s="73">
        <f t="shared" si="2"/>
        <v>0</v>
      </c>
      <c r="J114" s="74">
        <f>VLOOKUP(C114,[1]B.D!$A:$E,5,FALSE)</f>
        <v>0.32</v>
      </c>
      <c r="K114" s="63">
        <f t="shared" si="3"/>
        <v>0</v>
      </c>
    </row>
    <row r="115" spans="2:11" ht="15" customHeight="1">
      <c r="B115" s="70">
        <v>102</v>
      </c>
      <c r="C115" s="71" t="s">
        <v>506</v>
      </c>
      <c r="D115" s="71" t="str">
        <f>VLOOKUP(C115,[1]B.D!$A:$B,2,FALSE)</f>
        <v>BRAZO FERRITICO COTSWOLD 24 - PLG (PR) - FB</v>
      </c>
      <c r="E115" s="71" t="str">
        <f>VLOOKUP(C115,[1]B.D!$A:$F,6,FALSE)</f>
        <v>NATURAL</v>
      </c>
      <c r="F115" s="71" t="str">
        <f>VLOOKUP(C115,[1]B.D!$A:$G,7,FALSE)</f>
        <v>BRAZO</v>
      </c>
      <c r="G115" s="64">
        <v>7126.35</v>
      </c>
      <c r="H115" s="72"/>
      <c r="I115" s="73">
        <f t="shared" si="2"/>
        <v>0</v>
      </c>
      <c r="J115" s="74">
        <f>VLOOKUP(C115,[1]B.D!$A:$E,5,FALSE)</f>
        <v>0.39</v>
      </c>
      <c r="K115" s="63">
        <f t="shared" si="3"/>
        <v>0</v>
      </c>
    </row>
    <row r="116" spans="2:11" ht="15" customHeight="1">
      <c r="B116" s="70">
        <v>103</v>
      </c>
      <c r="C116" s="71" t="s">
        <v>507</v>
      </c>
      <c r="D116" s="71" t="str">
        <f>VLOOKUP(C116,[1]B.D!$A:$B,2,FALSE)</f>
        <v>BRAZO FERRITICO COTSWOLD 8 - PLG (PR-AB) - FB</v>
      </c>
      <c r="E116" s="71" t="str">
        <f>VLOOKUP(C116,[1]B.D!$A:$F,6,FALSE)</f>
        <v>NATURAL</v>
      </c>
      <c r="F116" s="71" t="str">
        <f>VLOOKUP(C116,[1]B.D!$A:$G,7,FALSE)</f>
        <v>BRAZO</v>
      </c>
      <c r="G116" s="64">
        <v>3169.9500000000003</v>
      </c>
      <c r="H116" s="72"/>
      <c r="I116" s="73">
        <f t="shared" si="2"/>
        <v>0</v>
      </c>
      <c r="J116" s="74">
        <f>VLOOKUP(C116,[1]B.D!$A:$E,5,FALSE)</f>
        <v>0.14000000000000001</v>
      </c>
      <c r="K116" s="63">
        <f t="shared" si="3"/>
        <v>0</v>
      </c>
    </row>
    <row r="117" spans="2:11" ht="15" customHeight="1">
      <c r="B117" s="70">
        <v>104</v>
      </c>
      <c r="C117" s="75" t="s">
        <v>508</v>
      </c>
      <c r="D117" s="71" t="str">
        <f>VLOOKUP(C117,[1]B.D!$A:$B,2,FALSE)</f>
        <v>BRAZO PROYECCION NICO 10 - PLG</v>
      </c>
      <c r="E117" s="71" t="str">
        <f>VLOOKUP(C117,[1]B.D!$A:$F,6,FALSE)</f>
        <v>NATURAL</v>
      </c>
      <c r="F117" s="71" t="str">
        <f>VLOOKUP(C117,[1]B.D!$A:$G,7,FALSE)</f>
        <v>BRAZO</v>
      </c>
      <c r="G117" s="64">
        <v>6232.8</v>
      </c>
      <c r="H117" s="76"/>
      <c r="I117" s="73">
        <f t="shared" si="2"/>
        <v>0</v>
      </c>
      <c r="J117" s="74">
        <f>VLOOKUP(C117,[1]B.D!$A:$E,5,FALSE)</f>
        <v>0.17</v>
      </c>
      <c r="K117" s="63">
        <f t="shared" si="3"/>
        <v>0</v>
      </c>
    </row>
    <row r="118" spans="2:11" ht="15" customHeight="1">
      <c r="B118" s="70">
        <v>105</v>
      </c>
      <c r="C118" s="75" t="s">
        <v>509</v>
      </c>
      <c r="D118" s="71" t="str">
        <f>VLOOKUP(C118,[1]B.D!$A:$B,2,FALSE)</f>
        <v>BRAZO PROYECCION NICO 12 - PLG</v>
      </c>
      <c r="E118" s="71" t="str">
        <f>VLOOKUP(C118,[1]B.D!$A:$F,6,FALSE)</f>
        <v>NATURAL</v>
      </c>
      <c r="F118" s="71" t="str">
        <f>VLOOKUP(C118,[1]B.D!$A:$G,7,FALSE)</f>
        <v>BRAZO</v>
      </c>
      <c r="G118" s="64">
        <v>6974.1</v>
      </c>
      <c r="H118" s="76"/>
      <c r="I118" s="73">
        <f t="shared" si="2"/>
        <v>0</v>
      </c>
      <c r="J118" s="74">
        <f>VLOOKUP(C118,[1]B.D!$A:$E,5,FALSE)</f>
        <v>0.2</v>
      </c>
      <c r="K118" s="63">
        <f t="shared" si="3"/>
        <v>0</v>
      </c>
    </row>
    <row r="119" spans="2:11" ht="15" customHeight="1">
      <c r="B119" s="70">
        <v>106</v>
      </c>
      <c r="C119" s="75" t="s">
        <v>510</v>
      </c>
      <c r="D119" s="71" t="str">
        <f>VLOOKUP(C119,[1]B.D!$A:$B,2,FALSE)</f>
        <v>BRAZO PROYECCION NICO 16 - PLG</v>
      </c>
      <c r="E119" s="71" t="str">
        <f>VLOOKUP(C119,[1]B.D!$A:$F,6,FALSE)</f>
        <v>NATURAL</v>
      </c>
      <c r="F119" s="71" t="str">
        <f>VLOOKUP(C119,[1]B.D!$A:$G,7,FALSE)</f>
        <v>BRAZO</v>
      </c>
      <c r="G119" s="64">
        <v>8792.7000000000007</v>
      </c>
      <c r="H119" s="76"/>
      <c r="I119" s="73">
        <f t="shared" si="2"/>
        <v>0</v>
      </c>
      <c r="J119" s="74">
        <f>VLOOKUP(C119,[1]B.D!$A:$E,5,FALSE)</f>
        <v>0.26</v>
      </c>
      <c r="K119" s="63">
        <f t="shared" si="3"/>
        <v>0</v>
      </c>
    </row>
    <row r="120" spans="2:11" ht="15" customHeight="1">
      <c r="B120" s="70">
        <v>107</v>
      </c>
      <c r="C120" s="75" t="s">
        <v>511</v>
      </c>
      <c r="D120" s="71" t="str">
        <f>VLOOKUP(C120,[1]B.D!$A:$B,2,FALSE)</f>
        <v>BRAZO PROYECCION NICO 20 - PLG</v>
      </c>
      <c r="E120" s="71" t="str">
        <f>VLOOKUP(C120,[1]B.D!$A:$F,6,FALSE)</f>
        <v>NATURAL</v>
      </c>
      <c r="F120" s="71" t="str">
        <f>VLOOKUP(C120,[1]B.D!$A:$G,7,FALSE)</f>
        <v>BRAZO</v>
      </c>
      <c r="G120" s="64">
        <v>9578.1</v>
      </c>
      <c r="H120" s="76"/>
      <c r="I120" s="73">
        <f t="shared" si="2"/>
        <v>0</v>
      </c>
      <c r="J120" s="74">
        <f>VLOOKUP(C120,[1]B.D!$A:$E,5,FALSE)</f>
        <v>0.33</v>
      </c>
      <c r="K120" s="63">
        <f t="shared" si="3"/>
        <v>0</v>
      </c>
    </row>
    <row r="121" spans="2:11" ht="15" customHeight="1">
      <c r="B121" s="70">
        <v>108</v>
      </c>
      <c r="C121" s="75" t="s">
        <v>512</v>
      </c>
      <c r="D121" s="71" t="str">
        <f>VLOOKUP(C121,[1]B.D!$A:$B,2,FALSE)</f>
        <v>BRAZO PROYECCION NICO 24 - PLG</v>
      </c>
      <c r="E121" s="71" t="str">
        <f>VLOOKUP(C121,[1]B.D!$A:$F,6,FALSE)</f>
        <v>NATURAL</v>
      </c>
      <c r="F121" s="71" t="str">
        <f>VLOOKUP(C121,[1]B.D!$A:$G,7,FALSE)</f>
        <v>BRAZO</v>
      </c>
      <c r="G121" s="64">
        <v>10872.75</v>
      </c>
      <c r="H121" s="76"/>
      <c r="I121" s="73">
        <f t="shared" si="2"/>
        <v>0</v>
      </c>
      <c r="J121" s="74">
        <f>VLOOKUP(C121,[1]B.D!$A:$E,5,FALSE)</f>
        <v>0.39</v>
      </c>
      <c r="K121" s="63">
        <f t="shared" si="3"/>
        <v>0</v>
      </c>
    </row>
    <row r="122" spans="2:11" ht="15" customHeight="1">
      <c r="B122" s="70">
        <v>109</v>
      </c>
      <c r="C122" s="75" t="s">
        <v>513</v>
      </c>
      <c r="D122" s="71" t="str">
        <f>VLOOKUP(C122,[1]B.D!$A:$B,2,FALSE)</f>
        <v>BRAZO PROYECCION NICO 8 - PLG</v>
      </c>
      <c r="E122" s="71" t="str">
        <f>VLOOKUP(C122,[1]B.D!$A:$F,6,FALSE)</f>
        <v>NATURAL</v>
      </c>
      <c r="F122" s="71" t="str">
        <f>VLOOKUP(C122,[1]B.D!$A:$G,7,FALSE)</f>
        <v>BRAZO</v>
      </c>
      <c r="G122" s="64">
        <v>5749.8</v>
      </c>
      <c r="H122" s="76"/>
      <c r="I122" s="73">
        <f t="shared" si="2"/>
        <v>0</v>
      </c>
      <c r="J122" s="74">
        <f>VLOOKUP(C122,[1]B.D!$A:$E,5,FALSE)</f>
        <v>0.14000000000000001</v>
      </c>
      <c r="K122" s="63">
        <f t="shared" si="3"/>
        <v>0</v>
      </c>
    </row>
    <row r="123" spans="2:11" ht="15" customHeight="1">
      <c r="B123" s="70">
        <v>110</v>
      </c>
      <c r="C123" s="75" t="s">
        <v>514</v>
      </c>
      <c r="D123" s="71" t="str">
        <f>VLOOKUP(C123,[1]B.D!$A:$B,2,FALSE)</f>
        <v>BRAZO REFORZADO AUST 22 - PLG - FB</v>
      </c>
      <c r="E123" s="71" t="str">
        <f>VLOOKUP(C123,[1]B.D!$A:$F,6,FALSE)</f>
        <v>NATURAL</v>
      </c>
      <c r="F123" s="71" t="str">
        <f>VLOOKUP(C123,[1]B.D!$A:$G,7,FALSE)</f>
        <v>BRAZO</v>
      </c>
      <c r="G123" s="64">
        <v>18303.600000000002</v>
      </c>
      <c r="H123" s="76"/>
      <c r="I123" s="73">
        <f t="shared" si="2"/>
        <v>0</v>
      </c>
      <c r="J123" s="74">
        <f>VLOOKUP(C123,[1]B.D!$A:$E,5,FALSE)</f>
        <v>0.56000000000000005</v>
      </c>
      <c r="K123" s="63">
        <f t="shared" si="3"/>
        <v>0</v>
      </c>
    </row>
    <row r="124" spans="2:11" ht="15" customHeight="1">
      <c r="B124" s="70">
        <v>111</v>
      </c>
      <c r="C124" s="75" t="s">
        <v>515</v>
      </c>
      <c r="D124" s="71" t="str">
        <f>VLOOKUP(C124,[1]B.D!$A:$B,2,FALSE)</f>
        <v>BRAZO REFORZADO AUST 26 - PLG - FB</v>
      </c>
      <c r="E124" s="71" t="str">
        <f>VLOOKUP(C124,[1]B.D!$A:$F,6,FALSE)</f>
        <v>NATURAL</v>
      </c>
      <c r="F124" s="71" t="str">
        <f>VLOOKUP(C124,[1]B.D!$A:$G,7,FALSE)</f>
        <v>BRAZO</v>
      </c>
      <c r="G124" s="64">
        <v>24052.350000000002</v>
      </c>
      <c r="H124" s="76"/>
      <c r="I124" s="73">
        <f t="shared" si="2"/>
        <v>0</v>
      </c>
      <c r="J124" s="74">
        <f>VLOOKUP(C124,[1]B.D!$A:$E,5,FALSE)</f>
        <v>0.86</v>
      </c>
      <c r="K124" s="63">
        <f t="shared" si="3"/>
        <v>0</v>
      </c>
    </row>
    <row r="125" spans="2:11" ht="15" customHeight="1">
      <c r="B125" s="70">
        <v>112</v>
      </c>
      <c r="C125" s="71" t="s">
        <v>516</v>
      </c>
      <c r="D125" s="71" t="str">
        <f>VLOOKUP(C125,[1]B.D!$A:$B,2,FALSE)</f>
        <v>CARRO AJUSTABLE 40 KG - NAT</v>
      </c>
      <c r="E125" s="71" t="str">
        <f>VLOOKUP(C125,[1]B.D!$A:$F,6,FALSE)</f>
        <v>NATURAL</v>
      </c>
      <c r="F125" s="71" t="str">
        <f>VLOOKUP(C125,[1]B.D!$A:$G,7,FALSE)</f>
        <v>CARRO</v>
      </c>
      <c r="G125" s="64">
        <v>1917.3000000000002</v>
      </c>
      <c r="H125" s="72"/>
      <c r="I125" s="73">
        <f t="shared" si="2"/>
        <v>0</v>
      </c>
      <c r="J125" s="74">
        <f>VLOOKUP(C125,[1]B.D!$A:$E,5,FALSE)</f>
        <v>0.06</v>
      </c>
      <c r="K125" s="63">
        <f t="shared" si="3"/>
        <v>0</v>
      </c>
    </row>
    <row r="126" spans="2:11" ht="15" customHeight="1">
      <c r="B126" s="70">
        <v>113</v>
      </c>
      <c r="C126" s="71" t="s">
        <v>517</v>
      </c>
      <c r="D126" s="71" t="str">
        <f>VLOOKUP(C126,[1]B.D!$A:$B,2,FALSE)</f>
        <v>CARRO AJUSTABLE 70 KG</v>
      </c>
      <c r="E126" s="71" t="str">
        <f>VLOOKUP(C126,[1]B.D!$A:$F,6,FALSE)</f>
        <v>NATURAL</v>
      </c>
      <c r="F126" s="71" t="str">
        <f>VLOOKUP(C126,[1]B.D!$A:$G,7,FALSE)</f>
        <v>CARRO</v>
      </c>
      <c r="G126" s="64">
        <v>2447.5500000000002</v>
      </c>
      <c r="H126" s="72"/>
      <c r="I126" s="73">
        <f t="shared" si="2"/>
        <v>0</v>
      </c>
      <c r="J126" s="74">
        <f>VLOOKUP(C126,[1]B.D!$A:$E,5,FALSE)</f>
        <v>0.1</v>
      </c>
      <c r="K126" s="63">
        <f t="shared" si="3"/>
        <v>0</v>
      </c>
    </row>
    <row r="127" spans="2:11" ht="15" customHeight="1">
      <c r="B127" s="70">
        <v>114</v>
      </c>
      <c r="C127" s="71" t="s">
        <v>865</v>
      </c>
      <c r="D127" s="71" t="str">
        <f>VLOOKUP(C127,[1]B.D!$A:$B,2,FALSE)</f>
        <v>CARRO AMERICANA - FB</v>
      </c>
      <c r="E127" s="71" t="str">
        <f>VLOOKUP(C127,[1]B.D!$A:$F,6,FALSE)</f>
        <v>NATURAL</v>
      </c>
      <c r="F127" s="71" t="str">
        <f>VLOOKUP(C127,[1]B.D!$A:$G,7,FALSE)</f>
        <v>CARRO</v>
      </c>
      <c r="G127" s="64">
        <v>1184.4000000000001</v>
      </c>
      <c r="H127" s="72"/>
      <c r="I127" s="73">
        <f t="shared" si="2"/>
        <v>0</v>
      </c>
      <c r="J127" s="74">
        <f>VLOOKUP(C127,[1]B.D!$A:$E,5,FALSE)</f>
        <v>1.04E-2</v>
      </c>
      <c r="K127" s="63">
        <f t="shared" si="3"/>
        <v>0</v>
      </c>
    </row>
    <row r="128" spans="2:11" ht="15" customHeight="1">
      <c r="B128" s="70">
        <v>115</v>
      </c>
      <c r="C128" s="71" t="s">
        <v>518</v>
      </c>
      <c r="D128" s="71" t="str">
        <f>VLOOKUP(C128,[1]B.D!$A:$B,2,FALSE)</f>
        <v>CARRO ANDES 54 - 40 KG</v>
      </c>
      <c r="E128" s="71" t="str">
        <f>VLOOKUP(C128,[1]B.D!$A:$F,6,FALSE)</f>
        <v>NATURAL</v>
      </c>
      <c r="F128" s="71" t="str">
        <f>VLOOKUP(C128,[1]B.D!$A:$G,7,FALSE)</f>
        <v>CARRO</v>
      </c>
      <c r="G128" s="64">
        <v>1782.9</v>
      </c>
      <c r="H128" s="72"/>
      <c r="I128" s="73">
        <f t="shared" si="2"/>
        <v>0</v>
      </c>
      <c r="J128" s="74">
        <f>VLOOKUP(C128,[1]B.D!$A:$E,5,FALSE)</f>
        <v>0.06</v>
      </c>
      <c r="K128" s="63">
        <f t="shared" si="3"/>
        <v>0</v>
      </c>
    </row>
    <row r="129" spans="2:11" ht="15" customHeight="1">
      <c r="B129" s="70">
        <v>116</v>
      </c>
      <c r="C129" s="71" t="s">
        <v>519</v>
      </c>
      <c r="D129" s="71" t="str">
        <f>VLOOKUP(C129,[1]B.D!$A:$B,2,FALSE)</f>
        <v>CARRO CELSUS ANDES - FIJO 45 KG</v>
      </c>
      <c r="E129" s="71" t="str">
        <f>VLOOKUP(C129,[1]B.D!$A:$F,6,FALSE)</f>
        <v>NEGRO</v>
      </c>
      <c r="F129" s="71" t="str">
        <f>VLOOKUP(C129,[1]B.D!$A:$G,7,FALSE)</f>
        <v>CARRO</v>
      </c>
      <c r="G129" s="64">
        <v>3033.4500000000003</v>
      </c>
      <c r="H129" s="72"/>
      <c r="I129" s="73">
        <f t="shared" si="2"/>
        <v>0</v>
      </c>
      <c r="J129" s="74">
        <f>VLOOKUP(C129,[1]B.D!$A:$E,5,FALSE)</f>
        <v>0.03</v>
      </c>
      <c r="K129" s="63">
        <f t="shared" si="3"/>
        <v>0</v>
      </c>
    </row>
    <row r="130" spans="2:11" ht="15" customHeight="1">
      <c r="B130" s="70">
        <v>117</v>
      </c>
      <c r="C130" s="75" t="s">
        <v>520</v>
      </c>
      <c r="D130" s="71" t="str">
        <f>VLOOKUP(C130,[1]B.D!$A:$B,2,FALSE)</f>
        <v>CARRO CELSUS ANDES - FIJO 90 KG</v>
      </c>
      <c r="E130" s="71" t="str">
        <f>VLOOKUP(C130,[1]B.D!$A:$F,6,FALSE)</f>
        <v>NEGRO</v>
      </c>
      <c r="F130" s="71" t="str">
        <f>VLOOKUP(C130,[1]B.D!$A:$G,7,FALSE)</f>
        <v>CARRO</v>
      </c>
      <c r="G130" s="64">
        <v>5216.4000000000005</v>
      </c>
      <c r="H130" s="76"/>
      <c r="I130" s="73">
        <f t="shared" si="2"/>
        <v>0</v>
      </c>
      <c r="J130" s="74">
        <f>VLOOKUP(C130,[1]B.D!$A:$E,5,FALSE)</f>
        <v>0.03</v>
      </c>
      <c r="K130" s="63">
        <f t="shared" si="3"/>
        <v>0</v>
      </c>
    </row>
    <row r="131" spans="2:11" ht="15" customHeight="1">
      <c r="B131" s="70">
        <v>118</v>
      </c>
      <c r="C131" s="71" t="s">
        <v>521</v>
      </c>
      <c r="D131" s="71" t="str">
        <f>VLOOKUP(C131,[1]B.D!$A:$B,2,FALSE)</f>
        <v>CARRO CELSUS ANDES - REGULABLE 60 KG</v>
      </c>
      <c r="E131" s="71" t="str">
        <f>VLOOKUP(C131,[1]B.D!$A:$F,6,FALSE)</f>
        <v>NATURAL</v>
      </c>
      <c r="F131" s="71" t="str">
        <f>VLOOKUP(C131,[1]B.D!$A:$G,7,FALSE)</f>
        <v>CARRO</v>
      </c>
      <c r="G131" s="64">
        <v>3089.1</v>
      </c>
      <c r="H131" s="72"/>
      <c r="I131" s="73">
        <f t="shared" si="2"/>
        <v>0</v>
      </c>
      <c r="J131" s="74">
        <f>VLOOKUP(C131,[1]B.D!$A:$E,5,FALSE)</f>
        <v>7.3499999999999996E-2</v>
      </c>
      <c r="K131" s="63">
        <f t="shared" si="3"/>
        <v>0</v>
      </c>
    </row>
    <row r="132" spans="2:11" ht="15" customHeight="1">
      <c r="B132" s="70">
        <v>119</v>
      </c>
      <c r="C132" s="75" t="s">
        <v>522</v>
      </c>
      <c r="D132" s="71" t="str">
        <f>VLOOKUP(C132,[1]B.D!$A:$B,2,FALSE)</f>
        <v>CARRO CELSUS SLIDING - REGULABLE 120 KG</v>
      </c>
      <c r="E132" s="71" t="str">
        <f>VLOOKUP(C132,[1]B.D!$A:$F,6,FALSE)</f>
        <v>NEGRO</v>
      </c>
      <c r="F132" s="71" t="str">
        <f>VLOOKUP(C132,[1]B.D!$A:$G,7,FALSE)</f>
        <v>CARRO</v>
      </c>
      <c r="G132" s="64">
        <v>7861.35</v>
      </c>
      <c r="H132" s="76"/>
      <c r="I132" s="73">
        <f t="shared" si="2"/>
        <v>0</v>
      </c>
      <c r="J132" s="74">
        <f>VLOOKUP(C132,[1]B.D!$A:$E,5,FALSE)</f>
        <v>0.08</v>
      </c>
      <c r="K132" s="63">
        <f t="shared" si="3"/>
        <v>0</v>
      </c>
    </row>
    <row r="133" spans="2:11" ht="15" customHeight="1">
      <c r="B133" s="70">
        <v>120</v>
      </c>
      <c r="C133" s="75" t="s">
        <v>523</v>
      </c>
      <c r="D133" s="71" t="str">
        <f>VLOOKUP(C133,[1]B.D!$A:$B,2,FALSE)</f>
        <v>CARRO CELSUS SLIDING - REGULABLE 230 KG</v>
      </c>
      <c r="E133" s="71" t="str">
        <f>VLOOKUP(C133,[1]B.D!$A:$F,6,FALSE)</f>
        <v>NEGRO</v>
      </c>
      <c r="F133" s="71" t="str">
        <f>VLOOKUP(C133,[1]B.D!$A:$G,7,FALSE)</f>
        <v>CARRO</v>
      </c>
      <c r="G133" s="64">
        <v>13881</v>
      </c>
      <c r="H133" s="76"/>
      <c r="I133" s="73">
        <f t="shared" si="2"/>
        <v>0</v>
      </c>
      <c r="J133" s="74">
        <f>VLOOKUP(C133,[1]B.D!$A:$E,5,FALSE)</f>
        <v>0.24</v>
      </c>
      <c r="K133" s="63">
        <f t="shared" si="3"/>
        <v>0</v>
      </c>
    </row>
    <row r="134" spans="2:11" ht="15" customHeight="1">
      <c r="B134" s="70">
        <v>121</v>
      </c>
      <c r="C134" s="75" t="s">
        <v>850</v>
      </c>
      <c r="D134" s="71" t="str">
        <f>VLOOKUP(C134,[1]B.D!$A:$B,2,FALSE)</f>
        <v>CARRO CELSUS SLIDING - REGULABLE 400 KG - HQ</v>
      </c>
      <c r="E134" s="71" t="str">
        <f>VLOOKUP(C134,[1]B.D!$A:$F,6,FALSE)</f>
        <v>NEGRO</v>
      </c>
      <c r="F134" s="71" t="str">
        <f>VLOOKUP(C134,[1]B.D!$A:$G,7,FALSE)</f>
        <v>CARRO</v>
      </c>
      <c r="G134" s="64">
        <v>35018.550000000003</v>
      </c>
      <c r="H134" s="76"/>
      <c r="I134" s="73">
        <f t="shared" si="2"/>
        <v>0</v>
      </c>
      <c r="J134" s="74">
        <f>VLOOKUP(C134,[1]B.D!$A:$E,5,FALSE)</f>
        <v>0.44440000000000002</v>
      </c>
      <c r="K134" s="63">
        <f t="shared" si="3"/>
        <v>0</v>
      </c>
    </row>
    <row r="135" spans="2:11" ht="15" customHeight="1">
      <c r="B135" s="70">
        <v>122</v>
      </c>
      <c r="C135" s="75" t="s">
        <v>524</v>
      </c>
      <c r="D135" s="71" t="str">
        <f>VLOOKUP(C135,[1]B.D!$A:$B,2,FALSE)</f>
        <v>CARRO CELSUS SLIDING - REGULABLE 60 KG</v>
      </c>
      <c r="E135" s="71" t="str">
        <f>VLOOKUP(C135,[1]B.D!$A:$F,6,FALSE)</f>
        <v>NEGRO</v>
      </c>
      <c r="F135" s="71" t="str">
        <f>VLOOKUP(C135,[1]B.D!$A:$G,7,FALSE)</f>
        <v>CARRO</v>
      </c>
      <c r="G135" s="64">
        <v>5323.5</v>
      </c>
      <c r="H135" s="76"/>
      <c r="I135" s="73">
        <f t="shared" si="2"/>
        <v>0</v>
      </c>
      <c r="J135" s="74">
        <f>VLOOKUP(C135,[1]B.D!$A:$E,5,FALSE)</f>
        <v>0.06</v>
      </c>
      <c r="K135" s="63">
        <f t="shared" si="3"/>
        <v>0</v>
      </c>
    </row>
    <row r="136" spans="2:11" ht="15" customHeight="1">
      <c r="B136" s="70">
        <v>123</v>
      </c>
      <c r="C136" s="71" t="s">
        <v>525</v>
      </c>
      <c r="D136" s="71" t="str">
        <f>VLOOKUP(C136,[1]B.D!$A:$B,2,FALSE)</f>
        <v>CARRO CELSUS SLIDING - REGULABLE 80 KG</v>
      </c>
      <c r="E136" s="71" t="str">
        <f>VLOOKUP(C136,[1]B.D!$A:$F,6,FALSE)</f>
        <v>NATURAL</v>
      </c>
      <c r="F136" s="71" t="str">
        <f>VLOOKUP(C136,[1]B.D!$A:$G,7,FALSE)</f>
        <v>CARRO</v>
      </c>
      <c r="G136" s="64">
        <v>3804.15</v>
      </c>
      <c r="H136" s="72"/>
      <c r="I136" s="73">
        <f t="shared" si="2"/>
        <v>0</v>
      </c>
      <c r="J136" s="74">
        <f>VLOOKUP(C136,[1]B.D!$A:$E,5,FALSE)</f>
        <v>7.4800000000000005E-2</v>
      </c>
      <c r="K136" s="63">
        <f t="shared" si="3"/>
        <v>0</v>
      </c>
    </row>
    <row r="137" spans="2:11" ht="15" customHeight="1">
      <c r="B137" s="70">
        <v>124</v>
      </c>
      <c r="C137" s="71" t="s">
        <v>526</v>
      </c>
      <c r="D137" s="71" t="str">
        <f>VLOOKUP(C137,[1]B.D!$A:$B,2,FALSE)</f>
        <v>SUPLE HOJA CORREDERA A FIJA - MA</v>
      </c>
      <c r="E137" s="71" t="str">
        <f>VLOOKUP(C137,[1]B.D!$A:$F,6,FALSE)</f>
        <v>NEGRO</v>
      </c>
      <c r="F137" s="71" t="str">
        <f>VLOOKUP(C137,[1]B.D!$A:$G,7,FALSE)</f>
        <v>CARRO</v>
      </c>
      <c r="G137" s="64">
        <v>673.05000000000007</v>
      </c>
      <c r="H137" s="72"/>
      <c r="I137" s="73">
        <f t="shared" si="2"/>
        <v>0</v>
      </c>
      <c r="J137" s="74">
        <f>VLOOKUP(C137,[1]B.D!$A:$E,5,FALSE)</f>
        <v>0.01</v>
      </c>
      <c r="K137" s="63">
        <f t="shared" si="3"/>
        <v>0</v>
      </c>
    </row>
    <row r="138" spans="2:11" ht="15" customHeight="1">
      <c r="B138" s="70">
        <v>125</v>
      </c>
      <c r="C138" s="75" t="s">
        <v>941</v>
      </c>
      <c r="D138" s="71" t="str">
        <f>VLOOKUP(C138,[1]B.D!$A:$B,2,FALSE)</f>
        <v>SUPLEMENTO CARROS CELSUS 10 mm - HQ</v>
      </c>
      <c r="E138" s="71" t="str">
        <f>VLOOKUP(C138,[1]B.D!$A:$F,6,FALSE)</f>
        <v>GRIS</v>
      </c>
      <c r="F138" s="71" t="str">
        <f>VLOOKUP(C138,[1]B.D!$A:$G,7,FALSE)</f>
        <v>CARRO</v>
      </c>
      <c r="G138" s="64">
        <v>74.55</v>
      </c>
      <c r="H138" s="76"/>
      <c r="I138" s="73">
        <f t="shared" si="2"/>
        <v>0</v>
      </c>
      <c r="J138" s="74">
        <f>VLOOKUP(C138,[1]B.D!$A:$E,5,FALSE)</f>
        <v>0</v>
      </c>
      <c r="K138" s="63">
        <f t="shared" si="3"/>
        <v>0</v>
      </c>
    </row>
    <row r="139" spans="2:11" ht="15" customHeight="1">
      <c r="B139" s="70">
        <v>126</v>
      </c>
      <c r="C139" s="71" t="s">
        <v>527</v>
      </c>
      <c r="D139" s="71" t="str">
        <f>VLOOKUP(C139,[1]B.D!$A:$B,2,FALSE)</f>
        <v>SUPLEMENTO CARROS CELSUS 16.5 mm</v>
      </c>
      <c r="E139" s="71" t="str">
        <f>VLOOKUP(C139,[1]B.D!$A:$F,6,FALSE)</f>
        <v>GRAFITO</v>
      </c>
      <c r="F139" s="71" t="str">
        <f>VLOOKUP(C139,[1]B.D!$A:$G,7,FALSE)</f>
        <v>CARRO</v>
      </c>
      <c r="G139" s="64">
        <v>327.60000000000002</v>
      </c>
      <c r="H139" s="72"/>
      <c r="I139" s="73">
        <f t="shared" si="2"/>
        <v>0</v>
      </c>
      <c r="J139" s="74">
        <f>VLOOKUP(C139,[1]B.D!$A:$E,5,FALSE)</f>
        <v>0.01</v>
      </c>
      <c r="K139" s="63">
        <f t="shared" si="3"/>
        <v>0</v>
      </c>
    </row>
    <row r="140" spans="2:11" ht="15" customHeight="1">
      <c r="B140" s="70">
        <v>127</v>
      </c>
      <c r="C140" s="71" t="s">
        <v>851</v>
      </c>
      <c r="D140" s="71" t="str">
        <f>VLOOKUP(C140,[1]B.D!$A:$B,2,FALSE)</f>
        <v>SUPLEMENTO CARROS CELSUS 6 mm - HQ</v>
      </c>
      <c r="E140" s="71" t="str">
        <f>VLOOKUP(C140,[1]B.D!$A:$F,6,FALSE)</f>
        <v>GRIS</v>
      </c>
      <c r="F140" s="71" t="str">
        <f>VLOOKUP(C140,[1]B.D!$A:$G,7,FALSE)</f>
        <v>CARRO</v>
      </c>
      <c r="G140" s="64">
        <v>143.85</v>
      </c>
      <c r="H140" s="72"/>
      <c r="I140" s="73">
        <f t="shared" si="2"/>
        <v>0</v>
      </c>
      <c r="J140" s="74">
        <f>VLOOKUP(C140,[1]B.D!$A:$E,5,FALSE)</f>
        <v>3.2000000000000002E-3</v>
      </c>
      <c r="K140" s="63">
        <f t="shared" si="3"/>
        <v>0</v>
      </c>
    </row>
    <row r="141" spans="2:11" ht="15" customHeight="1">
      <c r="B141" s="70">
        <v>128</v>
      </c>
      <c r="C141" s="71" t="s">
        <v>852</v>
      </c>
      <c r="D141" s="71" t="str">
        <f>VLOOKUP(C141,[1]B.D!$A:$B,2,FALSE)</f>
        <v>SUPLEMENTO CARROS CELSUS 8 mm - HQ</v>
      </c>
      <c r="E141" s="71" t="str">
        <f>VLOOKUP(C141,[1]B.D!$A:$F,6,FALSE)</f>
        <v>GRIS</v>
      </c>
      <c r="F141" s="71" t="str">
        <f>VLOOKUP(C141,[1]B.D!$A:$G,7,FALSE)</f>
        <v>CARRO</v>
      </c>
      <c r="G141" s="64">
        <v>311.85000000000002</v>
      </c>
      <c r="H141" s="72"/>
      <c r="I141" s="73">
        <f t="shared" si="2"/>
        <v>0</v>
      </c>
      <c r="J141" s="74">
        <f>VLOOKUP(C141,[1]B.D!$A:$E,5,FALSE)</f>
        <v>4.4000000000000003E-3</v>
      </c>
      <c r="K141" s="63">
        <f t="shared" si="3"/>
        <v>0</v>
      </c>
    </row>
    <row r="142" spans="2:11" ht="15" customHeight="1">
      <c r="B142" s="70">
        <v>129</v>
      </c>
      <c r="C142" s="71" t="s">
        <v>528</v>
      </c>
      <c r="D142" s="71" t="str">
        <f>VLOOKUP(C142,[1]B.D!$A:$B,2,FALSE)</f>
        <v>CERRADERO 13 mm</v>
      </c>
      <c r="E142" s="71" t="str">
        <f>VLOOKUP(C142,[1]B.D!$A:$F,6,FALSE)</f>
        <v>NATURAL</v>
      </c>
      <c r="F142" s="71" t="str">
        <f>VLOOKUP(C142,[1]B.D!$A:$G,7,FALSE)</f>
        <v>CERRADEROS</v>
      </c>
      <c r="G142" s="64">
        <v>346.5</v>
      </c>
      <c r="H142" s="72"/>
      <c r="I142" s="73">
        <f t="shared" ref="I142:I205" si="4">G142*H142</f>
        <v>0</v>
      </c>
      <c r="J142" s="74">
        <f>VLOOKUP(C142,[1]B.D!$A:$E,5,FALSE)</f>
        <v>0.01</v>
      </c>
      <c r="K142" s="63">
        <f t="shared" ref="K142:K205" si="5">$H142*$J142</f>
        <v>0</v>
      </c>
    </row>
    <row r="143" spans="2:11" ht="15" customHeight="1">
      <c r="B143" s="70">
        <v>130</v>
      </c>
      <c r="C143" s="71" t="s">
        <v>529</v>
      </c>
      <c r="D143" s="71" t="str">
        <f>VLOOKUP(C143,[1]B.D!$A:$B,2,FALSE)</f>
        <v>CERRADERO 13 mm - FIRAT</v>
      </c>
      <c r="E143" s="71" t="str">
        <f>VLOOKUP(C143,[1]B.D!$A:$F,6,FALSE)</f>
        <v>NATURAL</v>
      </c>
      <c r="F143" s="71" t="str">
        <f>VLOOKUP(C143,[1]B.D!$A:$G,7,FALSE)</f>
        <v>CERRADEROS</v>
      </c>
      <c r="G143" s="64">
        <v>254.10000000000002</v>
      </c>
      <c r="H143" s="72"/>
      <c r="I143" s="73">
        <f t="shared" si="4"/>
        <v>0</v>
      </c>
      <c r="J143" s="74">
        <f>VLOOKUP(C143,[1]B.D!$A:$E,5,FALSE)</f>
        <v>0.01</v>
      </c>
      <c r="K143" s="63">
        <f t="shared" si="5"/>
        <v>0</v>
      </c>
    </row>
    <row r="144" spans="2:11" ht="15" customHeight="1">
      <c r="B144" s="70">
        <v>131</v>
      </c>
      <c r="C144" s="71" t="s">
        <v>530</v>
      </c>
      <c r="D144" s="71" t="str">
        <f>VLOOKUP(C144,[1]B.D!$A:$B,2,FALSE)</f>
        <v>CERRADERO 13 mm PARA BULON DE SEG.</v>
      </c>
      <c r="E144" s="71" t="str">
        <f>VLOOKUP(C144,[1]B.D!$A:$F,6,FALSE)</f>
        <v>NATURAL</v>
      </c>
      <c r="F144" s="71" t="str">
        <f>VLOOKUP(C144,[1]B.D!$A:$G,7,FALSE)</f>
        <v>CERRADEROS</v>
      </c>
      <c r="G144" s="64">
        <v>336</v>
      </c>
      <c r="H144" s="72"/>
      <c r="I144" s="73">
        <f t="shared" si="4"/>
        <v>0</v>
      </c>
      <c r="J144" s="74">
        <f>VLOOKUP(C144,[1]B.D!$A:$E,5,FALSE)</f>
        <v>0.04</v>
      </c>
      <c r="K144" s="63">
        <f t="shared" si="5"/>
        <v>0</v>
      </c>
    </row>
    <row r="145" spans="2:11" ht="15" customHeight="1">
      <c r="B145" s="70">
        <v>132</v>
      </c>
      <c r="C145" s="71" t="s">
        <v>531</v>
      </c>
      <c r="D145" s="71" t="str">
        <f>VLOOKUP(C145,[1]B.D!$A:$B,2,FALSE)</f>
        <v>CERRADERO 9 mm</v>
      </c>
      <c r="E145" s="71" t="str">
        <f>VLOOKUP(C145,[1]B.D!$A:$F,6,FALSE)</f>
        <v>NATURAL</v>
      </c>
      <c r="F145" s="71" t="str">
        <f>VLOOKUP(C145,[1]B.D!$A:$G,7,FALSE)</f>
        <v>CERRADEROS</v>
      </c>
      <c r="G145" s="64">
        <v>844.2</v>
      </c>
      <c r="H145" s="72"/>
      <c r="I145" s="73">
        <f t="shared" si="4"/>
        <v>0</v>
      </c>
      <c r="J145" s="74">
        <f>VLOOKUP(C145,[1]B.D!$A:$E,5,FALSE)</f>
        <v>0.01</v>
      </c>
      <c r="K145" s="63">
        <f t="shared" si="5"/>
        <v>0</v>
      </c>
    </row>
    <row r="146" spans="2:11" ht="15" customHeight="1">
      <c r="B146" s="70">
        <v>133</v>
      </c>
      <c r="C146" s="71" t="s">
        <v>532</v>
      </c>
      <c r="D146" s="71" t="str">
        <f>VLOOKUP(C146,[1]B.D!$A:$B,2,FALSE)</f>
        <v>CERRADERO BATIENTE</v>
      </c>
      <c r="E146" s="71" t="str">
        <f>VLOOKUP(C146,[1]B.D!$A:$F,6,FALSE)</f>
        <v>NATURAL</v>
      </c>
      <c r="F146" s="71" t="str">
        <f>VLOOKUP(C146,[1]B.D!$A:$G,7,FALSE)</f>
        <v>CERRADEROS</v>
      </c>
      <c r="G146" s="64">
        <v>526.05000000000007</v>
      </c>
      <c r="H146" s="72"/>
      <c r="I146" s="73">
        <f t="shared" si="4"/>
        <v>0</v>
      </c>
      <c r="J146" s="74">
        <f>VLOOKUP(C146,[1]B.D!$A:$E,5,FALSE)</f>
        <v>0.03</v>
      </c>
      <c r="K146" s="63">
        <f t="shared" si="5"/>
        <v>0</v>
      </c>
    </row>
    <row r="147" spans="2:11" ht="15" customHeight="1">
      <c r="B147" s="70">
        <v>134</v>
      </c>
      <c r="C147" s="71" t="s">
        <v>533</v>
      </c>
      <c r="D147" s="71" t="str">
        <f>VLOOKUP(C147,[1]B.D!$A:$B,2,FALSE)</f>
        <v>CERRADERO CALUGA BATIENTE - TT</v>
      </c>
      <c r="E147" s="71" t="str">
        <f>VLOOKUP(C147,[1]B.D!$A:$F,6,FALSE)</f>
        <v>NATURAL</v>
      </c>
      <c r="F147" s="71" t="str">
        <f>VLOOKUP(C147,[1]B.D!$A:$G,7,FALSE)</f>
        <v>CERRADEROS</v>
      </c>
      <c r="G147" s="64">
        <v>485.1</v>
      </c>
      <c r="H147" s="72"/>
      <c r="I147" s="73">
        <f t="shared" si="4"/>
        <v>0</v>
      </c>
      <c r="J147" s="74">
        <f>VLOOKUP(C147,[1]B.D!$A:$E,5,FALSE)</f>
        <v>0.22</v>
      </c>
      <c r="K147" s="63">
        <f t="shared" si="5"/>
        <v>0</v>
      </c>
    </row>
    <row r="148" spans="2:11" ht="15" customHeight="1">
      <c r="B148" s="70">
        <v>135</v>
      </c>
      <c r="C148" s="71" t="s">
        <v>534</v>
      </c>
      <c r="D148" s="71" t="str">
        <f>VLOOKUP(C148,[1]B.D!$A:$B,2,FALSE)</f>
        <v>CERRADERO CENTRAL PUERTA</v>
      </c>
      <c r="E148" s="71" t="str">
        <f>VLOOKUP(C148,[1]B.D!$A:$F,6,FALSE)</f>
        <v>NATURAL</v>
      </c>
      <c r="F148" s="71" t="str">
        <f>VLOOKUP(C148,[1]B.D!$A:$G,7,FALSE)</f>
        <v>CERRADEROS</v>
      </c>
      <c r="G148" s="64">
        <v>1649.5500000000002</v>
      </c>
      <c r="H148" s="72"/>
      <c r="I148" s="73">
        <f t="shared" si="4"/>
        <v>0</v>
      </c>
      <c r="J148" s="74">
        <f>VLOOKUP(C148,[1]B.D!$A:$E,5,FALSE)</f>
        <v>0.09</v>
      </c>
      <c r="K148" s="63">
        <f t="shared" si="5"/>
        <v>0</v>
      </c>
    </row>
    <row r="149" spans="2:11" ht="15" customHeight="1">
      <c r="B149" s="70">
        <v>136</v>
      </c>
      <c r="C149" s="71" t="s">
        <v>535</v>
      </c>
      <c r="D149" s="71" t="str">
        <f>VLOOKUP(C149,[1]B.D!$A:$B,2,FALSE)</f>
        <v>CERRADERO CENTRAL PUERTA BATIENTE</v>
      </c>
      <c r="E149" s="71" t="str">
        <f>VLOOKUP(C149,[1]B.D!$A:$F,6,FALSE)</f>
        <v>NATURAL</v>
      </c>
      <c r="F149" s="71" t="str">
        <f>VLOOKUP(C149,[1]B.D!$A:$G,7,FALSE)</f>
        <v>CERRADEROS</v>
      </c>
      <c r="G149" s="64">
        <v>1008</v>
      </c>
      <c r="H149" s="72"/>
      <c r="I149" s="73">
        <f t="shared" si="4"/>
        <v>0</v>
      </c>
      <c r="J149" s="74">
        <f>VLOOKUP(C149,[1]B.D!$A:$E,5,FALSE)</f>
        <v>0.08</v>
      </c>
      <c r="K149" s="63">
        <f t="shared" si="5"/>
        <v>0</v>
      </c>
    </row>
    <row r="150" spans="2:11" ht="15" customHeight="1">
      <c r="B150" s="70">
        <v>137</v>
      </c>
      <c r="C150" s="71" t="s">
        <v>536</v>
      </c>
      <c r="D150" s="71" t="str">
        <f>VLOOKUP(C150,[1]B.D!$A:$B,2,FALSE)</f>
        <v>CERRADERO CORREDERA</v>
      </c>
      <c r="E150" s="71" t="str">
        <f>VLOOKUP(C150,[1]B.D!$A:$F,6,FALSE)</f>
        <v>NATURAL</v>
      </c>
      <c r="F150" s="71" t="str">
        <f>VLOOKUP(C150,[1]B.D!$A:$G,7,FALSE)</f>
        <v>CERRADEROS</v>
      </c>
      <c r="G150" s="64">
        <v>416.85</v>
      </c>
      <c r="H150" s="72"/>
      <c r="I150" s="73">
        <f t="shared" si="4"/>
        <v>0</v>
      </c>
      <c r="J150" s="74">
        <f>VLOOKUP(C150,[1]B.D!$A:$E,5,FALSE)</f>
        <v>0.01</v>
      </c>
      <c r="K150" s="63">
        <f t="shared" si="5"/>
        <v>0</v>
      </c>
    </row>
    <row r="151" spans="2:11" ht="15" customHeight="1">
      <c r="B151" s="70">
        <v>138</v>
      </c>
      <c r="C151" s="71" t="s">
        <v>537</v>
      </c>
      <c r="D151" s="71" t="str">
        <f>VLOOKUP(C151,[1]B.D!$A:$B,2,FALSE)</f>
        <v>CERRADERO CORREDERA FIRAT</v>
      </c>
      <c r="E151" s="71" t="str">
        <f>VLOOKUP(C151,[1]B.D!$A:$F,6,FALSE)</f>
        <v>NATURAL</v>
      </c>
      <c r="F151" s="71" t="str">
        <f>VLOOKUP(C151,[1]B.D!$A:$G,7,FALSE)</f>
        <v>CERRADEROS</v>
      </c>
      <c r="G151" s="64">
        <v>416.85</v>
      </c>
      <c r="H151" s="72"/>
      <c r="I151" s="73">
        <f t="shared" si="4"/>
        <v>0</v>
      </c>
      <c r="J151" s="74">
        <f>VLOOKUP(C151,[1]B.D!$A:$E,5,FALSE)</f>
        <v>0.01</v>
      </c>
      <c r="K151" s="63">
        <f t="shared" si="5"/>
        <v>0</v>
      </c>
    </row>
    <row r="152" spans="2:11" ht="15" customHeight="1">
      <c r="B152" s="70">
        <v>139</v>
      </c>
      <c r="C152" s="71" t="s">
        <v>538</v>
      </c>
      <c r="D152" s="71" t="str">
        <f>VLOOKUP(C152,[1]B.D!$A:$B,2,FALSE)</f>
        <v>CERRADERO CORREDERA SEGURIDAD</v>
      </c>
      <c r="E152" s="71" t="str">
        <f>VLOOKUP(C152,[1]B.D!$A:$F,6,FALSE)</f>
        <v>NATURAL</v>
      </c>
      <c r="F152" s="71" t="str">
        <f>VLOOKUP(C152,[1]B.D!$A:$G,7,FALSE)</f>
        <v>CERRADEROS</v>
      </c>
      <c r="G152" s="64">
        <v>161.70000000000002</v>
      </c>
      <c r="H152" s="72"/>
      <c r="I152" s="73">
        <f t="shared" si="4"/>
        <v>0</v>
      </c>
      <c r="J152" s="74">
        <f>VLOOKUP(C152,[1]B.D!$A:$E,5,FALSE)</f>
        <v>0.03</v>
      </c>
      <c r="K152" s="63">
        <f t="shared" si="5"/>
        <v>0</v>
      </c>
    </row>
    <row r="153" spans="2:11" ht="15" customHeight="1">
      <c r="B153" s="70">
        <v>140</v>
      </c>
      <c r="C153" s="71" t="s">
        <v>539</v>
      </c>
      <c r="D153" s="71" t="str">
        <f>VLOOKUP(C153,[1]B.D!$A:$B,2,FALSE)</f>
        <v>CERRADERO FALSA MANIOBRA 13 mm</v>
      </c>
      <c r="E153" s="71" t="str">
        <f>VLOOKUP(C153,[1]B.D!$A:$F,6,FALSE)</f>
        <v>NATURAL</v>
      </c>
      <c r="F153" s="71" t="str">
        <f>VLOOKUP(C153,[1]B.D!$A:$G,7,FALSE)</f>
        <v>CERRADEROS</v>
      </c>
      <c r="G153" s="64">
        <v>822.15000000000009</v>
      </c>
      <c r="H153" s="72"/>
      <c r="I153" s="73">
        <f t="shared" si="4"/>
        <v>0</v>
      </c>
      <c r="J153" s="74">
        <f>VLOOKUP(C153,[1]B.D!$A:$E,5,FALSE)</f>
        <v>0.02</v>
      </c>
      <c r="K153" s="63">
        <f t="shared" si="5"/>
        <v>0</v>
      </c>
    </row>
    <row r="154" spans="2:11" ht="15" customHeight="1">
      <c r="B154" s="70">
        <v>141</v>
      </c>
      <c r="C154" s="71" t="s">
        <v>540</v>
      </c>
      <c r="D154" s="71" t="str">
        <f>VLOOKUP(C154,[1]B.D!$A:$B,2,FALSE)</f>
        <v>CERRADERO FALSA MANIOBRA BATIENTE</v>
      </c>
      <c r="E154" s="71" t="str">
        <f>VLOOKUP(C154,[1]B.D!$A:$F,6,FALSE)</f>
        <v>NATURAL</v>
      </c>
      <c r="F154" s="71" t="str">
        <f>VLOOKUP(C154,[1]B.D!$A:$G,7,FALSE)</f>
        <v>CERRADEROS</v>
      </c>
      <c r="G154" s="64">
        <v>1496.25</v>
      </c>
      <c r="H154" s="72"/>
      <c r="I154" s="73">
        <f t="shared" si="4"/>
        <v>0</v>
      </c>
      <c r="J154" s="74">
        <f>VLOOKUP(C154,[1]B.D!$A:$E,5,FALSE)</f>
        <v>0.01</v>
      </c>
      <c r="K154" s="63">
        <f t="shared" si="5"/>
        <v>0</v>
      </c>
    </row>
    <row r="155" spans="2:11" ht="15" customHeight="1">
      <c r="B155" s="70">
        <v>142</v>
      </c>
      <c r="C155" s="71" t="s">
        <v>541</v>
      </c>
      <c r="D155" s="71" t="str">
        <f>VLOOKUP(C155,[1]B.D!$A:$B,2,FALSE)</f>
        <v>CERRADERO PICAPORTE 13 mm</v>
      </c>
      <c r="E155" s="71" t="str">
        <f>VLOOKUP(C155,[1]B.D!$A:$F,6,FALSE)</f>
        <v>NATURAL</v>
      </c>
      <c r="F155" s="71" t="str">
        <f>VLOOKUP(C155,[1]B.D!$A:$G,7,FALSE)</f>
        <v>CERRADEROS</v>
      </c>
      <c r="G155" s="64">
        <v>2505.3000000000002</v>
      </c>
      <c r="H155" s="72"/>
      <c r="I155" s="73">
        <f t="shared" si="4"/>
        <v>0</v>
      </c>
      <c r="J155" s="74">
        <f>VLOOKUP(C155,[1]B.D!$A:$E,5,FALSE)</f>
        <v>0.14000000000000001</v>
      </c>
      <c r="K155" s="63">
        <f t="shared" si="5"/>
        <v>0</v>
      </c>
    </row>
    <row r="156" spans="2:11" ht="15" customHeight="1">
      <c r="B156" s="70">
        <v>143</v>
      </c>
      <c r="C156" s="71" t="s">
        <v>542</v>
      </c>
      <c r="D156" s="71" t="str">
        <f>VLOOKUP(C156,[1]B.D!$A:$B,2,FALSE)</f>
        <v>CERRADERO PICAPORTE ECO</v>
      </c>
      <c r="E156" s="71" t="str">
        <f>VLOOKUP(C156,[1]B.D!$A:$F,6,FALSE)</f>
        <v>NATURAL</v>
      </c>
      <c r="F156" s="71" t="str">
        <f>VLOOKUP(C156,[1]B.D!$A:$G,7,FALSE)</f>
        <v>CERRADEROS</v>
      </c>
      <c r="G156" s="64">
        <v>2104.2000000000003</v>
      </c>
      <c r="H156" s="72"/>
      <c r="I156" s="73">
        <f t="shared" si="4"/>
        <v>0</v>
      </c>
      <c r="J156" s="74">
        <f>VLOOKUP(C156,[1]B.D!$A:$E,5,FALSE)</f>
        <v>0.08</v>
      </c>
      <c r="K156" s="63">
        <f t="shared" si="5"/>
        <v>0</v>
      </c>
    </row>
    <row r="157" spans="2:11" ht="15" customHeight="1">
      <c r="B157" s="70">
        <v>144</v>
      </c>
      <c r="C157" s="71" t="s">
        <v>544</v>
      </c>
      <c r="D157" s="71" t="str">
        <f>VLOOKUP(C157,[1]B.D!$A:$B,2,FALSE)</f>
        <v>KIT CIERRE OCULTO 13 mm</v>
      </c>
      <c r="E157" s="71" t="str">
        <f>VLOOKUP(C157,[1]B.D!$A:$F,6,FALSE)</f>
        <v>NATURAL</v>
      </c>
      <c r="F157" s="71" t="str">
        <f>VLOOKUP(C157,[1]B.D!$A:$G,7,FALSE)</f>
        <v>CERRADEROS</v>
      </c>
      <c r="G157" s="64">
        <v>1961.4</v>
      </c>
      <c r="H157" s="72"/>
      <c r="I157" s="73">
        <f t="shared" si="4"/>
        <v>0</v>
      </c>
      <c r="J157" s="74">
        <f>VLOOKUP(C157,[1]B.D!$A:$E,5,FALSE)</f>
        <v>0.06</v>
      </c>
      <c r="K157" s="63">
        <f t="shared" si="5"/>
        <v>0</v>
      </c>
    </row>
    <row r="158" spans="2:11" ht="15" customHeight="1">
      <c r="B158" s="70">
        <v>145</v>
      </c>
      <c r="C158" s="75" t="s">
        <v>545</v>
      </c>
      <c r="D158" s="71" t="str">
        <f>VLOOKUP(C158,[1]B.D!$A:$B,2,FALSE)</f>
        <v>SEGURO ADICIONAL - NEGRO</v>
      </c>
      <c r="E158" s="71" t="str">
        <f>VLOOKUP(C158,[1]B.D!$A:$F,6,FALSE)</f>
        <v>NEGRO</v>
      </c>
      <c r="F158" s="71" t="str">
        <f>VLOOKUP(C158,[1]B.D!$A:$G,7,FALSE)</f>
        <v>CERRADEROS</v>
      </c>
      <c r="G158" s="64">
        <v>5132.4000000000005</v>
      </c>
      <c r="H158" s="76"/>
      <c r="I158" s="73">
        <f t="shared" si="4"/>
        <v>0</v>
      </c>
      <c r="J158" s="74">
        <f>VLOOKUP(C158,[1]B.D!$A:$E,5,FALSE)</f>
        <v>0.35</v>
      </c>
      <c r="K158" s="63">
        <f t="shared" si="5"/>
        <v>0</v>
      </c>
    </row>
    <row r="159" spans="2:11" ht="15" customHeight="1">
      <c r="B159" s="70">
        <v>146</v>
      </c>
      <c r="C159" s="71" t="s">
        <v>546</v>
      </c>
      <c r="D159" s="71" t="str">
        <f>VLOOKUP(C159,[1]B.D!$A:$B,2,FALSE)</f>
        <v>SEGURO ANTIELEVACION</v>
      </c>
      <c r="E159" s="71" t="str">
        <f>VLOOKUP(C159,[1]B.D!$A:$F,6,FALSE)</f>
        <v>NATURAL</v>
      </c>
      <c r="F159" s="71" t="str">
        <f>VLOOKUP(C159,[1]B.D!$A:$G,7,FALSE)</f>
        <v>CERRADEROS</v>
      </c>
      <c r="G159" s="64">
        <v>309.75</v>
      </c>
      <c r="H159" s="72"/>
      <c r="I159" s="73">
        <f t="shared" si="4"/>
        <v>0</v>
      </c>
      <c r="J159" s="74">
        <f>VLOOKUP(C159,[1]B.D!$A:$E,5,FALSE)</f>
        <v>0.01</v>
      </c>
      <c r="K159" s="63">
        <f t="shared" si="5"/>
        <v>0</v>
      </c>
    </row>
    <row r="160" spans="2:11" ht="15" customHeight="1">
      <c r="B160" s="70">
        <v>147</v>
      </c>
      <c r="C160" s="75" t="s">
        <v>547</v>
      </c>
      <c r="D160" s="71" t="str">
        <f>VLOOKUP(C160,[1]B.D!$A:$B,2,FALSE)</f>
        <v>CILINDRO 80 mm - ITO</v>
      </c>
      <c r="E160" s="71" t="str">
        <f>VLOOKUP(C160,[1]B.D!$A:$F,6,FALSE)</f>
        <v>NATURAL</v>
      </c>
      <c r="F160" s="71" t="str">
        <f>VLOOKUP(C160,[1]B.D!$A:$G,7,FALSE)</f>
        <v>CILINDRO</v>
      </c>
      <c r="G160" s="64">
        <v>11535.300000000001</v>
      </c>
      <c r="H160" s="76"/>
      <c r="I160" s="73">
        <f t="shared" si="4"/>
        <v>0</v>
      </c>
      <c r="J160" s="74">
        <f>VLOOKUP(C160,[1]B.D!$A:$E,5,FALSE)</f>
        <v>0.27</v>
      </c>
      <c r="K160" s="63">
        <f t="shared" si="5"/>
        <v>0</v>
      </c>
    </row>
    <row r="161" spans="2:11" ht="15" customHeight="1">
      <c r="B161" s="70">
        <v>148</v>
      </c>
      <c r="C161" s="71" t="s">
        <v>548</v>
      </c>
      <c r="D161" s="71" t="str">
        <f>VLOOKUP(C161,[1]B.D!$A:$B,2,FALSE)</f>
        <v>CREMONA ABATIR EXTERIOR E22 210 mm</v>
      </c>
      <c r="E161" s="71" t="str">
        <f>VLOOKUP(C161,[1]B.D!$A:$F,6,FALSE)</f>
        <v>NATURAL</v>
      </c>
      <c r="F161" s="71" t="str">
        <f>VLOOKUP(C161,[1]B.D!$A:$G,7,FALSE)</f>
        <v>CREMONA</v>
      </c>
      <c r="G161" s="64">
        <v>644.70000000000005</v>
      </c>
      <c r="H161" s="72"/>
      <c r="I161" s="73">
        <f t="shared" si="4"/>
        <v>0</v>
      </c>
      <c r="J161" s="74">
        <f>VLOOKUP(C161,[1]B.D!$A:$E,5,FALSE)</f>
        <v>0.14000000000000001</v>
      </c>
      <c r="K161" s="63">
        <f t="shared" si="5"/>
        <v>0</v>
      </c>
    </row>
    <row r="162" spans="2:11" ht="15" customHeight="1">
      <c r="B162" s="70">
        <v>149</v>
      </c>
      <c r="C162" s="71" t="s">
        <v>549</v>
      </c>
      <c r="D162" s="71" t="str">
        <f>VLOOKUP(C162,[1]B.D!$A:$B,2,FALSE)</f>
        <v>CREMONA ABATIR EXTERIOR E22 800 mm</v>
      </c>
      <c r="E162" s="71" t="str">
        <f>VLOOKUP(C162,[1]B.D!$A:$F,6,FALSE)</f>
        <v>NATURAL</v>
      </c>
      <c r="F162" s="71" t="str">
        <f>VLOOKUP(C162,[1]B.D!$A:$G,7,FALSE)</f>
        <v>CREMONA</v>
      </c>
      <c r="G162" s="64">
        <v>1666.3500000000001</v>
      </c>
      <c r="H162" s="72"/>
      <c r="I162" s="73">
        <f t="shared" si="4"/>
        <v>0</v>
      </c>
      <c r="J162" s="74">
        <f>VLOOKUP(C162,[1]B.D!$A:$E,5,FALSE)</f>
        <v>0.37</v>
      </c>
      <c r="K162" s="63">
        <f t="shared" si="5"/>
        <v>0</v>
      </c>
    </row>
    <row r="163" spans="2:11" ht="15" customHeight="1">
      <c r="B163" s="70">
        <v>150</v>
      </c>
      <c r="C163" s="75" t="s">
        <v>550</v>
      </c>
      <c r="D163" s="71" t="str">
        <f>VLOOKUP(C163,[1]B.D!$A:$B,2,FALSE)</f>
        <v>CREMONA ABATIR EXTERIOR E25 1000 mm</v>
      </c>
      <c r="E163" s="71" t="str">
        <f>VLOOKUP(C163,[1]B.D!$A:$F,6,FALSE)</f>
        <v>NATURAL</v>
      </c>
      <c r="F163" s="71" t="str">
        <f>VLOOKUP(C163,[1]B.D!$A:$G,7,FALSE)</f>
        <v>CREMONA</v>
      </c>
      <c r="G163" s="64">
        <v>6348.3</v>
      </c>
      <c r="H163" s="76"/>
      <c r="I163" s="73">
        <f t="shared" si="4"/>
        <v>0</v>
      </c>
      <c r="J163" s="74">
        <f>VLOOKUP(C163,[1]B.D!$A:$E,5,FALSE)</f>
        <v>0.43</v>
      </c>
      <c r="K163" s="63">
        <f t="shared" si="5"/>
        <v>0</v>
      </c>
    </row>
    <row r="164" spans="2:11" ht="15" customHeight="1">
      <c r="B164" s="70">
        <v>151</v>
      </c>
      <c r="C164" s="75" t="s">
        <v>551</v>
      </c>
      <c r="D164" s="71" t="str">
        <f>VLOOKUP(C164,[1]B.D!$A:$B,2,FALSE)</f>
        <v>CREMONA ABATIR EXTERIOR E25 1200 mm</v>
      </c>
      <c r="E164" s="71" t="str">
        <f>VLOOKUP(C164,[1]B.D!$A:$F,6,FALSE)</f>
        <v>NATURAL</v>
      </c>
      <c r="F164" s="71" t="str">
        <f>VLOOKUP(C164,[1]B.D!$A:$G,7,FALSE)</f>
        <v>CREMONA</v>
      </c>
      <c r="G164" s="64">
        <v>5862.1500000000005</v>
      </c>
      <c r="H164" s="76"/>
      <c r="I164" s="73">
        <f t="shared" si="4"/>
        <v>0</v>
      </c>
      <c r="J164" s="74">
        <f>VLOOKUP(C164,[1]B.D!$A:$E,5,FALSE)</f>
        <v>0.54</v>
      </c>
      <c r="K164" s="63">
        <f t="shared" si="5"/>
        <v>0</v>
      </c>
    </row>
    <row r="165" spans="2:11" ht="15" customHeight="1">
      <c r="B165" s="70">
        <v>152</v>
      </c>
      <c r="C165" s="75" t="s">
        <v>552</v>
      </c>
      <c r="D165" s="71" t="str">
        <f>VLOOKUP(C165,[1]B.D!$A:$B,2,FALSE)</f>
        <v>CREMONA ABATIR EXTERIOR E25 1400 mm</v>
      </c>
      <c r="E165" s="71" t="str">
        <f>VLOOKUP(C165,[1]B.D!$A:$F,6,FALSE)</f>
        <v>NATURAL</v>
      </c>
      <c r="F165" s="71" t="str">
        <f>VLOOKUP(C165,[1]B.D!$A:$G,7,FALSE)</f>
        <v>CREMONA</v>
      </c>
      <c r="G165" s="64">
        <v>6833.4000000000005</v>
      </c>
      <c r="H165" s="76"/>
      <c r="I165" s="73">
        <f t="shared" si="4"/>
        <v>0</v>
      </c>
      <c r="J165" s="74">
        <f>VLOOKUP(C165,[1]B.D!$A:$E,5,FALSE)</f>
        <v>0.6</v>
      </c>
      <c r="K165" s="63">
        <f t="shared" si="5"/>
        <v>0</v>
      </c>
    </row>
    <row r="166" spans="2:11" ht="15" customHeight="1">
      <c r="B166" s="70">
        <v>153</v>
      </c>
      <c r="C166" s="75" t="s">
        <v>553</v>
      </c>
      <c r="D166" s="71" t="str">
        <f>VLOOKUP(C166,[1]B.D!$A:$B,2,FALSE)</f>
        <v>CREMONA ABATIR EXTERIOR E25 1600 mm</v>
      </c>
      <c r="E166" s="71" t="str">
        <f>VLOOKUP(C166,[1]B.D!$A:$F,6,FALSE)</f>
        <v>NATURAL</v>
      </c>
      <c r="F166" s="71" t="str">
        <f>VLOOKUP(C166,[1]B.D!$A:$G,7,FALSE)</f>
        <v>CREMONA</v>
      </c>
      <c r="G166" s="64">
        <v>11695.95</v>
      </c>
      <c r="H166" s="76"/>
      <c r="I166" s="73">
        <f t="shared" si="4"/>
        <v>0</v>
      </c>
      <c r="J166" s="74">
        <f>VLOOKUP(C166,[1]B.D!$A:$E,5,FALSE)</f>
        <v>0.72</v>
      </c>
      <c r="K166" s="63">
        <f t="shared" si="5"/>
        <v>0</v>
      </c>
    </row>
    <row r="167" spans="2:11" ht="15" customHeight="1">
      <c r="B167" s="70">
        <v>154</v>
      </c>
      <c r="C167" s="75" t="s">
        <v>554</v>
      </c>
      <c r="D167" s="71" t="str">
        <f>VLOOKUP(C167,[1]B.D!$A:$B,2,FALSE)</f>
        <v>CREMONA ABATIR EXTERIOR E25 1800 mm</v>
      </c>
      <c r="E167" s="71" t="str">
        <f>VLOOKUP(C167,[1]B.D!$A:$F,6,FALSE)</f>
        <v>NATURAL</v>
      </c>
      <c r="F167" s="71" t="str">
        <f>VLOOKUP(C167,[1]B.D!$A:$G,7,FALSE)</f>
        <v>CREMONA</v>
      </c>
      <c r="G167" s="64">
        <v>13012.650000000001</v>
      </c>
      <c r="H167" s="76"/>
      <c r="I167" s="73">
        <f t="shared" si="4"/>
        <v>0</v>
      </c>
      <c r="J167" s="74">
        <f>VLOOKUP(C167,[1]B.D!$A:$E,5,FALSE)</f>
        <v>0.79</v>
      </c>
      <c r="K167" s="63">
        <f t="shared" si="5"/>
        <v>0</v>
      </c>
    </row>
    <row r="168" spans="2:11" ht="15" customHeight="1">
      <c r="B168" s="70">
        <v>155</v>
      </c>
      <c r="C168" s="75" t="s">
        <v>555</v>
      </c>
      <c r="D168" s="71" t="str">
        <f>VLOOKUP(C168,[1]B.D!$A:$B,2,FALSE)</f>
        <v>CREMONA ABATIR EXTERIOR E25 2000 mm</v>
      </c>
      <c r="E168" s="71" t="str">
        <f>VLOOKUP(C168,[1]B.D!$A:$F,6,FALSE)</f>
        <v>NATURAL</v>
      </c>
      <c r="F168" s="71" t="str">
        <f>VLOOKUP(C168,[1]B.D!$A:$G,7,FALSE)</f>
        <v>CREMONA</v>
      </c>
      <c r="G168" s="64">
        <v>8300.25</v>
      </c>
      <c r="H168" s="76"/>
      <c r="I168" s="73">
        <f t="shared" si="4"/>
        <v>0</v>
      </c>
      <c r="J168" s="74">
        <f>VLOOKUP(C168,[1]B.D!$A:$E,5,FALSE)</f>
        <v>0.85</v>
      </c>
      <c r="K168" s="63">
        <f t="shared" si="5"/>
        <v>0</v>
      </c>
    </row>
    <row r="169" spans="2:11" ht="15" customHeight="1">
      <c r="B169" s="70">
        <v>156</v>
      </c>
      <c r="C169" s="71" t="s">
        <v>556</v>
      </c>
      <c r="D169" s="71" t="str">
        <f>VLOOKUP(C169,[1]B.D!$A:$B,2,FALSE)</f>
        <v>CREMONA ABATIR EXTERIOR E25 210 mm</v>
      </c>
      <c r="E169" s="71" t="str">
        <f>VLOOKUP(C169,[1]B.D!$A:$F,6,FALSE)</f>
        <v>NATURAL</v>
      </c>
      <c r="F169" s="71" t="str">
        <f>VLOOKUP(C169,[1]B.D!$A:$G,7,FALSE)</f>
        <v>CREMONA</v>
      </c>
      <c r="G169" s="64">
        <v>3468.15</v>
      </c>
      <c r="H169" s="72"/>
      <c r="I169" s="73">
        <f t="shared" si="4"/>
        <v>0</v>
      </c>
      <c r="J169" s="74">
        <f>VLOOKUP(C169,[1]B.D!$A:$E,5,FALSE)</f>
        <v>0.15</v>
      </c>
      <c r="K169" s="63">
        <f t="shared" si="5"/>
        <v>0</v>
      </c>
    </row>
    <row r="170" spans="2:11" ht="15" customHeight="1">
      <c r="B170" s="70">
        <v>157</v>
      </c>
      <c r="C170" s="71" t="s">
        <v>557</v>
      </c>
      <c r="D170" s="71" t="str">
        <f>VLOOKUP(C170,[1]B.D!$A:$B,2,FALSE)</f>
        <v>CREMONA ABATIR EXTERIOR E25 400 mm</v>
      </c>
      <c r="E170" s="71" t="str">
        <f>VLOOKUP(C170,[1]B.D!$A:$F,6,FALSE)</f>
        <v>NATURAL</v>
      </c>
      <c r="F170" s="71" t="str">
        <f>VLOOKUP(C170,[1]B.D!$A:$G,7,FALSE)</f>
        <v>CREMONA</v>
      </c>
      <c r="G170" s="64">
        <v>3184.65</v>
      </c>
      <c r="H170" s="72"/>
      <c r="I170" s="73">
        <f t="shared" si="4"/>
        <v>0</v>
      </c>
      <c r="J170" s="74">
        <f>VLOOKUP(C170,[1]B.D!$A:$E,5,FALSE)</f>
        <v>0.22</v>
      </c>
      <c r="K170" s="63">
        <f t="shared" si="5"/>
        <v>0</v>
      </c>
    </row>
    <row r="171" spans="2:11" ht="15" customHeight="1">
      <c r="B171" s="70">
        <v>158</v>
      </c>
      <c r="C171" s="71" t="s">
        <v>558</v>
      </c>
      <c r="D171" s="71" t="str">
        <f>VLOOKUP(C171,[1]B.D!$A:$B,2,FALSE)</f>
        <v>CREMONA ABATIR EXTERIOR E25 600 mm</v>
      </c>
      <c r="E171" s="71" t="str">
        <f>VLOOKUP(C171,[1]B.D!$A:$F,6,FALSE)</f>
        <v>NATURAL</v>
      </c>
      <c r="F171" s="71" t="str">
        <f>VLOOKUP(C171,[1]B.D!$A:$G,7,FALSE)</f>
        <v>CREMONA</v>
      </c>
      <c r="G171" s="64">
        <v>3701.25</v>
      </c>
      <c r="H171" s="72"/>
      <c r="I171" s="73">
        <f t="shared" si="4"/>
        <v>0</v>
      </c>
      <c r="J171" s="74">
        <f>VLOOKUP(C171,[1]B.D!$A:$E,5,FALSE)</f>
        <v>0.27</v>
      </c>
      <c r="K171" s="63">
        <f t="shared" si="5"/>
        <v>0</v>
      </c>
    </row>
    <row r="172" spans="2:11" ht="15" customHeight="1">
      <c r="B172" s="70">
        <v>159</v>
      </c>
      <c r="C172" s="71" t="s">
        <v>559</v>
      </c>
      <c r="D172" s="71" t="str">
        <f>VLOOKUP(C172,[1]B.D!$A:$B,2,FALSE)</f>
        <v>CREMONA ABATIR EXTERIOR E25 800 mm</v>
      </c>
      <c r="E172" s="71" t="str">
        <f>VLOOKUP(C172,[1]B.D!$A:$F,6,FALSE)</f>
        <v>NATURAL</v>
      </c>
      <c r="F172" s="71" t="str">
        <f>VLOOKUP(C172,[1]B.D!$A:$G,7,FALSE)</f>
        <v>CREMONA</v>
      </c>
      <c r="G172" s="64">
        <v>4361.7</v>
      </c>
      <c r="H172" s="72"/>
      <c r="I172" s="73">
        <f t="shared" si="4"/>
        <v>0</v>
      </c>
      <c r="J172" s="74">
        <f>VLOOKUP(C172,[1]B.D!$A:$E,5,FALSE)</f>
        <v>0.36</v>
      </c>
      <c r="K172" s="63">
        <f t="shared" si="5"/>
        <v>0</v>
      </c>
    </row>
    <row r="173" spans="2:11" ht="15" customHeight="1">
      <c r="B173" s="70">
        <v>160</v>
      </c>
      <c r="C173" s="71" t="s">
        <v>560</v>
      </c>
      <c r="D173" s="71" t="str">
        <f>VLOOKUP(C173,[1]B.D!$A:$B,2,FALSE)</f>
        <v>CREMONA ABATIR INTERIOR E15 1000 mm</v>
      </c>
      <c r="E173" s="71" t="str">
        <f>VLOOKUP(C173,[1]B.D!$A:$F,6,FALSE)</f>
        <v>NATURAL</v>
      </c>
      <c r="F173" s="71" t="str">
        <f>VLOOKUP(C173,[1]B.D!$A:$G,7,FALSE)</f>
        <v>CREMONA</v>
      </c>
      <c r="G173" s="64">
        <v>4345.95</v>
      </c>
      <c r="H173" s="72"/>
      <c r="I173" s="73">
        <f t="shared" si="4"/>
        <v>0</v>
      </c>
      <c r="J173" s="74">
        <f>VLOOKUP(C173,[1]B.D!$A:$E,5,FALSE)</f>
        <v>0.41</v>
      </c>
      <c r="K173" s="63">
        <f t="shared" si="5"/>
        <v>0</v>
      </c>
    </row>
    <row r="174" spans="2:11" ht="15" customHeight="1">
      <c r="B174" s="70">
        <v>161</v>
      </c>
      <c r="C174" s="78" t="s">
        <v>561</v>
      </c>
      <c r="D174" s="71" t="str">
        <f>VLOOKUP(C174,[1]B.D!$A:$B,2,FALSE)</f>
        <v>CREMONA ABATIR INTERIOR E15 1200 mm</v>
      </c>
      <c r="E174" s="71" t="str">
        <f>VLOOKUP(C174,[1]B.D!$A:$F,6,FALSE)</f>
        <v>NATURAL</v>
      </c>
      <c r="F174" s="71" t="str">
        <f>VLOOKUP(C174,[1]B.D!$A:$G,7,FALSE)</f>
        <v>CREMONA</v>
      </c>
      <c r="G174" s="64">
        <v>5043.1500000000005</v>
      </c>
      <c r="H174" s="76"/>
      <c r="I174" s="73">
        <f t="shared" si="4"/>
        <v>0</v>
      </c>
      <c r="J174" s="74">
        <f>VLOOKUP(C174,[1]B.D!$A:$E,5,FALSE)</f>
        <v>0.51</v>
      </c>
      <c r="K174" s="63">
        <f t="shared" si="5"/>
        <v>0</v>
      </c>
    </row>
    <row r="175" spans="2:11" ht="15" customHeight="1">
      <c r="B175" s="70">
        <v>162</v>
      </c>
      <c r="C175" s="75" t="s">
        <v>562</v>
      </c>
      <c r="D175" s="71" t="str">
        <f>VLOOKUP(C175,[1]B.D!$A:$B,2,FALSE)</f>
        <v>CREMONA ABATIR INTERIOR E15 1400 mm</v>
      </c>
      <c r="E175" s="71" t="str">
        <f>VLOOKUP(C175,[1]B.D!$A:$F,6,FALSE)</f>
        <v>NATURAL</v>
      </c>
      <c r="F175" s="71" t="str">
        <f>VLOOKUP(C175,[1]B.D!$A:$G,7,FALSE)</f>
        <v>CREMONA</v>
      </c>
      <c r="G175" s="64">
        <v>5656.35</v>
      </c>
      <c r="H175" s="76"/>
      <c r="I175" s="73">
        <f t="shared" si="4"/>
        <v>0</v>
      </c>
      <c r="J175" s="74">
        <f>VLOOKUP(C175,[1]B.D!$A:$E,5,FALSE)</f>
        <v>0.59</v>
      </c>
      <c r="K175" s="63">
        <f t="shared" si="5"/>
        <v>0</v>
      </c>
    </row>
    <row r="176" spans="2:11" ht="15" customHeight="1">
      <c r="B176" s="70">
        <v>163</v>
      </c>
      <c r="C176" s="75" t="s">
        <v>563</v>
      </c>
      <c r="D176" s="71" t="str">
        <f>VLOOKUP(C176,[1]B.D!$A:$B,2,FALSE)</f>
        <v>CREMONA ABATIR INTERIOR E15 1600 mm</v>
      </c>
      <c r="E176" s="71" t="str">
        <f>VLOOKUP(C176,[1]B.D!$A:$F,6,FALSE)</f>
        <v>NATURAL</v>
      </c>
      <c r="F176" s="71" t="str">
        <f>VLOOKUP(C176,[1]B.D!$A:$G,7,FALSE)</f>
        <v>CREMONA</v>
      </c>
      <c r="G176" s="64">
        <v>6254.85</v>
      </c>
      <c r="H176" s="76"/>
      <c r="I176" s="73">
        <f t="shared" si="4"/>
        <v>0</v>
      </c>
      <c r="J176" s="74">
        <f>VLOOKUP(C176,[1]B.D!$A:$E,5,FALSE)</f>
        <v>0.69</v>
      </c>
      <c r="K176" s="63">
        <f t="shared" si="5"/>
        <v>0</v>
      </c>
    </row>
    <row r="177" spans="2:11" ht="15" customHeight="1">
      <c r="B177" s="70">
        <v>164</v>
      </c>
      <c r="C177" s="75" t="s">
        <v>954</v>
      </c>
      <c r="D177" s="71" t="str">
        <f>VLOOKUP(C177,[1]B.D!$A:$B,2,FALSE)</f>
        <v>CREMONA ABATIR INTERIOR E15 1800 mm</v>
      </c>
      <c r="E177" s="71" t="str">
        <f>VLOOKUP(C177,[1]B.D!$A:$F,6,FALSE)</f>
        <v>NATURAL</v>
      </c>
      <c r="F177" s="71" t="str">
        <f>VLOOKUP(C177,[1]B.D!$A:$G,7,FALSE)</f>
        <v>CREMONA</v>
      </c>
      <c r="G177" s="64">
        <v>6968.85</v>
      </c>
      <c r="H177" s="76"/>
      <c r="I177" s="73">
        <f t="shared" si="4"/>
        <v>0</v>
      </c>
      <c r="J177" s="74">
        <f>VLOOKUP(C177,[1]B.D!$A:$E,5,FALSE)</f>
        <v>0.76</v>
      </c>
      <c r="K177" s="63">
        <f t="shared" si="5"/>
        <v>0</v>
      </c>
    </row>
    <row r="178" spans="2:11" ht="15" customHeight="1">
      <c r="B178" s="70">
        <v>165</v>
      </c>
      <c r="C178" s="75" t="s">
        <v>955</v>
      </c>
      <c r="D178" s="71" t="str">
        <f>VLOOKUP(C178,[1]B.D!$A:$B,2,FALSE)</f>
        <v>CREMONA ABATIR INTERIOR E15 2000 mm</v>
      </c>
      <c r="E178" s="71" t="str">
        <f>VLOOKUP(C178,[1]B.D!$A:$F,6,FALSE)</f>
        <v>NATURAL</v>
      </c>
      <c r="F178" s="71" t="str">
        <f>VLOOKUP(C178,[1]B.D!$A:$G,7,FALSE)</f>
        <v>CREMONA</v>
      </c>
      <c r="G178" s="64">
        <v>8520.75</v>
      </c>
      <c r="H178" s="76"/>
      <c r="I178" s="73">
        <f t="shared" si="4"/>
        <v>0</v>
      </c>
      <c r="J178" s="74">
        <f>VLOOKUP(C178,[1]B.D!$A:$E,5,FALSE)</f>
        <v>0.86</v>
      </c>
      <c r="K178" s="63">
        <f t="shared" si="5"/>
        <v>0</v>
      </c>
    </row>
    <row r="179" spans="2:11" ht="15" customHeight="1">
      <c r="B179" s="70">
        <v>166</v>
      </c>
      <c r="C179" s="71" t="s">
        <v>564</v>
      </c>
      <c r="D179" s="71" t="str">
        <f>VLOOKUP(C179,[1]B.D!$A:$B,2,FALSE)</f>
        <v>CREMONA ABATIR INTERIOR E15 400 mm</v>
      </c>
      <c r="E179" s="71" t="str">
        <f>VLOOKUP(C179,[1]B.D!$A:$F,6,FALSE)</f>
        <v>NATURAL</v>
      </c>
      <c r="F179" s="71" t="str">
        <f>VLOOKUP(C179,[1]B.D!$A:$G,7,FALSE)</f>
        <v>CREMONA</v>
      </c>
      <c r="G179" s="64">
        <v>2589.3000000000002</v>
      </c>
      <c r="H179" s="72"/>
      <c r="I179" s="73">
        <f t="shared" si="4"/>
        <v>0</v>
      </c>
      <c r="J179" s="74">
        <f>VLOOKUP(C179,[1]B.D!$A:$E,5,FALSE)</f>
        <v>0.19</v>
      </c>
      <c r="K179" s="63">
        <f t="shared" si="5"/>
        <v>0</v>
      </c>
    </row>
    <row r="180" spans="2:11" ht="15" customHeight="1">
      <c r="B180" s="70">
        <v>167</v>
      </c>
      <c r="C180" s="71" t="s">
        <v>565</v>
      </c>
      <c r="D180" s="71" t="str">
        <f>VLOOKUP(C180,[1]B.D!$A:$B,2,FALSE)</f>
        <v>CREMONA ABATIR INTERIOR E15 600 mm</v>
      </c>
      <c r="E180" s="71" t="str">
        <f>VLOOKUP(C180,[1]B.D!$A:$F,6,FALSE)</f>
        <v>NATURAL</v>
      </c>
      <c r="F180" s="71" t="str">
        <f>VLOOKUP(C180,[1]B.D!$A:$G,7,FALSE)</f>
        <v>CREMONA</v>
      </c>
      <c r="G180" s="64">
        <v>3034.5</v>
      </c>
      <c r="H180" s="72"/>
      <c r="I180" s="73">
        <f t="shared" si="4"/>
        <v>0</v>
      </c>
      <c r="J180" s="74">
        <f>VLOOKUP(C180,[1]B.D!$A:$E,5,FALSE)</f>
        <v>0.24</v>
      </c>
      <c r="K180" s="63">
        <f t="shared" si="5"/>
        <v>0</v>
      </c>
    </row>
    <row r="181" spans="2:11" ht="15" customHeight="1">
      <c r="B181" s="70">
        <v>168</v>
      </c>
      <c r="C181" s="71" t="s">
        <v>566</v>
      </c>
      <c r="D181" s="71" t="str">
        <f>VLOOKUP(C181,[1]B.D!$A:$B,2,FALSE)</f>
        <v>CREMONA ABATIR INTERIOR E15 800 mm</v>
      </c>
      <c r="E181" s="71" t="str">
        <f>VLOOKUP(C181,[1]B.D!$A:$F,6,FALSE)</f>
        <v>NATURAL</v>
      </c>
      <c r="F181" s="71" t="str">
        <f>VLOOKUP(C181,[1]B.D!$A:$G,7,FALSE)</f>
        <v>CREMONA</v>
      </c>
      <c r="G181" s="64">
        <v>3610.9500000000003</v>
      </c>
      <c r="H181" s="72"/>
      <c r="I181" s="73">
        <f t="shared" si="4"/>
        <v>0</v>
      </c>
      <c r="J181" s="74">
        <f>VLOOKUP(C181,[1]B.D!$A:$E,5,FALSE)</f>
        <v>0.33</v>
      </c>
      <c r="K181" s="63">
        <f t="shared" si="5"/>
        <v>0</v>
      </c>
    </row>
    <row r="182" spans="2:11" ht="15" customHeight="1">
      <c r="B182" s="70">
        <v>169</v>
      </c>
      <c r="C182" s="75" t="s">
        <v>567</v>
      </c>
      <c r="D182" s="71" t="str">
        <f>VLOOKUP(C182,[1]B.D!$A:$B,2,FALSE)</f>
        <v>CREMONA CORREDERA CON LLAVE E15 1800 mm</v>
      </c>
      <c r="E182" s="71" t="str">
        <f>VLOOKUP(C182,[1]B.D!$A:$F,6,FALSE)</f>
        <v>NATURAL</v>
      </c>
      <c r="F182" s="71" t="str">
        <f>VLOOKUP(C182,[1]B.D!$A:$G,7,FALSE)</f>
        <v>CREMONA</v>
      </c>
      <c r="G182" s="64">
        <v>12842.550000000001</v>
      </c>
      <c r="H182" s="76"/>
      <c r="I182" s="73">
        <f t="shared" si="4"/>
        <v>0</v>
      </c>
      <c r="J182" s="74">
        <f>VLOOKUP(C182,[1]B.D!$A:$E,5,FALSE)</f>
        <v>0.89759999999999995</v>
      </c>
      <c r="K182" s="63">
        <f t="shared" si="5"/>
        <v>0</v>
      </c>
    </row>
    <row r="183" spans="2:11" ht="15" customHeight="1">
      <c r="B183" s="70">
        <v>170</v>
      </c>
      <c r="C183" s="75" t="s">
        <v>568</v>
      </c>
      <c r="D183" s="71" t="str">
        <f>VLOOKUP(C183,[1]B.D!$A:$B,2,FALSE)</f>
        <v>CREMONA CORREDERA CON LLAVE E15 2000 mm</v>
      </c>
      <c r="E183" s="71" t="str">
        <f>VLOOKUP(C183,[1]B.D!$A:$F,6,FALSE)</f>
        <v>NATURAL</v>
      </c>
      <c r="F183" s="71" t="str">
        <f>VLOOKUP(C183,[1]B.D!$A:$G,7,FALSE)</f>
        <v>CREMONA</v>
      </c>
      <c r="G183" s="64">
        <v>13587</v>
      </c>
      <c r="H183" s="76"/>
      <c r="I183" s="73">
        <f t="shared" si="4"/>
        <v>0</v>
      </c>
      <c r="J183" s="74">
        <f>VLOOKUP(C183,[1]B.D!$A:$E,5,FALSE)</f>
        <v>0.98419999999999996</v>
      </c>
      <c r="K183" s="63">
        <f t="shared" si="5"/>
        <v>0</v>
      </c>
    </row>
    <row r="184" spans="2:11" ht="15" customHeight="1">
      <c r="B184" s="70">
        <v>171</v>
      </c>
      <c r="C184" s="71" t="s">
        <v>569</v>
      </c>
      <c r="D184" s="71" t="str">
        <f>VLOOKUP(C184,[1]B.D!$A:$B,2,FALSE)</f>
        <v>CREMONA CORREDERA E15 1000 mm</v>
      </c>
      <c r="E184" s="71" t="str">
        <f>VLOOKUP(C184,[1]B.D!$A:$F,6,FALSE)</f>
        <v>NATURAL</v>
      </c>
      <c r="F184" s="71" t="str">
        <f>VLOOKUP(C184,[1]B.D!$A:$G,7,FALSE)</f>
        <v>CREMONA</v>
      </c>
      <c r="G184" s="64">
        <v>3944.8500000000004</v>
      </c>
      <c r="H184" s="72"/>
      <c r="I184" s="73">
        <f t="shared" si="4"/>
        <v>0</v>
      </c>
      <c r="J184" s="74">
        <f>VLOOKUP(C184,[1]B.D!$A:$E,5,FALSE)</f>
        <v>0.41</v>
      </c>
      <c r="K184" s="63">
        <f t="shared" si="5"/>
        <v>0</v>
      </c>
    </row>
    <row r="185" spans="2:11" ht="15" customHeight="1">
      <c r="B185" s="70">
        <v>172</v>
      </c>
      <c r="C185" s="71" t="s">
        <v>570</v>
      </c>
      <c r="D185" s="71" t="str">
        <f>VLOOKUP(C185,[1]B.D!$A:$B,2,FALSE)</f>
        <v>CREMONA CORREDERA E15 1200 mm</v>
      </c>
      <c r="E185" s="71" t="str">
        <f>VLOOKUP(C185,[1]B.D!$A:$F,6,FALSE)</f>
        <v>NATURAL</v>
      </c>
      <c r="F185" s="71" t="str">
        <f>VLOOKUP(C185,[1]B.D!$A:$G,7,FALSE)</f>
        <v>CREMONA</v>
      </c>
      <c r="G185" s="64">
        <v>4438.3500000000004</v>
      </c>
      <c r="H185" s="72"/>
      <c r="I185" s="73">
        <f t="shared" si="4"/>
        <v>0</v>
      </c>
      <c r="J185" s="74">
        <f>VLOOKUP(C185,[1]B.D!$A:$E,5,FALSE)</f>
        <v>0.48</v>
      </c>
      <c r="K185" s="63">
        <f t="shared" si="5"/>
        <v>0</v>
      </c>
    </row>
    <row r="186" spans="2:11" ht="15" customHeight="1">
      <c r="B186" s="70">
        <v>173</v>
      </c>
      <c r="C186" s="75" t="s">
        <v>571</v>
      </c>
      <c r="D186" s="71" t="str">
        <f>VLOOKUP(C186,[1]B.D!$A:$B,2,FALSE)</f>
        <v>CREMONA CORREDERA E15 1400 mm</v>
      </c>
      <c r="E186" s="71" t="str">
        <f>VLOOKUP(C186,[1]B.D!$A:$F,6,FALSE)</f>
        <v>NATURAL</v>
      </c>
      <c r="F186" s="71" t="str">
        <f>VLOOKUP(C186,[1]B.D!$A:$G,7,FALSE)</f>
        <v>CREMONA</v>
      </c>
      <c r="G186" s="64">
        <v>5271</v>
      </c>
      <c r="H186" s="76"/>
      <c r="I186" s="73">
        <f t="shared" si="4"/>
        <v>0</v>
      </c>
      <c r="J186" s="74">
        <f>VLOOKUP(C186,[1]B.D!$A:$E,5,FALSE)</f>
        <v>0.6</v>
      </c>
      <c r="K186" s="63">
        <f t="shared" si="5"/>
        <v>0</v>
      </c>
    </row>
    <row r="187" spans="2:11" ht="15" customHeight="1">
      <c r="B187" s="70">
        <v>174</v>
      </c>
      <c r="C187" s="75" t="s">
        <v>572</v>
      </c>
      <c r="D187" s="71" t="str">
        <f>VLOOKUP(C187,[1]B.D!$A:$B,2,FALSE)</f>
        <v>CREMONA CORREDERA E15 1600 mm</v>
      </c>
      <c r="E187" s="71" t="str">
        <f>VLOOKUP(C187,[1]B.D!$A:$F,6,FALSE)</f>
        <v>NATURAL</v>
      </c>
      <c r="F187" s="71" t="str">
        <f>VLOOKUP(C187,[1]B.D!$A:$G,7,FALSE)</f>
        <v>CREMONA</v>
      </c>
      <c r="G187" s="64">
        <v>5802.3</v>
      </c>
      <c r="H187" s="76"/>
      <c r="I187" s="73">
        <f t="shared" si="4"/>
        <v>0</v>
      </c>
      <c r="J187" s="74">
        <f>VLOOKUP(C187,[1]B.D!$A:$E,5,FALSE)</f>
        <v>0.69</v>
      </c>
      <c r="K187" s="63">
        <f t="shared" si="5"/>
        <v>0</v>
      </c>
    </row>
    <row r="188" spans="2:11" ht="15" customHeight="1">
      <c r="B188" s="70">
        <v>175</v>
      </c>
      <c r="C188" s="75" t="s">
        <v>573</v>
      </c>
      <c r="D188" s="71" t="str">
        <f>VLOOKUP(C188,[1]B.D!$A:$B,2,FALSE)</f>
        <v>CREMONA CORREDERA E15 1800 mm</v>
      </c>
      <c r="E188" s="71" t="str">
        <f>VLOOKUP(C188,[1]B.D!$A:$F,6,FALSE)</f>
        <v>NATURAL</v>
      </c>
      <c r="F188" s="71" t="str">
        <f>VLOOKUP(C188,[1]B.D!$A:$G,7,FALSE)</f>
        <v>CREMONA</v>
      </c>
      <c r="G188" s="64">
        <v>6332.55</v>
      </c>
      <c r="H188" s="76"/>
      <c r="I188" s="73">
        <f t="shared" si="4"/>
        <v>0</v>
      </c>
      <c r="J188" s="74">
        <f>VLOOKUP(C188,[1]B.D!$A:$E,5,FALSE)</f>
        <v>0.76</v>
      </c>
      <c r="K188" s="63">
        <f t="shared" si="5"/>
        <v>0</v>
      </c>
    </row>
    <row r="189" spans="2:11" ht="15" customHeight="1">
      <c r="B189" s="70">
        <v>176</v>
      </c>
      <c r="C189" s="75" t="s">
        <v>574</v>
      </c>
      <c r="D189" s="71" t="str">
        <f>VLOOKUP(C189,[1]B.D!$A:$B,2,FALSE)</f>
        <v>CREMONA CORREDERA E15 2000 mm</v>
      </c>
      <c r="E189" s="71" t="str">
        <f>VLOOKUP(C189,[1]B.D!$A:$F,6,FALSE)</f>
        <v>NATURAL</v>
      </c>
      <c r="F189" s="71" t="str">
        <f>VLOOKUP(C189,[1]B.D!$A:$G,7,FALSE)</f>
        <v>CREMONA</v>
      </c>
      <c r="G189" s="64">
        <v>7560</v>
      </c>
      <c r="H189" s="76"/>
      <c r="I189" s="73">
        <f t="shared" si="4"/>
        <v>0</v>
      </c>
      <c r="J189" s="74">
        <f>VLOOKUP(C189,[1]B.D!$A:$E,5,FALSE)</f>
        <v>0.84</v>
      </c>
      <c r="K189" s="63">
        <f t="shared" si="5"/>
        <v>0</v>
      </c>
    </row>
    <row r="190" spans="2:11" ht="15" customHeight="1">
      <c r="B190" s="70">
        <v>177</v>
      </c>
      <c r="C190" s="71" t="s">
        <v>575</v>
      </c>
      <c r="D190" s="71" t="str">
        <f>VLOOKUP(C190,[1]B.D!$A:$B,2,FALSE)</f>
        <v>CREMONA CORREDERA E15 210 mm</v>
      </c>
      <c r="E190" s="71" t="str">
        <f>VLOOKUP(C190,[1]B.D!$A:$F,6,FALSE)</f>
        <v>NATURAL</v>
      </c>
      <c r="F190" s="71" t="str">
        <f>VLOOKUP(C190,[1]B.D!$A:$G,7,FALSE)</f>
        <v>CREMONA</v>
      </c>
      <c r="G190" s="64">
        <v>2274.3000000000002</v>
      </c>
      <c r="H190" s="72"/>
      <c r="I190" s="73">
        <f t="shared" si="4"/>
        <v>0</v>
      </c>
      <c r="J190" s="74">
        <f>VLOOKUP(C190,[1]B.D!$A:$E,5,FALSE)</f>
        <v>0.13</v>
      </c>
      <c r="K190" s="63">
        <f t="shared" si="5"/>
        <v>0</v>
      </c>
    </row>
    <row r="191" spans="2:11" ht="15" customHeight="1">
      <c r="B191" s="70">
        <v>178</v>
      </c>
      <c r="C191" s="71" t="s">
        <v>576</v>
      </c>
      <c r="D191" s="71" t="str">
        <f>VLOOKUP(C191,[1]B.D!$A:$B,2,FALSE)</f>
        <v>CREMONA CORREDERA E15 400 mm</v>
      </c>
      <c r="E191" s="71" t="str">
        <f>VLOOKUP(C191,[1]B.D!$A:$F,6,FALSE)</f>
        <v>NATURAL</v>
      </c>
      <c r="F191" s="71" t="str">
        <f>VLOOKUP(C191,[1]B.D!$A:$G,7,FALSE)</f>
        <v>CREMONA</v>
      </c>
      <c r="G191" s="64">
        <v>3490.2000000000003</v>
      </c>
      <c r="H191" s="72"/>
      <c r="I191" s="73">
        <f t="shared" si="4"/>
        <v>0</v>
      </c>
      <c r="J191" s="74">
        <f>VLOOKUP(C191,[1]B.D!$A:$E,5,FALSE)</f>
        <v>0.2</v>
      </c>
      <c r="K191" s="63">
        <f t="shared" si="5"/>
        <v>0</v>
      </c>
    </row>
    <row r="192" spans="2:11" ht="15" customHeight="1">
      <c r="B192" s="70">
        <v>179</v>
      </c>
      <c r="C192" s="71" t="s">
        <v>577</v>
      </c>
      <c r="D192" s="71" t="str">
        <f>VLOOKUP(C192,[1]B.D!$A:$B,2,FALSE)</f>
        <v>CREMONA CORREDERA E15 600 mm</v>
      </c>
      <c r="E192" s="71" t="str">
        <f>VLOOKUP(C192,[1]B.D!$A:$F,6,FALSE)</f>
        <v>NATURAL</v>
      </c>
      <c r="F192" s="71" t="str">
        <f>VLOOKUP(C192,[1]B.D!$A:$G,7,FALSE)</f>
        <v>CREMONA</v>
      </c>
      <c r="G192" s="64">
        <v>2883.3</v>
      </c>
      <c r="H192" s="72"/>
      <c r="I192" s="73">
        <f t="shared" si="4"/>
        <v>0</v>
      </c>
      <c r="J192" s="74">
        <f>VLOOKUP(C192,[1]B.D!$A:$E,5,FALSE)</f>
        <v>0.24</v>
      </c>
      <c r="K192" s="63">
        <f t="shared" si="5"/>
        <v>0</v>
      </c>
    </row>
    <row r="193" spans="2:11" ht="15" customHeight="1">
      <c r="B193" s="70">
        <v>180</v>
      </c>
      <c r="C193" s="71" t="s">
        <v>578</v>
      </c>
      <c r="D193" s="71" t="str">
        <f>VLOOKUP(C193,[1]B.D!$A:$B,2,FALSE)</f>
        <v>CREMONA CORREDERA E15 800 mm</v>
      </c>
      <c r="E193" s="71" t="str">
        <f>VLOOKUP(C193,[1]B.D!$A:$F,6,FALSE)</f>
        <v>NATURAL</v>
      </c>
      <c r="F193" s="71" t="str">
        <f>VLOOKUP(C193,[1]B.D!$A:$G,7,FALSE)</f>
        <v>CREMONA</v>
      </c>
      <c r="G193" s="64">
        <v>4855.2</v>
      </c>
      <c r="H193" s="72"/>
      <c r="I193" s="73">
        <f t="shared" si="4"/>
        <v>0</v>
      </c>
      <c r="J193" s="74">
        <f>VLOOKUP(C193,[1]B.D!$A:$E,5,FALSE)</f>
        <v>0.33</v>
      </c>
      <c r="K193" s="63">
        <f t="shared" si="5"/>
        <v>0</v>
      </c>
    </row>
    <row r="194" spans="2:11" ht="15" customHeight="1">
      <c r="B194" s="70">
        <v>181</v>
      </c>
      <c r="C194" s="75" t="s">
        <v>579</v>
      </c>
      <c r="D194" s="71" t="str">
        <f>VLOOKUP(C194,[1]B.D!$A:$B,2,FALSE)</f>
        <v>CREMONA CORREDERA E7,5 1000 mm</v>
      </c>
      <c r="E194" s="71" t="str">
        <f>VLOOKUP(C194,[1]B.D!$A:$F,6,FALSE)</f>
        <v>NATURAL</v>
      </c>
      <c r="F194" s="71" t="str">
        <f>VLOOKUP(C194,[1]B.D!$A:$G,7,FALSE)</f>
        <v>CREMONA</v>
      </c>
      <c r="G194" s="64">
        <v>5695.2</v>
      </c>
      <c r="H194" s="76"/>
      <c r="I194" s="73">
        <f t="shared" si="4"/>
        <v>0</v>
      </c>
      <c r="J194" s="74">
        <f>VLOOKUP(C194,[1]B.D!$A:$E,5,FALSE)</f>
        <v>0.43</v>
      </c>
      <c r="K194" s="63">
        <f t="shared" si="5"/>
        <v>0</v>
      </c>
    </row>
    <row r="195" spans="2:11" ht="15" customHeight="1">
      <c r="B195" s="70">
        <v>182</v>
      </c>
      <c r="C195" s="75" t="s">
        <v>580</v>
      </c>
      <c r="D195" s="71" t="str">
        <f>VLOOKUP(C195,[1]B.D!$A:$B,2,FALSE)</f>
        <v>CREMONA CORREDERA E7,5 1200 mm</v>
      </c>
      <c r="E195" s="71" t="str">
        <f>VLOOKUP(C195,[1]B.D!$A:$F,6,FALSE)</f>
        <v>NATURAL</v>
      </c>
      <c r="F195" s="71" t="str">
        <f>VLOOKUP(C195,[1]B.D!$A:$G,7,FALSE)</f>
        <v>CREMONA</v>
      </c>
      <c r="G195" s="64">
        <v>6343.05</v>
      </c>
      <c r="H195" s="76"/>
      <c r="I195" s="73">
        <f t="shared" si="4"/>
        <v>0</v>
      </c>
      <c r="J195" s="74">
        <f>VLOOKUP(C195,[1]B.D!$A:$E,5,FALSE)</f>
        <v>0.49</v>
      </c>
      <c r="K195" s="63">
        <f t="shared" si="5"/>
        <v>0</v>
      </c>
    </row>
    <row r="196" spans="2:11" ht="15" customHeight="1">
      <c r="B196" s="70">
        <v>183</v>
      </c>
      <c r="C196" s="75" t="s">
        <v>581</v>
      </c>
      <c r="D196" s="71" t="str">
        <f>VLOOKUP(C196,[1]B.D!$A:$B,2,FALSE)</f>
        <v>CREMONA CORREDERA E7,5 1400 mm</v>
      </c>
      <c r="E196" s="71" t="str">
        <f>VLOOKUP(C196,[1]B.D!$A:$F,6,FALSE)</f>
        <v>NATURAL</v>
      </c>
      <c r="F196" s="71" t="str">
        <f>VLOOKUP(C196,[1]B.D!$A:$G,7,FALSE)</f>
        <v>CREMONA</v>
      </c>
      <c r="G196" s="64">
        <v>7258.6500000000005</v>
      </c>
      <c r="H196" s="76"/>
      <c r="I196" s="73">
        <f t="shared" si="4"/>
        <v>0</v>
      </c>
      <c r="J196" s="74">
        <f>VLOOKUP(C196,[1]B.D!$A:$E,5,FALSE)</f>
        <v>0.59</v>
      </c>
      <c r="K196" s="63">
        <f t="shared" si="5"/>
        <v>0</v>
      </c>
    </row>
    <row r="197" spans="2:11" ht="15" customHeight="1">
      <c r="B197" s="70">
        <v>184</v>
      </c>
      <c r="C197" s="71" t="s">
        <v>582</v>
      </c>
      <c r="D197" s="71" t="str">
        <f>VLOOKUP(C197,[1]B.D!$A:$B,2,FALSE)</f>
        <v>CREMONA CORREDERA E7,5 1600 mm</v>
      </c>
      <c r="E197" s="71" t="str">
        <f>VLOOKUP(C197,[1]B.D!$A:$F,6,FALSE)</f>
        <v>NATURAL</v>
      </c>
      <c r="F197" s="71" t="str">
        <f>VLOOKUP(C197,[1]B.D!$A:$G,7,FALSE)</f>
        <v>CREMONA</v>
      </c>
      <c r="G197" s="64">
        <v>4930.8</v>
      </c>
      <c r="H197" s="72"/>
      <c r="I197" s="73">
        <f t="shared" si="4"/>
        <v>0</v>
      </c>
      <c r="J197" s="74">
        <f>VLOOKUP(C197,[1]B.D!$A:$E,5,FALSE)</f>
        <v>0.69840000000000002</v>
      </c>
      <c r="K197" s="63">
        <f t="shared" si="5"/>
        <v>0</v>
      </c>
    </row>
    <row r="198" spans="2:11" ht="15" customHeight="1">
      <c r="B198" s="70">
        <v>185</v>
      </c>
      <c r="C198" s="75" t="s">
        <v>583</v>
      </c>
      <c r="D198" s="71" t="str">
        <f>VLOOKUP(C198,[1]B.D!$A:$B,2,FALSE)</f>
        <v>CREMONA CORREDERA E7,5 1800 mm</v>
      </c>
      <c r="E198" s="71" t="str">
        <f>VLOOKUP(C198,[1]B.D!$A:$F,6,FALSE)</f>
        <v>NATURAL</v>
      </c>
      <c r="F198" s="71" t="str">
        <f>VLOOKUP(C198,[1]B.D!$A:$G,7,FALSE)</f>
        <v>CREMONA</v>
      </c>
      <c r="G198" s="64">
        <v>8586.9</v>
      </c>
      <c r="H198" s="76"/>
      <c r="I198" s="73">
        <f t="shared" si="4"/>
        <v>0</v>
      </c>
      <c r="J198" s="74">
        <f>VLOOKUP(C198,[1]B.D!$A:$E,5,FALSE)</f>
        <v>0.78</v>
      </c>
      <c r="K198" s="63">
        <f t="shared" si="5"/>
        <v>0</v>
      </c>
    </row>
    <row r="199" spans="2:11" ht="15" customHeight="1">
      <c r="B199" s="70">
        <v>186</v>
      </c>
      <c r="C199" s="75" t="s">
        <v>584</v>
      </c>
      <c r="D199" s="71" t="str">
        <f>VLOOKUP(C199,[1]B.D!$A:$B,2,FALSE)</f>
        <v>CREMONA CORREDERA E7,5 2000 mm</v>
      </c>
      <c r="E199" s="71" t="str">
        <f>VLOOKUP(C199,[1]B.D!$A:$F,6,FALSE)</f>
        <v>NATURAL</v>
      </c>
      <c r="F199" s="71" t="str">
        <f>VLOOKUP(C199,[1]B.D!$A:$G,7,FALSE)</f>
        <v>CREMONA</v>
      </c>
      <c r="G199" s="64">
        <v>7730.1</v>
      </c>
      <c r="H199" s="76"/>
      <c r="I199" s="73">
        <f t="shared" si="4"/>
        <v>0</v>
      </c>
      <c r="J199" s="74">
        <f>VLOOKUP(C199,[1]B.D!$A:$E,5,FALSE)</f>
        <v>0.86439999999999995</v>
      </c>
      <c r="K199" s="63">
        <f t="shared" si="5"/>
        <v>0</v>
      </c>
    </row>
    <row r="200" spans="2:11" ht="15" customHeight="1">
      <c r="B200" s="70">
        <v>187</v>
      </c>
      <c r="C200" s="71" t="s">
        <v>585</v>
      </c>
      <c r="D200" s="71" t="str">
        <f>VLOOKUP(C200,[1]B.D!$A:$B,2,FALSE)</f>
        <v>CREMONA CORREDERA E7,5 400 mm</v>
      </c>
      <c r="E200" s="71" t="str">
        <f>VLOOKUP(C200,[1]B.D!$A:$F,6,FALSE)</f>
        <v>NATURAL</v>
      </c>
      <c r="F200" s="71" t="str">
        <f>VLOOKUP(C200,[1]B.D!$A:$G,7,FALSE)</f>
        <v>CREMONA</v>
      </c>
      <c r="G200" s="64">
        <v>3554.25</v>
      </c>
      <c r="H200" s="72"/>
      <c r="I200" s="73">
        <f t="shared" si="4"/>
        <v>0</v>
      </c>
      <c r="J200" s="74">
        <f>VLOOKUP(C200,[1]B.D!$A:$E,5,FALSE)</f>
        <v>0.21</v>
      </c>
      <c r="K200" s="63">
        <f t="shared" si="5"/>
        <v>0</v>
      </c>
    </row>
    <row r="201" spans="2:11" ht="15" customHeight="1">
      <c r="B201" s="70">
        <v>188</v>
      </c>
      <c r="C201" s="71" t="s">
        <v>586</v>
      </c>
      <c r="D201" s="71" t="str">
        <f>VLOOKUP(C201,[1]B.D!$A:$B,2,FALSE)</f>
        <v>CREMONA CORREDERA E7,5 600 mm</v>
      </c>
      <c r="E201" s="71" t="str">
        <f>VLOOKUP(C201,[1]B.D!$A:$F,6,FALSE)</f>
        <v>NATURAL</v>
      </c>
      <c r="F201" s="71" t="str">
        <f>VLOOKUP(C201,[1]B.D!$A:$G,7,FALSE)</f>
        <v>CREMONA</v>
      </c>
      <c r="G201" s="64">
        <v>4159.05</v>
      </c>
      <c r="H201" s="72"/>
      <c r="I201" s="73">
        <f t="shared" si="4"/>
        <v>0</v>
      </c>
      <c r="J201" s="74">
        <f>VLOOKUP(C201,[1]B.D!$A:$E,5,FALSE)</f>
        <v>0.26</v>
      </c>
      <c r="K201" s="63">
        <f t="shared" si="5"/>
        <v>0</v>
      </c>
    </row>
    <row r="202" spans="2:11" ht="15" customHeight="1">
      <c r="B202" s="70">
        <v>189</v>
      </c>
      <c r="C202" s="71" t="s">
        <v>587</v>
      </c>
      <c r="D202" s="71" t="str">
        <f>VLOOKUP(C202,[1]B.D!$A:$B,2,FALSE)</f>
        <v>CREMONA CORREDERA E7,5 800mm</v>
      </c>
      <c r="E202" s="71" t="str">
        <f>VLOOKUP(C202,[1]B.D!$A:$F,6,FALSE)</f>
        <v>NATURAL</v>
      </c>
      <c r="F202" s="71" t="str">
        <f>VLOOKUP(C202,[1]B.D!$A:$G,7,FALSE)</f>
        <v>CREMONA</v>
      </c>
      <c r="G202" s="64">
        <v>3330.6000000000004</v>
      </c>
      <c r="H202" s="72"/>
      <c r="I202" s="73">
        <f t="shared" si="4"/>
        <v>0</v>
      </c>
      <c r="J202" s="74">
        <f>VLOOKUP(C202,[1]B.D!$A:$E,5,FALSE)</f>
        <v>0.34</v>
      </c>
      <c r="K202" s="63">
        <f t="shared" si="5"/>
        <v>0</v>
      </c>
    </row>
    <row r="203" spans="2:11" ht="15" customHeight="1">
      <c r="B203" s="70">
        <v>190</v>
      </c>
      <c r="C203" s="75" t="s">
        <v>588</v>
      </c>
      <c r="D203" s="71" t="str">
        <f>VLOOKUP(C203,[1]B.D!$A:$B,2,FALSE)</f>
        <v>CREMONA PUERTA E35/92 1800 mm</v>
      </c>
      <c r="E203" s="71" t="str">
        <f>VLOOKUP(C203,[1]B.D!$A:$F,6,FALSE)</f>
        <v>NATURAL</v>
      </c>
      <c r="F203" s="71" t="str">
        <f>VLOOKUP(C203,[1]B.D!$A:$G,7,FALSE)</f>
        <v>CREMONA</v>
      </c>
      <c r="G203" s="64">
        <v>10094.700000000001</v>
      </c>
      <c r="H203" s="76"/>
      <c r="I203" s="73">
        <f t="shared" si="4"/>
        <v>0</v>
      </c>
      <c r="J203" s="74">
        <f>VLOOKUP(C203,[1]B.D!$A:$E,5,FALSE)</f>
        <v>0.98</v>
      </c>
      <c r="K203" s="63">
        <f t="shared" si="5"/>
        <v>0</v>
      </c>
    </row>
    <row r="204" spans="2:11" ht="15" customHeight="1">
      <c r="B204" s="70">
        <v>191</v>
      </c>
      <c r="C204" s="75" t="s">
        <v>589</v>
      </c>
      <c r="D204" s="71" t="str">
        <f>VLOOKUP(C204,[1]B.D!$A:$B,2,FALSE)</f>
        <v>CREMONA PUERTA E35/92 2000 mm</v>
      </c>
      <c r="E204" s="71" t="str">
        <f>VLOOKUP(C204,[1]B.D!$A:$F,6,FALSE)</f>
        <v>NATURAL</v>
      </c>
      <c r="F204" s="71" t="str">
        <f>VLOOKUP(C204,[1]B.D!$A:$G,7,FALSE)</f>
        <v>CREMONA</v>
      </c>
      <c r="G204" s="64">
        <v>11642.4</v>
      </c>
      <c r="H204" s="76"/>
      <c r="I204" s="73">
        <f t="shared" si="4"/>
        <v>0</v>
      </c>
      <c r="J204" s="74">
        <f>VLOOKUP(C204,[1]B.D!$A:$E,5,FALSE)</f>
        <v>1.05</v>
      </c>
      <c r="K204" s="63">
        <f t="shared" si="5"/>
        <v>0</v>
      </c>
    </row>
    <row r="205" spans="2:11" ht="15" customHeight="1">
      <c r="B205" s="70">
        <v>192</v>
      </c>
      <c r="C205" s="75" t="s">
        <v>590</v>
      </c>
      <c r="D205" s="71" t="str">
        <f>VLOOKUP(C205,[1]B.D!$A:$B,2,FALSE)</f>
        <v>CREMONA PUERTA EXTENSIBLE E35 2000 mm</v>
      </c>
      <c r="E205" s="71" t="str">
        <f>VLOOKUP(C205,[1]B.D!$A:$F,6,FALSE)</f>
        <v>NATURAL</v>
      </c>
      <c r="F205" s="71" t="str">
        <f>VLOOKUP(C205,[1]B.D!$A:$G,7,FALSE)</f>
        <v>CREMONA</v>
      </c>
      <c r="G205" s="64">
        <v>11103.75</v>
      </c>
      <c r="H205" s="76"/>
      <c r="I205" s="73">
        <f t="shared" si="4"/>
        <v>0</v>
      </c>
      <c r="J205" s="74">
        <f>VLOOKUP(C205,[1]B.D!$A:$E,5,FALSE)</f>
        <v>1.07</v>
      </c>
      <c r="K205" s="63">
        <f t="shared" si="5"/>
        <v>0</v>
      </c>
    </row>
    <row r="206" spans="2:11" ht="15" customHeight="1">
      <c r="B206" s="70">
        <v>193</v>
      </c>
      <c r="C206" s="71" t="s">
        <v>591</v>
      </c>
      <c r="D206" s="71" t="str">
        <f>VLOOKUP(C206,[1]B.D!$A:$B,2,FALSE)</f>
        <v>EXTENSOR CREMONA DE PUERTA 420 mm</v>
      </c>
      <c r="E206" s="71" t="str">
        <f>VLOOKUP(C206,[1]B.D!$A:$F,6,FALSE)</f>
        <v>NATURAL</v>
      </c>
      <c r="F206" s="71" t="str">
        <f>VLOOKUP(C206,[1]B.D!$A:$G,7,FALSE)</f>
        <v>CREMONA</v>
      </c>
      <c r="G206" s="64">
        <v>3348.4500000000003</v>
      </c>
      <c r="H206" s="72"/>
      <c r="I206" s="73">
        <f t="shared" ref="I206:I269" si="6">G206*H206</f>
        <v>0</v>
      </c>
      <c r="J206" s="74">
        <f>VLOOKUP(C206,[1]B.D!$A:$E,5,FALSE)</f>
        <v>0.19</v>
      </c>
      <c r="K206" s="63">
        <f t="shared" ref="K206:K269" si="7">$H206*$J206</f>
        <v>0</v>
      </c>
    </row>
    <row r="207" spans="2:11" ht="15" customHeight="1">
      <c r="B207" s="70">
        <v>194</v>
      </c>
      <c r="C207" s="71" t="s">
        <v>592</v>
      </c>
      <c r="D207" s="71" t="str">
        <f>VLOOKUP(C207,[1]B.D!$A:$B,2,FALSE)</f>
        <v>EXTENSOR CREMONA DE PUERTA 630 mm</v>
      </c>
      <c r="E207" s="71" t="str">
        <f>VLOOKUP(C207,[1]B.D!$A:$F,6,FALSE)</f>
        <v>NATURAL</v>
      </c>
      <c r="F207" s="71" t="str">
        <f>VLOOKUP(C207,[1]B.D!$A:$G,7,FALSE)</f>
        <v>CREMONA</v>
      </c>
      <c r="G207" s="64">
        <v>3768.4500000000003</v>
      </c>
      <c r="H207" s="72"/>
      <c r="I207" s="73">
        <f t="shared" si="6"/>
        <v>0</v>
      </c>
      <c r="J207" s="74">
        <f>VLOOKUP(C207,[1]B.D!$A:$E,5,FALSE)</f>
        <v>0.28999999999999998</v>
      </c>
      <c r="K207" s="63">
        <f t="shared" si="7"/>
        <v>0</v>
      </c>
    </row>
    <row r="208" spans="2:11" ht="15" customHeight="1">
      <c r="B208" s="70">
        <v>195</v>
      </c>
      <c r="C208" s="75" t="s">
        <v>594</v>
      </c>
      <c r="D208" s="71" t="str">
        <f>VLOOKUP(C208,[1]B.D!$A:$B,2,FALSE)</f>
        <v>KIT PUERTA ZENIA 1800 x 2100</v>
      </c>
      <c r="E208" s="71" t="str">
        <f>VLOOKUP(C208,[1]B.D!$A:$F,6,FALSE)</f>
        <v>NATURAL</v>
      </c>
      <c r="F208" s="71" t="str">
        <f>VLOOKUP(C208,[1]B.D!$A:$G,7,FALSE)</f>
        <v>ELEVADORA</v>
      </c>
      <c r="G208" s="64">
        <v>177102.45</v>
      </c>
      <c r="H208" s="76"/>
      <c r="I208" s="73">
        <f t="shared" si="6"/>
        <v>0</v>
      </c>
      <c r="J208" s="74">
        <f>VLOOKUP(C208,[1]B.D!$A:$E,5,FALSE)</f>
        <v>3.66</v>
      </c>
      <c r="K208" s="63">
        <f t="shared" si="7"/>
        <v>0</v>
      </c>
    </row>
    <row r="209" spans="2:11" ht="15" customHeight="1">
      <c r="B209" s="70">
        <v>196</v>
      </c>
      <c r="C209" s="75" t="s">
        <v>595</v>
      </c>
      <c r="D209" s="71" t="str">
        <f>VLOOKUP(C209,[1]B.D!$A:$B,2,FALSE)</f>
        <v>KIT PUERTA ZENIA 1800 x 2100 REFORZADO</v>
      </c>
      <c r="E209" s="71" t="str">
        <f>VLOOKUP(C209,[1]B.D!$A:$F,6,FALSE)</f>
        <v>NATURAL</v>
      </c>
      <c r="F209" s="71" t="str">
        <f>VLOOKUP(C209,[1]B.D!$A:$G,7,FALSE)</f>
        <v>ELEVADORA</v>
      </c>
      <c r="G209" s="64">
        <v>228098.85</v>
      </c>
      <c r="H209" s="76"/>
      <c r="I209" s="73">
        <f t="shared" si="6"/>
        <v>0</v>
      </c>
      <c r="J209" s="74">
        <f>VLOOKUP(C209,[1]B.D!$A:$E,5,FALSE)</f>
        <v>5.4379999999999997</v>
      </c>
      <c r="K209" s="63">
        <f t="shared" si="7"/>
        <v>0</v>
      </c>
    </row>
    <row r="210" spans="2:11" ht="15" customHeight="1">
      <c r="B210" s="70">
        <v>197</v>
      </c>
      <c r="C210" s="75" t="s">
        <v>596</v>
      </c>
      <c r="D210" s="71" t="str">
        <f>VLOOKUP(C210,[1]B.D!$A:$B,2,FALSE)</f>
        <v>KIT PUERTA ZENIA 2100 x 2400</v>
      </c>
      <c r="E210" s="71" t="str">
        <f>VLOOKUP(C210,[1]B.D!$A:$F,6,FALSE)</f>
        <v>NATURAL</v>
      </c>
      <c r="F210" s="71" t="str">
        <f>VLOOKUP(C210,[1]B.D!$A:$G,7,FALSE)</f>
        <v>ELEVADORA</v>
      </c>
      <c r="G210" s="64">
        <v>183913.80000000002</v>
      </c>
      <c r="H210" s="76"/>
      <c r="I210" s="73">
        <f t="shared" si="6"/>
        <v>0</v>
      </c>
      <c r="J210" s="74">
        <f>VLOOKUP(C210,[1]B.D!$A:$E,5,FALSE)</f>
        <v>4.82</v>
      </c>
      <c r="K210" s="63">
        <f t="shared" si="7"/>
        <v>0</v>
      </c>
    </row>
    <row r="211" spans="2:11" ht="15" customHeight="1">
      <c r="B211" s="70">
        <v>198</v>
      </c>
      <c r="C211" s="75" t="s">
        <v>597</v>
      </c>
      <c r="D211" s="71" t="str">
        <f>VLOOKUP(C211,[1]B.D!$A:$B,2,FALSE)</f>
        <v>KIT PUERTA ZENIA 2100 x 2400 REFORZADO</v>
      </c>
      <c r="E211" s="71" t="str">
        <f>VLOOKUP(C211,[1]B.D!$A:$F,6,FALSE)</f>
        <v>NATURAL</v>
      </c>
      <c r="F211" s="71" t="str">
        <f>VLOOKUP(C211,[1]B.D!$A:$G,7,FALSE)</f>
        <v>ELEVADORA</v>
      </c>
      <c r="G211" s="64">
        <v>232487.85</v>
      </c>
      <c r="H211" s="76"/>
      <c r="I211" s="73">
        <f t="shared" si="6"/>
        <v>0</v>
      </c>
      <c r="J211" s="74">
        <f>VLOOKUP(C211,[1]B.D!$A:$E,5,FALSE)</f>
        <v>5.7640000000000002</v>
      </c>
      <c r="K211" s="63">
        <f t="shared" si="7"/>
        <v>0</v>
      </c>
    </row>
    <row r="212" spans="2:11" ht="15" customHeight="1">
      <c r="B212" s="70">
        <v>199</v>
      </c>
      <c r="C212" s="75" t="s">
        <v>598</v>
      </c>
      <c r="D212" s="71" t="str">
        <f>VLOOKUP(C212,[1]B.D!$A:$B,2,FALSE)</f>
        <v>KIT PUERTA ZENIA 2400 x 2800 REFORZADO</v>
      </c>
      <c r="E212" s="71" t="str">
        <f>VLOOKUP(C212,[1]B.D!$A:$F,6,FALSE)</f>
        <v>NATURAL</v>
      </c>
      <c r="F212" s="71" t="str">
        <f>VLOOKUP(C212,[1]B.D!$A:$G,7,FALSE)</f>
        <v>ELEVADORA</v>
      </c>
      <c r="G212" s="64">
        <v>196788.9</v>
      </c>
      <c r="H212" s="76"/>
      <c r="I212" s="73">
        <f t="shared" si="6"/>
        <v>0</v>
      </c>
      <c r="J212" s="74">
        <f>VLOOKUP(C212,[1]B.D!$A:$E,5,FALSE)</f>
        <v>6.0720000000000001</v>
      </c>
      <c r="K212" s="63">
        <f t="shared" si="7"/>
        <v>0</v>
      </c>
    </row>
    <row r="213" spans="2:11" ht="15" customHeight="1">
      <c r="B213" s="70">
        <v>200</v>
      </c>
      <c r="C213" s="75" t="s">
        <v>599</v>
      </c>
      <c r="D213" s="71" t="str">
        <f>VLOOKUP(C213,[1]B.D!$A:$B,2,FALSE)</f>
        <v>FELPA 5X5 C/FIN SEAL 600 MT - FS</v>
      </c>
      <c r="E213" s="71" t="str">
        <f>VLOOKUP(C213,[1]B.D!$A:$F,6,FALSE)</f>
        <v>NATURAL</v>
      </c>
      <c r="F213" s="71" t="str">
        <f>VLOOKUP(C213,[1]B.D!$A:$G,7,FALSE)</f>
        <v>FELPA</v>
      </c>
      <c r="G213" s="64">
        <v>24570</v>
      </c>
      <c r="H213" s="76"/>
      <c r="I213" s="73">
        <f t="shared" si="6"/>
        <v>0</v>
      </c>
      <c r="J213" s="74">
        <f>VLOOKUP(C213,[1]B.D!$A:$E,5,FALSE)</f>
        <v>3.8E-3</v>
      </c>
      <c r="K213" s="63">
        <f t="shared" si="7"/>
        <v>0</v>
      </c>
    </row>
    <row r="214" spans="2:11" ht="15" customHeight="1">
      <c r="B214" s="70">
        <v>201</v>
      </c>
      <c r="C214" s="71" t="s">
        <v>600</v>
      </c>
      <c r="D214" s="71" t="str">
        <f>VLOOKUP(C214,[1]B.D!$A:$B,2,FALSE)</f>
        <v>FELPA 5X5 S/FILM SEAL - 1 MT- SL</v>
      </c>
      <c r="E214" s="71" t="str">
        <f>VLOOKUP(C214,[1]B.D!$A:$F,6,FALSE)</f>
        <v>NEGRO</v>
      </c>
      <c r="F214" s="71" t="str">
        <f>VLOOKUP(C214,[1]B.D!$A:$G,7,FALSE)</f>
        <v>FELPA</v>
      </c>
      <c r="G214" s="64">
        <v>85.05</v>
      </c>
      <c r="H214" s="72"/>
      <c r="I214" s="73">
        <f t="shared" si="6"/>
        <v>0</v>
      </c>
      <c r="J214" s="74">
        <f>VLOOKUP(C214,[1]B.D!$A:$E,5,FALSE)</f>
        <v>2.5</v>
      </c>
      <c r="K214" s="63">
        <f t="shared" si="7"/>
        <v>0</v>
      </c>
    </row>
    <row r="215" spans="2:11" ht="15" customHeight="1">
      <c r="B215" s="70">
        <v>202</v>
      </c>
      <c r="C215" s="71" t="s">
        <v>879</v>
      </c>
      <c r="D215" s="71" t="str">
        <f>VLOOKUP(C215,[1]B.D!$A:$B,2,FALSE)</f>
        <v>FELPA 7X6 S/FILM SEAL - 1 MT - GRIS - SOM</v>
      </c>
      <c r="E215" s="71" t="str">
        <f>VLOOKUP(C215,[1]B.D!$A:$F,6,FALSE)</f>
        <v>GRIS</v>
      </c>
      <c r="F215" s="71" t="str">
        <f>VLOOKUP(C215,[1]B.D!$A:$G,7,FALSE)</f>
        <v>FELPA</v>
      </c>
      <c r="G215" s="64">
        <v>375.90000000000003</v>
      </c>
      <c r="H215" s="72"/>
      <c r="I215" s="73">
        <f t="shared" si="6"/>
        <v>0</v>
      </c>
      <c r="J215" s="74">
        <f>VLOOKUP(C215,[1]B.D!$A:$E,5,FALSE)</f>
        <v>6.0000000000000001E-3</v>
      </c>
      <c r="K215" s="63">
        <f t="shared" si="7"/>
        <v>0</v>
      </c>
    </row>
    <row r="216" spans="2:11" ht="15" customHeight="1">
      <c r="B216" s="70">
        <v>203</v>
      </c>
      <c r="C216" s="75" t="s">
        <v>601</v>
      </c>
      <c r="D216" s="71" t="str">
        <f>VLOOKUP(C216,[1]B.D!$A:$B,2,FALSE)</f>
        <v>FELPA C/F 7X6 mm 300 mts - GRIS - SLK</v>
      </c>
      <c r="E216" s="71" t="str">
        <f>VLOOKUP(C216,[1]B.D!$A:$F,6,FALSE)</f>
        <v>GRAFITO</v>
      </c>
      <c r="F216" s="71" t="str">
        <f>VLOOKUP(C216,[1]B.D!$A:$G,7,FALSE)</f>
        <v>FELPA</v>
      </c>
      <c r="G216" s="64">
        <v>28523.25</v>
      </c>
      <c r="H216" s="76"/>
      <c r="I216" s="73">
        <f t="shared" si="6"/>
        <v>0</v>
      </c>
      <c r="J216" s="74">
        <f>VLOOKUP(C216,[1]B.D!$A:$E,5,FALSE)</f>
        <v>2.5</v>
      </c>
      <c r="K216" s="63">
        <f t="shared" si="7"/>
        <v>0</v>
      </c>
    </row>
    <row r="217" spans="2:11" ht="15" customHeight="1">
      <c r="B217" s="70">
        <v>204</v>
      </c>
      <c r="C217" s="75" t="s">
        <v>602</v>
      </c>
      <c r="D217" s="71" t="str">
        <f>VLOOKUP(C217,[1]B.D!$A:$B,2,FALSE)</f>
        <v>FELPA C/F 7X6 mm 300 mts - NEGRO - SLK</v>
      </c>
      <c r="E217" s="71" t="str">
        <f>VLOOKUP(C217,[1]B.D!$A:$F,6,FALSE)</f>
        <v>NEGRO</v>
      </c>
      <c r="F217" s="71" t="str">
        <f>VLOOKUP(C217,[1]B.D!$A:$G,7,FALSE)</f>
        <v>FELPA</v>
      </c>
      <c r="G217" s="64">
        <v>30180.15</v>
      </c>
      <c r="H217" s="76"/>
      <c r="I217" s="73">
        <f t="shared" si="6"/>
        <v>0</v>
      </c>
      <c r="J217" s="74">
        <f>VLOOKUP(C217,[1]B.D!$A:$E,5,FALSE)</f>
        <v>2.5</v>
      </c>
      <c r="K217" s="63">
        <f t="shared" si="7"/>
        <v>0</v>
      </c>
    </row>
    <row r="218" spans="2:11" ht="15" customHeight="1">
      <c r="B218" s="70">
        <v>205</v>
      </c>
      <c r="C218" s="75" t="s">
        <v>603</v>
      </c>
      <c r="D218" s="71" t="str">
        <f>VLOOKUP(C218,[1]B.D!$A:$B,2,FALSE)</f>
        <v>FELPA C/F 7X8 mm 300 mts - GRIS - SLK</v>
      </c>
      <c r="E218" s="71" t="str">
        <f>VLOOKUP(C218,[1]B.D!$A:$F,6,FALSE)</f>
        <v>GRAFITO</v>
      </c>
      <c r="F218" s="71" t="str">
        <f>VLOOKUP(C218,[1]B.D!$A:$G,7,FALSE)</f>
        <v>FELPA</v>
      </c>
      <c r="G218" s="64">
        <v>33744.9</v>
      </c>
      <c r="H218" s="76"/>
      <c r="I218" s="73">
        <f t="shared" si="6"/>
        <v>0</v>
      </c>
      <c r="J218" s="74">
        <f>VLOOKUP(C218,[1]B.D!$A:$E,5,FALSE)</f>
        <v>2.64</v>
      </c>
      <c r="K218" s="63">
        <f t="shared" si="7"/>
        <v>0</v>
      </c>
    </row>
    <row r="219" spans="2:11" ht="15" customHeight="1">
      <c r="B219" s="70">
        <v>206</v>
      </c>
      <c r="C219" s="75" t="s">
        <v>604</v>
      </c>
      <c r="D219" s="71" t="str">
        <f>VLOOKUP(C219,[1]B.D!$A:$B,2,FALSE)</f>
        <v>FELPA C/F 7X8 mm 300 mts - NEGRO - SLK</v>
      </c>
      <c r="E219" s="71" t="str">
        <f>VLOOKUP(C219,[1]B.D!$A:$F,6,FALSE)</f>
        <v>NEGRO</v>
      </c>
      <c r="F219" s="71" t="str">
        <f>VLOOKUP(C219,[1]B.D!$A:$G,7,FALSE)</f>
        <v>FELPA</v>
      </c>
      <c r="G219" s="64">
        <v>33744.9</v>
      </c>
      <c r="H219" s="76"/>
      <c r="I219" s="73">
        <f t="shared" si="6"/>
        <v>0</v>
      </c>
      <c r="J219" s="74">
        <f>VLOOKUP(C219,[1]B.D!$A:$E,5,FALSE)</f>
        <v>2.64</v>
      </c>
      <c r="K219" s="63">
        <f t="shared" si="7"/>
        <v>0</v>
      </c>
    </row>
    <row r="220" spans="2:11" ht="15" customHeight="1">
      <c r="B220" s="70">
        <v>207</v>
      </c>
      <c r="C220" s="71" t="s">
        <v>485</v>
      </c>
      <c r="D220" s="71" t="str">
        <f>VLOOKUP(C220,[1]B.D!$A:$B,2,FALSE)</f>
        <v>ALINEADOR DE CRISTAL 180° - VNU</v>
      </c>
      <c r="E220" s="71" t="str">
        <f>VLOOKUP(C220,[1]B.D!$A:$F,6,FALSE)</f>
        <v>NATURAL</v>
      </c>
      <c r="F220" s="71" t="str">
        <f>VLOOKUP(C220,[1]B.D!$A:$G,7,FALSE)</f>
        <v>HERRAJES - BARANDAS</v>
      </c>
      <c r="G220" s="64">
        <v>25280</v>
      </c>
      <c r="H220" s="72"/>
      <c r="I220" s="73">
        <f t="shared" si="6"/>
        <v>0</v>
      </c>
      <c r="J220" s="74">
        <f>VLOOKUP(C220,[1]B.D!$A:$E,5,FALSE)</f>
        <v>4.2099999999999999E-2</v>
      </c>
      <c r="K220" s="63">
        <f t="shared" si="7"/>
        <v>0</v>
      </c>
    </row>
    <row r="221" spans="2:11" ht="15" customHeight="1">
      <c r="B221" s="70">
        <v>208</v>
      </c>
      <c r="C221" s="71" t="s">
        <v>486</v>
      </c>
      <c r="D221" s="71" t="str">
        <f>VLOOKUP(C221,[1]B.D!$A:$B,2,FALSE)</f>
        <v>ALINEADOR DE CRISTAL 90° - VNU</v>
      </c>
      <c r="E221" s="71" t="str">
        <f>VLOOKUP(C221,[1]B.D!$A:$F,6,FALSE)</f>
        <v>NATURAL</v>
      </c>
      <c r="F221" s="71" t="str">
        <f>VLOOKUP(C221,[1]B.D!$A:$G,7,FALSE)</f>
        <v>HERRAJES - BARANDAS</v>
      </c>
      <c r="G221" s="64">
        <v>45516</v>
      </c>
      <c r="H221" s="72"/>
      <c r="I221" s="73">
        <f t="shared" si="6"/>
        <v>0</v>
      </c>
      <c r="J221" s="74">
        <f>VLOOKUP(C221,[1]B.D!$A:$E,5,FALSE)</f>
        <v>0.1575</v>
      </c>
      <c r="K221" s="63">
        <f t="shared" si="7"/>
        <v>0</v>
      </c>
    </row>
    <row r="222" spans="2:11" ht="15" customHeight="1">
      <c r="B222" s="70">
        <v>209</v>
      </c>
      <c r="C222" s="71" t="s">
        <v>903</v>
      </c>
      <c r="D222" s="71" t="str">
        <f>VLOOKUP(C222,[1]B.D!$A:$B,2,FALSE)</f>
        <v>BURLETE EXTERIOR N-50 - 10 mm</v>
      </c>
      <c r="E222" s="71" t="str">
        <f>VLOOKUP(C222,[1]B.D!$A:$F,6,FALSE)</f>
        <v>NEGRO</v>
      </c>
      <c r="F222" s="71" t="str">
        <f>VLOOKUP(C222,[1]B.D!$A:$G,7,FALSE)</f>
        <v>HERRAJES - BARANDAS</v>
      </c>
      <c r="G222" s="64">
        <v>2054</v>
      </c>
      <c r="H222" s="72"/>
      <c r="I222" s="73">
        <f t="shared" si="6"/>
        <v>0</v>
      </c>
      <c r="J222" s="74">
        <f>VLOOKUP(C222,[1]B.D!$A:$E,5,FALSE)</f>
        <v>0.115</v>
      </c>
      <c r="K222" s="63">
        <f t="shared" si="7"/>
        <v>0</v>
      </c>
    </row>
    <row r="223" spans="2:11" ht="15" customHeight="1">
      <c r="B223" s="70">
        <v>210</v>
      </c>
      <c r="C223" s="71" t="s">
        <v>480</v>
      </c>
      <c r="D223" s="71" t="str">
        <f>VLOOKUP(C223,[1]B.D!$A:$B,2,FALSE)</f>
        <v>BURLETE EXTERIOR N-50 - 12mm</v>
      </c>
      <c r="E223" s="71" t="str">
        <f>VLOOKUP(C223,[1]B.D!$A:$F,6,FALSE)</f>
        <v>NEGRO</v>
      </c>
      <c r="F223" s="71" t="str">
        <f>VLOOKUP(C223,[1]B.D!$A:$G,7,FALSE)</f>
        <v>HERRAJES - BARANDAS</v>
      </c>
      <c r="G223" s="64">
        <v>1849</v>
      </c>
      <c r="H223" s="72"/>
      <c r="I223" s="73">
        <f t="shared" si="6"/>
        <v>0</v>
      </c>
      <c r="J223" s="74">
        <f>VLOOKUP(C223,[1]B.D!$A:$E,5,FALSE)</f>
        <v>0.1148</v>
      </c>
      <c r="K223" s="63">
        <f t="shared" si="7"/>
        <v>0</v>
      </c>
    </row>
    <row r="224" spans="2:11" ht="15" customHeight="1">
      <c r="B224" s="70">
        <v>211</v>
      </c>
      <c r="C224" s="71" t="s">
        <v>481</v>
      </c>
      <c r="D224" s="71" t="str">
        <f>VLOOKUP(C224,[1]B.D!$A:$B,2,FALSE)</f>
        <v>BURLETE EXTERIOR N-50 - 16 mm</v>
      </c>
      <c r="E224" s="71" t="str">
        <f>VLOOKUP(C224,[1]B.D!$A:$F,6,FALSE)</f>
        <v>NEGRO</v>
      </c>
      <c r="F224" s="71" t="str">
        <f>VLOOKUP(C224,[1]B.D!$A:$G,7,FALSE)</f>
        <v>HERRAJES - BARANDAS</v>
      </c>
      <c r="G224" s="64">
        <v>1329</v>
      </c>
      <c r="H224" s="72"/>
      <c r="I224" s="73">
        <f t="shared" si="6"/>
        <v>0</v>
      </c>
      <c r="J224" s="74">
        <f>VLOOKUP(C224,[1]B.D!$A:$E,5,FALSE)</f>
        <v>4.9500000000000002E-2</v>
      </c>
      <c r="K224" s="63">
        <f t="shared" si="7"/>
        <v>0</v>
      </c>
    </row>
    <row r="225" spans="2:11" ht="15" customHeight="1">
      <c r="B225" s="70">
        <v>212</v>
      </c>
      <c r="C225" s="71" t="s">
        <v>483</v>
      </c>
      <c r="D225" s="71" t="str">
        <f>VLOOKUP(C225,[1]B.D!$A:$B,2,FALSE)</f>
        <v>BURLETE EXTERIOR N-50R - 12 mm</v>
      </c>
      <c r="E225" s="71" t="str">
        <f>VLOOKUP(C225,[1]B.D!$A:$F,6,FALSE)</f>
        <v>NEGRO</v>
      </c>
      <c r="F225" s="71" t="str">
        <f>VLOOKUP(C225,[1]B.D!$A:$G,7,FALSE)</f>
        <v>HERRAJES - BARANDAS</v>
      </c>
      <c r="G225" s="64">
        <v>383</v>
      </c>
      <c r="H225" s="72"/>
      <c r="I225" s="73">
        <f t="shared" si="6"/>
        <v>0</v>
      </c>
      <c r="J225" s="74">
        <f>VLOOKUP(C225,[1]B.D!$A:$E,5,FALSE)</f>
        <v>2.3E-2</v>
      </c>
      <c r="K225" s="63">
        <f t="shared" si="7"/>
        <v>0</v>
      </c>
    </row>
    <row r="226" spans="2:11" ht="15" customHeight="1">
      <c r="B226" s="70">
        <v>213</v>
      </c>
      <c r="C226" s="71" t="s">
        <v>484</v>
      </c>
      <c r="D226" s="71" t="str">
        <f>VLOOKUP(C226,[1]B.D!$A:$B,2,FALSE)</f>
        <v>BURLETE EXTERIOR N-50R - 16 mm</v>
      </c>
      <c r="E226" s="71" t="str">
        <f>VLOOKUP(C226,[1]B.D!$A:$F,6,FALSE)</f>
        <v>NEGRO</v>
      </c>
      <c r="F226" s="71" t="str">
        <f>VLOOKUP(C226,[1]B.D!$A:$G,7,FALSE)</f>
        <v>HERRAJES - BARANDAS</v>
      </c>
      <c r="G226" s="64">
        <v>527</v>
      </c>
      <c r="H226" s="72"/>
      <c r="I226" s="73">
        <f t="shared" si="6"/>
        <v>0</v>
      </c>
      <c r="J226" s="74">
        <f>VLOOKUP(C226,[1]B.D!$A:$E,5,FALSE)</f>
        <v>2.4199999999999999E-2</v>
      </c>
      <c r="K226" s="63">
        <f t="shared" si="7"/>
        <v>0</v>
      </c>
    </row>
    <row r="227" spans="2:11" ht="15" customHeight="1">
      <c r="B227" s="70">
        <v>214</v>
      </c>
      <c r="C227" s="71" t="s">
        <v>482</v>
      </c>
      <c r="D227" s="71" t="str">
        <f>VLOOKUP(C227,[1]B.D!$A:$B,2,FALSE)</f>
        <v>BURLETE INTERIOR / EXTERIOR N-50R - 10 MM</v>
      </c>
      <c r="E227" s="71" t="str">
        <f>VLOOKUP(C227,[1]B.D!$A:$F,6,FALSE)</f>
        <v>NEGRO</v>
      </c>
      <c r="F227" s="71" t="str">
        <f>VLOOKUP(C227,[1]B.D!$A:$G,7,FALSE)</f>
        <v>HERRAJES - BARANDAS</v>
      </c>
      <c r="G227" s="64">
        <v>658</v>
      </c>
      <c r="H227" s="72"/>
      <c r="I227" s="73">
        <f t="shared" si="6"/>
        <v>0</v>
      </c>
      <c r="J227" s="74">
        <f>VLOOKUP(C227,[1]B.D!$A:$E,5,FALSE)</f>
        <v>2.5600000000000001E-2</v>
      </c>
      <c r="K227" s="63">
        <f t="shared" si="7"/>
        <v>0</v>
      </c>
    </row>
    <row r="228" spans="2:11" ht="15" customHeight="1">
      <c r="B228" s="70">
        <v>215</v>
      </c>
      <c r="C228" s="71" t="s">
        <v>479</v>
      </c>
      <c r="D228" s="71" t="str">
        <f>VLOOKUP(C228,[1]B.D!$A:$B,2,FALSE)</f>
        <v>BURLETE INTERIOR N-50</v>
      </c>
      <c r="E228" s="71" t="str">
        <f>VLOOKUP(C228,[1]B.D!$A:$F,6,FALSE)</f>
        <v>NEGRO</v>
      </c>
      <c r="F228" s="71" t="str">
        <f>VLOOKUP(C228,[1]B.D!$A:$G,7,FALSE)</f>
        <v>HERRAJES - BARANDAS</v>
      </c>
      <c r="G228" s="64">
        <v>2208</v>
      </c>
      <c r="H228" s="72"/>
      <c r="I228" s="73">
        <f t="shared" si="6"/>
        <v>0</v>
      </c>
      <c r="J228" s="74">
        <f>VLOOKUP(C228,[1]B.D!$A:$E,5,FALSE)</f>
        <v>0.1348</v>
      </c>
      <c r="K228" s="63">
        <f t="shared" si="7"/>
        <v>0</v>
      </c>
    </row>
    <row r="229" spans="2:11" ht="15" customHeight="1">
      <c r="B229" s="70">
        <v>216</v>
      </c>
      <c r="C229" s="71" t="s">
        <v>904</v>
      </c>
      <c r="D229" s="71" t="str">
        <f>VLOOKUP(C229,[1]B.D!$A:$B,2,FALSE)</f>
        <v>CALZO ACRISTALAMIENTO N50 - N50R - 10mm</v>
      </c>
      <c r="E229" s="71" t="str">
        <f>VLOOKUP(C229,[1]B.D!$A:$F,6,FALSE)</f>
        <v>AMARILLO</v>
      </c>
      <c r="F229" s="71" t="str">
        <f>VLOOKUP(C229,[1]B.D!$A:$G,7,FALSE)</f>
        <v>HERRAJES - BARANDAS</v>
      </c>
      <c r="G229" s="64">
        <v>4628</v>
      </c>
      <c r="H229" s="72"/>
      <c r="I229" s="73">
        <f t="shared" si="6"/>
        <v>0</v>
      </c>
      <c r="J229" s="74">
        <f>VLOOKUP(C229,[1]B.D!$A:$E,5,FALSE)</f>
        <v>0.11749999999999999</v>
      </c>
      <c r="K229" s="63">
        <f t="shared" si="7"/>
        <v>0</v>
      </c>
    </row>
    <row r="230" spans="2:11" ht="15" customHeight="1">
      <c r="B230" s="70">
        <v>217</v>
      </c>
      <c r="C230" s="71" t="s">
        <v>477</v>
      </c>
      <c r="D230" s="71" t="str">
        <f>VLOOKUP(C230,[1]B.D!$A:$B,2,FALSE)</f>
        <v>CALZO ACRISTALAMIENTO N50 - N50R - 12mm</v>
      </c>
      <c r="E230" s="71" t="str">
        <f>VLOOKUP(C230,[1]B.D!$A:$F,6,FALSE)</f>
        <v>AMARILLO</v>
      </c>
      <c r="F230" s="71" t="str">
        <f>VLOOKUP(C230,[1]B.D!$A:$G,7,FALSE)</f>
        <v>HERRAJES - BARANDAS</v>
      </c>
      <c r="G230" s="64">
        <v>4263</v>
      </c>
      <c r="H230" s="72"/>
      <c r="I230" s="73">
        <f t="shared" si="6"/>
        <v>0</v>
      </c>
      <c r="J230" s="74">
        <f>VLOOKUP(C230,[1]B.D!$A:$E,5,FALSE)</f>
        <v>0.10589999999999999</v>
      </c>
      <c r="K230" s="63">
        <f t="shared" si="7"/>
        <v>0</v>
      </c>
    </row>
    <row r="231" spans="2:11" ht="15" customHeight="1">
      <c r="B231" s="70">
        <v>218</v>
      </c>
      <c r="C231" s="71" t="s">
        <v>478</v>
      </c>
      <c r="D231" s="71" t="str">
        <f>VLOOKUP(C231,[1]B.D!$A:$B,2,FALSE)</f>
        <v>CALZO ACRISTALAMIENTO N50 - N50R - 16mm</v>
      </c>
      <c r="E231" s="71" t="str">
        <f>VLOOKUP(C231,[1]B.D!$A:$F,6,FALSE)</f>
        <v>AMARILLO</v>
      </c>
      <c r="F231" s="71" t="str">
        <f>VLOOKUP(C231,[1]B.D!$A:$G,7,FALSE)</f>
        <v>HERRAJES - BARANDAS</v>
      </c>
      <c r="G231" s="64">
        <v>3352</v>
      </c>
      <c r="H231" s="72"/>
      <c r="I231" s="73">
        <f t="shared" si="6"/>
        <v>0</v>
      </c>
      <c r="J231" s="74">
        <f>VLOOKUP(C231,[1]B.D!$A:$E,5,FALSE)</f>
        <v>8.1600000000000006E-2</v>
      </c>
      <c r="K231" s="63">
        <f t="shared" si="7"/>
        <v>0</v>
      </c>
    </row>
    <row r="232" spans="2:11" ht="15" customHeight="1">
      <c r="B232" s="70">
        <v>219</v>
      </c>
      <c r="C232" s="71" t="s">
        <v>487</v>
      </c>
      <c r="D232" s="71" t="str">
        <f>VLOOKUP(C232,[1]B.D!$A:$B,2,FALSE)</f>
        <v>ESPARRAGO M10 X 150 mm - MA</v>
      </c>
      <c r="E232" s="71" t="str">
        <f>VLOOKUP(C232,[1]B.D!$A:$F,6,FALSE)</f>
        <v>NATURAL</v>
      </c>
      <c r="F232" s="71" t="str">
        <f>VLOOKUP(C232,[1]B.D!$A:$G,7,FALSE)</f>
        <v>HERRAJES - BARANDAS</v>
      </c>
      <c r="G232" s="64">
        <v>391</v>
      </c>
      <c r="H232" s="72"/>
      <c r="I232" s="73">
        <f t="shared" si="6"/>
        <v>0</v>
      </c>
      <c r="J232" s="74">
        <f>VLOOKUP(C232,[1]B.D!$A:$E,5,FALSE)</f>
        <v>0.65100000000000002</v>
      </c>
      <c r="K232" s="63">
        <f t="shared" si="7"/>
        <v>0</v>
      </c>
    </row>
    <row r="233" spans="2:11" ht="15" customHeight="1">
      <c r="B233" s="70">
        <v>220</v>
      </c>
      <c r="C233" s="75" t="s">
        <v>857</v>
      </c>
      <c r="D233" s="71" t="str">
        <f>VLOOKUP(C233,[1]B.D!$A:$B,2,FALSE)</f>
        <v>ESPATULA TRABA CALZOS -SOM</v>
      </c>
      <c r="E233" s="71" t="str">
        <f>VLOOKUP(C233,[1]B.D!$A:$F,6,FALSE)</f>
        <v>NEGRO</v>
      </c>
      <c r="F233" s="71" t="str">
        <f>VLOOKUP(C233,[1]B.D!$A:$G,7,FALSE)</f>
        <v>HERRAJES - BARANDAS</v>
      </c>
      <c r="G233" s="64">
        <v>32928</v>
      </c>
      <c r="H233" s="76"/>
      <c r="I233" s="73">
        <f t="shared" si="6"/>
        <v>0</v>
      </c>
      <c r="J233" s="74">
        <f>VLOOKUP(C233,[1]B.D!$A:$E,5,FALSE)</f>
        <v>0.55000000000000004</v>
      </c>
      <c r="K233" s="63">
        <f t="shared" si="7"/>
        <v>0</v>
      </c>
    </row>
    <row r="234" spans="2:11" ht="15" customHeight="1">
      <c r="B234" s="70">
        <v>221</v>
      </c>
      <c r="C234" s="71" t="s">
        <v>489</v>
      </c>
      <c r="D234" s="71" t="str">
        <f>VLOOKUP(C234,[1]B.D!$A:$B,2,FALSE)</f>
        <v>GOLILLA M10 - MA</v>
      </c>
      <c r="E234" s="71" t="str">
        <f>VLOOKUP(C234,[1]B.D!$A:$F,6,FALSE)</f>
        <v>NATURAL</v>
      </c>
      <c r="F234" s="71" t="str">
        <f>VLOOKUP(C234,[1]B.D!$A:$G,7,FALSE)</f>
        <v>HERRAJES - BARANDAS</v>
      </c>
      <c r="G234" s="64">
        <v>86</v>
      </c>
      <c r="H234" s="72"/>
      <c r="I234" s="73">
        <f t="shared" si="6"/>
        <v>0</v>
      </c>
      <c r="J234" s="74">
        <f>VLOOKUP(C234,[1]B.D!$A:$E,5,FALSE)</f>
        <v>2.8000000000000001E-2</v>
      </c>
      <c r="K234" s="63">
        <f t="shared" si="7"/>
        <v>0</v>
      </c>
    </row>
    <row r="235" spans="2:11" ht="15" customHeight="1">
      <c r="B235" s="70">
        <v>222</v>
      </c>
      <c r="C235" s="71" t="s">
        <v>853</v>
      </c>
      <c r="D235" s="71" t="str">
        <f>VLOOKUP(C235,[1]B.D!$A:$B,2,FALSE)</f>
        <v>TAPA EMBELLECEDORA N-50</v>
      </c>
      <c r="E235" s="71" t="str">
        <f>VLOOKUP(C235,[1]B.D!$A:$F,6,FALSE)</f>
        <v>NATURAL</v>
      </c>
      <c r="F235" s="71" t="str">
        <f>VLOOKUP(C235,[1]B.D!$A:$G,7,FALSE)</f>
        <v>HERRAJES - BARANDAS</v>
      </c>
      <c r="G235" s="64">
        <v>4610</v>
      </c>
      <c r="H235" s="72"/>
      <c r="I235" s="73">
        <f t="shared" si="6"/>
        <v>0</v>
      </c>
      <c r="J235" s="74">
        <f>VLOOKUP(C235,[1]B.D!$A:$E,5,FALSE)</f>
        <v>3.15E-2</v>
      </c>
      <c r="K235" s="63">
        <f t="shared" si="7"/>
        <v>0</v>
      </c>
    </row>
    <row r="236" spans="2:11" ht="15" customHeight="1">
      <c r="B236" s="70">
        <v>225</v>
      </c>
      <c r="C236" s="71" t="s">
        <v>854</v>
      </c>
      <c r="D236" s="71" t="str">
        <f>VLOOKUP(C236,[1]B.D!$A:$B,2,FALSE)</f>
        <v>TAPA EMBELLECEDORA N-50R</v>
      </c>
      <c r="E236" s="71" t="str">
        <f>VLOOKUP(C236,[1]B.D!$A:$F,6,FALSE)</f>
        <v>NATURAL</v>
      </c>
      <c r="F236" s="71" t="str">
        <f>VLOOKUP(C236,[1]B.D!$A:$G,7,FALSE)</f>
        <v>HERRAJES - BARANDAS</v>
      </c>
      <c r="G236" s="64">
        <v>5786</v>
      </c>
      <c r="H236" s="72"/>
      <c r="I236" s="73">
        <f t="shared" si="6"/>
        <v>0</v>
      </c>
      <c r="J236" s="74">
        <f>VLOOKUP(C236,[1]B.D!$A:$E,5,FALSE)</f>
        <v>4.5100000000000001E-2</v>
      </c>
      <c r="K236" s="63">
        <f t="shared" si="7"/>
        <v>0</v>
      </c>
    </row>
    <row r="237" spans="2:11" ht="15" customHeight="1">
      <c r="B237" s="70">
        <v>226</v>
      </c>
      <c r="C237" s="71" t="s">
        <v>855</v>
      </c>
      <c r="D237" s="71" t="str">
        <f>VLOOKUP(C237,[1]B.D!$A:$B,2,FALSE)</f>
        <v>TAPA EMBELLECEDORA S-40</v>
      </c>
      <c r="E237" s="71" t="str">
        <f>VLOOKUP(C237,[1]B.D!$A:$F,6,FALSE)</f>
        <v>NATURAL</v>
      </c>
      <c r="F237" s="71" t="str">
        <f>VLOOKUP(C237,[1]B.D!$A:$G,7,FALSE)</f>
        <v>HERRAJES - BARANDAS</v>
      </c>
      <c r="G237" s="64">
        <v>4610</v>
      </c>
      <c r="H237" s="72"/>
      <c r="I237" s="73">
        <f t="shared" si="6"/>
        <v>0</v>
      </c>
      <c r="J237" s="74">
        <f>VLOOKUP(C237,[1]B.D!$A:$E,5,FALSE)</f>
        <v>1.6299999999999999E-2</v>
      </c>
      <c r="K237" s="63">
        <f t="shared" si="7"/>
        <v>0</v>
      </c>
    </row>
    <row r="238" spans="2:11" ht="15" customHeight="1">
      <c r="B238" s="70">
        <v>227</v>
      </c>
      <c r="C238" s="71" t="s">
        <v>488</v>
      </c>
      <c r="D238" s="71" t="str">
        <f>VLOOKUP(C238,[1]B.D!$A:$B,2,FALSE)</f>
        <v>TUERCA HEXAGONAL M10 - MA</v>
      </c>
      <c r="E238" s="71" t="str">
        <f>VLOOKUP(C238,[1]B.D!$A:$F,6,FALSE)</f>
        <v>NATURAL</v>
      </c>
      <c r="F238" s="71" t="str">
        <f>VLOOKUP(C238,[1]B.D!$A:$G,7,FALSE)</f>
        <v>HERRAJES - BARANDAS</v>
      </c>
      <c r="G238" s="64">
        <v>168</v>
      </c>
      <c r="H238" s="72"/>
      <c r="I238" s="73">
        <f t="shared" si="6"/>
        <v>0</v>
      </c>
      <c r="J238" s="74">
        <f>VLOOKUP(C238,[1]B.D!$A:$E,5,FALSE)</f>
        <v>6.9000000000000006E-2</v>
      </c>
      <c r="K238" s="63">
        <f t="shared" si="7"/>
        <v>0</v>
      </c>
    </row>
    <row r="239" spans="2:11" ht="15" customHeight="1">
      <c r="B239" s="70">
        <v>228</v>
      </c>
      <c r="C239" s="71" t="s">
        <v>605</v>
      </c>
      <c r="D239" s="71" t="str">
        <f>VLOOKUP(C239,[1]B.D!$A:$B,2,FALSE)</f>
        <v>APLICADOR DE SELLANTE 300 ML - MA</v>
      </c>
      <c r="E239" s="71" t="str">
        <f>VLOOKUP(C239,[1]B.D!$A:$F,6,FALSE)</f>
        <v>ROJO</v>
      </c>
      <c r="F239" s="71" t="str">
        <f>VLOOKUP(C239,[1]B.D!$A:$G,7,FALSE)</f>
        <v>HERRAMIENTAS</v>
      </c>
      <c r="G239" s="64">
        <v>8051.4000000000005</v>
      </c>
      <c r="H239" s="72"/>
      <c r="I239" s="73">
        <f t="shared" si="6"/>
        <v>0</v>
      </c>
      <c r="J239" s="74">
        <f>VLOOKUP(C239,[1]B.D!$A:$E,5,FALSE)</f>
        <v>0.54</v>
      </c>
      <c r="K239" s="63">
        <f t="shared" si="7"/>
        <v>0</v>
      </c>
    </row>
    <row r="240" spans="2:11" ht="15" customHeight="1">
      <c r="B240" s="70">
        <v>229</v>
      </c>
      <c r="C240" s="75" t="s">
        <v>606</v>
      </c>
      <c r="D240" s="71" t="str">
        <f>VLOOKUP(C240,[1]B.D!$A:$B,2,FALSE)</f>
        <v>CONTRA FORMA ALETA MULTIPLE - FA</v>
      </c>
      <c r="E240" s="71" t="str">
        <f>VLOOKUP(C240,[1]B.D!$A:$F,6,FALSE)</f>
        <v>NATURAL</v>
      </c>
      <c r="F240" s="71" t="str">
        <f>VLOOKUP(C240,[1]B.D!$A:$G,7,FALSE)</f>
        <v>HERRAMIENTAS</v>
      </c>
      <c r="G240" s="64">
        <v>284768.40000000002</v>
      </c>
      <c r="H240" s="76"/>
      <c r="I240" s="73">
        <f t="shared" si="6"/>
        <v>0</v>
      </c>
      <c r="J240" s="74">
        <f>VLOOKUP(C240,[1]B.D!$A:$E,5,FALSE)</f>
        <v>2.89</v>
      </c>
      <c r="K240" s="63">
        <f t="shared" si="7"/>
        <v>0</v>
      </c>
    </row>
    <row r="241" spans="2:11" ht="15" customHeight="1">
      <c r="B241" s="70">
        <v>230</v>
      </c>
      <c r="C241" s="75" t="s">
        <v>607</v>
      </c>
      <c r="D241" s="71" t="str">
        <f>VLOOKUP(C241,[1]B.D!$A:$B,2,FALSE)</f>
        <v>CONTRA FORMA HOJA 80 - FRT</v>
      </c>
      <c r="E241" s="71" t="str">
        <f>VLOOKUP(C241,[1]B.D!$A:$F,6,FALSE)</f>
        <v>NATURAL</v>
      </c>
      <c r="F241" s="71" t="str">
        <f>VLOOKUP(C241,[1]B.D!$A:$G,7,FALSE)</f>
        <v>HERRAMIENTAS</v>
      </c>
      <c r="G241" s="64">
        <v>25834.2</v>
      </c>
      <c r="H241" s="76"/>
      <c r="I241" s="73">
        <f t="shared" si="6"/>
        <v>0</v>
      </c>
      <c r="J241" s="74">
        <f>VLOOKUP(C241,[1]B.D!$A:$E,5,FALSE)</f>
        <v>0.44369999999999998</v>
      </c>
      <c r="K241" s="63">
        <f t="shared" si="7"/>
        <v>0</v>
      </c>
    </row>
    <row r="242" spans="2:11" ht="15" customHeight="1">
      <c r="B242" s="70">
        <v>231</v>
      </c>
      <c r="C242" s="75" t="s">
        <v>608</v>
      </c>
      <c r="D242" s="71" t="str">
        <f>VLOOKUP(C242,[1]B.D!$A:$B,2,FALSE)</f>
        <v>CONTRA FORMA HOJA ANDES 66 - FRT</v>
      </c>
      <c r="E242" s="71" t="str">
        <f>VLOOKUP(C242,[1]B.D!$A:$F,6,FALSE)</f>
        <v>NATURAL</v>
      </c>
      <c r="F242" s="71" t="str">
        <f>VLOOKUP(C242,[1]B.D!$A:$G,7,FALSE)</f>
        <v>HERRAMIENTAS</v>
      </c>
      <c r="G242" s="64">
        <v>25170.600000000002</v>
      </c>
      <c r="H242" s="76"/>
      <c r="I242" s="73">
        <f t="shared" si="6"/>
        <v>0</v>
      </c>
      <c r="J242" s="74">
        <f>VLOOKUP(C242,[1]B.D!$A:$E,5,FALSE)</f>
        <v>0.34760000000000002</v>
      </c>
      <c r="K242" s="63">
        <f t="shared" si="7"/>
        <v>0</v>
      </c>
    </row>
    <row r="243" spans="2:11" ht="15" customHeight="1">
      <c r="B243" s="70">
        <v>232</v>
      </c>
      <c r="C243" s="75" t="s">
        <v>866</v>
      </c>
      <c r="D243" s="71" t="str">
        <f>VLOOKUP(C243,[1]B.D!$A:$B,2,FALSE)</f>
        <v>CONTRA FORMA HOJA MOSQUITERO - FA</v>
      </c>
      <c r="E243" s="71" t="str">
        <f>VLOOKUP(C243,[1]B.D!$A:$F,6,FALSE)</f>
        <v>NATURAL</v>
      </c>
      <c r="F243" s="71" t="str">
        <f>VLOOKUP(C243,[1]B.D!$A:$G,7,FALSE)</f>
        <v>HERRAMIENTAS</v>
      </c>
      <c r="G243" s="64">
        <v>79537.5</v>
      </c>
      <c r="H243" s="76"/>
      <c r="I243" s="73">
        <f t="shared" si="6"/>
        <v>0</v>
      </c>
      <c r="J243" s="74">
        <f>VLOOKUP(C243,[1]B.D!$A:$E,5,FALSE)</f>
        <v>1.2</v>
      </c>
      <c r="K243" s="63">
        <f t="shared" si="7"/>
        <v>0</v>
      </c>
    </row>
    <row r="244" spans="2:11" ht="15" customHeight="1">
      <c r="B244" s="70">
        <v>233</v>
      </c>
      <c r="C244" s="75" t="s">
        <v>609</v>
      </c>
      <c r="D244" s="71" t="str">
        <f>VLOOKUP(C244,[1]B.D!$A:$B,2,FALSE)</f>
        <v>CONTRA FORMA HOJA S38 ANDES - FA</v>
      </c>
      <c r="E244" s="71" t="str">
        <f>VLOOKUP(C244,[1]B.D!$A:$F,6,FALSE)</f>
        <v>NATURAL</v>
      </c>
      <c r="F244" s="71" t="str">
        <f>VLOOKUP(C244,[1]B.D!$A:$G,7,FALSE)</f>
        <v>HERRAMIENTAS</v>
      </c>
      <c r="G244" s="64">
        <v>116111.1</v>
      </c>
      <c r="H244" s="76"/>
      <c r="I244" s="73">
        <f t="shared" si="6"/>
        <v>0</v>
      </c>
      <c r="J244" s="74">
        <f>VLOOKUP(C244,[1]B.D!$A:$E,5,FALSE)</f>
        <v>0.5</v>
      </c>
      <c r="K244" s="63">
        <f t="shared" si="7"/>
        <v>0</v>
      </c>
    </row>
    <row r="245" spans="2:11" ht="15" customHeight="1">
      <c r="B245" s="70">
        <v>234</v>
      </c>
      <c r="C245" s="75" t="s">
        <v>610</v>
      </c>
      <c r="D245" s="71" t="str">
        <f>VLOOKUP(C245,[1]B.D!$A:$B,2,FALSE)</f>
        <v>CONTRA FORMA HOJA S38 ANDES - PP</v>
      </c>
      <c r="E245" s="71" t="str">
        <f>VLOOKUP(C245,[1]B.D!$A:$F,6,FALSE)</f>
        <v>NATURAL</v>
      </c>
      <c r="F245" s="71" t="str">
        <f>VLOOKUP(C245,[1]B.D!$A:$G,7,FALSE)</f>
        <v>HERRAMIENTAS</v>
      </c>
      <c r="G245" s="64">
        <v>116111.1</v>
      </c>
      <c r="H245" s="76"/>
      <c r="I245" s="73">
        <f t="shared" si="6"/>
        <v>0</v>
      </c>
      <c r="J245" s="74">
        <f>VLOOKUP(C245,[1]B.D!$A:$E,5,FALSE)</f>
        <v>0.57999999999999996</v>
      </c>
      <c r="K245" s="63">
        <f t="shared" si="7"/>
        <v>0</v>
      </c>
    </row>
    <row r="246" spans="2:11" ht="15" customHeight="1">
      <c r="B246" s="70">
        <v>235</v>
      </c>
      <c r="C246" s="75" t="s">
        <v>611</v>
      </c>
      <c r="D246" s="71" t="str">
        <f>VLOOKUP(C246,[1]B.D!$A:$B,2,FALSE)</f>
        <v>CONTRA FORMA HOJA S60 - FRT</v>
      </c>
      <c r="E246" s="71" t="str">
        <f>VLOOKUP(C246,[1]B.D!$A:$F,6,FALSE)</f>
        <v>NATURAL</v>
      </c>
      <c r="F246" s="71" t="str">
        <f>VLOOKUP(C246,[1]B.D!$A:$G,7,FALSE)</f>
        <v>HERRAMIENTAS</v>
      </c>
      <c r="G246" s="64">
        <v>25834.2</v>
      </c>
      <c r="H246" s="76"/>
      <c r="I246" s="73">
        <f t="shared" si="6"/>
        <v>0</v>
      </c>
      <c r="J246" s="74">
        <f>VLOOKUP(C246,[1]B.D!$A:$E,5,FALSE)</f>
        <v>1.1555</v>
      </c>
      <c r="K246" s="63">
        <f t="shared" si="7"/>
        <v>0</v>
      </c>
    </row>
    <row r="247" spans="2:11" ht="15" customHeight="1">
      <c r="B247" s="70">
        <v>236</v>
      </c>
      <c r="C247" s="75" t="s">
        <v>612</v>
      </c>
      <c r="D247" s="71" t="str">
        <f>VLOOKUP(C247,[1]B.D!$A:$B,2,FALSE)</f>
        <v>CONTRA FORMA HOJA SLIDING ZENIA - FRT</v>
      </c>
      <c r="E247" s="71" t="str">
        <f>VLOOKUP(C247,[1]B.D!$A:$F,6,FALSE)</f>
        <v>NATURAL</v>
      </c>
      <c r="F247" s="71" t="str">
        <f>VLOOKUP(C247,[1]B.D!$A:$G,7,FALSE)</f>
        <v>HERRAMIENTAS</v>
      </c>
      <c r="G247" s="64">
        <v>25834.2</v>
      </c>
      <c r="H247" s="76"/>
      <c r="I247" s="73">
        <f t="shared" si="6"/>
        <v>0</v>
      </c>
      <c r="J247" s="74">
        <f>VLOOKUP(C247,[1]B.D!$A:$E,5,FALSE)</f>
        <v>0.4672</v>
      </c>
      <c r="K247" s="63">
        <f t="shared" si="7"/>
        <v>0</v>
      </c>
    </row>
    <row r="248" spans="2:11" ht="15" customHeight="1">
      <c r="B248" s="70">
        <v>237</v>
      </c>
      <c r="C248" s="75" t="s">
        <v>613</v>
      </c>
      <c r="D248" s="71" t="str">
        <f>VLOOKUP(C248,[1]B.D!$A:$B,2,FALSE)</f>
        <v>CONTRA FORMA JUNQUILLOS - FA</v>
      </c>
      <c r="E248" s="71" t="str">
        <f>VLOOKUP(C248,[1]B.D!$A:$F,6,FALSE)</f>
        <v>NATURAL</v>
      </c>
      <c r="F248" s="71" t="str">
        <f>VLOOKUP(C248,[1]B.D!$A:$G,7,FALSE)</f>
        <v>HERRAMIENTAS</v>
      </c>
      <c r="G248" s="64">
        <v>266287.35000000003</v>
      </c>
      <c r="H248" s="76"/>
      <c r="I248" s="73">
        <f t="shared" si="6"/>
        <v>0</v>
      </c>
      <c r="J248" s="74">
        <f>VLOOKUP(C248,[1]B.D!$A:$E,5,FALSE)</f>
        <v>1.06</v>
      </c>
      <c r="K248" s="63">
        <f t="shared" si="7"/>
        <v>0</v>
      </c>
    </row>
    <row r="249" spans="2:11" ht="15" customHeight="1">
      <c r="B249" s="70">
        <v>238</v>
      </c>
      <c r="C249" s="75" t="s">
        <v>614</v>
      </c>
      <c r="D249" s="71" t="str">
        <f>VLOOKUP(C249,[1]B.D!$A:$B,2,FALSE)</f>
        <v>CONTRA FORMA JUNQUILLOS - PP</v>
      </c>
      <c r="E249" s="71" t="str">
        <f>VLOOKUP(C249,[1]B.D!$A:$F,6,FALSE)</f>
        <v>NATURAL</v>
      </c>
      <c r="F249" s="71" t="str">
        <f>VLOOKUP(C249,[1]B.D!$A:$G,7,FALSE)</f>
        <v>HERRAMIENTAS</v>
      </c>
      <c r="G249" s="64">
        <v>266287.35000000003</v>
      </c>
      <c r="H249" s="76"/>
      <c r="I249" s="73">
        <f t="shared" si="6"/>
        <v>0</v>
      </c>
      <c r="J249" s="74">
        <f>VLOOKUP(C249,[1]B.D!$A:$E,5,FALSE)</f>
        <v>1.06</v>
      </c>
      <c r="K249" s="63">
        <f t="shared" si="7"/>
        <v>0</v>
      </c>
    </row>
    <row r="250" spans="2:11" ht="15" customHeight="1">
      <c r="B250" s="70">
        <v>239</v>
      </c>
      <c r="C250" s="75" t="s">
        <v>615</v>
      </c>
      <c r="D250" s="71" t="str">
        <f>VLOOKUP(C250,[1]B.D!$A:$B,2,FALSE)</f>
        <v>CONTRA FORMA MARCO CORREDERA ANDES - FRT</v>
      </c>
      <c r="E250" s="71" t="str">
        <f>VLOOKUP(C250,[1]B.D!$A:$F,6,FALSE)</f>
        <v>NATURAL</v>
      </c>
      <c r="F250" s="71" t="str">
        <f>VLOOKUP(C250,[1]B.D!$A:$G,7,FALSE)</f>
        <v>HERRAMIENTAS</v>
      </c>
      <c r="G250" s="64">
        <v>23566.2</v>
      </c>
      <c r="H250" s="76"/>
      <c r="I250" s="73">
        <f t="shared" si="6"/>
        <v>0</v>
      </c>
      <c r="J250" s="74">
        <f>VLOOKUP(C250,[1]B.D!$A:$E,5,FALSE)</f>
        <v>0.96879999999999999</v>
      </c>
      <c r="K250" s="63">
        <f t="shared" si="7"/>
        <v>0</v>
      </c>
    </row>
    <row r="251" spans="2:11" ht="15" customHeight="1">
      <c r="B251" s="70">
        <v>240</v>
      </c>
      <c r="C251" s="75" t="s">
        <v>905</v>
      </c>
      <c r="D251" s="71" t="str">
        <f>VLOOKUP(C251,[1]B.D!$A:$B,2,FALSE)</f>
        <v>CONTRA FORMA MARCO DOBLE RIEL ANDES FIRAT</v>
      </c>
      <c r="E251" s="71" t="str">
        <f>VLOOKUP(C251,[1]B.D!$A:$F,6,FALSE)</f>
        <v>NATURAL</v>
      </c>
      <c r="F251" s="71" t="str">
        <f>VLOOKUP(C251,[1]B.D!$A:$G,7,FALSE)</f>
        <v>HERRAMIENTAS</v>
      </c>
      <c r="G251" s="64">
        <v>20298.600000000002</v>
      </c>
      <c r="H251" s="76"/>
      <c r="I251" s="73">
        <f t="shared" si="6"/>
        <v>0</v>
      </c>
      <c r="J251" s="74">
        <f>VLOOKUP(C251,[1]B.D!$A:$E,5,FALSE)</f>
        <v>0</v>
      </c>
      <c r="K251" s="63">
        <f t="shared" si="7"/>
        <v>0</v>
      </c>
    </row>
    <row r="252" spans="2:11" ht="15" customHeight="1">
      <c r="B252" s="70">
        <v>241</v>
      </c>
      <c r="C252" s="75" t="s">
        <v>867</v>
      </c>
      <c r="D252" s="71" t="str">
        <f>VLOOKUP(C252,[1]B.D!$A:$B,2,FALSE)</f>
        <v>CONTRA FORMA MARCO MOSQUITERO - FA</v>
      </c>
      <c r="E252" s="71" t="str">
        <f>VLOOKUP(C252,[1]B.D!$A:$F,6,FALSE)</f>
        <v>NATURAL</v>
      </c>
      <c r="F252" s="71" t="str">
        <f>VLOOKUP(C252,[1]B.D!$A:$G,7,FALSE)</f>
        <v>HERRAMIENTAS</v>
      </c>
      <c r="G252" s="64">
        <v>79537.5</v>
      </c>
      <c r="H252" s="76"/>
      <c r="I252" s="73">
        <f t="shared" si="6"/>
        <v>0</v>
      </c>
      <c r="J252" s="74">
        <f>VLOOKUP(C252,[1]B.D!$A:$E,5,FALSE)</f>
        <v>1.2</v>
      </c>
      <c r="K252" s="63">
        <f t="shared" si="7"/>
        <v>0</v>
      </c>
    </row>
    <row r="253" spans="2:11" ht="15" customHeight="1">
      <c r="B253" s="70">
        <v>242</v>
      </c>
      <c r="C253" s="75" t="s">
        <v>616</v>
      </c>
      <c r="D253" s="71" t="str">
        <f>VLOOKUP(C253,[1]B.D!$A:$B,2,FALSE)</f>
        <v>CONTRA FORMA MARCO SLIDING ZENIA - FRT</v>
      </c>
      <c r="E253" s="71" t="str">
        <f>VLOOKUP(C253,[1]B.D!$A:$F,6,FALSE)</f>
        <v>NATURAL</v>
      </c>
      <c r="F253" s="71" t="str">
        <f>VLOOKUP(C253,[1]B.D!$A:$G,7,FALSE)</f>
        <v>HERRAMIENTAS</v>
      </c>
      <c r="G253" s="64">
        <v>37999.5</v>
      </c>
      <c r="H253" s="76"/>
      <c r="I253" s="73">
        <f t="shared" si="6"/>
        <v>0</v>
      </c>
      <c r="J253" s="74">
        <f>VLOOKUP(C253,[1]B.D!$A:$E,5,FALSE)</f>
        <v>2.2258</v>
      </c>
      <c r="K253" s="63">
        <f t="shared" si="7"/>
        <v>0</v>
      </c>
    </row>
    <row r="254" spans="2:11" ht="15" customHeight="1">
      <c r="B254" s="70">
        <v>243</v>
      </c>
      <c r="C254" s="75" t="s">
        <v>856</v>
      </c>
      <c r="D254" s="71" t="str">
        <f>VLOOKUP(C254,[1]B.D!$A:$B,2,FALSE)</f>
        <v>CORTADORA TRASLAPOS CORREDERA - SOM</v>
      </c>
      <c r="E254" s="71" t="str">
        <f>VLOOKUP(C254,[1]B.D!$A:$F,6,FALSE)</f>
        <v>NATURAL</v>
      </c>
      <c r="F254" s="71" t="str">
        <f>VLOOKUP(C254,[1]B.D!$A:$G,7,FALSE)</f>
        <v>HERRAMIENTAS</v>
      </c>
      <c r="G254" s="64">
        <v>1078721.7</v>
      </c>
      <c r="H254" s="76"/>
      <c r="I254" s="73">
        <f t="shared" si="6"/>
        <v>0</v>
      </c>
      <c r="J254" s="74">
        <f>VLOOKUP(C254,[1]B.D!$A:$E,5,FALSE)</f>
        <v>9.4499999999999993</v>
      </c>
      <c r="K254" s="63">
        <f t="shared" si="7"/>
        <v>0</v>
      </c>
    </row>
    <row r="255" spans="2:11" ht="15" customHeight="1">
      <c r="B255" s="70">
        <v>244</v>
      </c>
      <c r="C255" s="75" t="s">
        <v>942</v>
      </c>
      <c r="D255" s="71" t="str">
        <f>VLOOKUP(C255,[1]B.D!$A:$B,2,FALSE)</f>
        <v>CUCHILLO DON CARLO - GU</v>
      </c>
      <c r="E255" s="71" t="str">
        <f>VLOOKUP(C255,[1]B.D!$A:$F,6,FALSE)</f>
        <v>NATURAL</v>
      </c>
      <c r="F255" s="71" t="str">
        <f>VLOOKUP(C255,[1]B.D!$A:$G,7,FALSE)</f>
        <v>HERRAMIENTAS</v>
      </c>
      <c r="G255" s="64">
        <v>125072.85</v>
      </c>
      <c r="H255" s="76"/>
      <c r="I255" s="73">
        <f t="shared" si="6"/>
        <v>0</v>
      </c>
      <c r="J255" s="74">
        <f>VLOOKUP(C255,[1]B.D!$A:$E,5,FALSE)</f>
        <v>0.11</v>
      </c>
      <c r="K255" s="63">
        <f t="shared" si="7"/>
        <v>0</v>
      </c>
    </row>
    <row r="256" spans="2:11" ht="15" customHeight="1">
      <c r="B256" s="70">
        <v>245</v>
      </c>
      <c r="C256" s="75" t="s">
        <v>617</v>
      </c>
      <c r="D256" s="71" t="str">
        <f>VLOOKUP(C256,[1]B.D!$A:$B,2,FALSE)</f>
        <v>DISCO LIMPIADOR - ANDES 66</v>
      </c>
      <c r="E256" s="71" t="str">
        <f>VLOOKUP(C256,[1]B.D!$A:$F,6,FALSE)</f>
        <v>ROJO</v>
      </c>
      <c r="F256" s="71" t="str">
        <f>VLOOKUP(C256,[1]B.D!$A:$G,7,FALSE)</f>
        <v>HERRAMIENTAS</v>
      </c>
      <c r="G256" s="64">
        <v>78367.8</v>
      </c>
      <c r="H256" s="76"/>
      <c r="I256" s="73">
        <f t="shared" si="6"/>
        <v>0</v>
      </c>
      <c r="J256" s="74">
        <f>VLOOKUP(C256,[1]B.D!$A:$E,5,FALSE)</f>
        <v>1.92</v>
      </c>
      <c r="K256" s="63">
        <f t="shared" si="7"/>
        <v>0</v>
      </c>
    </row>
    <row r="257" spans="2:11" ht="15" customHeight="1">
      <c r="B257" s="70">
        <v>246</v>
      </c>
      <c r="C257" s="75" t="s">
        <v>618</v>
      </c>
      <c r="D257" s="71" t="str">
        <f>VLOOKUP(C257,[1]B.D!$A:$B,2,FALSE)</f>
        <v>DISCO LIMPIADOR - HOJAS 80</v>
      </c>
      <c r="E257" s="71" t="str">
        <f>VLOOKUP(C257,[1]B.D!$A:$F,6,FALSE)</f>
        <v>ROJO</v>
      </c>
      <c r="F257" s="71" t="str">
        <f>VLOOKUP(C257,[1]B.D!$A:$G,7,FALSE)</f>
        <v>HERRAMIENTAS</v>
      </c>
      <c r="G257" s="64">
        <v>84211.05</v>
      </c>
      <c r="H257" s="76"/>
      <c r="I257" s="73">
        <f t="shared" si="6"/>
        <v>0</v>
      </c>
      <c r="J257" s="74">
        <f>VLOOKUP(C257,[1]B.D!$A:$E,5,FALSE)</f>
        <v>1.98</v>
      </c>
      <c r="K257" s="63">
        <f t="shared" si="7"/>
        <v>0</v>
      </c>
    </row>
    <row r="258" spans="2:11" ht="15" customHeight="1">
      <c r="B258" s="70">
        <v>247</v>
      </c>
      <c r="C258" s="75" t="s">
        <v>619</v>
      </c>
      <c r="D258" s="71" t="str">
        <f>VLOOKUP(C258,[1]B.D!$A:$B,2,FALSE)</f>
        <v>DISCO LIMPIADOR - HOJAS S60</v>
      </c>
      <c r="E258" s="71" t="str">
        <f>VLOOKUP(C258,[1]B.D!$A:$F,6,FALSE)</f>
        <v>ROJO</v>
      </c>
      <c r="F258" s="71" t="str">
        <f>VLOOKUP(C258,[1]B.D!$A:$G,7,FALSE)</f>
        <v>HERRAMIENTAS</v>
      </c>
      <c r="G258" s="64">
        <v>98379.75</v>
      </c>
      <c r="H258" s="76"/>
      <c r="I258" s="73">
        <f t="shared" si="6"/>
        <v>0</v>
      </c>
      <c r="J258" s="74">
        <f>VLOOKUP(C258,[1]B.D!$A:$E,5,FALSE)</f>
        <v>2.2599999999999998</v>
      </c>
      <c r="K258" s="63">
        <f t="shared" si="7"/>
        <v>0</v>
      </c>
    </row>
    <row r="259" spans="2:11" ht="15" customHeight="1">
      <c r="B259" s="70">
        <v>248</v>
      </c>
      <c r="C259" s="75" t="s">
        <v>620</v>
      </c>
      <c r="D259" s="71" t="str">
        <f>VLOOKUP(C259,[1]B.D!$A:$B,2,FALSE)</f>
        <v>DISCO LIMPIADOR - MARCOS CORREDERA MULTIPLE</v>
      </c>
      <c r="E259" s="71" t="str">
        <f>VLOOKUP(C259,[1]B.D!$A:$F,6,FALSE)</f>
        <v>ROJO</v>
      </c>
      <c r="F259" s="71" t="str">
        <f>VLOOKUP(C259,[1]B.D!$A:$G,7,FALSE)</f>
        <v>HERRAMIENTAS</v>
      </c>
      <c r="G259" s="64">
        <v>95230.8</v>
      </c>
      <c r="H259" s="76"/>
      <c r="I259" s="73">
        <f t="shared" si="6"/>
        <v>0</v>
      </c>
      <c r="J259" s="74">
        <f>VLOOKUP(C259,[1]B.D!$A:$E,5,FALSE)</f>
        <v>2.39</v>
      </c>
      <c r="K259" s="63">
        <f t="shared" si="7"/>
        <v>0</v>
      </c>
    </row>
    <row r="260" spans="2:11" ht="15" customHeight="1">
      <c r="B260" s="70">
        <v>249</v>
      </c>
      <c r="C260" s="75" t="s">
        <v>621</v>
      </c>
      <c r="D260" s="71" t="str">
        <f>VLOOKUP(C260,[1]B.D!$A:$B,2,FALSE)</f>
        <v>DISCO RETESTEADOR - HOJAS ANDES 66</v>
      </c>
      <c r="E260" s="71" t="str">
        <f>VLOOKUP(C260,[1]B.D!$A:$F,6,FALSE)</f>
        <v>ROJO</v>
      </c>
      <c r="F260" s="71" t="str">
        <f>VLOOKUP(C260,[1]B.D!$A:$G,7,FALSE)</f>
        <v>HERRAMIENTAS</v>
      </c>
      <c r="G260" s="64">
        <v>81280.5</v>
      </c>
      <c r="H260" s="76"/>
      <c r="I260" s="73">
        <f t="shared" si="6"/>
        <v>0</v>
      </c>
      <c r="J260" s="74">
        <f>VLOOKUP(C260,[1]B.D!$A:$E,5,FALSE)</f>
        <v>1.42</v>
      </c>
      <c r="K260" s="63">
        <f t="shared" si="7"/>
        <v>0</v>
      </c>
    </row>
    <row r="261" spans="2:11" ht="15" customHeight="1">
      <c r="B261" s="70">
        <v>250</v>
      </c>
      <c r="C261" s="75" t="s">
        <v>622</v>
      </c>
      <c r="D261" s="71" t="str">
        <f>VLOOKUP(C261,[1]B.D!$A:$B,2,FALSE)</f>
        <v>DISCO RETESTEADOR - MARCO DIVISOR</v>
      </c>
      <c r="E261" s="71" t="str">
        <f>VLOOKUP(C261,[1]B.D!$A:$F,6,FALSE)</f>
        <v>ROJO</v>
      </c>
      <c r="F261" s="71" t="str">
        <f>VLOOKUP(C261,[1]B.D!$A:$G,7,FALSE)</f>
        <v>HERRAMIENTAS</v>
      </c>
      <c r="G261" s="64">
        <v>78884.400000000009</v>
      </c>
      <c r="H261" s="76"/>
      <c r="I261" s="73">
        <f t="shared" si="6"/>
        <v>0</v>
      </c>
      <c r="J261" s="74">
        <f>VLOOKUP(C261,[1]B.D!$A:$E,5,FALSE)</f>
        <v>0.87</v>
      </c>
      <c r="K261" s="63">
        <f t="shared" si="7"/>
        <v>0</v>
      </c>
    </row>
    <row r="262" spans="2:11" ht="15" customHeight="1">
      <c r="B262" s="70">
        <v>251</v>
      </c>
      <c r="C262" s="75" t="s">
        <v>906</v>
      </c>
      <c r="D262" s="71" t="str">
        <f>VLOOKUP(C262,[1]B.D!$A:$B,2,FALSE)</f>
        <v>DISCO RETESTEADOR - MARCO DOBLE RIEL ANDES</v>
      </c>
      <c r="E262" s="71" t="str">
        <f>VLOOKUP(C262,[1]B.D!$A:$F,6,FALSE)</f>
        <v>ROJO</v>
      </c>
      <c r="F262" s="71" t="str">
        <f>VLOOKUP(C262,[1]B.D!$A:$G,7,FALSE)</f>
        <v>HERRAMIENTAS</v>
      </c>
      <c r="G262" s="64">
        <v>77409.150000000009</v>
      </c>
      <c r="H262" s="76"/>
      <c r="I262" s="73">
        <f t="shared" si="6"/>
        <v>0</v>
      </c>
      <c r="J262" s="74">
        <f>VLOOKUP(C262,[1]B.D!$A:$E,5,FALSE)</f>
        <v>1.19</v>
      </c>
      <c r="K262" s="63">
        <f t="shared" si="7"/>
        <v>0</v>
      </c>
    </row>
    <row r="263" spans="2:11" ht="15" customHeight="1">
      <c r="B263" s="70">
        <v>252</v>
      </c>
      <c r="C263" s="75" t="s">
        <v>623</v>
      </c>
      <c r="D263" s="71" t="str">
        <f>VLOOKUP(C263,[1]B.D!$A:$B,2,FALSE)</f>
        <v>DISCO RETESTEADOR - POSTE T S60</v>
      </c>
      <c r="E263" s="71" t="str">
        <f>VLOOKUP(C263,[1]B.D!$A:$F,6,FALSE)</f>
        <v>ROJO</v>
      </c>
      <c r="F263" s="71" t="str">
        <f>VLOOKUP(C263,[1]B.D!$A:$G,7,FALSE)</f>
        <v>HERRAMIENTAS</v>
      </c>
      <c r="G263" s="64">
        <v>198955.05000000002</v>
      </c>
      <c r="H263" s="76"/>
      <c r="I263" s="73">
        <f t="shared" si="6"/>
        <v>0</v>
      </c>
      <c r="J263" s="74">
        <f>VLOOKUP(C263,[1]B.D!$A:$E,5,FALSE)</f>
        <v>1.86</v>
      </c>
      <c r="K263" s="63">
        <f t="shared" si="7"/>
        <v>0</v>
      </c>
    </row>
    <row r="264" spans="2:11" ht="15" customHeight="1">
      <c r="B264" s="70">
        <v>253</v>
      </c>
      <c r="C264" s="75" t="s">
        <v>943</v>
      </c>
      <c r="D264" s="71" t="str">
        <f>VLOOKUP(C264,[1]B.D!$A:$B,2,FALSE)</f>
        <v>LIMPIADOR PVC BLANCO - GU</v>
      </c>
      <c r="E264" s="71" t="str">
        <f>VLOOKUP(C264,[1]B.D!$A:$F,6,FALSE)</f>
        <v>BLANCO</v>
      </c>
      <c r="F264" s="71" t="str">
        <f>VLOOKUP(C264,[1]B.D!$A:$G,7,FALSE)</f>
        <v>HERRAMIENTAS</v>
      </c>
      <c r="G264" s="64">
        <v>20195.7</v>
      </c>
      <c r="H264" s="76"/>
      <c r="I264" s="73">
        <f t="shared" si="6"/>
        <v>0</v>
      </c>
      <c r="J264" s="74">
        <f>VLOOKUP(C264,[1]B.D!$A:$E,5,FALSE)</f>
        <v>0.99</v>
      </c>
      <c r="K264" s="63">
        <f t="shared" si="7"/>
        <v>0</v>
      </c>
    </row>
    <row r="265" spans="2:11" ht="15" customHeight="1">
      <c r="B265" s="70">
        <v>254</v>
      </c>
      <c r="C265" s="75" t="s">
        <v>944</v>
      </c>
      <c r="D265" s="71" t="str">
        <f>VLOOKUP(C265,[1]B.D!$A:$B,2,FALSE)</f>
        <v>LIMPIADOR PVC FOLIADOS - GU</v>
      </c>
      <c r="E265" s="71" t="str">
        <f>VLOOKUP(C265,[1]B.D!$A:$F,6,FALSE)</f>
        <v>BLANCO</v>
      </c>
      <c r="F265" s="71" t="str">
        <f>VLOOKUP(C265,[1]B.D!$A:$G,7,FALSE)</f>
        <v>HERRAMIENTAS</v>
      </c>
      <c r="G265" s="64">
        <v>18382.350000000002</v>
      </c>
      <c r="H265" s="76"/>
      <c r="I265" s="73">
        <f t="shared" si="6"/>
        <v>0</v>
      </c>
      <c r="J265" s="74">
        <f>VLOOKUP(C265,[1]B.D!$A:$E,5,FALSE)</f>
        <v>0.99</v>
      </c>
      <c r="K265" s="63">
        <f t="shared" si="7"/>
        <v>0</v>
      </c>
    </row>
    <row r="266" spans="2:11" ht="15" customHeight="1">
      <c r="B266" s="70">
        <v>255</v>
      </c>
      <c r="C266" s="75" t="s">
        <v>624</v>
      </c>
      <c r="D266" s="71" t="str">
        <f>VLOOKUP(C266,[1]B.D!$A:$B,2,FALSE)</f>
        <v>MACETA DE ACRISTALAR 35 mm - MA</v>
      </c>
      <c r="E266" s="71" t="str">
        <f>VLOOKUP(C266,[1]B.D!$A:$F,6,FALSE)</f>
        <v>ROBLE</v>
      </c>
      <c r="F266" s="71" t="str">
        <f>VLOOKUP(C266,[1]B.D!$A:$G,7,FALSE)</f>
        <v>HERRAMIENTAS</v>
      </c>
      <c r="G266" s="64">
        <v>30118.2</v>
      </c>
      <c r="H266" s="76"/>
      <c r="I266" s="73">
        <f t="shared" si="6"/>
        <v>0</v>
      </c>
      <c r="J266" s="74">
        <f>VLOOKUP(C266,[1]B.D!$A:$E,5,FALSE)</f>
        <v>0.42</v>
      </c>
      <c r="K266" s="63">
        <f t="shared" si="7"/>
        <v>0</v>
      </c>
    </row>
    <row r="267" spans="2:11" ht="15" customHeight="1">
      <c r="B267" s="70">
        <v>256</v>
      </c>
      <c r="C267" s="75" t="s">
        <v>907</v>
      </c>
      <c r="D267" s="71" t="str">
        <f>VLOOKUP(C267,[1]B.D!$A:$B,2,FALSE)</f>
        <v>MANUAL CARPINTERIA WINHOUSE - LINEA S60</v>
      </c>
      <c r="E267" s="71" t="str">
        <f>VLOOKUP(C267,[1]B.D!$A:$F,6,FALSE)</f>
        <v>GRIS</v>
      </c>
      <c r="F267" s="71" t="str">
        <f>VLOOKUP(C267,[1]B.D!$A:$G,7,FALSE)</f>
        <v>HERRAMIENTAS</v>
      </c>
      <c r="G267" s="64">
        <v>10489.5</v>
      </c>
      <c r="H267" s="76"/>
      <c r="I267" s="73">
        <f t="shared" si="6"/>
        <v>0</v>
      </c>
      <c r="J267" s="74">
        <f>VLOOKUP(C267,[1]B.D!$A:$E,5,FALSE)</f>
        <v>0.57699999999999996</v>
      </c>
      <c r="K267" s="63">
        <f t="shared" si="7"/>
        <v>0</v>
      </c>
    </row>
    <row r="268" spans="2:11" ht="15" customHeight="1">
      <c r="B268" s="70">
        <v>257</v>
      </c>
      <c r="C268" s="75" t="s">
        <v>908</v>
      </c>
      <c r="D268" s="71" t="str">
        <f>VLOOKUP(C268,[1]B.D!$A:$B,2,FALSE)</f>
        <v>MANUAL CARPINTERIA WINHOUSE - LINEA SLIDING</v>
      </c>
      <c r="E268" s="71" t="str">
        <f>VLOOKUP(C268,[1]B.D!$A:$F,6,FALSE)</f>
        <v>GRIS</v>
      </c>
      <c r="F268" s="71" t="str">
        <f>VLOOKUP(C268,[1]B.D!$A:$G,7,FALSE)</f>
        <v>HERRAMIENTAS</v>
      </c>
      <c r="G268" s="64">
        <v>10489.5</v>
      </c>
      <c r="H268" s="76"/>
      <c r="I268" s="73">
        <f t="shared" si="6"/>
        <v>0</v>
      </c>
      <c r="J268" s="74">
        <f>VLOOKUP(C268,[1]B.D!$A:$E,5,FALSE)</f>
        <v>0.57699999999999996</v>
      </c>
      <c r="K268" s="63">
        <f t="shared" si="7"/>
        <v>0</v>
      </c>
    </row>
    <row r="269" spans="2:11" ht="15" customHeight="1">
      <c r="B269" s="70">
        <v>258</v>
      </c>
      <c r="C269" s="75" t="s">
        <v>625</v>
      </c>
      <c r="D269" s="71" t="str">
        <f>VLOOKUP(C269,[1]B.D!$A:$B,2,FALSE)</f>
        <v>PALETA DE ACRISTALAR - MA</v>
      </c>
      <c r="E269" s="71" t="str">
        <f>VLOOKUP(C269,[1]B.D!$A:$F,6,FALSE)</f>
        <v>NEGRO</v>
      </c>
      <c r="F269" s="71" t="str">
        <f>VLOOKUP(C269,[1]B.D!$A:$G,7,FALSE)</f>
        <v>HERRAMIENTAS</v>
      </c>
      <c r="G269" s="64">
        <v>23221.8</v>
      </c>
      <c r="H269" s="76"/>
      <c r="I269" s="73">
        <f t="shared" si="6"/>
        <v>0</v>
      </c>
      <c r="J269" s="74">
        <f>VLOOKUP(C269,[1]B.D!$A:$E,5,FALSE)</f>
        <v>0.14000000000000001</v>
      </c>
      <c r="K269" s="63">
        <f t="shared" si="7"/>
        <v>0</v>
      </c>
    </row>
    <row r="270" spans="2:11" ht="15" customHeight="1">
      <c r="B270" s="70">
        <v>259</v>
      </c>
      <c r="C270" s="71" t="s">
        <v>626</v>
      </c>
      <c r="D270" s="71" t="str">
        <f>VLOOKUP(C270,[1]B.D!$A:$B,2,FALSE)</f>
        <v>PLANTILLA BISAGRA 100 mm</v>
      </c>
      <c r="E270" s="71" t="str">
        <f>VLOOKUP(C270,[1]B.D!$A:$F,6,FALSE)</f>
        <v>NATURAL</v>
      </c>
      <c r="F270" s="71" t="str">
        <f>VLOOKUP(C270,[1]B.D!$A:$G,7,FALSE)</f>
        <v>HERRAMIENTAS</v>
      </c>
      <c r="G270" s="64">
        <v>2693.25</v>
      </c>
      <c r="H270" s="72"/>
      <c r="I270" s="73">
        <f t="shared" ref="I270:I333" si="8">G270*H270</f>
        <v>0</v>
      </c>
      <c r="J270" s="74">
        <f>VLOOKUP(C270,[1]B.D!$A:$E,5,FALSE)</f>
        <v>0.18</v>
      </c>
      <c r="K270" s="63">
        <f t="shared" ref="K270:K333" si="9">$H270*$J270</f>
        <v>0</v>
      </c>
    </row>
    <row r="271" spans="2:11" ht="15" customHeight="1">
      <c r="B271" s="70">
        <v>260</v>
      </c>
      <c r="C271" s="75" t="s">
        <v>627</v>
      </c>
      <c r="D271" s="71" t="str">
        <f>VLOOKUP(C271,[1]B.D!$A:$B,2,FALSE)</f>
        <v>PLANTILLA BISAGRA PAVO 3D</v>
      </c>
      <c r="E271" s="71" t="str">
        <f>VLOOKUP(C271,[1]B.D!$A:$F,6,FALSE)</f>
        <v>NARANJO</v>
      </c>
      <c r="F271" s="71" t="str">
        <f>VLOOKUP(C271,[1]B.D!$A:$G,7,FALSE)</f>
        <v>HERRAMIENTAS</v>
      </c>
      <c r="G271" s="64">
        <v>9985.5</v>
      </c>
      <c r="H271" s="76"/>
      <c r="I271" s="73">
        <f t="shared" si="8"/>
        <v>0</v>
      </c>
      <c r="J271" s="74">
        <f>VLOOKUP(C271,[1]B.D!$A:$E,5,FALSE)</f>
        <v>0.31</v>
      </c>
      <c r="K271" s="63">
        <f t="shared" si="9"/>
        <v>0</v>
      </c>
    </row>
    <row r="272" spans="2:11" ht="15" customHeight="1">
      <c r="B272" s="70">
        <v>261</v>
      </c>
      <c r="C272" s="71" t="s">
        <v>628</v>
      </c>
      <c r="D272" s="71" t="str">
        <f>VLOOKUP(C272,[1]B.D!$A:$B,2,FALSE)</f>
        <v>PLANTILLA BISAGRA PLEGABLE</v>
      </c>
      <c r="E272" s="71" t="str">
        <f>VLOOKUP(C272,[1]B.D!$A:$F,6,FALSE)</f>
        <v>NARANJO</v>
      </c>
      <c r="F272" s="71" t="str">
        <f>VLOOKUP(C272,[1]B.D!$A:$G,7,FALSE)</f>
        <v>HERRAMIENTAS</v>
      </c>
      <c r="G272" s="64">
        <v>4413.1500000000005</v>
      </c>
      <c r="H272" s="72"/>
      <c r="I272" s="73">
        <f t="shared" si="8"/>
        <v>0</v>
      </c>
      <c r="J272" s="74">
        <f>VLOOKUP(C272,[1]B.D!$A:$E,5,FALSE)</f>
        <v>0.14000000000000001</v>
      </c>
      <c r="K272" s="63">
        <f t="shared" si="9"/>
        <v>0</v>
      </c>
    </row>
    <row r="273" spans="2:11" ht="15" customHeight="1">
      <c r="B273" s="70">
        <v>262</v>
      </c>
      <c r="C273" s="71" t="s">
        <v>629</v>
      </c>
      <c r="D273" s="71" t="str">
        <f>VLOOKUP(C273,[1]B.D!$A:$B,2,FALSE)</f>
        <v>PLANTILLA CARROS PLEGABLE</v>
      </c>
      <c r="E273" s="71" t="str">
        <f>VLOOKUP(C273,[1]B.D!$A:$F,6,FALSE)</f>
        <v>NARANJO</v>
      </c>
      <c r="F273" s="71" t="str">
        <f>VLOOKUP(C273,[1]B.D!$A:$G,7,FALSE)</f>
        <v>HERRAMIENTAS</v>
      </c>
      <c r="G273" s="64">
        <v>4413.1500000000005</v>
      </c>
      <c r="H273" s="72"/>
      <c r="I273" s="73">
        <f t="shared" si="8"/>
        <v>0</v>
      </c>
      <c r="J273" s="74">
        <f>VLOOKUP(C273,[1]B.D!$A:$E,5,FALSE)</f>
        <v>0.12</v>
      </c>
      <c r="K273" s="63">
        <f t="shared" si="9"/>
        <v>0</v>
      </c>
    </row>
    <row r="274" spans="2:11" ht="15" customHeight="1">
      <c r="B274" s="70">
        <v>263</v>
      </c>
      <c r="C274" s="75" t="s">
        <v>630</v>
      </c>
      <c r="D274" s="71" t="str">
        <f>VLOOKUP(C274,[1]B.D!$A:$B,2,FALSE)</f>
        <v>PLANTILLA CORTE ALETA MLT DE - FA</v>
      </c>
      <c r="E274" s="71" t="str">
        <f>VLOOKUP(C274,[1]B.D!$A:$F,6,FALSE)</f>
        <v>BLANCO</v>
      </c>
      <c r="F274" s="71" t="str">
        <f>VLOOKUP(C274,[1]B.D!$A:$G,7,FALSE)</f>
        <v>HERRAMIENTAS</v>
      </c>
      <c r="G274" s="64">
        <v>91047.6</v>
      </c>
      <c r="H274" s="76"/>
      <c r="I274" s="73">
        <f t="shared" si="8"/>
        <v>0</v>
      </c>
      <c r="J274" s="74">
        <f>VLOOKUP(C274,[1]B.D!$A:$E,5,FALSE)</f>
        <v>0.99</v>
      </c>
      <c r="K274" s="63">
        <f t="shared" si="9"/>
        <v>0</v>
      </c>
    </row>
    <row r="275" spans="2:11">
      <c r="B275" s="70">
        <v>264</v>
      </c>
      <c r="C275" s="75" t="s">
        <v>631</v>
      </c>
      <c r="D275" s="71" t="str">
        <f>VLOOKUP(C275,[1]B.D!$A:$B,2,FALSE)</f>
        <v>PLANTILLA CORTE ALETA MLT GUIA - FA</v>
      </c>
      <c r="E275" s="71" t="str">
        <f>VLOOKUP(C275,[1]B.D!$A:$F,6,FALSE)</f>
        <v>BLANCO</v>
      </c>
      <c r="F275" s="71" t="str">
        <f>VLOOKUP(C275,[1]B.D!$A:$G,7,FALSE)</f>
        <v>HERRAMIENTAS</v>
      </c>
      <c r="G275" s="64">
        <v>91047.6</v>
      </c>
      <c r="H275" s="76"/>
      <c r="I275" s="73">
        <f t="shared" si="8"/>
        <v>0</v>
      </c>
      <c r="J275" s="74">
        <f>VLOOKUP(C275,[1]B.D!$A:$E,5,FALSE)</f>
        <v>0.89</v>
      </c>
      <c r="K275" s="63">
        <f t="shared" si="9"/>
        <v>0</v>
      </c>
    </row>
    <row r="276" spans="2:11">
      <c r="B276" s="70">
        <v>265</v>
      </c>
      <c r="C276" s="75" t="s">
        <v>632</v>
      </c>
      <c r="D276" s="71" t="str">
        <f>VLOOKUP(C276,[1]B.D!$A:$B,2,FALSE)</f>
        <v>PLANTILLA CORTE ALETA MLT IZQ - FA</v>
      </c>
      <c r="E276" s="71" t="str">
        <f>VLOOKUP(C276,[1]B.D!$A:$F,6,FALSE)</f>
        <v>BLANCO</v>
      </c>
      <c r="F276" s="71" t="str">
        <f>VLOOKUP(C276,[1]B.D!$A:$G,7,FALSE)</f>
        <v>HERRAMIENTAS</v>
      </c>
      <c r="G276" s="64">
        <v>91047.6</v>
      </c>
      <c r="H276" s="76"/>
      <c r="I276" s="73">
        <f t="shared" si="8"/>
        <v>0</v>
      </c>
      <c r="J276" s="74">
        <f>VLOOKUP(C276,[1]B.D!$A:$E,5,FALSE)</f>
        <v>0.99</v>
      </c>
      <c r="K276" s="63">
        <f t="shared" si="9"/>
        <v>0</v>
      </c>
    </row>
    <row r="277" spans="2:11">
      <c r="B277" s="70">
        <v>266</v>
      </c>
      <c r="C277" s="71" t="s">
        <v>633</v>
      </c>
      <c r="D277" s="71" t="str">
        <f>VLOOKUP(C277,[1]B.D!$A:$B,2,FALSE)</f>
        <v>PLANTILLA OSCILOBATIENTE MARCO</v>
      </c>
      <c r="E277" s="71" t="str">
        <f>VLOOKUP(C277,[1]B.D!$A:$F,6,FALSE)</f>
        <v>NARANJO</v>
      </c>
      <c r="F277" s="71" t="str">
        <f>VLOOKUP(C277,[1]B.D!$A:$G,7,FALSE)</f>
        <v>HERRAMIENTAS</v>
      </c>
      <c r="G277" s="64">
        <v>4646.25</v>
      </c>
      <c r="H277" s="72"/>
      <c r="I277" s="73">
        <f t="shared" si="8"/>
        <v>0</v>
      </c>
      <c r="J277" s="74">
        <f>VLOOKUP(C277,[1]B.D!$A:$E,5,FALSE)</f>
        <v>0.18</v>
      </c>
      <c r="K277" s="63">
        <f t="shared" si="9"/>
        <v>0</v>
      </c>
    </row>
    <row r="278" spans="2:11">
      <c r="B278" s="70">
        <v>267</v>
      </c>
      <c r="C278" s="75" t="s">
        <v>634</v>
      </c>
      <c r="D278" s="71" t="str">
        <f>VLOOKUP(C278,[1]B.D!$A:$B,2,FALSE)</f>
        <v>TELA TEFLON 0,22 mm MT2 - MS</v>
      </c>
      <c r="E278" s="71" t="str">
        <f>VLOOKUP(C278,[1]B.D!$A:$F,6,FALSE)</f>
        <v>MARRON</v>
      </c>
      <c r="F278" s="71" t="str">
        <f>VLOOKUP(C278,[1]B.D!$A:$G,7,FALSE)</f>
        <v>HERRAMIENTAS</v>
      </c>
      <c r="G278" s="64">
        <v>65682.75</v>
      </c>
      <c r="H278" s="76"/>
      <c r="I278" s="73">
        <f t="shared" si="8"/>
        <v>0</v>
      </c>
      <c r="J278" s="74">
        <f>VLOOKUP(C278,[1]B.D!$A:$E,5,FALSE)</f>
        <v>0.37619999999999998</v>
      </c>
      <c r="K278" s="63">
        <f t="shared" si="9"/>
        <v>0</v>
      </c>
    </row>
    <row r="279" spans="2:11" ht="15.75" customHeight="1">
      <c r="B279" s="70">
        <v>268</v>
      </c>
      <c r="C279" s="75" t="s">
        <v>593</v>
      </c>
      <c r="D279" s="71" t="str">
        <f>VLOOKUP(C279,[1]B.D!$A:$B,2,FALSE)</f>
        <v>TELA TEFLON C/ PEGAMENTO 0,22 mm MT2 - MS</v>
      </c>
      <c r="E279" s="71" t="str">
        <f>VLOOKUP(C279,[1]B.D!$A:$F,6,FALSE)</f>
        <v>NATURAL</v>
      </c>
      <c r="F279" s="71" t="str">
        <f>VLOOKUP(C279,[1]B.D!$A:$G,7,FALSE)</f>
        <v>HERRAMIENTAS</v>
      </c>
      <c r="G279" s="64">
        <v>77503.650000000009</v>
      </c>
      <c r="H279" s="76"/>
      <c r="I279" s="73">
        <f t="shared" si="8"/>
        <v>0</v>
      </c>
      <c r="J279" s="74">
        <f>VLOOKUP(C279,[1]B.D!$A:$E,5,FALSE)</f>
        <v>0.15</v>
      </c>
      <c r="K279" s="63">
        <f t="shared" si="9"/>
        <v>0</v>
      </c>
    </row>
    <row r="280" spans="2:11">
      <c r="B280" s="70">
        <v>269</v>
      </c>
      <c r="C280" s="71" t="s">
        <v>635</v>
      </c>
      <c r="D280" s="71" t="str">
        <f>VLOOKUP(C280,[1]B.D!$A:$B,2,FALSE)</f>
        <v>MANILLA ECONOMICA ANDES DER - BLANCO</v>
      </c>
      <c r="E280" s="71" t="str">
        <f>VLOOKUP(C280,[1]B.D!$A:$F,6,FALSE)</f>
        <v>BLANCO</v>
      </c>
      <c r="F280" s="71" t="str">
        <f>VLOOKUP(C280,[1]B.D!$A:$G,7,FALSE)</f>
        <v>MANILLA</v>
      </c>
      <c r="G280" s="64">
        <v>4286.1000000000004</v>
      </c>
      <c r="H280" s="72"/>
      <c r="I280" s="73">
        <f t="shared" si="8"/>
        <v>0</v>
      </c>
      <c r="J280" s="74">
        <f>VLOOKUP(C280,[1]B.D!$A:$E,5,FALSE)</f>
        <v>7.0000000000000007E-2</v>
      </c>
      <c r="K280" s="63">
        <f t="shared" si="9"/>
        <v>0</v>
      </c>
    </row>
    <row r="281" spans="2:11">
      <c r="B281" s="70">
        <v>270</v>
      </c>
      <c r="C281" s="71" t="s">
        <v>636</v>
      </c>
      <c r="D281" s="71" t="str">
        <f>VLOOKUP(C281,[1]B.D!$A:$B,2,FALSE)</f>
        <v>MANILLA ECONOMICA ANDES IZQ - BLANCO</v>
      </c>
      <c r="E281" s="71" t="str">
        <f>VLOOKUP(C281,[1]B.D!$A:$F,6,FALSE)</f>
        <v>BLANCO</v>
      </c>
      <c r="F281" s="71" t="str">
        <f>VLOOKUP(C281,[1]B.D!$A:$G,7,FALSE)</f>
        <v>MANILLA</v>
      </c>
      <c r="G281" s="64">
        <v>4286.1000000000004</v>
      </c>
      <c r="H281" s="72"/>
      <c r="I281" s="73">
        <f t="shared" si="8"/>
        <v>0</v>
      </c>
      <c r="J281" s="74">
        <f>VLOOKUP(C281,[1]B.D!$A:$E,5,FALSE)</f>
        <v>7.0000000000000007E-2</v>
      </c>
      <c r="K281" s="63">
        <f t="shared" si="9"/>
        <v>0</v>
      </c>
    </row>
    <row r="282" spans="2:11">
      <c r="B282" s="70">
        <v>271</v>
      </c>
      <c r="C282" s="78" t="s">
        <v>638</v>
      </c>
      <c r="D282" s="71" t="str">
        <f>VLOOKUP(C282,[1]B.D!$A:$B,2,FALSE)</f>
        <v>MANILLA ELEVADORA OCULTA ZENIA - BLANCO</v>
      </c>
      <c r="E282" s="71" t="str">
        <f>VLOOKUP(C282,[1]B.D!$A:$F,6,FALSE)</f>
        <v>BLANCO</v>
      </c>
      <c r="F282" s="71" t="str">
        <f>VLOOKUP(C282,[1]B.D!$A:$G,7,FALSE)</f>
        <v>MANILLA</v>
      </c>
      <c r="G282" s="64">
        <v>5099.8500000000004</v>
      </c>
      <c r="H282" s="76"/>
      <c r="I282" s="73">
        <f t="shared" si="8"/>
        <v>0</v>
      </c>
      <c r="J282" s="74">
        <f>VLOOKUP(C282,[1]B.D!$A:$E,5,FALSE)</f>
        <v>0.1</v>
      </c>
      <c r="K282" s="63">
        <f t="shared" si="9"/>
        <v>0</v>
      </c>
    </row>
    <row r="283" spans="2:11">
      <c r="B283" s="70">
        <v>272</v>
      </c>
      <c r="C283" s="78" t="s">
        <v>639</v>
      </c>
      <c r="D283" s="71" t="str">
        <f>VLOOKUP(C283,[1]B.D!$A:$B,2,FALSE)</f>
        <v>MANILLA ELEVADORA OCULTA ZENIA - CAFE</v>
      </c>
      <c r="E283" s="71" t="str">
        <f>VLOOKUP(C283,[1]B.D!$A:$F,6,FALSE)</f>
        <v>CAFE</v>
      </c>
      <c r="F283" s="71" t="str">
        <f>VLOOKUP(C283,[1]B.D!$A:$G,7,FALSE)</f>
        <v>MANILLA</v>
      </c>
      <c r="G283" s="64">
        <v>5099.8500000000004</v>
      </c>
      <c r="H283" s="76"/>
      <c r="I283" s="73">
        <f t="shared" si="8"/>
        <v>0</v>
      </c>
      <c r="J283" s="74">
        <f>VLOOKUP(C283,[1]B.D!$A:$E,5,FALSE)</f>
        <v>0.1</v>
      </c>
      <c r="K283" s="63">
        <f t="shared" si="9"/>
        <v>0</v>
      </c>
    </row>
    <row r="284" spans="2:11">
      <c r="B284" s="70">
        <v>273</v>
      </c>
      <c r="C284" s="78" t="s">
        <v>640</v>
      </c>
      <c r="D284" s="71" t="str">
        <f>VLOOKUP(C284,[1]B.D!$A:$B,2,FALSE)</f>
        <v>MANILLA ELEVADORA OCULTA ZENIA - GRIS</v>
      </c>
      <c r="E284" s="71" t="str">
        <f>VLOOKUP(C284,[1]B.D!$A:$F,6,FALSE)</f>
        <v>GRAFITO</v>
      </c>
      <c r="F284" s="71" t="str">
        <f>VLOOKUP(C284,[1]B.D!$A:$G,7,FALSE)</f>
        <v>MANILLA</v>
      </c>
      <c r="G284" s="64">
        <v>5099.8500000000004</v>
      </c>
      <c r="H284" s="76"/>
      <c r="I284" s="73">
        <f t="shared" si="8"/>
        <v>0</v>
      </c>
      <c r="J284" s="74">
        <f>VLOOKUP(C284,[1]B.D!$A:$E,5,FALSE)</f>
        <v>0.1</v>
      </c>
      <c r="K284" s="63">
        <f t="shared" si="9"/>
        <v>0</v>
      </c>
    </row>
    <row r="285" spans="2:11">
      <c r="B285" s="70">
        <v>274</v>
      </c>
      <c r="C285" s="75" t="s">
        <v>641</v>
      </c>
      <c r="D285" s="71" t="str">
        <f>VLOOKUP(C285,[1]B.D!$A:$B,2,FALSE)</f>
        <v>MANILLA ELEVADORA OCULTA ZENIA - MARRON</v>
      </c>
      <c r="E285" s="71" t="str">
        <f>VLOOKUP(C285,[1]B.D!$A:$F,6,FALSE)</f>
        <v>MARRON</v>
      </c>
      <c r="F285" s="71" t="str">
        <f>VLOOKUP(C285,[1]B.D!$A:$G,7,FALSE)</f>
        <v>MANILLA</v>
      </c>
      <c r="G285" s="64">
        <v>5099.8500000000004</v>
      </c>
      <c r="H285" s="76"/>
      <c r="I285" s="73">
        <f t="shared" si="8"/>
        <v>0</v>
      </c>
      <c r="J285" s="74">
        <f>VLOOKUP(C285,[1]B.D!$A:$E,5,FALSE)</f>
        <v>0.1</v>
      </c>
      <c r="K285" s="63">
        <f t="shared" si="9"/>
        <v>0</v>
      </c>
    </row>
    <row r="286" spans="2:11">
      <c r="B286" s="70">
        <v>275</v>
      </c>
      <c r="C286" s="75" t="s">
        <v>637</v>
      </c>
      <c r="D286" s="71" t="str">
        <f>VLOOKUP(C286,[1]B.D!$A:$B,2,FALSE)</f>
        <v>MANILLA ELEVADORA OCULTA ZENIA - NEGRO</v>
      </c>
      <c r="E286" s="71" t="str">
        <f>VLOOKUP(C286,[1]B.D!$A:$F,6,FALSE)</f>
        <v>NEGRO</v>
      </c>
      <c r="F286" s="71" t="str">
        <f>VLOOKUP(C286,[1]B.D!$A:$G,7,FALSE)</f>
        <v>MANILLA</v>
      </c>
      <c r="G286" s="64">
        <v>5099.8500000000004</v>
      </c>
      <c r="H286" s="76"/>
      <c r="I286" s="73">
        <f t="shared" si="8"/>
        <v>0</v>
      </c>
      <c r="J286" s="74">
        <f>VLOOKUP(C286,[1]B.D!$A:$E,5,FALSE)</f>
        <v>0.1</v>
      </c>
      <c r="K286" s="63">
        <f t="shared" si="9"/>
        <v>0</v>
      </c>
    </row>
    <row r="287" spans="2:11">
      <c r="B287" s="70">
        <v>276</v>
      </c>
      <c r="C287" s="75" t="s">
        <v>860</v>
      </c>
      <c r="D287" s="71" t="str">
        <f>VLOOKUP(C287,[1]B.D!$A:$B,2,FALSE)</f>
        <v>MANILLA ELEVADORA RECTA ZENIA - BLANCO</v>
      </c>
      <c r="E287" s="71" t="str">
        <f>VLOOKUP(C287,[1]B.D!$A:$F,6,FALSE)</f>
        <v>BLANCO</v>
      </c>
      <c r="F287" s="71" t="str">
        <f>VLOOKUP(C287,[1]B.D!$A:$G,7,FALSE)</f>
        <v>MANILLA</v>
      </c>
      <c r="G287" s="64">
        <v>27966.75</v>
      </c>
      <c r="H287" s="76"/>
      <c r="I287" s="73">
        <f t="shared" si="8"/>
        <v>0</v>
      </c>
      <c r="J287" s="74">
        <f>VLOOKUP(C287,[1]B.D!$A:$E,5,FALSE)</f>
        <v>0.53</v>
      </c>
      <c r="K287" s="63">
        <f t="shared" si="9"/>
        <v>0</v>
      </c>
    </row>
    <row r="288" spans="2:11">
      <c r="B288" s="70">
        <v>277</v>
      </c>
      <c r="C288" s="75" t="s">
        <v>659</v>
      </c>
      <c r="D288" s="71" t="str">
        <f>VLOOKUP(C288,[1]B.D!$A:$B,2,FALSE)</f>
        <v>MANILLA ELEVADORA RECTA ZENIA - CAFE</v>
      </c>
      <c r="E288" s="71" t="str">
        <f>VLOOKUP(C288,[1]B.D!$A:$F,6,FALSE)</f>
        <v>TOFFE</v>
      </c>
      <c r="F288" s="71" t="str">
        <f>VLOOKUP(C288,[1]B.D!$A:$G,7,FALSE)</f>
        <v>MANILLA</v>
      </c>
      <c r="G288" s="64">
        <v>27966.75</v>
      </c>
      <c r="H288" s="76"/>
      <c r="I288" s="73">
        <f t="shared" si="8"/>
        <v>0</v>
      </c>
      <c r="J288" s="74">
        <f>VLOOKUP(C288,[1]B.D!$A:$E,5,FALSE)</f>
        <v>0.53</v>
      </c>
      <c r="K288" s="63">
        <f t="shared" si="9"/>
        <v>0</v>
      </c>
    </row>
    <row r="289" spans="2:11">
      <c r="B289" s="70">
        <v>278</v>
      </c>
      <c r="C289" s="75" t="s">
        <v>861</v>
      </c>
      <c r="D289" s="71" t="str">
        <f>VLOOKUP(C289,[1]B.D!$A:$B,2,FALSE)</f>
        <v>MANILLA ELEVADORA RECTA ZENIA - GRIS</v>
      </c>
      <c r="E289" s="71" t="str">
        <f>VLOOKUP(C289,[1]B.D!$A:$F,6,FALSE)</f>
        <v>GRIS</v>
      </c>
      <c r="F289" s="71" t="str">
        <f>VLOOKUP(C289,[1]B.D!$A:$G,7,FALSE)</f>
        <v>MANILLA</v>
      </c>
      <c r="G289" s="64">
        <v>30686.25</v>
      </c>
      <c r="H289" s="76"/>
      <c r="I289" s="73">
        <f t="shared" si="8"/>
        <v>0</v>
      </c>
      <c r="J289" s="74">
        <f>VLOOKUP(C289,[1]B.D!$A:$E,5,FALSE)</f>
        <v>0.53</v>
      </c>
      <c r="K289" s="63">
        <f t="shared" si="9"/>
        <v>0</v>
      </c>
    </row>
    <row r="290" spans="2:11">
      <c r="B290" s="70">
        <v>279</v>
      </c>
      <c r="C290" s="75" t="s">
        <v>862</v>
      </c>
      <c r="D290" s="71" t="str">
        <f>VLOOKUP(C290,[1]B.D!$A:$B,2,FALSE)</f>
        <v>MANILLA ELEVADORA RECTA ZENIA - MARRON</v>
      </c>
      <c r="E290" s="71" t="str">
        <f>VLOOKUP(C290,[1]B.D!$A:$F,6,FALSE)</f>
        <v>MARRON</v>
      </c>
      <c r="F290" s="71" t="str">
        <f>VLOOKUP(C290,[1]B.D!$A:$G,7,FALSE)</f>
        <v>MANILLA</v>
      </c>
      <c r="G290" s="64">
        <v>27966.75</v>
      </c>
      <c r="H290" s="76"/>
      <c r="I290" s="73">
        <f t="shared" si="8"/>
        <v>0</v>
      </c>
      <c r="J290" s="74">
        <f>VLOOKUP(C290,[1]B.D!$A:$E,5,FALSE)</f>
        <v>0.53</v>
      </c>
      <c r="K290" s="63">
        <f t="shared" si="9"/>
        <v>0</v>
      </c>
    </row>
    <row r="291" spans="2:11">
      <c r="B291" s="70">
        <v>280</v>
      </c>
      <c r="C291" s="75" t="s">
        <v>660</v>
      </c>
      <c r="D291" s="71" t="str">
        <f>VLOOKUP(C291,[1]B.D!$A:$B,2,FALSE)</f>
        <v>MANILLA ELEVADORA RECTA ZENIA - MARRON OSCURO</v>
      </c>
      <c r="E291" s="71" t="str">
        <f>VLOOKUP(C291,[1]B.D!$A:$F,6,FALSE)</f>
        <v>MARRON OSCURO</v>
      </c>
      <c r="F291" s="71" t="str">
        <f>VLOOKUP(C291,[1]B.D!$A:$G,7,FALSE)</f>
        <v>MANILLA</v>
      </c>
      <c r="G291" s="64">
        <v>27966.75</v>
      </c>
      <c r="H291" s="76"/>
      <c r="I291" s="73">
        <f t="shared" si="8"/>
        <v>0</v>
      </c>
      <c r="J291" s="74">
        <f>VLOOKUP(C291,[1]B.D!$A:$E,5,FALSE)</f>
        <v>0.53</v>
      </c>
      <c r="K291" s="63">
        <f t="shared" si="9"/>
        <v>0</v>
      </c>
    </row>
    <row r="292" spans="2:11">
      <c r="B292" s="70">
        <v>281</v>
      </c>
      <c r="C292" s="75" t="s">
        <v>642</v>
      </c>
      <c r="D292" s="71" t="str">
        <f>VLOOKUP(C292,[1]B.D!$A:$B,2,FALSE)</f>
        <v>MANILLA ESTRECHA - BLANCO</v>
      </c>
      <c r="E292" s="71" t="str">
        <f>VLOOKUP(C292,[1]B.D!$A:$F,6,FALSE)</f>
        <v>BLANCO</v>
      </c>
      <c r="F292" s="71" t="str">
        <f>VLOOKUP(C292,[1]B.D!$A:$G,7,FALSE)</f>
        <v>MANILLA</v>
      </c>
      <c r="G292" s="64">
        <v>5221.6500000000005</v>
      </c>
      <c r="H292" s="76"/>
      <c r="I292" s="73">
        <f t="shared" si="8"/>
        <v>0</v>
      </c>
      <c r="J292" s="74">
        <f>VLOOKUP(C292,[1]B.D!$A:$E,5,FALSE)</f>
        <v>0.25</v>
      </c>
      <c r="K292" s="63">
        <f t="shared" si="9"/>
        <v>0</v>
      </c>
    </row>
    <row r="293" spans="2:11">
      <c r="B293" s="70">
        <v>282</v>
      </c>
      <c r="C293" s="75" t="s">
        <v>643</v>
      </c>
      <c r="D293" s="71" t="str">
        <f>VLOOKUP(C293,[1]B.D!$A:$B,2,FALSE)</f>
        <v>MANILLA ESTRECHA - MARRON</v>
      </c>
      <c r="E293" s="71" t="str">
        <f>VLOOKUP(C293,[1]B.D!$A:$F,6,FALSE)</f>
        <v>MARRON</v>
      </c>
      <c r="F293" s="71" t="str">
        <f>VLOOKUP(C293,[1]B.D!$A:$G,7,FALSE)</f>
        <v>MANILLA</v>
      </c>
      <c r="G293" s="64">
        <v>5730.9000000000005</v>
      </c>
      <c r="H293" s="76"/>
      <c r="I293" s="73">
        <f t="shared" si="8"/>
        <v>0</v>
      </c>
      <c r="J293" s="74">
        <f>VLOOKUP(C293,[1]B.D!$A:$E,5,FALSE)</f>
        <v>0.25</v>
      </c>
      <c r="K293" s="63">
        <f t="shared" si="9"/>
        <v>0</v>
      </c>
    </row>
    <row r="294" spans="2:11">
      <c r="B294" s="70">
        <v>283</v>
      </c>
      <c r="C294" s="75" t="s">
        <v>644</v>
      </c>
      <c r="D294" s="71" t="str">
        <f>VLOOKUP(C294,[1]B.D!$A:$B,2,FALSE)</f>
        <v>MANILLA ESTRECHA - NEGRO</v>
      </c>
      <c r="E294" s="71" t="str">
        <f>VLOOKUP(C294,[1]B.D!$A:$F,6,FALSE)</f>
        <v>NEGRO</v>
      </c>
      <c r="F294" s="71" t="str">
        <f>VLOOKUP(C294,[1]B.D!$A:$G,7,FALSE)</f>
        <v>MANILLA</v>
      </c>
      <c r="G294" s="64">
        <v>5730.9000000000005</v>
      </c>
      <c r="H294" s="76"/>
      <c r="I294" s="73">
        <f t="shared" si="8"/>
        <v>0</v>
      </c>
      <c r="J294" s="74">
        <f>VLOOKUP(C294,[1]B.D!$A:$E,5,FALSE)</f>
        <v>0.25</v>
      </c>
      <c r="K294" s="63">
        <f t="shared" si="9"/>
        <v>0</v>
      </c>
    </row>
    <row r="295" spans="2:11">
      <c r="B295" s="70">
        <v>284</v>
      </c>
      <c r="C295" s="71" t="s">
        <v>645</v>
      </c>
      <c r="D295" s="71" t="str">
        <f>VLOOKUP(C295,[1]B.D!$A:$B,2,FALSE)</f>
        <v>MANILLA FORNAX - BLANCO</v>
      </c>
      <c r="E295" s="71" t="str">
        <f>VLOOKUP(C295,[1]B.D!$A:$F,6,FALSE)</f>
        <v>BLANCO</v>
      </c>
      <c r="F295" s="71" t="str">
        <f>VLOOKUP(C295,[1]B.D!$A:$G,7,FALSE)</f>
        <v>MANILLA</v>
      </c>
      <c r="G295" s="64">
        <v>2205</v>
      </c>
      <c r="H295" s="72"/>
      <c r="I295" s="73">
        <f t="shared" si="8"/>
        <v>0</v>
      </c>
      <c r="J295" s="74">
        <f>VLOOKUP(C295,[1]B.D!$A:$E,5,FALSE)</f>
        <v>0.14000000000000001</v>
      </c>
      <c r="K295" s="63">
        <f t="shared" si="9"/>
        <v>0</v>
      </c>
    </row>
    <row r="296" spans="2:11">
      <c r="B296" s="70">
        <v>285</v>
      </c>
      <c r="C296" s="71" t="s">
        <v>646</v>
      </c>
      <c r="D296" s="71" t="str">
        <f>VLOOKUP(C296,[1]B.D!$A:$B,2,FALSE)</f>
        <v>MANILLA FORNAX - MARRON</v>
      </c>
      <c r="E296" s="71" t="str">
        <f>VLOOKUP(C296,[1]B.D!$A:$F,6,FALSE)</f>
        <v>MARRON</v>
      </c>
      <c r="F296" s="71" t="str">
        <f>VLOOKUP(C296,[1]B.D!$A:$G,7,FALSE)</f>
        <v>MANILLA</v>
      </c>
      <c r="G296" s="64">
        <v>2646</v>
      </c>
      <c r="H296" s="72"/>
      <c r="I296" s="73">
        <f t="shared" si="8"/>
        <v>0</v>
      </c>
      <c r="J296" s="74">
        <f>VLOOKUP(C296,[1]B.D!$A:$E,5,FALSE)</f>
        <v>0.14000000000000001</v>
      </c>
      <c r="K296" s="63">
        <f t="shared" si="9"/>
        <v>0</v>
      </c>
    </row>
    <row r="297" spans="2:11">
      <c r="B297" s="70">
        <v>286</v>
      </c>
      <c r="C297" s="71" t="s">
        <v>647</v>
      </c>
      <c r="D297" s="71" t="str">
        <f>VLOOKUP(C297,[1]B.D!$A:$B,2,FALSE)</f>
        <v>MANILLA FORNAX - NEGRO</v>
      </c>
      <c r="E297" s="71" t="str">
        <f>VLOOKUP(C297,[1]B.D!$A:$F,6,FALSE)</f>
        <v>NEGRO</v>
      </c>
      <c r="F297" s="71" t="str">
        <f>VLOOKUP(C297,[1]B.D!$A:$G,7,FALSE)</f>
        <v>MANILLA</v>
      </c>
      <c r="G297" s="64">
        <v>2646</v>
      </c>
      <c r="H297" s="72"/>
      <c r="I297" s="73">
        <f t="shared" si="8"/>
        <v>0</v>
      </c>
      <c r="J297" s="74">
        <f>VLOOKUP(C297,[1]B.D!$A:$E,5,FALSE)</f>
        <v>0.14000000000000001</v>
      </c>
      <c r="K297" s="63">
        <f t="shared" si="9"/>
        <v>0</v>
      </c>
    </row>
    <row r="298" spans="2:11">
      <c r="B298" s="70">
        <v>287</v>
      </c>
      <c r="C298" s="71" t="s">
        <v>648</v>
      </c>
      <c r="D298" s="71" t="str">
        <f>VLOOKUP(C298,[1]B.D!$A:$B,2,FALSE)</f>
        <v>MANILLA MILANO - BLANCO</v>
      </c>
      <c r="E298" s="71" t="str">
        <f>VLOOKUP(C298,[1]B.D!$A:$F,6,FALSE)</f>
        <v>BLANCO</v>
      </c>
      <c r="F298" s="71" t="str">
        <f>VLOOKUP(C298,[1]B.D!$A:$G,7,FALSE)</f>
        <v>MANILLA</v>
      </c>
      <c r="G298" s="64">
        <v>3193.05</v>
      </c>
      <c r="H298" s="72"/>
      <c r="I298" s="73">
        <f t="shared" si="8"/>
        <v>0</v>
      </c>
      <c r="J298" s="74">
        <f>VLOOKUP(C298,[1]B.D!$A:$E,5,FALSE)</f>
        <v>0.16</v>
      </c>
      <c r="K298" s="63">
        <f t="shared" si="9"/>
        <v>0</v>
      </c>
    </row>
    <row r="299" spans="2:11">
      <c r="B299" s="70">
        <v>288</v>
      </c>
      <c r="C299" s="71" t="s">
        <v>649</v>
      </c>
      <c r="D299" s="71" t="str">
        <f>VLOOKUP(C299,[1]B.D!$A:$B,2,FALSE)</f>
        <v>MANILLA MILANO - MARRON</v>
      </c>
      <c r="E299" s="71" t="str">
        <f>VLOOKUP(C299,[1]B.D!$A:$F,6,FALSE)</f>
        <v>MARRON</v>
      </c>
      <c r="F299" s="71" t="str">
        <f>VLOOKUP(C299,[1]B.D!$A:$G,7,FALSE)</f>
        <v>MANILLA</v>
      </c>
      <c r="G299" s="64">
        <v>3193.05</v>
      </c>
      <c r="H299" s="72"/>
      <c r="I299" s="73">
        <f t="shared" si="8"/>
        <v>0</v>
      </c>
      <c r="J299" s="74">
        <f>VLOOKUP(C299,[1]B.D!$A:$E,5,FALSE)</f>
        <v>0.16</v>
      </c>
      <c r="K299" s="63">
        <f t="shared" si="9"/>
        <v>0</v>
      </c>
    </row>
    <row r="300" spans="2:11">
      <c r="B300" s="70">
        <v>289</v>
      </c>
      <c r="C300" s="71" t="s">
        <v>650</v>
      </c>
      <c r="D300" s="71" t="str">
        <f>VLOOKUP(C300,[1]B.D!$A:$B,2,FALSE)</f>
        <v>MANILLA MILANO - NEGRO</v>
      </c>
      <c r="E300" s="71" t="str">
        <f>VLOOKUP(C300,[1]B.D!$A:$F,6,FALSE)</f>
        <v>NEGRO</v>
      </c>
      <c r="F300" s="71" t="str">
        <f>VLOOKUP(C300,[1]B.D!$A:$G,7,FALSE)</f>
        <v>MANILLA</v>
      </c>
      <c r="G300" s="64">
        <v>3193.05</v>
      </c>
      <c r="H300" s="72"/>
      <c r="I300" s="73">
        <f t="shared" si="8"/>
        <v>0</v>
      </c>
      <c r="J300" s="74">
        <f>VLOOKUP(C300,[1]B.D!$A:$E,5,FALSE)</f>
        <v>0.16</v>
      </c>
      <c r="K300" s="63">
        <f t="shared" si="9"/>
        <v>0</v>
      </c>
    </row>
    <row r="301" spans="2:11">
      <c r="B301" s="70">
        <v>290</v>
      </c>
      <c r="C301" s="71" t="s">
        <v>929</v>
      </c>
      <c r="D301" s="71" t="str">
        <f>VLOOKUP(C301,[1]B.D!$A:$B,2,FALSE)</f>
        <v>MANILLA MILANO BLANCA - SLK</v>
      </c>
      <c r="E301" s="71" t="str">
        <f>VLOOKUP(C301,[1]B.D!$A:$F,6,FALSE)</f>
        <v>BLANCO</v>
      </c>
      <c r="F301" s="71" t="str">
        <f>VLOOKUP(C301,[1]B.D!$A:$G,7,FALSE)</f>
        <v>MANILLA</v>
      </c>
      <c r="G301" s="64">
        <v>3300</v>
      </c>
      <c r="H301" s="72"/>
      <c r="I301" s="73">
        <f t="shared" si="8"/>
        <v>0</v>
      </c>
      <c r="J301" s="74">
        <f>VLOOKUP(C301,[1]B.D!$A:$E,5,FALSE)</f>
        <v>0.16</v>
      </c>
      <c r="K301" s="63">
        <f t="shared" si="9"/>
        <v>0</v>
      </c>
    </row>
    <row r="302" spans="2:11">
      <c r="B302" s="70">
        <v>291</v>
      </c>
      <c r="C302" s="71" t="s">
        <v>930</v>
      </c>
      <c r="D302" s="71" t="str">
        <f>VLOOKUP(C302,[1]B.D!$A:$B,2,FALSE)</f>
        <v>MANILLA MILANO MARRON - SLK</v>
      </c>
      <c r="E302" s="71" t="str">
        <f>VLOOKUP(C302,[1]B.D!$A:$F,6,FALSE)</f>
        <v>MARRON</v>
      </c>
      <c r="F302" s="71" t="str">
        <f>VLOOKUP(C302,[1]B.D!$A:$G,7,FALSE)</f>
        <v>MANILLA</v>
      </c>
      <c r="G302" s="64">
        <v>3400</v>
      </c>
      <c r="H302" s="72"/>
      <c r="I302" s="73">
        <f t="shared" si="8"/>
        <v>0</v>
      </c>
      <c r="J302" s="74">
        <f>VLOOKUP(C302,[1]B.D!$A:$E,5,FALSE)</f>
        <v>0.16</v>
      </c>
      <c r="K302" s="63">
        <f t="shared" si="9"/>
        <v>0</v>
      </c>
    </row>
    <row r="303" spans="2:11">
      <c r="B303" s="70">
        <v>292</v>
      </c>
      <c r="C303" s="71" t="s">
        <v>931</v>
      </c>
      <c r="D303" s="71" t="str">
        <f>VLOOKUP(C303,[1]B.D!$A:$B,2,FALSE)</f>
        <v>MANILLA MILANO NEGRO - SLK</v>
      </c>
      <c r="E303" s="71" t="str">
        <f>VLOOKUP(C303,[1]B.D!$A:$F,6,FALSE)</f>
        <v>NEGRO</v>
      </c>
      <c r="F303" s="71" t="str">
        <f>VLOOKUP(C303,[1]B.D!$A:$G,7,FALSE)</f>
        <v>MANILLA</v>
      </c>
      <c r="G303" s="64">
        <v>3400</v>
      </c>
      <c r="H303" s="72"/>
      <c r="I303" s="73">
        <f t="shared" si="8"/>
        <v>0</v>
      </c>
      <c r="J303" s="74">
        <f>VLOOKUP(C303,[1]B.D!$A:$E,5,FALSE)</f>
        <v>0.16</v>
      </c>
      <c r="K303" s="63">
        <f t="shared" si="9"/>
        <v>0</v>
      </c>
    </row>
    <row r="304" spans="2:11">
      <c r="B304" s="70">
        <v>293</v>
      </c>
      <c r="C304" s="71" t="s">
        <v>932</v>
      </c>
      <c r="D304" s="71" t="str">
        <f>VLOOKUP(C304,[1]B.D!$A:$B,2,FALSE)</f>
        <v>MANILLA NEW FORNAX BLANCA</v>
      </c>
      <c r="E304" s="71" t="str">
        <f>VLOOKUP(C304,[1]B.D!$A:$F,6,FALSE)</f>
        <v>BLANCO</v>
      </c>
      <c r="F304" s="71" t="str">
        <f>VLOOKUP(C304,[1]B.D!$A:$G,7,FALSE)</f>
        <v>MANILLA</v>
      </c>
      <c r="G304" s="64">
        <v>2100</v>
      </c>
      <c r="H304" s="72"/>
      <c r="I304" s="73">
        <f t="shared" si="8"/>
        <v>0</v>
      </c>
      <c r="J304" s="74">
        <f>VLOOKUP(C304,[1]B.D!$A:$E,5,FALSE)</f>
        <v>0.14000000000000001</v>
      </c>
      <c r="K304" s="63">
        <f t="shared" si="9"/>
        <v>0</v>
      </c>
    </row>
    <row r="305" spans="2:11">
      <c r="B305" s="70">
        <v>294</v>
      </c>
      <c r="C305" s="71" t="s">
        <v>933</v>
      </c>
      <c r="D305" s="71" t="str">
        <f>VLOOKUP(C305,[1]B.D!$A:$B,2,FALSE)</f>
        <v>MANILLA NEW FORNAX MARRON</v>
      </c>
      <c r="E305" s="71" t="str">
        <f>VLOOKUP(C305,[1]B.D!$A:$F,6,FALSE)</f>
        <v>MARRON</v>
      </c>
      <c r="F305" s="71" t="str">
        <f>VLOOKUP(C305,[1]B.D!$A:$G,7,FALSE)</f>
        <v>MANILLA</v>
      </c>
      <c r="G305" s="64">
        <v>2520</v>
      </c>
      <c r="H305" s="72"/>
      <c r="I305" s="73">
        <f t="shared" si="8"/>
        <v>0</v>
      </c>
      <c r="J305" s="74">
        <f>VLOOKUP(C305,[1]B.D!$A:$E,5,FALSE)</f>
        <v>0.14000000000000001</v>
      </c>
      <c r="K305" s="63">
        <f t="shared" si="9"/>
        <v>0</v>
      </c>
    </row>
    <row r="306" spans="2:11">
      <c r="B306" s="70">
        <v>295</v>
      </c>
      <c r="C306" s="71" t="s">
        <v>934</v>
      </c>
      <c r="D306" s="71" t="str">
        <f>VLOOKUP(C306,[1]B.D!$A:$B,2,FALSE)</f>
        <v>MANILLA NEW FORNAX NEGRO</v>
      </c>
      <c r="E306" s="71" t="str">
        <f>VLOOKUP(C306,[1]B.D!$A:$F,6,FALSE)</f>
        <v>NEGRO</v>
      </c>
      <c r="F306" s="71" t="str">
        <f>VLOOKUP(C306,[1]B.D!$A:$G,7,FALSE)</f>
        <v>MANILLA</v>
      </c>
      <c r="G306" s="64">
        <v>2520</v>
      </c>
      <c r="H306" s="72"/>
      <c r="I306" s="73">
        <f t="shared" si="8"/>
        <v>0</v>
      </c>
      <c r="J306" s="74">
        <f>VLOOKUP(C306,[1]B.D!$A:$E,5,FALSE)</f>
        <v>0.14000000000000001</v>
      </c>
      <c r="K306" s="63">
        <f t="shared" si="9"/>
        <v>0</v>
      </c>
    </row>
    <row r="307" spans="2:11">
      <c r="B307" s="70">
        <v>296</v>
      </c>
      <c r="C307" s="71" t="s">
        <v>651</v>
      </c>
      <c r="D307" s="71" t="str">
        <f>VLOOKUP(C307,[1]B.D!$A:$B,2,FALSE)</f>
        <v>MANILLA OCULTA - BLANCO</v>
      </c>
      <c r="E307" s="71" t="str">
        <f>VLOOKUP(C307,[1]B.D!$A:$F,6,FALSE)</f>
        <v>BLANCO</v>
      </c>
      <c r="F307" s="71" t="str">
        <f>VLOOKUP(C307,[1]B.D!$A:$G,7,FALSE)</f>
        <v>MANILLA</v>
      </c>
      <c r="G307" s="64">
        <v>3413.55</v>
      </c>
      <c r="H307" s="72"/>
      <c r="I307" s="73">
        <f t="shared" si="8"/>
        <v>0</v>
      </c>
      <c r="J307" s="74">
        <f>VLOOKUP(C307,[1]B.D!$A:$E,5,FALSE)</f>
        <v>0.15</v>
      </c>
      <c r="K307" s="63">
        <f t="shared" si="9"/>
        <v>0</v>
      </c>
    </row>
    <row r="308" spans="2:11">
      <c r="B308" s="70">
        <v>297</v>
      </c>
      <c r="C308" s="71" t="s">
        <v>652</v>
      </c>
      <c r="D308" s="71" t="str">
        <f>VLOOKUP(C308,[1]B.D!$A:$B,2,FALSE)</f>
        <v>MANILLA OCULTA MARRON</v>
      </c>
      <c r="E308" s="71" t="str">
        <f>VLOOKUP(C308,[1]B.D!$A:$F,6,FALSE)</f>
        <v>MARRON</v>
      </c>
      <c r="F308" s="71" t="str">
        <f>VLOOKUP(C308,[1]B.D!$A:$G,7,FALSE)</f>
        <v>MANILLA</v>
      </c>
      <c r="G308" s="64">
        <v>1668.45</v>
      </c>
      <c r="H308" s="72"/>
      <c r="I308" s="73">
        <f t="shared" si="8"/>
        <v>0</v>
      </c>
      <c r="J308" s="74">
        <f>VLOOKUP(C308,[1]B.D!$A:$E,5,FALSE)</f>
        <v>0.3</v>
      </c>
      <c r="K308" s="63">
        <f t="shared" si="9"/>
        <v>0</v>
      </c>
    </row>
    <row r="309" spans="2:11">
      <c r="B309" s="70">
        <v>298</v>
      </c>
      <c r="C309" s="71" t="s">
        <v>653</v>
      </c>
      <c r="D309" s="71" t="str">
        <f>VLOOKUP(C309,[1]B.D!$A:$B,2,FALSE)</f>
        <v>MANILLA PARCHE ANDES - BLANCO - DE</v>
      </c>
      <c r="E309" s="71" t="str">
        <f>VLOOKUP(C309,[1]B.D!$A:$F,6,FALSE)</f>
        <v>BLANCO</v>
      </c>
      <c r="F309" s="71" t="str">
        <f>VLOOKUP(C309,[1]B.D!$A:$G,7,FALSE)</f>
        <v>MANILLA</v>
      </c>
      <c r="G309" s="64">
        <v>4285.05</v>
      </c>
      <c r="H309" s="72"/>
      <c r="I309" s="73">
        <f t="shared" si="8"/>
        <v>0</v>
      </c>
      <c r="J309" s="74">
        <f>VLOOKUP(C309,[1]B.D!$A:$E,5,FALSE)</f>
        <v>0.09</v>
      </c>
      <c r="K309" s="63">
        <f t="shared" si="9"/>
        <v>0</v>
      </c>
    </row>
    <row r="310" spans="2:11">
      <c r="B310" s="70">
        <v>299</v>
      </c>
      <c r="C310" s="71" t="s">
        <v>654</v>
      </c>
      <c r="D310" s="71" t="str">
        <f>VLOOKUP(C310,[1]B.D!$A:$B,2,FALSE)</f>
        <v>MANILLA PARCHE ANDES - BLANCO - IZ</v>
      </c>
      <c r="E310" s="71" t="str">
        <f>VLOOKUP(C310,[1]B.D!$A:$F,6,FALSE)</f>
        <v>BLANCO</v>
      </c>
      <c r="F310" s="71" t="str">
        <f>VLOOKUP(C310,[1]B.D!$A:$G,7,FALSE)</f>
        <v>MANILLA</v>
      </c>
      <c r="G310" s="64">
        <v>4285.05</v>
      </c>
      <c r="H310" s="72"/>
      <c r="I310" s="73">
        <f t="shared" si="8"/>
        <v>0</v>
      </c>
      <c r="J310" s="74">
        <f>VLOOKUP(C310,[1]B.D!$A:$E,5,FALSE)</f>
        <v>0.09</v>
      </c>
      <c r="K310" s="63">
        <f t="shared" si="9"/>
        <v>0</v>
      </c>
    </row>
    <row r="311" spans="2:11">
      <c r="B311" s="70">
        <v>300</v>
      </c>
      <c r="C311" s="71" t="s">
        <v>655</v>
      </c>
      <c r="D311" s="71" t="str">
        <f>VLOOKUP(C311,[1]B.D!$A:$B,2,FALSE)</f>
        <v>MANILLA PARCHE ANDES - MARRON - DE</v>
      </c>
      <c r="E311" s="71" t="str">
        <f>VLOOKUP(C311,[1]B.D!$A:$F,6,FALSE)</f>
        <v>MARRON</v>
      </c>
      <c r="F311" s="71" t="str">
        <f>VLOOKUP(C311,[1]B.D!$A:$G,7,FALSE)</f>
        <v>MANILLA</v>
      </c>
      <c r="G311" s="64">
        <v>3948</v>
      </c>
      <c r="H311" s="72"/>
      <c r="I311" s="73">
        <f t="shared" si="8"/>
        <v>0</v>
      </c>
      <c r="J311" s="74">
        <f>VLOOKUP(C311,[1]B.D!$A:$E,5,FALSE)</f>
        <v>0.09</v>
      </c>
      <c r="K311" s="63">
        <f t="shared" si="9"/>
        <v>0</v>
      </c>
    </row>
    <row r="312" spans="2:11">
      <c r="B312" s="70">
        <v>301</v>
      </c>
      <c r="C312" s="71" t="s">
        <v>910</v>
      </c>
      <c r="D312" s="71" t="str">
        <f>VLOOKUP(C312,[1]B.D!$A:$B,2,FALSE)</f>
        <v>MANILLA PARCHE DERECHA - BLANCO - HS</v>
      </c>
      <c r="E312" s="71" t="str">
        <f>VLOOKUP(C312,[1]B.D!$A:$F,6,FALSE)</f>
        <v>BLANCO</v>
      </c>
      <c r="F312" s="71" t="str">
        <f>VLOOKUP(C312,[1]B.D!$A:$G,7,FALSE)</f>
        <v>MANILLA</v>
      </c>
      <c r="G312" s="64">
        <v>3782.1000000000004</v>
      </c>
      <c r="H312" s="72"/>
      <c r="I312" s="73">
        <f t="shared" si="8"/>
        <v>0</v>
      </c>
      <c r="J312" s="74">
        <f>VLOOKUP(C312,[1]B.D!$A:$E,5,FALSE)</f>
        <v>0</v>
      </c>
      <c r="K312" s="63">
        <f t="shared" si="9"/>
        <v>0</v>
      </c>
    </row>
    <row r="313" spans="2:11">
      <c r="B313" s="70">
        <v>302</v>
      </c>
      <c r="C313" s="75" t="s">
        <v>656</v>
      </c>
      <c r="D313" s="71" t="str">
        <f>VLOOKUP(C313,[1]B.D!$A:$B,2,FALSE)</f>
        <v>MANILLA PUERTA ABATIR 35/92 mm - BLANCO</v>
      </c>
      <c r="E313" s="71" t="str">
        <f>VLOOKUP(C313,[1]B.D!$A:$F,6,FALSE)</f>
        <v>BLANCO</v>
      </c>
      <c r="F313" s="71" t="str">
        <f>VLOOKUP(C313,[1]B.D!$A:$G,7,FALSE)</f>
        <v>MANILLA</v>
      </c>
      <c r="G313" s="64">
        <v>7450.8</v>
      </c>
      <c r="H313" s="76"/>
      <c r="I313" s="73">
        <f t="shared" si="8"/>
        <v>0</v>
      </c>
      <c r="J313" s="74">
        <f>VLOOKUP(C313,[1]B.D!$A:$E,5,FALSE)</f>
        <v>0.43</v>
      </c>
      <c r="K313" s="63">
        <f t="shared" si="9"/>
        <v>0</v>
      </c>
    </row>
    <row r="314" spans="2:11">
      <c r="B314" s="70">
        <v>303</v>
      </c>
      <c r="C314" s="75" t="s">
        <v>657</v>
      </c>
      <c r="D314" s="71" t="str">
        <f>VLOOKUP(C314,[1]B.D!$A:$B,2,FALSE)</f>
        <v>MANILLA PUERTA ABATIR 35/92 mm - MARRON</v>
      </c>
      <c r="E314" s="71" t="str">
        <f>VLOOKUP(C314,[1]B.D!$A:$F,6,FALSE)</f>
        <v>MARRON</v>
      </c>
      <c r="F314" s="71" t="str">
        <f>VLOOKUP(C314,[1]B.D!$A:$G,7,FALSE)</f>
        <v>MANILLA</v>
      </c>
      <c r="G314" s="64">
        <v>7450.8</v>
      </c>
      <c r="H314" s="76"/>
      <c r="I314" s="73">
        <f t="shared" si="8"/>
        <v>0</v>
      </c>
      <c r="J314" s="74">
        <f>VLOOKUP(C314,[1]B.D!$A:$E,5,FALSE)</f>
        <v>0.43</v>
      </c>
      <c r="K314" s="63">
        <f t="shared" si="9"/>
        <v>0</v>
      </c>
    </row>
    <row r="315" spans="2:11">
      <c r="B315" s="70">
        <v>304</v>
      </c>
      <c r="C315" s="75" t="s">
        <v>658</v>
      </c>
      <c r="D315" s="71" t="str">
        <f>VLOOKUP(C315,[1]B.D!$A:$B,2,FALSE)</f>
        <v>MANILLA PUERTA ABATIR 35/92 mm - NEGRO</v>
      </c>
      <c r="E315" s="71" t="str">
        <f>VLOOKUP(C315,[1]B.D!$A:$F,6,FALSE)</f>
        <v>NEGRO</v>
      </c>
      <c r="F315" s="71" t="str">
        <f>VLOOKUP(C315,[1]B.D!$A:$G,7,FALSE)</f>
        <v>MANILLA</v>
      </c>
      <c r="G315" s="64">
        <v>7450.8</v>
      </c>
      <c r="H315" s="76"/>
      <c r="I315" s="73">
        <f t="shared" si="8"/>
        <v>0</v>
      </c>
      <c r="J315" s="74">
        <f>VLOOKUP(C315,[1]B.D!$A:$E,5,FALSE)</f>
        <v>0.43</v>
      </c>
      <c r="K315" s="63">
        <f t="shared" si="9"/>
        <v>0</v>
      </c>
    </row>
    <row r="316" spans="2:11">
      <c r="B316" s="70">
        <v>305</v>
      </c>
      <c r="C316" s="71" t="s">
        <v>935</v>
      </c>
      <c r="D316" s="71" t="str">
        <f>VLOOKUP(C316,[1]B.D!$A:$B,2,FALSE)</f>
        <v>MANILLA PUERTA ABATIR 35/92mm BLANCA - SLK</v>
      </c>
      <c r="E316" s="71" t="str">
        <f>VLOOKUP(C316,[1]B.D!$A:$F,6,FALSE)</f>
        <v>BLANCO</v>
      </c>
      <c r="F316" s="71" t="str">
        <f>VLOOKUP(C316,[1]B.D!$A:$G,7,FALSE)</f>
        <v>MANILLA</v>
      </c>
      <c r="G316" s="64">
        <v>7700</v>
      </c>
      <c r="H316" s="72"/>
      <c r="I316" s="73">
        <f t="shared" si="8"/>
        <v>0</v>
      </c>
      <c r="J316" s="74">
        <f>VLOOKUP(C316,[1]B.D!$A:$E,5,FALSE)</f>
        <v>0.43</v>
      </c>
      <c r="K316" s="63">
        <f t="shared" si="9"/>
        <v>0</v>
      </c>
    </row>
    <row r="317" spans="2:11">
      <c r="B317" s="70">
        <v>306</v>
      </c>
      <c r="C317" s="71" t="s">
        <v>936</v>
      </c>
      <c r="D317" s="71" t="str">
        <f>VLOOKUP(C317,[1]B.D!$A:$B,2,FALSE)</f>
        <v>MANILLA PUERTA ABATIR 35/92mm MARRON - SLK</v>
      </c>
      <c r="E317" s="71" t="str">
        <f>VLOOKUP(C317,[1]B.D!$A:$F,6,FALSE)</f>
        <v>MARRON</v>
      </c>
      <c r="F317" s="71" t="str">
        <f>VLOOKUP(C317,[1]B.D!$A:$G,7,FALSE)</f>
        <v>MANILLA</v>
      </c>
      <c r="G317" s="64">
        <v>7800</v>
      </c>
      <c r="H317" s="72"/>
      <c r="I317" s="73">
        <f t="shared" si="8"/>
        <v>0</v>
      </c>
      <c r="J317" s="74">
        <f>VLOOKUP(C317,[1]B.D!$A:$E,5,FALSE)</f>
        <v>0.43</v>
      </c>
      <c r="K317" s="63">
        <f t="shared" si="9"/>
        <v>0</v>
      </c>
    </row>
    <row r="318" spans="2:11">
      <c r="B318" s="70">
        <v>307</v>
      </c>
      <c r="C318" s="71" t="s">
        <v>937</v>
      </c>
      <c r="D318" s="71" t="str">
        <f>VLOOKUP(C318,[1]B.D!$A:$B,2,FALSE)</f>
        <v>MANILLA PUERTA ABATIR 35/92mm NEGRO - SLK</v>
      </c>
      <c r="E318" s="71" t="str">
        <f>VLOOKUP(C318,[1]B.D!$A:$F,6,FALSE)</f>
        <v>NEGRO</v>
      </c>
      <c r="F318" s="71" t="str">
        <f>VLOOKUP(C318,[1]B.D!$A:$G,7,FALSE)</f>
        <v>MANILLA</v>
      </c>
      <c r="G318" s="64">
        <v>7800</v>
      </c>
      <c r="H318" s="72"/>
      <c r="I318" s="73">
        <f t="shared" si="8"/>
        <v>0</v>
      </c>
      <c r="J318" s="74">
        <f>VLOOKUP(C318,[1]B.D!$A:$E,5,FALSE)</f>
        <v>0.43</v>
      </c>
      <c r="K318" s="63">
        <f t="shared" si="9"/>
        <v>0</v>
      </c>
    </row>
    <row r="319" spans="2:11">
      <c r="B319" s="70">
        <v>308</v>
      </c>
      <c r="C319" s="75" t="s">
        <v>948</v>
      </c>
      <c r="D319" s="71" t="str">
        <f>VLOOKUP(C319,[1]B.D!$A:$B,2,FALSE)</f>
        <v>MANILLA PUERTA CORREDERA EXTERIOR BLANCO - SILTEK</v>
      </c>
      <c r="E319" s="71" t="str">
        <f>VLOOKUP(C319,[1]B.D!$A:$F,6,FALSE)</f>
        <v>BLANCO</v>
      </c>
      <c r="F319" s="71" t="str">
        <f>VLOOKUP(C319,[1]B.D!$A:$G,7,FALSE)</f>
        <v>MANILLA</v>
      </c>
      <c r="G319" s="64">
        <v>15523.2</v>
      </c>
      <c r="H319" s="76"/>
      <c r="I319" s="73">
        <f t="shared" si="8"/>
        <v>0</v>
      </c>
      <c r="J319" s="74">
        <f>VLOOKUP(C319,[1]B.D!$A:$E,5,FALSE)</f>
        <v>0.28599999999999998</v>
      </c>
      <c r="K319" s="63">
        <f t="shared" si="9"/>
        <v>0</v>
      </c>
    </row>
    <row r="320" spans="2:11">
      <c r="B320" s="70">
        <v>309</v>
      </c>
      <c r="C320" s="75" t="s">
        <v>949</v>
      </c>
      <c r="D320" s="71" t="str">
        <f>VLOOKUP(C320,[1]B.D!$A:$B,2,FALSE)</f>
        <v>MANILLA PUERTA CORREDERA EXTERIOR MARRON - SILTEK</v>
      </c>
      <c r="E320" s="71" t="str">
        <f>VLOOKUP(C320,[1]B.D!$A:$F,6,FALSE)</f>
        <v>MARRON</v>
      </c>
      <c r="F320" s="71" t="str">
        <f>VLOOKUP(C320,[1]B.D!$A:$G,7,FALSE)</f>
        <v>MANILLA</v>
      </c>
      <c r="G320" s="64">
        <v>17057.25</v>
      </c>
      <c r="H320" s="76"/>
      <c r="I320" s="73">
        <f t="shared" si="8"/>
        <v>0</v>
      </c>
      <c r="J320" s="74">
        <f>VLOOKUP(C320,[1]B.D!$A:$E,5,FALSE)</f>
        <v>0.28599999999999998</v>
      </c>
      <c r="K320" s="63">
        <f t="shared" si="9"/>
        <v>0</v>
      </c>
    </row>
    <row r="321" spans="2:11">
      <c r="B321" s="70">
        <v>310</v>
      </c>
      <c r="C321" s="75" t="s">
        <v>950</v>
      </c>
      <c r="D321" s="71" t="str">
        <f>VLOOKUP(C321,[1]B.D!$A:$B,2,FALSE)</f>
        <v>MANILLA PUERTA CORREDERA EXTERIOR NEGRA - SILTEK</v>
      </c>
      <c r="E321" s="71" t="str">
        <f>VLOOKUP(C321,[1]B.D!$A:$F,6,FALSE)</f>
        <v>NEGRO</v>
      </c>
      <c r="F321" s="71" t="str">
        <f>VLOOKUP(C321,[1]B.D!$A:$G,7,FALSE)</f>
        <v>MANILLA</v>
      </c>
      <c r="G321" s="64">
        <v>17057.25</v>
      </c>
      <c r="H321" s="76"/>
      <c r="I321" s="73">
        <f t="shared" si="8"/>
        <v>0</v>
      </c>
      <c r="J321" s="74">
        <f>VLOOKUP(C321,[1]B.D!$A:$E,5,FALSE)</f>
        <v>0.28599999999999998</v>
      </c>
      <c r="K321" s="63">
        <f t="shared" si="9"/>
        <v>0</v>
      </c>
    </row>
    <row r="322" spans="2:11">
      <c r="B322" s="70">
        <v>311</v>
      </c>
      <c r="C322" s="75" t="s">
        <v>890</v>
      </c>
      <c r="D322" s="71" t="str">
        <f>VLOOKUP(C322,[1]B.D!$A:$B,2,FALSE)</f>
        <v>MANILLA PUERTA CORREDERA INTERIOR BLANCO - SILTEK</v>
      </c>
      <c r="E322" s="71" t="str">
        <f>VLOOKUP(C322,[1]B.D!$A:$F,6,FALSE)</f>
        <v>BLANCO</v>
      </c>
      <c r="F322" s="71" t="str">
        <f>VLOOKUP(C322,[1]B.D!$A:$G,7,FALSE)</f>
        <v>MANILLA</v>
      </c>
      <c r="G322" s="64">
        <v>16769.55</v>
      </c>
      <c r="H322" s="76"/>
      <c r="I322" s="73">
        <f t="shared" si="8"/>
        <v>0</v>
      </c>
      <c r="J322" s="74">
        <f>VLOOKUP(C322,[1]B.D!$A:$E,5,FALSE)</f>
        <v>0.28599999999999998</v>
      </c>
      <c r="K322" s="63">
        <f t="shared" si="9"/>
        <v>0</v>
      </c>
    </row>
    <row r="323" spans="2:11">
      <c r="B323" s="70">
        <v>312</v>
      </c>
      <c r="C323" s="75" t="s">
        <v>891</v>
      </c>
      <c r="D323" s="71" t="str">
        <f>VLOOKUP(C323,[1]B.D!$A:$B,2,FALSE)</f>
        <v>MANILLA PUERTA CORREDERA INTERIOR MARRON - SILTEK</v>
      </c>
      <c r="E323" s="71" t="str">
        <f>VLOOKUP(C323,[1]B.D!$A:$F,6,FALSE)</f>
        <v>MARRON</v>
      </c>
      <c r="F323" s="71" t="str">
        <f>VLOOKUP(C323,[1]B.D!$A:$G,7,FALSE)</f>
        <v>MANILLA</v>
      </c>
      <c r="G323" s="64">
        <v>16769.55</v>
      </c>
      <c r="H323" s="76"/>
      <c r="I323" s="73">
        <f t="shared" si="8"/>
        <v>0</v>
      </c>
      <c r="J323" s="74">
        <f>VLOOKUP(C323,[1]B.D!$A:$E,5,FALSE)</f>
        <v>0.28599999999999998</v>
      </c>
      <c r="K323" s="63">
        <f t="shared" si="9"/>
        <v>0</v>
      </c>
    </row>
    <row r="324" spans="2:11">
      <c r="B324" s="70">
        <v>313</v>
      </c>
      <c r="C324" s="75" t="s">
        <v>892</v>
      </c>
      <c r="D324" s="71" t="str">
        <f>VLOOKUP(C324,[1]B.D!$A:$B,2,FALSE)</f>
        <v>MANILLA PUERTA CORREDERA INTERIOR NEGRA - SILTEK</v>
      </c>
      <c r="E324" s="71" t="str">
        <f>VLOOKUP(C324,[1]B.D!$A:$F,6,FALSE)</f>
        <v>NEGRO</v>
      </c>
      <c r="F324" s="71" t="str">
        <f>VLOOKUP(C324,[1]B.D!$A:$G,7,FALSE)</f>
        <v>MANILLA</v>
      </c>
      <c r="G324" s="64">
        <v>16769.55</v>
      </c>
      <c r="H324" s="76"/>
      <c r="I324" s="73">
        <f t="shared" si="8"/>
        <v>0</v>
      </c>
      <c r="J324" s="74">
        <f>VLOOKUP(C324,[1]B.D!$A:$E,5,FALSE)</f>
        <v>0.28599999999999998</v>
      </c>
      <c r="K324" s="63">
        <f t="shared" si="9"/>
        <v>0</v>
      </c>
    </row>
    <row r="325" spans="2:11">
      <c r="B325" s="70">
        <v>314</v>
      </c>
      <c r="C325" s="71" t="s">
        <v>938</v>
      </c>
      <c r="D325" s="71" t="str">
        <f>VLOOKUP(C325,[1]B.D!$A:$B,2,FALSE)</f>
        <v>MANILLA SILTEK OVAL - BL</v>
      </c>
      <c r="E325" s="71" t="str">
        <f>VLOOKUP(C325,[1]B.D!$A:$F,6,FALSE)</f>
        <v>BLANCO</v>
      </c>
      <c r="F325" s="71" t="str">
        <f>VLOOKUP(C325,[1]B.D!$A:$G,7,FALSE)</f>
        <v>MANILLA</v>
      </c>
      <c r="G325" s="64">
        <v>2100</v>
      </c>
      <c r="H325" s="72"/>
      <c r="I325" s="73">
        <f t="shared" si="8"/>
        <v>0</v>
      </c>
      <c r="J325" s="74">
        <f>VLOOKUP(C325,[1]B.D!$A:$E,5,FALSE)</f>
        <v>0.15</v>
      </c>
      <c r="K325" s="63">
        <f t="shared" si="9"/>
        <v>0</v>
      </c>
    </row>
    <row r="326" spans="2:11">
      <c r="B326" s="70">
        <v>315</v>
      </c>
      <c r="C326" s="71" t="s">
        <v>939</v>
      </c>
      <c r="D326" s="71" t="str">
        <f>VLOOKUP(C326,[1]B.D!$A:$B,2,FALSE)</f>
        <v>MANILLA SILTEK OVAL - MR</v>
      </c>
      <c r="E326" s="71" t="str">
        <f>VLOOKUP(C326,[1]B.D!$A:$F,6,FALSE)</f>
        <v>MARRON</v>
      </c>
      <c r="F326" s="71" t="str">
        <f>VLOOKUP(C326,[1]B.D!$A:$G,7,FALSE)</f>
        <v>MANILLA</v>
      </c>
      <c r="G326" s="64">
        <v>2520</v>
      </c>
      <c r="H326" s="72"/>
      <c r="I326" s="73">
        <f t="shared" si="8"/>
        <v>0</v>
      </c>
      <c r="J326" s="74">
        <f>VLOOKUP(C326,[1]B.D!$A:$E,5,FALSE)</f>
        <v>0.15</v>
      </c>
      <c r="K326" s="63">
        <f t="shared" si="9"/>
        <v>0</v>
      </c>
    </row>
    <row r="327" spans="2:11">
      <c r="B327" s="70">
        <v>316</v>
      </c>
      <c r="C327" s="71" t="s">
        <v>940</v>
      </c>
      <c r="D327" s="71" t="str">
        <f>VLOOKUP(C327,[1]B.D!$A:$B,2,FALSE)</f>
        <v>MANILLA SILTEK OVAL - NE</v>
      </c>
      <c r="E327" s="71" t="str">
        <f>VLOOKUP(C327,[1]B.D!$A:$F,6,FALSE)</f>
        <v>NEGRO</v>
      </c>
      <c r="F327" s="71" t="str">
        <f>VLOOKUP(C327,[1]B.D!$A:$G,7,FALSE)</f>
        <v>MANILLA</v>
      </c>
      <c r="G327" s="64">
        <v>2520</v>
      </c>
      <c r="H327" s="72"/>
      <c r="I327" s="73">
        <f t="shared" si="8"/>
        <v>0</v>
      </c>
      <c r="J327" s="74">
        <f>VLOOKUP(C327,[1]B.D!$A:$E,5,FALSE)</f>
        <v>0.15</v>
      </c>
      <c r="K327" s="63">
        <f t="shared" si="9"/>
        <v>0</v>
      </c>
    </row>
    <row r="328" spans="2:11">
      <c r="B328" s="70">
        <v>317</v>
      </c>
      <c r="C328" s="71" t="s">
        <v>661</v>
      </c>
      <c r="D328" s="71" t="str">
        <f>VLOOKUP(C328,[1]B.D!$A:$B,2,FALSE)</f>
        <v>TIRADOR EMBUTIDO - BLANCO CELSUS</v>
      </c>
      <c r="E328" s="71" t="str">
        <f>VLOOKUP(C328,[1]B.D!$A:$F,6,FALSE)</f>
        <v>BLANCO</v>
      </c>
      <c r="F328" s="71" t="str">
        <f>VLOOKUP(C328,[1]B.D!$A:$G,7,FALSE)</f>
        <v>MANILLA</v>
      </c>
      <c r="G328" s="64">
        <v>2727.9</v>
      </c>
      <c r="H328" s="72"/>
      <c r="I328" s="73">
        <f t="shared" si="8"/>
        <v>0</v>
      </c>
      <c r="J328" s="74">
        <f>VLOOKUP(C328,[1]B.D!$A:$E,5,FALSE)</f>
        <v>7.0000000000000007E-2</v>
      </c>
      <c r="K328" s="63">
        <f t="shared" si="9"/>
        <v>0</v>
      </c>
    </row>
    <row r="329" spans="2:11">
      <c r="B329" s="70">
        <v>318</v>
      </c>
      <c r="C329" s="71" t="s">
        <v>662</v>
      </c>
      <c r="D329" s="71" t="str">
        <f>VLOOKUP(C329,[1]B.D!$A:$B,2,FALSE)</f>
        <v>TIRADOR EMBUTIDO - MARRON CELSUS</v>
      </c>
      <c r="E329" s="71" t="str">
        <f>VLOOKUP(C329,[1]B.D!$A:$F,6,FALSE)</f>
        <v>MARRON</v>
      </c>
      <c r="F329" s="71" t="str">
        <f>VLOOKUP(C329,[1]B.D!$A:$G,7,FALSE)</f>
        <v>MANILLA</v>
      </c>
      <c r="G329" s="64">
        <v>2865.4500000000003</v>
      </c>
      <c r="H329" s="72"/>
      <c r="I329" s="73">
        <f t="shared" si="8"/>
        <v>0</v>
      </c>
      <c r="J329" s="74">
        <f>VLOOKUP(C329,[1]B.D!$A:$E,5,FALSE)</f>
        <v>7.0000000000000007E-2</v>
      </c>
      <c r="K329" s="63">
        <f t="shared" si="9"/>
        <v>0</v>
      </c>
    </row>
    <row r="330" spans="2:11">
      <c r="B330" s="70">
        <v>319</v>
      </c>
      <c r="C330" s="71" t="s">
        <v>663</v>
      </c>
      <c r="D330" s="71" t="str">
        <f>VLOOKUP(C330,[1]B.D!$A:$B,2,FALSE)</f>
        <v>TIRADOR EMBUTIDO - NEGRO CELSUS</v>
      </c>
      <c r="E330" s="71" t="str">
        <f>VLOOKUP(C330,[1]B.D!$A:$F,6,FALSE)</f>
        <v>NEGRO</v>
      </c>
      <c r="F330" s="71" t="str">
        <f>VLOOKUP(C330,[1]B.D!$A:$G,7,FALSE)</f>
        <v>MANILLA</v>
      </c>
      <c r="G330" s="64">
        <v>3410.4</v>
      </c>
      <c r="H330" s="72"/>
      <c r="I330" s="73">
        <f t="shared" si="8"/>
        <v>0</v>
      </c>
      <c r="J330" s="74">
        <f>VLOOKUP(C330,[1]B.D!$A:$E,5,FALSE)</f>
        <v>7.0000000000000007E-2</v>
      </c>
      <c r="K330" s="63">
        <f t="shared" si="9"/>
        <v>0</v>
      </c>
    </row>
    <row r="331" spans="2:11">
      <c r="B331" s="70">
        <v>320</v>
      </c>
      <c r="C331" s="71" t="s">
        <v>664</v>
      </c>
      <c r="D331" s="71" t="str">
        <f>VLOOKUP(C331,[1]B.D!$A:$B,2,FALSE)</f>
        <v>CORDON MOSQUITERO BLANCO  5mm</v>
      </c>
      <c r="E331" s="71" t="str">
        <f>VLOOKUP(C331,[1]B.D!$A:$F,6,FALSE)</f>
        <v>BLANCO</v>
      </c>
      <c r="F331" s="71" t="str">
        <f>VLOOKUP(C331,[1]B.D!$A:$G,7,FALSE)</f>
        <v>MOSQUITERO CORREDERA</v>
      </c>
      <c r="G331" s="64">
        <v>221.55</v>
      </c>
      <c r="H331" s="72"/>
      <c r="I331" s="73">
        <f t="shared" si="8"/>
        <v>0</v>
      </c>
      <c r="J331" s="74">
        <f>VLOOKUP(C331,[1]B.D!$A:$E,5,FALSE)</f>
        <v>0.02</v>
      </c>
      <c r="K331" s="63">
        <f t="shared" si="9"/>
        <v>0</v>
      </c>
    </row>
    <row r="332" spans="2:11">
      <c r="B332" s="70">
        <v>321</v>
      </c>
      <c r="C332" s="71" t="s">
        <v>665</v>
      </c>
      <c r="D332" s="71" t="str">
        <f>VLOOKUP(C332,[1]B.D!$A:$B,2,FALSE)</f>
        <v>CORDON MOSQUITERO NEGRO - MV</v>
      </c>
      <c r="E332" s="71" t="str">
        <f>VLOOKUP(C332,[1]B.D!$A:$F,6,FALSE)</f>
        <v>NEGRO</v>
      </c>
      <c r="F332" s="71" t="str">
        <f>VLOOKUP(C332,[1]B.D!$A:$G,7,FALSE)</f>
        <v>MOSQUITERO CORREDERA</v>
      </c>
      <c r="G332" s="64">
        <v>276.15000000000003</v>
      </c>
      <c r="H332" s="72"/>
      <c r="I332" s="73">
        <f t="shared" si="8"/>
        <v>0</v>
      </c>
      <c r="J332" s="74">
        <f>VLOOKUP(C332,[1]B.D!$A:$E,5,FALSE)</f>
        <v>0.12740000000000001</v>
      </c>
      <c r="K332" s="63">
        <f t="shared" si="9"/>
        <v>0</v>
      </c>
    </row>
    <row r="333" spans="2:11">
      <c r="B333" s="70">
        <v>322</v>
      </c>
      <c r="C333" s="71" t="s">
        <v>666</v>
      </c>
      <c r="D333" s="71" t="str">
        <f>VLOOKUP(C333,[1]B.D!$A:$B,2,FALSE)</f>
        <v>ENMALLADOR MOSQUITERO - MV</v>
      </c>
      <c r="E333" s="71" t="str">
        <f>VLOOKUP(C333,[1]B.D!$A:$F,6,FALSE)</f>
        <v>NATURAL</v>
      </c>
      <c r="F333" s="71" t="str">
        <f>VLOOKUP(C333,[1]B.D!$A:$G,7,FALSE)</f>
        <v>MOSQUITERO CORREDERA</v>
      </c>
      <c r="G333" s="64">
        <v>4684.05</v>
      </c>
      <c r="H333" s="72"/>
      <c r="I333" s="73">
        <f t="shared" si="8"/>
        <v>0</v>
      </c>
      <c r="J333" s="74">
        <f>VLOOKUP(C333,[1]B.D!$A:$E,5,FALSE)</f>
        <v>0.12740000000000001</v>
      </c>
      <c r="K333" s="63">
        <f t="shared" si="9"/>
        <v>0</v>
      </c>
    </row>
    <row r="334" spans="2:11">
      <c r="B334" s="70">
        <v>323</v>
      </c>
      <c r="C334" s="71" t="s">
        <v>667</v>
      </c>
      <c r="D334" s="71" t="str">
        <f>VLOOKUP(C334,[1]B.D!$A:$B,2,FALSE)</f>
        <v>MALLA MOSQUITERO GRAFITO DE 1000 mm</v>
      </c>
      <c r="E334" s="71" t="str">
        <f>VLOOKUP(C334,[1]B.D!$A:$F,6,FALSE)</f>
        <v>NATURAL</v>
      </c>
      <c r="F334" s="71" t="str">
        <f>VLOOKUP(C334,[1]B.D!$A:$G,7,FALSE)</f>
        <v>MOSQUITERO CORREDERA</v>
      </c>
      <c r="G334" s="64">
        <v>2132.5500000000002</v>
      </c>
      <c r="H334" s="72"/>
      <c r="I334" s="73">
        <f t="shared" ref="I334:I397" si="10">G334*H334</f>
        <v>0</v>
      </c>
      <c r="J334" s="74">
        <f>VLOOKUP(C334,[1]B.D!$A:$E,5,FALSE)</f>
        <v>3</v>
      </c>
      <c r="K334" s="63">
        <f t="shared" ref="K334:K397" si="11">$H334*$J334</f>
        <v>0</v>
      </c>
    </row>
    <row r="335" spans="2:11">
      <c r="B335" s="70">
        <v>324</v>
      </c>
      <c r="C335" s="71" t="s">
        <v>668</v>
      </c>
      <c r="D335" s="71" t="str">
        <f>VLOOKUP(C335,[1]B.D!$A:$B,2,FALSE)</f>
        <v>MALLA MOSQUITERO GRAFITO DE 1600 mm</v>
      </c>
      <c r="E335" s="71" t="str">
        <f>VLOOKUP(C335,[1]B.D!$A:$F,6,FALSE)</f>
        <v>NATURAL</v>
      </c>
      <c r="F335" s="71" t="str">
        <f>VLOOKUP(C335,[1]B.D!$A:$G,7,FALSE)</f>
        <v>MOSQUITERO CORREDERA</v>
      </c>
      <c r="G335" s="64">
        <v>3412.5</v>
      </c>
      <c r="H335" s="72"/>
      <c r="I335" s="73">
        <f t="shared" si="10"/>
        <v>0</v>
      </c>
      <c r="J335" s="74">
        <f>VLOOKUP(C335,[1]B.D!$A:$E,5,FALSE)</f>
        <v>4.95</v>
      </c>
      <c r="K335" s="63">
        <f t="shared" si="11"/>
        <v>0</v>
      </c>
    </row>
    <row r="336" spans="2:11">
      <c r="B336" s="70">
        <v>325</v>
      </c>
      <c r="C336" s="71" t="s">
        <v>669</v>
      </c>
      <c r="D336" s="71" t="str">
        <f>VLOOKUP(C336,[1]B.D!$A:$B,2,FALSE)</f>
        <v>MALLA MOSQUITERO GRAFITO DE 800 mm</v>
      </c>
      <c r="E336" s="71" t="str">
        <f>VLOOKUP(C336,[1]B.D!$A:$F,6,FALSE)</f>
        <v>NATURAL</v>
      </c>
      <c r="F336" s="71" t="str">
        <f>VLOOKUP(C336,[1]B.D!$A:$G,7,FALSE)</f>
        <v>MOSQUITERO CORREDERA</v>
      </c>
      <c r="G336" s="64">
        <v>1705.2</v>
      </c>
      <c r="H336" s="72"/>
      <c r="I336" s="73">
        <f t="shared" si="10"/>
        <v>0</v>
      </c>
      <c r="J336" s="74">
        <f>VLOOKUP(C336,[1]B.D!$A:$E,5,FALSE)</f>
        <v>2.5499999999999998</v>
      </c>
      <c r="K336" s="63">
        <f t="shared" si="11"/>
        <v>0</v>
      </c>
    </row>
    <row r="337" spans="2:11">
      <c r="B337" s="70">
        <v>326</v>
      </c>
      <c r="C337" s="71" t="s">
        <v>670</v>
      </c>
      <c r="D337" s="71" t="str">
        <f>VLOOKUP(C337,[1]B.D!$A:$B,2,FALSE)</f>
        <v>TAPA TORNILLO MOSQUITERO 10mm - BLANCA</v>
      </c>
      <c r="E337" s="71" t="str">
        <f>VLOOKUP(C337,[1]B.D!$A:$F,6,FALSE)</f>
        <v>BLANCO</v>
      </c>
      <c r="F337" s="71" t="str">
        <f>VLOOKUP(C337,[1]B.D!$A:$G,7,FALSE)</f>
        <v>MOSQUITERO CORREDERA</v>
      </c>
      <c r="G337" s="64">
        <v>16.8</v>
      </c>
      <c r="H337" s="72"/>
      <c r="I337" s="73">
        <f t="shared" si="10"/>
        <v>0</v>
      </c>
      <c r="J337" s="74">
        <f>VLOOKUP(C337,[1]B.D!$A:$E,5,FALSE)</f>
        <v>1E-3</v>
      </c>
      <c r="K337" s="63">
        <f t="shared" si="11"/>
        <v>0</v>
      </c>
    </row>
    <row r="338" spans="2:11">
      <c r="B338" s="70">
        <v>327</v>
      </c>
      <c r="C338" s="71" t="s">
        <v>671</v>
      </c>
      <c r="D338" s="71" t="str">
        <f>VLOOKUP(C338,[1]B.D!$A:$B,2,FALSE)</f>
        <v>TAPA TORNILLO MOSQUITERO 10mm - MARRON</v>
      </c>
      <c r="E338" s="71" t="str">
        <f>VLOOKUP(C338,[1]B.D!$A:$F,6,FALSE)</f>
        <v>MARRON</v>
      </c>
      <c r="F338" s="71" t="str">
        <f>VLOOKUP(C338,[1]B.D!$A:$G,7,FALSE)</f>
        <v>MOSQUITERO CORREDERA</v>
      </c>
      <c r="G338" s="64">
        <v>18.900000000000002</v>
      </c>
      <c r="H338" s="72"/>
      <c r="I338" s="73">
        <f t="shared" si="10"/>
        <v>0</v>
      </c>
      <c r="J338" s="74">
        <f>VLOOKUP(C338,[1]B.D!$A:$E,5,FALSE)</f>
        <v>1E-3</v>
      </c>
      <c r="K338" s="63">
        <f t="shared" si="11"/>
        <v>0</v>
      </c>
    </row>
    <row r="339" spans="2:11">
      <c r="B339" s="70">
        <v>328</v>
      </c>
      <c r="C339" s="71" t="s">
        <v>672</v>
      </c>
      <c r="D339" s="71" t="str">
        <f>VLOOKUP(C339,[1]B.D!$A:$B,2,FALSE)</f>
        <v>TAPA TORNILLO MOSQUITERO 10mm - NEGRO</v>
      </c>
      <c r="E339" s="71" t="str">
        <f>VLOOKUP(C339,[1]B.D!$A:$F,6,FALSE)</f>
        <v>NEGRO</v>
      </c>
      <c r="F339" s="71" t="str">
        <f>VLOOKUP(C339,[1]B.D!$A:$G,7,FALSE)</f>
        <v>MOSQUITERO CORREDERA</v>
      </c>
      <c r="G339" s="64">
        <v>18.900000000000002</v>
      </c>
      <c r="H339" s="72"/>
      <c r="I339" s="73">
        <f t="shared" si="10"/>
        <v>0</v>
      </c>
      <c r="J339" s="74">
        <f>VLOOKUP(C339,[1]B.D!$A:$E,5,FALSE)</f>
        <v>1E-3</v>
      </c>
      <c r="K339" s="63">
        <f t="shared" si="11"/>
        <v>0</v>
      </c>
    </row>
    <row r="340" spans="2:11">
      <c r="B340" s="70">
        <v>329</v>
      </c>
      <c r="C340" s="71" t="s">
        <v>881</v>
      </c>
      <c r="D340" s="71" t="str">
        <f>VLOOKUP(C340,[1]B.D!$A:$B,2,FALSE)</f>
        <v>ANILLO DE CUERDA MOSQUITERO PLEGABLE - NATURAL</v>
      </c>
      <c r="E340" s="71" t="str">
        <f>VLOOKUP(C340,[1]B.D!$A:$F,6,FALSE)</f>
        <v>NATURAL</v>
      </c>
      <c r="F340" s="71" t="str">
        <f>VLOOKUP(C340,[1]B.D!$A:$G,7,FALSE)</f>
        <v>MOSQUITERO PLEGABLE</v>
      </c>
      <c r="G340" s="64">
        <v>5.25</v>
      </c>
      <c r="H340" s="72"/>
      <c r="I340" s="73">
        <f t="shared" si="10"/>
        <v>0</v>
      </c>
      <c r="J340" s="74">
        <f>VLOOKUP(C340,[1]B.D!$A:$E,5,FALSE)</f>
        <v>1E-4</v>
      </c>
      <c r="K340" s="63">
        <f t="shared" si="11"/>
        <v>0</v>
      </c>
    </row>
    <row r="341" spans="2:11">
      <c r="B341" s="70">
        <v>330</v>
      </c>
      <c r="C341" s="71" t="s">
        <v>882</v>
      </c>
      <c r="D341" s="71" t="str">
        <f>VLOOKUP(C341,[1]B.D!$A:$B,2,FALSE)</f>
        <v>CINTA ADHESIVA MOSQUITERO PLEGABLE - 1 MT</v>
      </c>
      <c r="E341" s="71" t="str">
        <f>VLOOKUP(C341,[1]B.D!$A:$F,6,FALSE)</f>
        <v>NATURAL</v>
      </c>
      <c r="F341" s="71" t="str">
        <f>VLOOKUP(C341,[1]B.D!$A:$G,7,FALSE)</f>
        <v>MOSQUITERO PLEGABLE</v>
      </c>
      <c r="G341" s="64">
        <v>523.95000000000005</v>
      </c>
      <c r="H341" s="72"/>
      <c r="I341" s="73">
        <f t="shared" si="10"/>
        <v>0</v>
      </c>
      <c r="J341" s="74">
        <f>VLOOKUP(C341,[1]B.D!$A:$E,5,FALSE)</f>
        <v>4.9799999999999997E-2</v>
      </c>
      <c r="K341" s="63">
        <f t="shared" si="11"/>
        <v>0</v>
      </c>
    </row>
    <row r="342" spans="2:11">
      <c r="B342" s="70">
        <v>331</v>
      </c>
      <c r="C342" s="71" t="s">
        <v>883</v>
      </c>
      <c r="D342" s="71" t="str">
        <f>VLOOKUP(C342,[1]B.D!$A:$B,2,FALSE)</f>
        <v>CINTA IMAN MOSQUITERO PLEGABLE - NEGRO</v>
      </c>
      <c r="E342" s="71" t="str">
        <f>VLOOKUP(C342,[1]B.D!$A:$F,6,FALSE)</f>
        <v>NEGRO</v>
      </c>
      <c r="F342" s="71" t="str">
        <f>VLOOKUP(C342,[1]B.D!$A:$G,7,FALSE)</f>
        <v>MOSQUITERO PLEGABLE</v>
      </c>
      <c r="G342" s="64">
        <v>1453.2</v>
      </c>
      <c r="H342" s="72"/>
      <c r="I342" s="73">
        <f t="shared" si="10"/>
        <v>0</v>
      </c>
      <c r="J342" s="74">
        <f>VLOOKUP(C342,[1]B.D!$A:$E,5,FALSE)</f>
        <v>8.4900000000000003E-2</v>
      </c>
      <c r="K342" s="63">
        <f t="shared" si="11"/>
        <v>0</v>
      </c>
    </row>
    <row r="343" spans="2:11">
      <c r="B343" s="70">
        <v>332</v>
      </c>
      <c r="C343" s="71" t="s">
        <v>884</v>
      </c>
      <c r="D343" s="71" t="str">
        <f>VLOOKUP(C343,[1]B.D!$A:$B,2,FALSE)</f>
        <v>CUERDA MOSQUITERO PLEGABLE - GRIS</v>
      </c>
      <c r="E343" s="71" t="str">
        <f>VLOOKUP(C343,[1]B.D!$A:$F,6,FALSE)</f>
        <v>GRIS</v>
      </c>
      <c r="F343" s="71" t="str">
        <f>VLOOKUP(C343,[1]B.D!$A:$G,7,FALSE)</f>
        <v>MOSQUITERO PLEGABLE</v>
      </c>
      <c r="G343" s="64">
        <v>58.800000000000004</v>
      </c>
      <c r="H343" s="72"/>
      <c r="I343" s="73">
        <f t="shared" si="10"/>
        <v>0</v>
      </c>
      <c r="J343" s="74">
        <f>VLOOKUP(C343,[1]B.D!$A:$E,5,FALSE)</f>
        <v>1.5E-3</v>
      </c>
      <c r="K343" s="63">
        <f t="shared" si="11"/>
        <v>0</v>
      </c>
    </row>
    <row r="344" spans="2:11">
      <c r="B344" s="70">
        <v>333</v>
      </c>
      <c r="C344" s="75" t="s">
        <v>885</v>
      </c>
      <c r="D344" s="71" t="str">
        <f>VLOOKUP(C344,[1]B.D!$A:$B,2,FALSE)</f>
        <v>MALLA MOSQUITERO PLEGABLE GRIS 2200 MM - 50 PLIEGUES / 1 MT</v>
      </c>
      <c r="E344" s="71" t="str">
        <f>VLOOKUP(C344,[1]B.D!$A:$F,6,FALSE)</f>
        <v>NATURAL</v>
      </c>
      <c r="F344" s="71" t="str">
        <f>VLOOKUP(C344,[1]B.D!$A:$G,7,FALSE)</f>
        <v>MOSQUITERO PLEGABLE</v>
      </c>
      <c r="G344" s="64">
        <v>9254.7000000000007</v>
      </c>
      <c r="H344" s="76"/>
      <c r="I344" s="73">
        <f t="shared" si="10"/>
        <v>0</v>
      </c>
      <c r="J344" s="74">
        <f>VLOOKUP(C344,[1]B.D!$A:$E,5,FALSE)</f>
        <v>0.32400000000000001</v>
      </c>
      <c r="K344" s="63">
        <f t="shared" si="11"/>
        <v>0</v>
      </c>
    </row>
    <row r="345" spans="2:11">
      <c r="B345" s="70">
        <v>334</v>
      </c>
      <c r="C345" s="75" t="s">
        <v>951</v>
      </c>
      <c r="D345" s="71" t="str">
        <f>VLOOKUP(C345,[1]B.D!$A:$B,2,FALSE)</f>
        <v>MALLA MOSQUITERO PLEGABLE GRIS 3000 MM - 50 PLIEGUES / 1 MT</v>
      </c>
      <c r="E345" s="71" t="str">
        <f>VLOOKUP(C345,[1]B.D!$A:$F,6,FALSE)</f>
        <v>GRIS</v>
      </c>
      <c r="F345" s="71" t="str">
        <f>VLOOKUP(C345,[1]B.D!$A:$G,7,FALSE)</f>
        <v>MOSQUITERO PLEGABLE</v>
      </c>
      <c r="G345" s="64">
        <v>9128.7000000000007</v>
      </c>
      <c r="H345" s="76"/>
      <c r="I345" s="73">
        <f t="shared" si="10"/>
        <v>0</v>
      </c>
      <c r="J345" s="74">
        <f>VLOOKUP(C345,[1]B.D!$A:$E,5,FALSE)</f>
        <v>0</v>
      </c>
      <c r="K345" s="63">
        <f t="shared" si="11"/>
        <v>0</v>
      </c>
    </row>
    <row r="346" spans="2:11">
      <c r="B346" s="70">
        <v>335</v>
      </c>
      <c r="C346" s="71" t="s">
        <v>880</v>
      </c>
      <c r="D346" s="71" t="str">
        <f>VLOOKUP(C346,[1]B.D!$A:$B,2,FALSE)</f>
        <v>SET ACCESORIOS MOSQUITERO PLEGABLE - NEGRO</v>
      </c>
      <c r="E346" s="71" t="str">
        <f>VLOOKUP(C346,[1]B.D!$A:$F,6,FALSE)</f>
        <v>NEGRO</v>
      </c>
      <c r="F346" s="71" t="str">
        <f>VLOOKUP(C346,[1]B.D!$A:$G,7,FALSE)</f>
        <v>MOSQUITERO PLEGABLE</v>
      </c>
      <c r="G346" s="64">
        <v>3596.25</v>
      </c>
      <c r="H346" s="72"/>
      <c r="I346" s="73">
        <f t="shared" si="10"/>
        <v>0</v>
      </c>
      <c r="J346" s="74">
        <f>VLOOKUP(C346,[1]B.D!$A:$E,5,FALSE)</f>
        <v>0.1226</v>
      </c>
      <c r="K346" s="63">
        <f t="shared" si="11"/>
        <v>0</v>
      </c>
    </row>
    <row r="347" spans="2:11">
      <c r="B347" s="70">
        <v>336</v>
      </c>
      <c r="C347" s="71" t="s">
        <v>673</v>
      </c>
      <c r="D347" s="71" t="str">
        <f>VLOOKUP(C347,[1]B.D!$A:$B,2,FALSE)</f>
        <v>ANGULO DE CAMBIO</v>
      </c>
      <c r="E347" s="71" t="str">
        <f>VLOOKUP(C347,[1]B.D!$A:$F,6,FALSE)</f>
        <v>NATURAL</v>
      </c>
      <c r="F347" s="71" t="str">
        <f>VLOOKUP(C347,[1]B.D!$A:$G,7,FALSE)</f>
        <v>OB</v>
      </c>
      <c r="G347" s="64">
        <v>3492.3</v>
      </c>
      <c r="H347" s="72"/>
      <c r="I347" s="73">
        <f t="shared" si="10"/>
        <v>0</v>
      </c>
      <c r="J347" s="74">
        <f>VLOOKUP(C347,[1]B.D!$A:$E,5,FALSE)</f>
        <v>0.16</v>
      </c>
      <c r="K347" s="63">
        <f t="shared" si="11"/>
        <v>0</v>
      </c>
    </row>
    <row r="348" spans="2:11">
      <c r="B348" s="70">
        <v>337</v>
      </c>
      <c r="C348" s="71" t="s">
        <v>674</v>
      </c>
      <c r="D348" s="71" t="str">
        <f>VLOOKUP(C348,[1]B.D!$A:$B,2,FALSE)</f>
        <v>ANGULO DE CAMBIO CON BULON DE SEGURIDAD</v>
      </c>
      <c r="E348" s="71" t="str">
        <f>VLOOKUP(C348,[1]B.D!$A:$F,6,FALSE)</f>
        <v>NATURAL</v>
      </c>
      <c r="F348" s="71" t="str">
        <f>VLOOKUP(C348,[1]B.D!$A:$G,7,FALSE)</f>
        <v>OB</v>
      </c>
      <c r="G348" s="64">
        <v>4421.55</v>
      </c>
      <c r="H348" s="72"/>
      <c r="I348" s="73">
        <f t="shared" si="10"/>
        <v>0</v>
      </c>
      <c r="J348" s="74">
        <f>VLOOKUP(C348,[1]B.D!$A:$E,5,FALSE)</f>
        <v>0.16</v>
      </c>
      <c r="K348" s="63">
        <f t="shared" si="11"/>
        <v>0</v>
      </c>
    </row>
    <row r="349" spans="2:11">
      <c r="B349" s="70">
        <v>338</v>
      </c>
      <c r="C349" s="71" t="s">
        <v>675</v>
      </c>
      <c r="D349" s="71" t="str">
        <f>VLOOKUP(C349,[1]B.D!$A:$B,2,FALSE)</f>
        <v>ANGULO DE CAMBIO ESTRECHO</v>
      </c>
      <c r="E349" s="71" t="str">
        <f>VLOOKUP(C349,[1]B.D!$A:$F,6,FALSE)</f>
        <v>NATURAL</v>
      </c>
      <c r="F349" s="71" t="str">
        <f>VLOOKUP(C349,[1]B.D!$A:$G,7,FALSE)</f>
        <v>OB</v>
      </c>
      <c r="G349" s="64">
        <v>3919.65</v>
      </c>
      <c r="H349" s="72"/>
      <c r="I349" s="73">
        <f t="shared" si="10"/>
        <v>0</v>
      </c>
      <c r="J349" s="74">
        <f>VLOOKUP(C349,[1]B.D!$A:$E,5,FALSE)</f>
        <v>0.11</v>
      </c>
      <c r="K349" s="63">
        <f t="shared" si="11"/>
        <v>0</v>
      </c>
    </row>
    <row r="350" spans="2:11">
      <c r="B350" s="70">
        <v>339</v>
      </c>
      <c r="C350" s="71" t="s">
        <v>676</v>
      </c>
      <c r="D350" s="71" t="str">
        <f>VLOOKUP(C350,[1]B.D!$A:$B,2,FALSE)</f>
        <v>BISAGRA ANGULAR</v>
      </c>
      <c r="E350" s="71" t="str">
        <f>VLOOKUP(C350,[1]B.D!$A:$F,6,FALSE)</f>
        <v>NATURAL</v>
      </c>
      <c r="F350" s="71" t="str">
        <f>VLOOKUP(C350,[1]B.D!$A:$G,7,FALSE)</f>
        <v>OB</v>
      </c>
      <c r="G350" s="64">
        <v>1920.45</v>
      </c>
      <c r="H350" s="72"/>
      <c r="I350" s="73">
        <f t="shared" si="10"/>
        <v>0</v>
      </c>
      <c r="J350" s="74">
        <f>VLOOKUP(C350,[1]B.D!$A:$E,5,FALSE)</f>
        <v>0.06</v>
      </c>
      <c r="K350" s="63">
        <f t="shared" si="11"/>
        <v>0</v>
      </c>
    </row>
    <row r="351" spans="2:11">
      <c r="B351" s="70">
        <v>340</v>
      </c>
      <c r="C351" s="71" t="s">
        <v>677</v>
      </c>
      <c r="D351" s="71" t="str">
        <f>VLOOKUP(C351,[1]B.D!$A:$B,2,FALSE)</f>
        <v>BISAGRA DE COMPAS</v>
      </c>
      <c r="E351" s="71" t="str">
        <f>VLOOKUP(C351,[1]B.D!$A:$F,6,FALSE)</f>
        <v>NATURAL</v>
      </c>
      <c r="F351" s="71" t="str">
        <f>VLOOKUP(C351,[1]B.D!$A:$G,7,FALSE)</f>
        <v>OB</v>
      </c>
      <c r="G351" s="64">
        <v>1027.95</v>
      </c>
      <c r="H351" s="72"/>
      <c r="I351" s="73">
        <f t="shared" si="10"/>
        <v>0</v>
      </c>
      <c r="J351" s="74">
        <f>VLOOKUP(C351,[1]B.D!$A:$E,5,FALSE)</f>
        <v>7.0000000000000007E-2</v>
      </c>
      <c r="K351" s="63">
        <f t="shared" si="11"/>
        <v>0</v>
      </c>
    </row>
    <row r="352" spans="2:11">
      <c r="B352" s="70">
        <v>341</v>
      </c>
      <c r="C352" s="71" t="s">
        <v>678</v>
      </c>
      <c r="D352" s="71" t="str">
        <f>VLOOKUP(C352,[1]B.D!$A:$B,2,FALSE)</f>
        <v>CERRADERO PICAPORTE OB 13mm</v>
      </c>
      <c r="E352" s="71" t="str">
        <f>VLOOKUP(C352,[1]B.D!$A:$F,6,FALSE)</f>
        <v>NATURAL</v>
      </c>
      <c r="F352" s="71" t="str">
        <f>VLOOKUP(C352,[1]B.D!$A:$G,7,FALSE)</f>
        <v>OB</v>
      </c>
      <c r="G352" s="64">
        <v>2706.9</v>
      </c>
      <c r="H352" s="72"/>
      <c r="I352" s="73">
        <f t="shared" si="10"/>
        <v>0</v>
      </c>
      <c r="J352" s="74">
        <f>VLOOKUP(C352,[1]B.D!$A:$E,5,FALSE)</f>
        <v>0.16</v>
      </c>
      <c r="K352" s="63">
        <f t="shared" si="11"/>
        <v>0</v>
      </c>
    </row>
    <row r="353" spans="2:11">
      <c r="B353" s="70">
        <v>342</v>
      </c>
      <c r="C353" s="75" t="s">
        <v>543</v>
      </c>
      <c r="D353" s="71" t="str">
        <f>VLOOKUP(C353,[1]B.D!$A:$B,2,FALSE)</f>
        <v>COMPAS OB 1195-1400</v>
      </c>
      <c r="E353" s="71" t="str">
        <f>VLOOKUP(C353,[1]B.D!$A:$F,6,FALSE)</f>
        <v>NATURAL</v>
      </c>
      <c r="F353" s="71" t="str">
        <f>VLOOKUP(C353,[1]B.D!$A:$G,7,FALSE)</f>
        <v>OB</v>
      </c>
      <c r="G353" s="64">
        <v>8292.9</v>
      </c>
      <c r="H353" s="76"/>
      <c r="I353" s="73">
        <f t="shared" si="10"/>
        <v>0</v>
      </c>
      <c r="J353" s="74">
        <f>VLOOKUP(C353,[1]B.D!$A:$E,5,FALSE)</f>
        <v>0.86</v>
      </c>
      <c r="K353" s="63">
        <f t="shared" si="11"/>
        <v>0</v>
      </c>
    </row>
    <row r="354" spans="2:11">
      <c r="B354" s="70">
        <v>343</v>
      </c>
      <c r="C354" s="75" t="s">
        <v>679</v>
      </c>
      <c r="D354" s="71" t="str">
        <f>VLOOKUP(C354,[1]B.D!$A:$B,2,FALSE)</f>
        <v>COMPAS OB 395-600</v>
      </c>
      <c r="E354" s="71" t="str">
        <f>VLOOKUP(C354,[1]B.D!$A:$F,6,FALSE)</f>
        <v>NATURAL</v>
      </c>
      <c r="F354" s="71" t="str">
        <f>VLOOKUP(C354,[1]B.D!$A:$G,7,FALSE)</f>
        <v>OB</v>
      </c>
      <c r="G354" s="64">
        <v>5599.6500000000005</v>
      </c>
      <c r="H354" s="76"/>
      <c r="I354" s="73">
        <f t="shared" si="10"/>
        <v>0</v>
      </c>
      <c r="J354" s="74">
        <f>VLOOKUP(C354,[1]B.D!$A:$E,5,FALSE)</f>
        <v>0.34</v>
      </c>
      <c r="K354" s="63">
        <f t="shared" si="11"/>
        <v>0</v>
      </c>
    </row>
    <row r="355" spans="2:11">
      <c r="B355" s="70">
        <v>344</v>
      </c>
      <c r="C355" s="75" t="s">
        <v>680</v>
      </c>
      <c r="D355" s="71" t="str">
        <f>VLOOKUP(C355,[1]B.D!$A:$B,2,FALSE)</f>
        <v>COMPAS OB 595-800</v>
      </c>
      <c r="E355" s="71" t="str">
        <f>VLOOKUP(C355,[1]B.D!$A:$F,6,FALSE)</f>
        <v>NATURAL</v>
      </c>
      <c r="F355" s="71" t="str">
        <f>VLOOKUP(C355,[1]B.D!$A:$G,7,FALSE)</f>
        <v>OB</v>
      </c>
      <c r="G355" s="64">
        <v>6213.9000000000005</v>
      </c>
      <c r="H355" s="76"/>
      <c r="I355" s="73">
        <f t="shared" si="10"/>
        <v>0</v>
      </c>
      <c r="J355" s="74">
        <f>VLOOKUP(C355,[1]B.D!$A:$E,5,FALSE)</f>
        <v>0.47</v>
      </c>
      <c r="K355" s="63">
        <f t="shared" si="11"/>
        <v>0</v>
      </c>
    </row>
    <row r="356" spans="2:11">
      <c r="B356" s="70">
        <v>345</v>
      </c>
      <c r="C356" s="75" t="s">
        <v>681</v>
      </c>
      <c r="D356" s="71" t="str">
        <f>VLOOKUP(C356,[1]B.D!$A:$B,2,FALSE)</f>
        <v>COMPAS OB 795-1000</v>
      </c>
      <c r="E356" s="71" t="str">
        <f>VLOOKUP(C356,[1]B.D!$A:$F,6,FALSE)</f>
        <v>NATURAL</v>
      </c>
      <c r="F356" s="71" t="str">
        <f>VLOOKUP(C356,[1]B.D!$A:$G,7,FALSE)</f>
        <v>OB</v>
      </c>
      <c r="G356" s="64">
        <v>7168.35</v>
      </c>
      <c r="H356" s="76"/>
      <c r="I356" s="73">
        <f t="shared" si="10"/>
        <v>0</v>
      </c>
      <c r="J356" s="74">
        <f>VLOOKUP(C356,[1]B.D!$A:$E,5,FALSE)</f>
        <v>0.6</v>
      </c>
      <c r="K356" s="63">
        <f t="shared" si="11"/>
        <v>0</v>
      </c>
    </row>
    <row r="357" spans="2:11">
      <c r="B357" s="70">
        <v>346</v>
      </c>
      <c r="C357" s="75" t="s">
        <v>682</v>
      </c>
      <c r="D357" s="71" t="str">
        <f>VLOOKUP(C357,[1]B.D!$A:$B,2,FALSE)</f>
        <v>COMPAS OB 995-1200</v>
      </c>
      <c r="E357" s="71" t="str">
        <f>VLOOKUP(C357,[1]B.D!$A:$F,6,FALSE)</f>
        <v>NATURAL</v>
      </c>
      <c r="F357" s="71" t="str">
        <f>VLOOKUP(C357,[1]B.D!$A:$G,7,FALSE)</f>
        <v>OB</v>
      </c>
      <c r="G357" s="64">
        <v>8175.3</v>
      </c>
      <c r="H357" s="76"/>
      <c r="I357" s="73">
        <f t="shared" si="10"/>
        <v>0</v>
      </c>
      <c r="J357" s="74">
        <f>VLOOKUP(C357,[1]B.D!$A:$E,5,FALSE)</f>
        <v>0.7</v>
      </c>
      <c r="K357" s="63">
        <f t="shared" si="11"/>
        <v>0</v>
      </c>
    </row>
    <row r="358" spans="2:11">
      <c r="B358" s="70">
        <v>347</v>
      </c>
      <c r="C358" s="75" t="s">
        <v>683</v>
      </c>
      <c r="D358" s="71" t="str">
        <f>VLOOKUP(C358,[1]B.D!$A:$B,2,FALSE)</f>
        <v>CREMONA OB E15 1185 - 1600 mm</v>
      </c>
      <c r="E358" s="71" t="str">
        <f>VLOOKUP(C358,[1]B.D!$A:$F,6,FALSE)</f>
        <v>NATURAL</v>
      </c>
      <c r="F358" s="71" t="str">
        <f>VLOOKUP(C358,[1]B.D!$A:$G,7,FALSE)</f>
        <v>OB</v>
      </c>
      <c r="G358" s="64">
        <v>5788.6500000000005</v>
      </c>
      <c r="H358" s="76"/>
      <c r="I358" s="73">
        <f t="shared" si="10"/>
        <v>0</v>
      </c>
      <c r="J358" s="74">
        <f>VLOOKUP(C358,[1]B.D!$A:$E,5,FALSE)</f>
        <v>0.6</v>
      </c>
      <c r="K358" s="63">
        <f t="shared" si="11"/>
        <v>0</v>
      </c>
    </row>
    <row r="359" spans="2:11">
      <c r="B359" s="70">
        <v>348</v>
      </c>
      <c r="C359" s="75" t="s">
        <v>684</v>
      </c>
      <c r="D359" s="71" t="str">
        <f>VLOOKUP(C359,[1]B.D!$A:$B,2,FALSE)</f>
        <v>CREMONA OB E15 1385 - 1800 mm</v>
      </c>
      <c r="E359" s="71" t="str">
        <f>VLOOKUP(C359,[1]B.D!$A:$F,6,FALSE)</f>
        <v>NATURAL</v>
      </c>
      <c r="F359" s="71" t="str">
        <f>VLOOKUP(C359,[1]B.D!$A:$G,7,FALSE)</f>
        <v>OB</v>
      </c>
      <c r="G359" s="64">
        <v>6291.6</v>
      </c>
      <c r="H359" s="76"/>
      <c r="I359" s="73">
        <f t="shared" si="10"/>
        <v>0</v>
      </c>
      <c r="J359" s="74">
        <f>VLOOKUP(C359,[1]B.D!$A:$E,5,FALSE)</f>
        <v>0.7</v>
      </c>
      <c r="K359" s="63">
        <f t="shared" si="11"/>
        <v>0</v>
      </c>
    </row>
    <row r="360" spans="2:11">
      <c r="B360" s="70">
        <v>349</v>
      </c>
      <c r="C360" s="75" t="s">
        <v>685</v>
      </c>
      <c r="D360" s="71" t="str">
        <f>VLOOKUP(C360,[1]B.D!$A:$B,2,FALSE)</f>
        <v>CREMONA OB E15 1585 - 2000 mm</v>
      </c>
      <c r="E360" s="71" t="str">
        <f>VLOOKUP(C360,[1]B.D!$A:$F,6,FALSE)</f>
        <v>NATURAL</v>
      </c>
      <c r="F360" s="71" t="str">
        <f>VLOOKUP(C360,[1]B.D!$A:$G,7,FALSE)</f>
        <v>OB</v>
      </c>
      <c r="G360" s="64">
        <v>8539.65</v>
      </c>
      <c r="H360" s="76"/>
      <c r="I360" s="73">
        <f t="shared" si="10"/>
        <v>0</v>
      </c>
      <c r="J360" s="74">
        <f>VLOOKUP(C360,[1]B.D!$A:$E,5,FALSE)</f>
        <v>0.81</v>
      </c>
      <c r="K360" s="63">
        <f t="shared" si="11"/>
        <v>0</v>
      </c>
    </row>
    <row r="361" spans="2:11">
      <c r="B361" s="70">
        <v>350</v>
      </c>
      <c r="C361" s="71" t="s">
        <v>686</v>
      </c>
      <c r="D361" s="71" t="str">
        <f>VLOOKUP(C361,[1]B.D!$A:$B,2,FALSE)</f>
        <v>CREMONA OB E15 480 - 700 mm</v>
      </c>
      <c r="E361" s="71" t="str">
        <f>VLOOKUP(C361,[1]B.D!$A:$F,6,FALSE)</f>
        <v>NATURAL</v>
      </c>
      <c r="F361" s="71" t="str">
        <f>VLOOKUP(C361,[1]B.D!$A:$G,7,FALSE)</f>
        <v>OB</v>
      </c>
      <c r="G361" s="64">
        <v>4593.75</v>
      </c>
      <c r="H361" s="72"/>
      <c r="I361" s="73">
        <f t="shared" si="10"/>
        <v>0</v>
      </c>
      <c r="J361" s="74">
        <f>VLOOKUP(C361,[1]B.D!$A:$E,5,FALSE)</f>
        <v>0.3</v>
      </c>
      <c r="K361" s="63">
        <f t="shared" si="11"/>
        <v>0</v>
      </c>
    </row>
    <row r="362" spans="2:11">
      <c r="B362" s="70">
        <v>351</v>
      </c>
      <c r="C362" s="71" t="s">
        <v>687</v>
      </c>
      <c r="D362" s="71" t="str">
        <f>VLOOKUP(C362,[1]B.D!$A:$B,2,FALSE)</f>
        <v>CREMONA OB E15 585 - 1000 mm</v>
      </c>
      <c r="E362" s="71" t="str">
        <f>VLOOKUP(C362,[1]B.D!$A:$F,6,FALSE)</f>
        <v>NATURAL</v>
      </c>
      <c r="F362" s="71" t="str">
        <f>VLOOKUP(C362,[1]B.D!$A:$G,7,FALSE)</f>
        <v>OB</v>
      </c>
      <c r="G362" s="64">
        <v>4767</v>
      </c>
      <c r="H362" s="72"/>
      <c r="I362" s="73">
        <f t="shared" si="10"/>
        <v>0</v>
      </c>
      <c r="J362" s="74">
        <f>VLOOKUP(C362,[1]B.D!$A:$E,5,FALSE)</f>
        <v>0.34</v>
      </c>
      <c r="K362" s="63">
        <f t="shared" si="11"/>
        <v>0</v>
      </c>
    </row>
    <row r="363" spans="2:11">
      <c r="B363" s="70">
        <v>352</v>
      </c>
      <c r="C363" s="71" t="s">
        <v>688</v>
      </c>
      <c r="D363" s="71" t="str">
        <f>VLOOKUP(C363,[1]B.D!$A:$B,2,FALSE)</f>
        <v>CREMONA OB E15 685 - 1100 mm</v>
      </c>
      <c r="E363" s="71" t="str">
        <f>VLOOKUP(C363,[1]B.D!$A:$F,6,FALSE)</f>
        <v>NATURAL</v>
      </c>
      <c r="F363" s="71" t="str">
        <f>VLOOKUP(C363,[1]B.D!$A:$G,7,FALSE)</f>
        <v>OB</v>
      </c>
      <c r="G363" s="64">
        <v>5040</v>
      </c>
      <c r="H363" s="72"/>
      <c r="I363" s="73">
        <f t="shared" si="10"/>
        <v>0</v>
      </c>
      <c r="J363" s="74">
        <f>VLOOKUP(C363,[1]B.D!$A:$E,5,FALSE)</f>
        <v>0.39</v>
      </c>
      <c r="K363" s="63">
        <f t="shared" si="11"/>
        <v>0</v>
      </c>
    </row>
    <row r="364" spans="2:11">
      <c r="B364" s="70">
        <v>353</v>
      </c>
      <c r="C364" s="75" t="s">
        <v>689</v>
      </c>
      <c r="D364" s="71" t="str">
        <f>VLOOKUP(C364,[1]B.D!$A:$B,2,FALSE)</f>
        <v>CREMONA OB E15 885 -1300 mm</v>
      </c>
      <c r="E364" s="71" t="str">
        <f>VLOOKUP(C364,[1]B.D!$A:$F,6,FALSE)</f>
        <v>NATURAL</v>
      </c>
      <c r="F364" s="71" t="str">
        <f>VLOOKUP(C364,[1]B.D!$A:$G,7,FALSE)</f>
        <v>OB</v>
      </c>
      <c r="G364" s="64">
        <v>5208</v>
      </c>
      <c r="H364" s="76"/>
      <c r="I364" s="73">
        <f t="shared" si="10"/>
        <v>0</v>
      </c>
      <c r="J364" s="74">
        <f>VLOOKUP(C364,[1]B.D!$A:$E,5,FALSE)</f>
        <v>0.47</v>
      </c>
      <c r="K364" s="63">
        <f t="shared" si="11"/>
        <v>0</v>
      </c>
    </row>
    <row r="365" spans="2:11">
      <c r="B365" s="70">
        <v>354</v>
      </c>
      <c r="C365" s="75" t="s">
        <v>690</v>
      </c>
      <c r="D365" s="71" t="str">
        <f>VLOOKUP(C365,[1]B.D!$A:$B,2,FALSE)</f>
        <v>CREMONA OB E15 985 - 1400 mm</v>
      </c>
      <c r="E365" s="71" t="str">
        <f>VLOOKUP(C365,[1]B.D!$A:$F,6,FALSE)</f>
        <v>NATURAL</v>
      </c>
      <c r="F365" s="71" t="str">
        <f>VLOOKUP(C365,[1]B.D!$A:$G,7,FALSE)</f>
        <v>OB</v>
      </c>
      <c r="G365" s="64">
        <v>5581.8</v>
      </c>
      <c r="H365" s="76"/>
      <c r="I365" s="73">
        <f t="shared" si="10"/>
        <v>0</v>
      </c>
      <c r="J365" s="74">
        <f>VLOOKUP(C365,[1]B.D!$A:$E,5,FALSE)</f>
        <v>0.52</v>
      </c>
      <c r="K365" s="63">
        <f t="shared" si="11"/>
        <v>0</v>
      </c>
    </row>
    <row r="366" spans="2:11">
      <c r="B366" s="70">
        <v>355</v>
      </c>
      <c r="C366" s="71" t="s">
        <v>691</v>
      </c>
      <c r="D366" s="71" t="str">
        <f>VLOOKUP(C366,[1]B.D!$A:$B,2,FALSE)</f>
        <v>FALSA MANIOBRA HOJA</v>
      </c>
      <c r="E366" s="71" t="str">
        <f>VLOOKUP(C366,[1]B.D!$A:$F,6,FALSE)</f>
        <v>NATURAL</v>
      </c>
      <c r="F366" s="71" t="str">
        <f>VLOOKUP(C366,[1]B.D!$A:$G,7,FALSE)</f>
        <v>OB</v>
      </c>
      <c r="G366" s="64">
        <v>1924.65</v>
      </c>
      <c r="H366" s="72"/>
      <c r="I366" s="73">
        <f t="shared" si="10"/>
        <v>0</v>
      </c>
      <c r="J366" s="74">
        <f>VLOOKUP(C366,[1]B.D!$A:$E,5,FALSE)</f>
        <v>0.12</v>
      </c>
      <c r="K366" s="63">
        <f t="shared" si="11"/>
        <v>0</v>
      </c>
    </row>
    <row r="367" spans="2:11">
      <c r="B367" s="70">
        <v>356</v>
      </c>
      <c r="C367" s="71" t="s">
        <v>692</v>
      </c>
      <c r="D367" s="71" t="str">
        <f>VLOOKUP(C367,[1]B.D!$A:$B,2,FALSE)</f>
        <v>FALSO COMPAS</v>
      </c>
      <c r="E367" s="71" t="str">
        <f>VLOOKUP(C367,[1]B.D!$A:$F,6,FALSE)</f>
        <v>NATURAL</v>
      </c>
      <c r="F367" s="71" t="str">
        <f>VLOOKUP(C367,[1]B.D!$A:$G,7,FALSE)</f>
        <v>OB</v>
      </c>
      <c r="G367" s="64">
        <v>2500.0500000000002</v>
      </c>
      <c r="H367" s="72"/>
      <c r="I367" s="73">
        <f t="shared" si="10"/>
        <v>0</v>
      </c>
      <c r="J367" s="74">
        <f>VLOOKUP(C367,[1]B.D!$A:$E,5,FALSE)</f>
        <v>0.12</v>
      </c>
      <c r="K367" s="63">
        <f t="shared" si="11"/>
        <v>0</v>
      </c>
    </row>
    <row r="368" spans="2:11">
      <c r="B368" s="70">
        <v>357</v>
      </c>
      <c r="C368" s="71" t="s">
        <v>693</v>
      </c>
      <c r="D368" s="71" t="str">
        <f>VLOOKUP(C368,[1]B.D!$A:$B,2,FALSE)</f>
        <v>LIMITADOR DE APERTURA</v>
      </c>
      <c r="E368" s="71" t="str">
        <f>VLOOKUP(C368,[1]B.D!$A:$F,6,FALSE)</f>
        <v>NATURAL</v>
      </c>
      <c r="F368" s="71" t="str">
        <f>VLOOKUP(C368,[1]B.D!$A:$G,7,FALSE)</f>
        <v>OB</v>
      </c>
      <c r="G368" s="64">
        <v>1605.45</v>
      </c>
      <c r="H368" s="72"/>
      <c r="I368" s="73">
        <f t="shared" si="10"/>
        <v>0</v>
      </c>
      <c r="J368" s="74">
        <f>VLOOKUP(C368,[1]B.D!$A:$E,5,FALSE)</f>
        <v>0.12</v>
      </c>
      <c r="K368" s="63">
        <f t="shared" si="11"/>
        <v>0</v>
      </c>
    </row>
    <row r="369" spans="2:11">
      <c r="B369" s="70">
        <v>358</v>
      </c>
      <c r="C369" s="71" t="s">
        <v>694</v>
      </c>
      <c r="D369" s="71" t="str">
        <f>VLOOKUP(C369,[1]B.D!$A:$B,2,FALSE)</f>
        <v>MECANISMO DE BASCULACION</v>
      </c>
      <c r="E369" s="71" t="str">
        <f>VLOOKUP(C369,[1]B.D!$A:$F,6,FALSE)</f>
        <v>NATURAL</v>
      </c>
      <c r="F369" s="71" t="str">
        <f>VLOOKUP(C369,[1]B.D!$A:$G,7,FALSE)</f>
        <v>OB</v>
      </c>
      <c r="G369" s="64">
        <v>1773.45</v>
      </c>
      <c r="H369" s="72"/>
      <c r="I369" s="73">
        <f t="shared" si="10"/>
        <v>0</v>
      </c>
      <c r="J369" s="74">
        <f>VLOOKUP(C369,[1]B.D!$A:$E,5,FALSE)</f>
        <v>7.0000000000000007E-2</v>
      </c>
      <c r="K369" s="63">
        <f t="shared" si="11"/>
        <v>0</v>
      </c>
    </row>
    <row r="370" spans="2:11">
      <c r="B370" s="70">
        <v>359</v>
      </c>
      <c r="C370" s="71" t="s">
        <v>695</v>
      </c>
      <c r="D370" s="71" t="str">
        <f>VLOOKUP(C370,[1]B.D!$A:$B,2,FALSE)</f>
        <v>PERNIO ANGULAR</v>
      </c>
      <c r="E370" s="71" t="str">
        <f>VLOOKUP(C370,[1]B.D!$A:$F,6,FALSE)</f>
        <v>NATURAL</v>
      </c>
      <c r="F370" s="71" t="str">
        <f>VLOOKUP(C370,[1]B.D!$A:$G,7,FALSE)</f>
        <v>OB</v>
      </c>
      <c r="G370" s="64">
        <v>1792.3500000000001</v>
      </c>
      <c r="H370" s="72"/>
      <c r="I370" s="73">
        <f t="shared" si="10"/>
        <v>0</v>
      </c>
      <c r="J370" s="74">
        <f>VLOOKUP(C370,[1]B.D!$A:$E,5,FALSE)</f>
        <v>0.04</v>
      </c>
      <c r="K370" s="63">
        <f t="shared" si="11"/>
        <v>0</v>
      </c>
    </row>
    <row r="371" spans="2:11">
      <c r="B371" s="70">
        <v>360</v>
      </c>
      <c r="C371" s="71" t="s">
        <v>696</v>
      </c>
      <c r="D371" s="71" t="str">
        <f>VLOOKUP(C371,[1]B.D!$A:$B,2,FALSE)</f>
        <v>PIVOTE OB</v>
      </c>
      <c r="E371" s="71" t="str">
        <f>VLOOKUP(C371,[1]B.D!$A:$F,6,FALSE)</f>
        <v>NATURAL</v>
      </c>
      <c r="F371" s="71" t="str">
        <f>VLOOKUP(C371,[1]B.D!$A:$G,7,FALSE)</f>
        <v>OB</v>
      </c>
      <c r="G371" s="64">
        <v>653.1</v>
      </c>
      <c r="H371" s="72"/>
      <c r="I371" s="73">
        <f t="shared" si="10"/>
        <v>0</v>
      </c>
      <c r="J371" s="74">
        <f>VLOOKUP(C371,[1]B.D!$A:$E,5,FALSE)</f>
        <v>0.03</v>
      </c>
      <c r="K371" s="63">
        <f t="shared" si="11"/>
        <v>0</v>
      </c>
    </row>
    <row r="372" spans="2:11">
      <c r="B372" s="70">
        <v>361</v>
      </c>
      <c r="C372" s="71" t="s">
        <v>697</v>
      </c>
      <c r="D372" s="71" t="str">
        <f>VLOOKUP(C372,[1]B.D!$A:$B,2,FALSE)</f>
        <v>SET EMBELLECEDOR OB - BLANCO</v>
      </c>
      <c r="E372" s="71" t="str">
        <f>VLOOKUP(C372,[1]B.D!$A:$F,6,FALSE)</f>
        <v>BLANCO</v>
      </c>
      <c r="F372" s="71" t="str">
        <f>VLOOKUP(C372,[1]B.D!$A:$G,7,FALSE)</f>
        <v>OB</v>
      </c>
      <c r="G372" s="64">
        <v>1195.95</v>
      </c>
      <c r="H372" s="72"/>
      <c r="I372" s="73">
        <f t="shared" si="10"/>
        <v>0</v>
      </c>
      <c r="J372" s="74">
        <f>VLOOKUP(C372,[1]B.D!$A:$E,5,FALSE)</f>
        <v>0.01</v>
      </c>
      <c r="K372" s="63">
        <f t="shared" si="11"/>
        <v>0</v>
      </c>
    </row>
    <row r="373" spans="2:11">
      <c r="B373" s="70">
        <v>362</v>
      </c>
      <c r="C373" s="71" t="s">
        <v>698</v>
      </c>
      <c r="D373" s="71" t="str">
        <f>VLOOKUP(C373,[1]B.D!$A:$B,2,FALSE)</f>
        <v>SET EMBELLECEDOR OB - MARRON</v>
      </c>
      <c r="E373" s="71" t="str">
        <f>VLOOKUP(C373,[1]B.D!$A:$F,6,FALSE)</f>
        <v>MARRON</v>
      </c>
      <c r="F373" s="71" t="str">
        <f>VLOOKUP(C373,[1]B.D!$A:$G,7,FALSE)</f>
        <v>OB</v>
      </c>
      <c r="G373" s="64">
        <v>1195.95</v>
      </c>
      <c r="H373" s="72"/>
      <c r="I373" s="73">
        <f t="shared" si="10"/>
        <v>0</v>
      </c>
      <c r="J373" s="74">
        <f>VLOOKUP(C373,[1]B.D!$A:$E,5,FALSE)</f>
        <v>0.01</v>
      </c>
      <c r="K373" s="63">
        <f t="shared" si="11"/>
        <v>0</v>
      </c>
    </row>
    <row r="374" spans="2:11">
      <c r="B374" s="70">
        <v>363</v>
      </c>
      <c r="C374" s="71" t="s">
        <v>699</v>
      </c>
      <c r="D374" s="71" t="str">
        <f>VLOOKUP(C374,[1]B.D!$A:$B,2,FALSE)</f>
        <v>SET EMBELLECEDOR OB - NEGRO</v>
      </c>
      <c r="E374" s="71" t="str">
        <f>VLOOKUP(C374,[1]B.D!$A:$F,6,FALSE)</f>
        <v>NEGRO</v>
      </c>
      <c r="F374" s="71" t="str">
        <f>VLOOKUP(C374,[1]B.D!$A:$G,7,FALSE)</f>
        <v>OB</v>
      </c>
      <c r="G374" s="64">
        <v>1331.4</v>
      </c>
      <c r="H374" s="72"/>
      <c r="I374" s="73">
        <f t="shared" si="10"/>
        <v>0</v>
      </c>
      <c r="J374" s="74">
        <f>VLOOKUP(C374,[1]B.D!$A:$E,5,FALSE)</f>
        <v>0.01</v>
      </c>
      <c r="K374" s="63">
        <f t="shared" si="11"/>
        <v>0</v>
      </c>
    </row>
    <row r="375" spans="2:11">
      <c r="B375" s="70">
        <v>364</v>
      </c>
      <c r="C375" s="71" t="s">
        <v>700</v>
      </c>
      <c r="D375" s="71" t="str">
        <f>VLOOKUP(C375,[1]B.D!$A:$B,2,FALSE)</f>
        <v>TIRANTE 1150 - 1500</v>
      </c>
      <c r="E375" s="71" t="str">
        <f>VLOOKUP(C375,[1]B.D!$A:$F,6,FALSE)</f>
        <v>NATURAL</v>
      </c>
      <c r="F375" s="71" t="str">
        <f>VLOOKUP(C375,[1]B.D!$A:$G,7,FALSE)</f>
        <v>OB</v>
      </c>
      <c r="G375" s="64">
        <v>3528</v>
      </c>
      <c r="H375" s="72"/>
      <c r="I375" s="73">
        <f t="shared" si="10"/>
        <v>0</v>
      </c>
      <c r="J375" s="74">
        <f>VLOOKUP(C375,[1]B.D!$A:$E,5,FALSE)</f>
        <v>0.33</v>
      </c>
      <c r="K375" s="63">
        <f t="shared" si="11"/>
        <v>0</v>
      </c>
    </row>
    <row r="376" spans="2:11">
      <c r="B376" s="70">
        <v>365</v>
      </c>
      <c r="C376" s="71" t="s">
        <v>701</v>
      </c>
      <c r="D376" s="71" t="str">
        <f>VLOOKUP(C376,[1]B.D!$A:$B,2,FALSE)</f>
        <v>TIRANTE 1350 - 1600</v>
      </c>
      <c r="E376" s="71" t="str">
        <f>VLOOKUP(C376,[1]B.D!$A:$F,6,FALSE)</f>
        <v>NATURAL</v>
      </c>
      <c r="F376" s="71" t="str">
        <f>VLOOKUP(C376,[1]B.D!$A:$G,7,FALSE)</f>
        <v>OB</v>
      </c>
      <c r="G376" s="64">
        <v>3974.25</v>
      </c>
      <c r="H376" s="72"/>
      <c r="I376" s="73">
        <f t="shared" si="10"/>
        <v>0</v>
      </c>
      <c r="J376" s="74">
        <f>VLOOKUP(C376,[1]B.D!$A:$E,5,FALSE)</f>
        <v>0.44</v>
      </c>
      <c r="K376" s="63">
        <f t="shared" si="11"/>
        <v>0</v>
      </c>
    </row>
    <row r="377" spans="2:11">
      <c r="B377" s="70">
        <v>366</v>
      </c>
      <c r="C377" s="75" t="s">
        <v>702</v>
      </c>
      <c r="D377" s="71" t="str">
        <f>VLOOKUP(C377,[1]B.D!$A:$B,2,FALSE)</f>
        <v>TIRANTE 1850 - 2100</v>
      </c>
      <c r="E377" s="71" t="str">
        <f>VLOOKUP(C377,[1]B.D!$A:$F,6,FALSE)</f>
        <v>NATURAL</v>
      </c>
      <c r="F377" s="71" t="str">
        <f>VLOOKUP(C377,[1]B.D!$A:$G,7,FALSE)</f>
        <v>OB</v>
      </c>
      <c r="G377" s="64">
        <v>6176.1</v>
      </c>
      <c r="H377" s="76"/>
      <c r="I377" s="73">
        <f t="shared" si="10"/>
        <v>0</v>
      </c>
      <c r="J377" s="74">
        <f>VLOOKUP(C377,[1]B.D!$A:$E,5,FALSE)</f>
        <v>0.67</v>
      </c>
      <c r="K377" s="63">
        <f t="shared" si="11"/>
        <v>0</v>
      </c>
    </row>
    <row r="378" spans="2:11">
      <c r="B378" s="70">
        <v>367</v>
      </c>
      <c r="C378" s="75" t="s">
        <v>956</v>
      </c>
      <c r="D378" s="71" t="str">
        <f>VLOOKUP(C378,[1]B.D!$A:$B,2,FALSE)</f>
        <v>TIRANTE 2100 - 2400</v>
      </c>
      <c r="E378" s="71" t="str">
        <f>VLOOKUP(C378,[1]B.D!$A:$F,6,FALSE)</f>
        <v>NATURAL</v>
      </c>
      <c r="F378" s="71" t="str">
        <f>VLOOKUP(C378,[1]B.D!$A:$G,7,FALSE)</f>
        <v>OB</v>
      </c>
      <c r="G378" s="64">
        <v>4744.95</v>
      </c>
      <c r="H378" s="76"/>
      <c r="I378" s="73">
        <f t="shared" si="10"/>
        <v>0</v>
      </c>
      <c r="J378" s="74">
        <f>VLOOKUP(C378,[1]B.D!$A:$E,5,FALSE)</f>
        <v>0.8</v>
      </c>
      <c r="K378" s="63">
        <f t="shared" si="11"/>
        <v>0</v>
      </c>
    </row>
    <row r="379" spans="2:11">
      <c r="B379" s="70">
        <v>368</v>
      </c>
      <c r="C379" s="71" t="s">
        <v>703</v>
      </c>
      <c r="D379" s="71" t="str">
        <f>VLOOKUP(C379,[1]B.D!$A:$B,2,FALSE)</f>
        <v>TIRANTE 400 - 800</v>
      </c>
      <c r="E379" s="71" t="str">
        <f>VLOOKUP(C379,[1]B.D!$A:$F,6,FALSE)</f>
        <v>NATURAL</v>
      </c>
      <c r="F379" s="71" t="str">
        <f>VLOOKUP(C379,[1]B.D!$A:$G,7,FALSE)</f>
        <v>OB</v>
      </c>
      <c r="G379" s="64">
        <v>2841.3</v>
      </c>
      <c r="H379" s="72"/>
      <c r="I379" s="73">
        <f t="shared" si="10"/>
        <v>0</v>
      </c>
      <c r="J379" s="74">
        <f>VLOOKUP(C379,[1]B.D!$A:$E,5,FALSE)</f>
        <v>0.11</v>
      </c>
      <c r="K379" s="63">
        <f t="shared" si="11"/>
        <v>0</v>
      </c>
    </row>
    <row r="380" spans="2:11">
      <c r="B380" s="70">
        <v>369</v>
      </c>
      <c r="C380" s="71" t="s">
        <v>704</v>
      </c>
      <c r="D380" s="71" t="str">
        <f>VLOOKUP(C380,[1]B.D!$A:$B,2,FALSE)</f>
        <v>TIRANTE 700 - 1150</v>
      </c>
      <c r="E380" s="71" t="str">
        <f>VLOOKUP(C380,[1]B.D!$A:$F,6,FALSE)</f>
        <v>NATURAL</v>
      </c>
      <c r="F380" s="71" t="str">
        <f>VLOOKUP(C380,[1]B.D!$A:$G,7,FALSE)</f>
        <v>OB</v>
      </c>
      <c r="G380" s="64">
        <v>3081.75</v>
      </c>
      <c r="H380" s="72"/>
      <c r="I380" s="73">
        <f t="shared" si="10"/>
        <v>0</v>
      </c>
      <c r="J380" s="74">
        <f>VLOOKUP(C380,[1]B.D!$A:$E,5,FALSE)</f>
        <v>0.24</v>
      </c>
      <c r="K380" s="63">
        <f t="shared" si="11"/>
        <v>0</v>
      </c>
    </row>
    <row r="381" spans="2:11">
      <c r="B381" s="70">
        <v>370</v>
      </c>
      <c r="C381" s="75" t="s">
        <v>705</v>
      </c>
      <c r="D381" s="71" t="str">
        <f>VLOOKUP(C381,[1]B.D!$A:$B,2,FALSE)</f>
        <v>BISAGRA PLEGABLE - BLANCO</v>
      </c>
      <c r="E381" s="71" t="str">
        <f>VLOOKUP(C381,[1]B.D!$A:$F,6,FALSE)</f>
        <v>BLANCO</v>
      </c>
      <c r="F381" s="71" t="str">
        <f>VLOOKUP(C381,[1]B.D!$A:$G,7,FALSE)</f>
        <v>PLEGABLE</v>
      </c>
      <c r="G381" s="64">
        <v>32185.65</v>
      </c>
      <c r="H381" s="76"/>
      <c r="I381" s="73">
        <f t="shared" si="10"/>
        <v>0</v>
      </c>
      <c r="J381" s="74">
        <f>VLOOKUP(C381,[1]B.D!$A:$E,5,FALSE)</f>
        <v>0.46</v>
      </c>
      <c r="K381" s="63">
        <f t="shared" si="11"/>
        <v>0</v>
      </c>
    </row>
    <row r="382" spans="2:11">
      <c r="B382" s="70">
        <v>371</v>
      </c>
      <c r="C382" s="75" t="s">
        <v>706</v>
      </c>
      <c r="D382" s="71" t="str">
        <f>VLOOKUP(C382,[1]B.D!$A:$B,2,FALSE)</f>
        <v>BISAGRA PLEGABLE - NEGRO</v>
      </c>
      <c r="E382" s="71" t="str">
        <f>VLOOKUP(C382,[1]B.D!$A:$F,6,FALSE)</f>
        <v>NEGRO</v>
      </c>
      <c r="F382" s="71" t="str">
        <f>VLOOKUP(C382,[1]B.D!$A:$G,7,FALSE)</f>
        <v>PLEGABLE</v>
      </c>
      <c r="G382" s="64">
        <v>30207.45</v>
      </c>
      <c r="H382" s="76"/>
      <c r="I382" s="73">
        <f t="shared" si="10"/>
        <v>0</v>
      </c>
      <c r="J382" s="74">
        <f>VLOOKUP(C382,[1]B.D!$A:$E,5,FALSE)</f>
        <v>0.46</v>
      </c>
      <c r="K382" s="63">
        <f t="shared" si="11"/>
        <v>0</v>
      </c>
    </row>
    <row r="383" spans="2:11">
      <c r="B383" s="70">
        <v>372</v>
      </c>
      <c r="C383" s="75" t="s">
        <v>707</v>
      </c>
      <c r="D383" s="71" t="str">
        <f>VLOOKUP(C383,[1]B.D!$A:$B,2,FALSE)</f>
        <v>CARRO &amp; GUIA PLEGABLE</v>
      </c>
      <c r="E383" s="71" t="str">
        <f>VLOOKUP(C383,[1]B.D!$A:$F,6,FALSE)</f>
        <v>NATURAL</v>
      </c>
      <c r="F383" s="71" t="str">
        <f>VLOOKUP(C383,[1]B.D!$A:$G,7,FALSE)</f>
        <v>PLEGABLE</v>
      </c>
      <c r="G383" s="64">
        <v>153262.20000000001</v>
      </c>
      <c r="H383" s="76"/>
      <c r="I383" s="73">
        <f t="shared" si="10"/>
        <v>0</v>
      </c>
      <c r="J383" s="74">
        <f>VLOOKUP(C383,[1]B.D!$A:$E,5,FALSE)</f>
        <v>0.28000000000000003</v>
      </c>
      <c r="K383" s="63">
        <f t="shared" si="11"/>
        <v>0</v>
      </c>
    </row>
    <row r="384" spans="2:11">
      <c r="B384" s="70">
        <v>373</v>
      </c>
      <c r="C384" s="75" t="s">
        <v>708</v>
      </c>
      <c r="D384" s="71" t="str">
        <f>VLOOKUP(C384,[1]B.D!$A:$B,2,FALSE)</f>
        <v>GUIA SUPERIOR PLASTICA PLEGABLE - BLANCO</v>
      </c>
      <c r="E384" s="71" t="str">
        <f>VLOOKUP(C384,[1]B.D!$A:$F,6,FALSE)</f>
        <v>BLANCO</v>
      </c>
      <c r="F384" s="71" t="str">
        <f>VLOOKUP(C384,[1]B.D!$A:$G,7,FALSE)</f>
        <v>PLEGABLE</v>
      </c>
      <c r="G384" s="64">
        <v>7665</v>
      </c>
      <c r="H384" s="76"/>
      <c r="I384" s="73">
        <f t="shared" si="10"/>
        <v>0</v>
      </c>
      <c r="J384" s="74">
        <f>VLOOKUP(C384,[1]B.D!$A:$E,5,FALSE)</f>
        <v>0.02</v>
      </c>
      <c r="K384" s="63">
        <f t="shared" si="11"/>
        <v>0</v>
      </c>
    </row>
    <row r="385" spans="2:11">
      <c r="B385" s="70">
        <v>374</v>
      </c>
      <c r="C385" s="75" t="s">
        <v>709</v>
      </c>
      <c r="D385" s="71" t="str">
        <f>VLOOKUP(C385,[1]B.D!$A:$B,2,FALSE)</f>
        <v>GUIA SUPERIOR PLASTICA PLEGABLE - NEGRO</v>
      </c>
      <c r="E385" s="71" t="str">
        <f>VLOOKUP(C385,[1]B.D!$A:$F,6,FALSE)</f>
        <v>NEGRO</v>
      </c>
      <c r="F385" s="71" t="str">
        <f>VLOOKUP(C385,[1]B.D!$A:$G,7,FALSE)</f>
        <v>PLEGABLE</v>
      </c>
      <c r="G385" s="64">
        <v>10070.550000000001</v>
      </c>
      <c r="H385" s="76"/>
      <c r="I385" s="73">
        <f t="shared" si="10"/>
        <v>0</v>
      </c>
      <c r="J385" s="74">
        <f>VLOOKUP(C385,[1]B.D!$A:$E,5,FALSE)</f>
        <v>0.02</v>
      </c>
      <c r="K385" s="63">
        <f t="shared" si="11"/>
        <v>0</v>
      </c>
    </row>
    <row r="386" spans="2:11">
      <c r="B386" s="70">
        <v>375</v>
      </c>
      <c r="C386" s="71" t="s">
        <v>710</v>
      </c>
      <c r="D386" s="71" t="str">
        <f>VLOOKUP(C386,[1]B.D!$A:$B,2,FALSE)</f>
        <v>KIT BISAGRA GUIA PLEGABLE - BLANCA</v>
      </c>
      <c r="E386" s="71" t="str">
        <f>VLOOKUP(C386,[1]B.D!$A:$F,6,FALSE)</f>
        <v>BLANCO</v>
      </c>
      <c r="F386" s="71" t="str">
        <f>VLOOKUP(C386,[1]B.D!$A:$G,7,FALSE)</f>
        <v>PLEGABLE</v>
      </c>
      <c r="G386" s="64">
        <v>3706.5</v>
      </c>
      <c r="H386" s="72"/>
      <c r="I386" s="73">
        <f t="shared" si="10"/>
        <v>0</v>
      </c>
      <c r="J386" s="74">
        <f>VLOOKUP(C386,[1]B.D!$A:$E,5,FALSE)</f>
        <v>0.51</v>
      </c>
      <c r="K386" s="63">
        <f t="shared" si="11"/>
        <v>0</v>
      </c>
    </row>
    <row r="387" spans="2:11">
      <c r="B387" s="70">
        <v>376</v>
      </c>
      <c r="C387" s="71" t="s">
        <v>711</v>
      </c>
      <c r="D387" s="71" t="str">
        <f>VLOOKUP(C387,[1]B.D!$A:$B,2,FALSE)</f>
        <v>KIT BISAGRA GUIA PLEGABLE - NEGRO</v>
      </c>
      <c r="E387" s="71" t="str">
        <f>VLOOKUP(C387,[1]B.D!$A:$F,6,FALSE)</f>
        <v>NEGRO</v>
      </c>
      <c r="F387" s="71" t="str">
        <f>VLOOKUP(C387,[1]B.D!$A:$G,7,FALSE)</f>
        <v>PLEGABLE</v>
      </c>
      <c r="G387" s="64">
        <v>3892.3500000000004</v>
      </c>
      <c r="H387" s="72"/>
      <c r="I387" s="73">
        <f t="shared" si="10"/>
        <v>0</v>
      </c>
      <c r="J387" s="74">
        <f>VLOOKUP(C387,[1]B.D!$A:$E,5,FALSE)</f>
        <v>0.51</v>
      </c>
      <c r="K387" s="63">
        <f t="shared" si="11"/>
        <v>0</v>
      </c>
    </row>
    <row r="388" spans="2:11">
      <c r="B388" s="70">
        <v>377</v>
      </c>
      <c r="C388" s="75" t="s">
        <v>712</v>
      </c>
      <c r="D388" s="71" t="str">
        <f>VLOOKUP(C388,[1]B.D!$A:$B,2,FALSE)</f>
        <v>PALANCA REENVIO 1385 - 1800</v>
      </c>
      <c r="E388" s="71" t="str">
        <f>VLOOKUP(C388,[1]B.D!$A:$F,6,FALSE)</f>
        <v>NATURAL</v>
      </c>
      <c r="F388" s="71" t="str">
        <f>VLOOKUP(C388,[1]B.D!$A:$G,7,FALSE)</f>
        <v>PLEGABLE</v>
      </c>
      <c r="G388" s="64">
        <v>8339.1</v>
      </c>
      <c r="H388" s="76"/>
      <c r="I388" s="73">
        <f t="shared" si="10"/>
        <v>0</v>
      </c>
      <c r="J388" s="74">
        <f>VLOOKUP(C388,[1]B.D!$A:$E,5,FALSE)</f>
        <v>0.73</v>
      </c>
      <c r="K388" s="63">
        <f t="shared" si="11"/>
        <v>0</v>
      </c>
    </row>
    <row r="389" spans="2:11">
      <c r="B389" s="70">
        <v>378</v>
      </c>
      <c r="C389" s="75" t="s">
        <v>713</v>
      </c>
      <c r="D389" s="71" t="str">
        <f>VLOOKUP(C389,[1]B.D!$A:$B,2,FALSE)</f>
        <v>PALANCA REENVIO 1585 - 2000</v>
      </c>
      <c r="E389" s="71" t="str">
        <f>VLOOKUP(C389,[1]B.D!$A:$F,6,FALSE)</f>
        <v>NATURAL</v>
      </c>
      <c r="F389" s="71" t="str">
        <f>VLOOKUP(C389,[1]B.D!$A:$G,7,FALSE)</f>
        <v>PLEGABLE</v>
      </c>
      <c r="G389" s="64">
        <v>9127.65</v>
      </c>
      <c r="H389" s="76"/>
      <c r="I389" s="73">
        <f t="shared" si="10"/>
        <v>0</v>
      </c>
      <c r="J389" s="74">
        <f>VLOOKUP(C389,[1]B.D!$A:$E,5,FALSE)</f>
        <v>0.79</v>
      </c>
      <c r="K389" s="63">
        <f t="shared" si="11"/>
        <v>0</v>
      </c>
    </row>
    <row r="390" spans="2:11">
      <c r="B390" s="70">
        <v>379</v>
      </c>
      <c r="C390" s="75" t="s">
        <v>714</v>
      </c>
      <c r="D390" s="71" t="str">
        <f>VLOOKUP(C390,[1]B.D!$A:$B,2,FALSE)</f>
        <v>PALANCA REENVIO 985 - 1400</v>
      </c>
      <c r="E390" s="71" t="str">
        <f>VLOOKUP(C390,[1]B.D!$A:$F,6,FALSE)</f>
        <v>NATURAL</v>
      </c>
      <c r="F390" s="71" t="str">
        <f>VLOOKUP(C390,[1]B.D!$A:$G,7,FALSE)</f>
        <v>PLEGABLE</v>
      </c>
      <c r="G390" s="64">
        <v>6718.9500000000007</v>
      </c>
      <c r="H390" s="76"/>
      <c r="I390" s="73">
        <f t="shared" si="10"/>
        <v>0</v>
      </c>
      <c r="J390" s="74">
        <f>VLOOKUP(C390,[1]B.D!$A:$E,5,FALSE)</f>
        <v>0.53</v>
      </c>
      <c r="K390" s="63">
        <f t="shared" si="11"/>
        <v>0</v>
      </c>
    </row>
    <row r="391" spans="2:11">
      <c r="B391" s="70">
        <v>380</v>
      </c>
      <c r="C391" s="75" t="s">
        <v>715</v>
      </c>
      <c r="D391" s="71" t="str">
        <f>VLOOKUP(C391,[1]B.D!$A:$B,2,FALSE)</f>
        <v>RIELES SUP. &amp; INF. PLE. 4 MT - BLANCO</v>
      </c>
      <c r="E391" s="71" t="str">
        <f>VLOOKUP(C391,[1]B.D!$A:$F,6,FALSE)</f>
        <v>BLANCO</v>
      </c>
      <c r="F391" s="71" t="str">
        <f>VLOOKUP(C391,[1]B.D!$A:$G,7,FALSE)</f>
        <v>PLEGABLE</v>
      </c>
      <c r="G391" s="64">
        <v>322228.2</v>
      </c>
      <c r="H391" s="76"/>
      <c r="I391" s="73">
        <f t="shared" si="10"/>
        <v>0</v>
      </c>
      <c r="J391" s="74">
        <f>VLOOKUP(C391,[1]B.D!$A:$E,5,FALSE)</f>
        <v>12.84</v>
      </c>
      <c r="K391" s="63">
        <f t="shared" si="11"/>
        <v>0</v>
      </c>
    </row>
    <row r="392" spans="2:11">
      <c r="B392" s="70">
        <v>381</v>
      </c>
      <c r="C392" s="75" t="s">
        <v>716</v>
      </c>
      <c r="D392" s="71" t="str">
        <f>VLOOKUP(C392,[1]B.D!$A:$B,2,FALSE)</f>
        <v>RIELES SUP. &amp; INF. PLE. 4 MT - NEGRO</v>
      </c>
      <c r="E392" s="71" t="str">
        <f>VLOOKUP(C392,[1]B.D!$A:$F,6,FALSE)</f>
        <v>NEGRO</v>
      </c>
      <c r="F392" s="71" t="str">
        <f>VLOOKUP(C392,[1]B.D!$A:$G,7,FALSE)</f>
        <v>PLEGABLE</v>
      </c>
      <c r="G392" s="64">
        <v>338339.4</v>
      </c>
      <c r="H392" s="76"/>
      <c r="I392" s="73">
        <f t="shared" si="10"/>
        <v>0</v>
      </c>
      <c r="J392" s="74">
        <f>VLOOKUP(C392,[1]B.D!$A:$E,5,FALSE)</f>
        <v>12.84</v>
      </c>
      <c r="K392" s="63">
        <f t="shared" si="11"/>
        <v>0</v>
      </c>
    </row>
    <row r="393" spans="2:11">
      <c r="B393" s="70">
        <v>382</v>
      </c>
      <c r="C393" s="75" t="s">
        <v>717</v>
      </c>
      <c r="D393" s="71" t="str">
        <f>VLOOKUP(C393,[1]B.D!$A:$B,2,FALSE)</f>
        <v>RIELES SUP. &amp; INF. PLE. 6 MT - BLANCO</v>
      </c>
      <c r="E393" s="71" t="str">
        <f>VLOOKUP(C393,[1]B.D!$A:$F,6,FALSE)</f>
        <v>BLANCO</v>
      </c>
      <c r="F393" s="71" t="str">
        <f>VLOOKUP(C393,[1]B.D!$A:$G,7,FALSE)</f>
        <v>PLEGABLE</v>
      </c>
      <c r="G393" s="64">
        <v>386220.45</v>
      </c>
      <c r="H393" s="76"/>
      <c r="I393" s="73">
        <f t="shared" si="10"/>
        <v>0</v>
      </c>
      <c r="J393" s="74">
        <f>VLOOKUP(C393,[1]B.D!$A:$E,5,FALSE)</f>
        <v>18.84</v>
      </c>
      <c r="K393" s="63">
        <f t="shared" si="11"/>
        <v>0</v>
      </c>
    </row>
    <row r="394" spans="2:11">
      <c r="B394" s="70">
        <v>383</v>
      </c>
      <c r="C394" s="75" t="s">
        <v>718</v>
      </c>
      <c r="D394" s="71" t="str">
        <f>VLOOKUP(C394,[1]B.D!$A:$B,2,FALSE)</f>
        <v>RIELES SUP. &amp; INF. PLE. 6 MT - NEGRO</v>
      </c>
      <c r="E394" s="71" t="str">
        <f>VLOOKUP(C394,[1]B.D!$A:$F,6,FALSE)</f>
        <v>NEGRO</v>
      </c>
      <c r="F394" s="71" t="str">
        <f>VLOOKUP(C394,[1]B.D!$A:$G,7,FALSE)</f>
        <v>PLEGABLE</v>
      </c>
      <c r="G394" s="64">
        <v>507508.05000000005</v>
      </c>
      <c r="H394" s="76"/>
      <c r="I394" s="73">
        <f t="shared" si="10"/>
        <v>0</v>
      </c>
      <c r="J394" s="74">
        <f>VLOOKUP(C394,[1]B.D!$A:$E,5,FALSE)</f>
        <v>18.84</v>
      </c>
      <c r="K394" s="63">
        <f t="shared" si="11"/>
        <v>0</v>
      </c>
    </row>
    <row r="395" spans="2:11">
      <c r="B395" s="70">
        <v>384</v>
      </c>
      <c r="C395" s="75" t="s">
        <v>719</v>
      </c>
      <c r="D395" s="71" t="str">
        <f>VLOOKUP(C395,[1]B.D!$A:$B,2,FALSE)</f>
        <v>SOPORTE CARRO &amp; GUIA PLEGABLE - BLANCO</v>
      </c>
      <c r="E395" s="71" t="str">
        <f>VLOOKUP(C395,[1]B.D!$A:$F,6,FALSE)</f>
        <v>BLANCO</v>
      </c>
      <c r="F395" s="71" t="str">
        <f>VLOOKUP(C395,[1]B.D!$A:$G,7,FALSE)</f>
        <v>PLEGABLE</v>
      </c>
      <c r="G395" s="64">
        <v>30651.600000000002</v>
      </c>
      <c r="H395" s="76"/>
      <c r="I395" s="73">
        <f t="shared" si="10"/>
        <v>0</v>
      </c>
      <c r="J395" s="74">
        <f>VLOOKUP(C395,[1]B.D!$A:$E,5,FALSE)</f>
        <v>0.71</v>
      </c>
      <c r="K395" s="63">
        <f t="shared" si="11"/>
        <v>0</v>
      </c>
    </row>
    <row r="396" spans="2:11">
      <c r="B396" s="70">
        <v>385</v>
      </c>
      <c r="C396" s="75" t="s">
        <v>720</v>
      </c>
      <c r="D396" s="71" t="str">
        <f>VLOOKUP(C396,[1]B.D!$A:$B,2,FALSE)</f>
        <v>SOPORTE CARRO &amp; GUIA PLEGABLE - NEGRO</v>
      </c>
      <c r="E396" s="71" t="str">
        <f>VLOOKUP(C396,[1]B.D!$A:$F,6,FALSE)</f>
        <v>NEGRO</v>
      </c>
      <c r="F396" s="71" t="str">
        <f>VLOOKUP(C396,[1]B.D!$A:$G,7,FALSE)</f>
        <v>PLEGABLE</v>
      </c>
      <c r="G396" s="64">
        <v>40279.050000000003</v>
      </c>
      <c r="H396" s="76"/>
      <c r="I396" s="73">
        <f t="shared" si="10"/>
        <v>0</v>
      </c>
      <c r="J396" s="74">
        <f>VLOOKUP(C396,[1]B.D!$A:$E,5,FALSE)</f>
        <v>0.71</v>
      </c>
      <c r="K396" s="63">
        <f t="shared" si="11"/>
        <v>0</v>
      </c>
    </row>
    <row r="397" spans="2:11">
      <c r="B397" s="70">
        <v>386</v>
      </c>
      <c r="C397" s="77" t="s">
        <v>721</v>
      </c>
      <c r="D397" s="71" t="str">
        <f>VLOOKUP(C397,[1]B.D!$A:$B,2,FALSE)</f>
        <v>SUPLEMENTO 19 MM BISAGRA PLEGABLE - BLANCO</v>
      </c>
      <c r="E397" s="71" t="str">
        <f>VLOOKUP(C397,[1]B.D!$A:$F,6,FALSE)</f>
        <v>BLANCO</v>
      </c>
      <c r="F397" s="71" t="str">
        <f>VLOOKUP(C397,[1]B.D!$A:$G,7,FALSE)</f>
        <v>PLEGABLE</v>
      </c>
      <c r="G397" s="64">
        <v>2316.3000000000002</v>
      </c>
      <c r="H397" s="72"/>
      <c r="I397" s="73">
        <f t="shared" si="10"/>
        <v>0</v>
      </c>
      <c r="J397" s="74">
        <f>VLOOKUP(C397,[1]B.D!$A:$E,5,FALSE)</f>
        <v>0.03</v>
      </c>
      <c r="K397" s="63">
        <f t="shared" si="11"/>
        <v>0</v>
      </c>
    </row>
    <row r="398" spans="2:11">
      <c r="B398" s="70">
        <v>387</v>
      </c>
      <c r="C398" s="71" t="s">
        <v>722</v>
      </c>
      <c r="D398" s="71" t="str">
        <f>VLOOKUP(C398,[1]B.D!$A:$B,2,FALSE)</f>
        <v>SUPLEMENTO 19 MM BISAGRA PLEGABLE - NEGRO</v>
      </c>
      <c r="E398" s="71" t="str">
        <f>VLOOKUP(C398,[1]B.D!$A:$F,6,FALSE)</f>
        <v>NEGRO</v>
      </c>
      <c r="F398" s="71" t="str">
        <f>VLOOKUP(C398,[1]B.D!$A:$G,7,FALSE)</f>
        <v>PLEGABLE</v>
      </c>
      <c r="G398" s="64">
        <v>2316.3000000000002</v>
      </c>
      <c r="H398" s="72"/>
      <c r="I398" s="73">
        <f t="shared" ref="I398:I430" si="12">G398*H398</f>
        <v>0</v>
      </c>
      <c r="J398" s="74">
        <f>VLOOKUP(C398,[1]B.D!$A:$E,5,FALSE)</f>
        <v>0.03</v>
      </c>
      <c r="K398" s="63">
        <f t="shared" ref="K398:K430" si="13">$H398*$J398</f>
        <v>0</v>
      </c>
    </row>
    <row r="399" spans="2:11">
      <c r="B399" s="70">
        <v>388</v>
      </c>
      <c r="C399" s="71" t="s">
        <v>909</v>
      </c>
      <c r="D399" s="71" t="str">
        <f>VLOOKUP(C399,[1]B.D!$A:$B,2,FALSE)</f>
        <v>SUPLEMENTO 8 MM BISAGRA PLEGABLE - NEGRO</v>
      </c>
      <c r="E399" s="71" t="str">
        <f>VLOOKUP(C399,[1]B.D!$A:$F,6,FALSE)</f>
        <v>NATURAL</v>
      </c>
      <c r="F399" s="71" t="str">
        <f>VLOOKUP(C399,[1]B.D!$A:$G,7,FALSE)</f>
        <v>PLEGABLE</v>
      </c>
      <c r="G399" s="64">
        <v>1169.7</v>
      </c>
      <c r="H399" s="72"/>
      <c r="I399" s="73">
        <f t="shared" si="12"/>
        <v>0</v>
      </c>
      <c r="J399" s="74">
        <f>VLOOKUP(C399,[1]B.D!$A:$E,5,FALSE)</f>
        <v>1.7999999999999999E-2</v>
      </c>
      <c r="K399" s="63">
        <f t="shared" si="13"/>
        <v>0</v>
      </c>
    </row>
    <row r="400" spans="2:11">
      <c r="B400" s="70">
        <v>389</v>
      </c>
      <c r="C400" s="71" t="s">
        <v>723</v>
      </c>
      <c r="D400" s="71" t="str">
        <f>VLOOKUP(C400,[1]B.D!$A:$B,2,FALSE)</f>
        <v>SILICONA SILTEK SELSIL 280 gr - ANTHRACITA</v>
      </c>
      <c r="E400" s="71" t="str">
        <f>VLOOKUP(C400,[1]B.D!$A:$F,6,FALSE)</f>
        <v>GRAFITO</v>
      </c>
      <c r="F400" s="71" t="str">
        <f>VLOOKUP(C400,[1]B.D!$A:$G,7,FALSE)</f>
        <v>SILICONA</v>
      </c>
      <c r="G400" s="64">
        <v>3164.7000000000003</v>
      </c>
      <c r="H400" s="72"/>
      <c r="I400" s="73">
        <f t="shared" si="12"/>
        <v>0</v>
      </c>
      <c r="J400" s="74">
        <f>VLOOKUP(C400,[1]B.D!$A:$E,5,FALSE)</f>
        <v>0.49</v>
      </c>
      <c r="K400" s="63">
        <f t="shared" si="13"/>
        <v>0</v>
      </c>
    </row>
    <row r="401" spans="2:11">
      <c r="B401" s="70">
        <v>390</v>
      </c>
      <c r="C401" s="71" t="s">
        <v>724</v>
      </c>
      <c r="D401" s="71" t="str">
        <f>VLOOKUP(C401,[1]B.D!$A:$B,2,FALSE)</f>
        <v>SILICONA SILTEK SELSIL 280 gr - BLANCA</v>
      </c>
      <c r="E401" s="71" t="str">
        <f>VLOOKUP(C401,[1]B.D!$A:$F,6,FALSE)</f>
        <v>BLANCO</v>
      </c>
      <c r="F401" s="71" t="str">
        <f>VLOOKUP(C401,[1]B.D!$A:$G,7,FALSE)</f>
        <v>SILICONA</v>
      </c>
      <c r="G401" s="64">
        <v>2665.9500000000003</v>
      </c>
      <c r="H401" s="72"/>
      <c r="I401" s="73">
        <f t="shared" si="12"/>
        <v>0</v>
      </c>
      <c r="J401" s="74">
        <f>VLOOKUP(C401,[1]B.D!$A:$E,5,FALSE)</f>
        <v>0.49</v>
      </c>
      <c r="K401" s="63">
        <f t="shared" si="13"/>
        <v>0</v>
      </c>
    </row>
    <row r="402" spans="2:11">
      <c r="B402" s="70">
        <v>391</v>
      </c>
      <c r="C402" s="71" t="s">
        <v>725</v>
      </c>
      <c r="D402" s="71" t="str">
        <f>VLOOKUP(C402,[1]B.D!$A:$B,2,FALSE)</f>
        <v>SILICONA SILTEK SELSIL 280 gr - MARRON</v>
      </c>
      <c r="E402" s="71" t="str">
        <f>VLOOKUP(C402,[1]B.D!$A:$F,6,FALSE)</f>
        <v>MARRON</v>
      </c>
      <c r="F402" s="71" t="str">
        <f>VLOOKUP(C402,[1]B.D!$A:$G,7,FALSE)</f>
        <v>SILICONA</v>
      </c>
      <c r="G402" s="64">
        <v>3164.7000000000003</v>
      </c>
      <c r="H402" s="72"/>
      <c r="I402" s="73">
        <f t="shared" si="12"/>
        <v>0</v>
      </c>
      <c r="J402" s="74">
        <f>VLOOKUP(C402,[1]B.D!$A:$E,5,FALSE)</f>
        <v>0.49</v>
      </c>
      <c r="K402" s="63">
        <f t="shared" si="13"/>
        <v>0</v>
      </c>
    </row>
    <row r="403" spans="2:11">
      <c r="B403" s="70">
        <v>392</v>
      </c>
      <c r="C403" s="71" t="s">
        <v>726</v>
      </c>
      <c r="D403" s="71" t="str">
        <f>VLOOKUP(C403,[1]B.D!$A:$B,2,FALSE)</f>
        <v>SILICONA SILTEK SELSIL 280 gr - NEGRO</v>
      </c>
      <c r="E403" s="71" t="str">
        <f>VLOOKUP(C403,[1]B.D!$A:$F,6,FALSE)</f>
        <v>NEGRO</v>
      </c>
      <c r="F403" s="71" t="str">
        <f>VLOOKUP(C403,[1]B.D!$A:$G,7,FALSE)</f>
        <v>SILICONA</v>
      </c>
      <c r="G403" s="64">
        <v>2665.9500000000003</v>
      </c>
      <c r="H403" s="72"/>
      <c r="I403" s="73">
        <f t="shared" si="12"/>
        <v>0</v>
      </c>
      <c r="J403" s="74">
        <f>VLOOKUP(C403,[1]B.D!$A:$E,5,FALSE)</f>
        <v>0.49</v>
      </c>
      <c r="K403" s="63">
        <f t="shared" si="13"/>
        <v>0</v>
      </c>
    </row>
    <row r="404" spans="2:11">
      <c r="B404" s="70">
        <v>393</v>
      </c>
      <c r="C404" s="71" t="s">
        <v>727</v>
      </c>
      <c r="D404" s="71" t="str">
        <f>VLOOKUP(C404,[1]B.D!$A:$B,2,FALSE)</f>
        <v>SILICONA SILTEK SELSIL 280 gr - TOFFE</v>
      </c>
      <c r="E404" s="71" t="str">
        <f>VLOOKUP(C404,[1]B.D!$A:$F,6,FALSE)</f>
        <v>TOFFE</v>
      </c>
      <c r="F404" s="71" t="str">
        <f>VLOOKUP(C404,[1]B.D!$A:$G,7,FALSE)</f>
        <v>SILICONA</v>
      </c>
      <c r="G404" s="64">
        <v>3164.7000000000003</v>
      </c>
      <c r="H404" s="72"/>
      <c r="I404" s="73">
        <f t="shared" si="12"/>
        <v>0</v>
      </c>
      <c r="J404" s="74">
        <f>VLOOKUP(C404,[1]B.D!$A:$E,5,FALSE)</f>
        <v>0.49</v>
      </c>
      <c r="K404" s="63">
        <f t="shared" si="13"/>
        <v>0</v>
      </c>
    </row>
    <row r="405" spans="2:11">
      <c r="B405" s="70">
        <v>394</v>
      </c>
      <c r="C405" s="71" t="s">
        <v>728</v>
      </c>
      <c r="D405" s="71" t="str">
        <f>VLOOKUP(C405,[1]B.D!$A:$B,2,FALSE)</f>
        <v>TORNILLO AMO III 7,5 x 100</v>
      </c>
      <c r="E405" s="71" t="str">
        <f>VLOOKUP(C405,[1]B.D!$A:$F,6,FALSE)</f>
        <v>NATURAL</v>
      </c>
      <c r="F405" s="71" t="str">
        <f>VLOOKUP(C405,[1]B.D!$A:$G,7,FALSE)</f>
        <v>TORNILLO</v>
      </c>
      <c r="G405" s="64">
        <v>184.8</v>
      </c>
      <c r="H405" s="72"/>
      <c r="I405" s="73">
        <f t="shared" si="12"/>
        <v>0</v>
      </c>
      <c r="J405" s="74">
        <f>VLOOKUP(C405,[1]B.D!$A:$E,5,FALSE)</f>
        <v>0.02</v>
      </c>
      <c r="K405" s="63">
        <f t="shared" si="13"/>
        <v>0</v>
      </c>
    </row>
    <row r="406" spans="2:11">
      <c r="B406" s="70">
        <v>395</v>
      </c>
      <c r="C406" s="71" t="s">
        <v>893</v>
      </c>
      <c r="D406" s="71" t="str">
        <f>VLOOKUP(C406,[1]B.D!$A:$B,2,FALSE)</f>
        <v>TORNILLO AMO III 7,5 x 100 - SILTEK</v>
      </c>
      <c r="E406" s="71" t="str">
        <f>VLOOKUP(C406,[1]B.D!$A:$F,6,FALSE)</f>
        <v>NATURAL</v>
      </c>
      <c r="F406" s="71" t="str">
        <f>VLOOKUP(C406,[1]B.D!$A:$G,7,FALSE)</f>
        <v>TORNILLO</v>
      </c>
      <c r="G406" s="64">
        <v>192.15</v>
      </c>
      <c r="H406" s="72"/>
      <c r="I406" s="73">
        <f t="shared" si="12"/>
        <v>0</v>
      </c>
      <c r="J406" s="74">
        <f>VLOOKUP(C406,[1]B.D!$A:$E,5,FALSE)</f>
        <v>0.02</v>
      </c>
      <c r="K406" s="63">
        <f t="shared" si="13"/>
        <v>0</v>
      </c>
    </row>
    <row r="407" spans="2:11">
      <c r="B407" s="70">
        <v>396</v>
      </c>
      <c r="C407" s="71" t="s">
        <v>729</v>
      </c>
      <c r="D407" s="71" t="str">
        <f>VLOOKUP(C407,[1]B.D!$A:$B,2,FALSE)</f>
        <v>TORNILLO AMO III 7,5 x 120</v>
      </c>
      <c r="E407" s="71" t="str">
        <f>VLOOKUP(C407,[1]B.D!$A:$F,6,FALSE)</f>
        <v>NATURAL</v>
      </c>
      <c r="F407" s="71" t="str">
        <f>VLOOKUP(C407,[1]B.D!$A:$G,7,FALSE)</f>
        <v>TORNILLO</v>
      </c>
      <c r="G407" s="64">
        <v>203.70000000000002</v>
      </c>
      <c r="H407" s="72"/>
      <c r="I407" s="73">
        <f t="shared" si="12"/>
        <v>0</v>
      </c>
      <c r="J407" s="74">
        <f>VLOOKUP(C407,[1]B.D!$A:$E,5,FALSE)</f>
        <v>0.02</v>
      </c>
      <c r="K407" s="63">
        <f t="shared" si="13"/>
        <v>0</v>
      </c>
    </row>
    <row r="408" spans="2:11">
      <c r="B408" s="70">
        <v>397</v>
      </c>
      <c r="C408" s="71" t="s">
        <v>730</v>
      </c>
      <c r="D408" s="71" t="str">
        <f>VLOOKUP(C408,[1]B.D!$A:$B,2,FALSE)</f>
        <v>TORNILLO AMO III 7,5 x 80</v>
      </c>
      <c r="E408" s="71" t="str">
        <f>VLOOKUP(C408,[1]B.D!$A:$F,6,FALSE)</f>
        <v>NATURAL</v>
      </c>
      <c r="F408" s="71" t="str">
        <f>VLOOKUP(C408,[1]B.D!$A:$G,7,FALSE)</f>
        <v>TORNILLO</v>
      </c>
      <c r="G408" s="64">
        <v>116.55000000000001</v>
      </c>
      <c r="H408" s="72"/>
      <c r="I408" s="73">
        <f t="shared" si="12"/>
        <v>0</v>
      </c>
      <c r="J408" s="74">
        <f>VLOOKUP(C408,[1]B.D!$A:$E,5,FALSE)</f>
        <v>0.01</v>
      </c>
      <c r="K408" s="63">
        <f t="shared" si="13"/>
        <v>0</v>
      </c>
    </row>
    <row r="409" spans="2:11">
      <c r="B409" s="70">
        <v>398</v>
      </c>
      <c r="C409" s="71" t="s">
        <v>894</v>
      </c>
      <c r="D409" s="71" t="str">
        <f>VLOOKUP(C409,[1]B.D!$A:$B,2,FALSE)</f>
        <v>TORNILLO AMO III 7,5 x 80 - SILTEK</v>
      </c>
      <c r="E409" s="71" t="str">
        <f>VLOOKUP(C409,[1]B.D!$A:$F,6,FALSE)</f>
        <v>NATURAL</v>
      </c>
      <c r="F409" s="71" t="str">
        <f>VLOOKUP(C409,[1]B.D!$A:$G,7,FALSE)</f>
        <v>TORNILLO</v>
      </c>
      <c r="G409" s="64">
        <v>121.80000000000001</v>
      </c>
      <c r="H409" s="72"/>
      <c r="I409" s="73">
        <f t="shared" si="12"/>
        <v>0</v>
      </c>
      <c r="J409" s="74">
        <f>VLOOKUP(C409,[1]B.D!$A:$E,5,FALSE)</f>
        <v>0.01</v>
      </c>
      <c r="K409" s="63">
        <f t="shared" si="13"/>
        <v>0</v>
      </c>
    </row>
    <row r="410" spans="2:11">
      <c r="B410" s="70">
        <v>399</v>
      </c>
      <c r="C410" s="71" t="s">
        <v>731</v>
      </c>
      <c r="D410" s="71" t="str">
        <f>VLOOKUP(C410,[1]B.D!$A:$B,2,FALSE)</f>
        <v>TORNILLO AUTOPERFORANTE 3,9 x 13</v>
      </c>
      <c r="E410" s="71" t="str">
        <f>VLOOKUP(C410,[1]B.D!$A:$F,6,FALSE)</f>
        <v>NATURAL</v>
      </c>
      <c r="F410" s="71" t="str">
        <f>VLOOKUP(C410,[1]B.D!$A:$G,7,FALSE)</f>
        <v>TORNILLO</v>
      </c>
      <c r="G410" s="64">
        <v>17.850000000000001</v>
      </c>
      <c r="H410" s="72"/>
      <c r="I410" s="73">
        <f t="shared" si="12"/>
        <v>0</v>
      </c>
      <c r="J410" s="74">
        <f>VLOOKUP(C410,[1]B.D!$A:$E,5,FALSE)</f>
        <v>8.0000000000000004E-4</v>
      </c>
      <c r="K410" s="63">
        <f t="shared" si="13"/>
        <v>0</v>
      </c>
    </row>
    <row r="411" spans="2:11">
      <c r="B411" s="70">
        <v>400</v>
      </c>
      <c r="C411" s="71" t="s">
        <v>895</v>
      </c>
      <c r="D411" s="71" t="str">
        <f>VLOOKUP(C411,[1]B.D!$A:$B,2,FALSE)</f>
        <v>TORNILLO AUTOPERFORANTE 3,9 x 13 - SILTEK</v>
      </c>
      <c r="E411" s="71" t="str">
        <f>VLOOKUP(C411,[1]B.D!$A:$F,6,FALSE)</f>
        <v>NATURAL</v>
      </c>
      <c r="F411" s="71" t="str">
        <f>VLOOKUP(C411,[1]B.D!$A:$G,7,FALSE)</f>
        <v>TORNILLO</v>
      </c>
      <c r="G411" s="64">
        <v>17.850000000000001</v>
      </c>
      <c r="H411" s="72"/>
      <c r="I411" s="73">
        <f t="shared" si="12"/>
        <v>0</v>
      </c>
      <c r="J411" s="74">
        <f>VLOOKUP(C411,[1]B.D!$A:$E,5,FALSE)</f>
        <v>8.0000000000000004E-4</v>
      </c>
      <c r="K411" s="63">
        <f t="shared" si="13"/>
        <v>0</v>
      </c>
    </row>
    <row r="412" spans="2:11">
      <c r="B412" s="70">
        <v>401</v>
      </c>
      <c r="C412" s="71" t="s">
        <v>732</v>
      </c>
      <c r="D412" s="71" t="str">
        <f>VLOOKUP(C412,[1]B.D!$A:$B,2,FALSE)</f>
        <v>TORNILLO AUTOPERFORANTE 3,9 x 16</v>
      </c>
      <c r="E412" s="71" t="str">
        <f>VLOOKUP(C412,[1]B.D!$A:$F,6,FALSE)</f>
        <v>NATURAL</v>
      </c>
      <c r="F412" s="71" t="str">
        <f>VLOOKUP(C412,[1]B.D!$A:$G,7,FALSE)</f>
        <v>TORNILLO</v>
      </c>
      <c r="G412" s="64">
        <v>19.95</v>
      </c>
      <c r="H412" s="72"/>
      <c r="I412" s="73">
        <f t="shared" si="12"/>
        <v>0</v>
      </c>
      <c r="J412" s="74">
        <f>VLOOKUP(C412,[1]B.D!$A:$E,5,FALSE)</f>
        <v>1E-3</v>
      </c>
      <c r="K412" s="63">
        <f t="shared" si="13"/>
        <v>0</v>
      </c>
    </row>
    <row r="413" spans="2:11">
      <c r="B413" s="70">
        <v>402</v>
      </c>
      <c r="C413" s="71" t="s">
        <v>896</v>
      </c>
      <c r="D413" s="71" t="str">
        <f>VLOOKUP(C413,[1]B.D!$A:$B,2,FALSE)</f>
        <v>TORNILLO AUTOPERFORANTE 3,9 x 16 - SILTEK</v>
      </c>
      <c r="E413" s="71" t="str">
        <f>VLOOKUP(C413,[1]B.D!$A:$F,6,FALSE)</f>
        <v>NATURAL</v>
      </c>
      <c r="F413" s="71" t="str">
        <f>VLOOKUP(C413,[1]B.D!$A:$G,7,FALSE)</f>
        <v>TORNILLO</v>
      </c>
      <c r="G413" s="64">
        <v>21</v>
      </c>
      <c r="H413" s="72"/>
      <c r="I413" s="73">
        <f t="shared" si="12"/>
        <v>0</v>
      </c>
      <c r="J413" s="74">
        <f>VLOOKUP(C413,[1]B.D!$A:$E,5,FALSE)</f>
        <v>1E-3</v>
      </c>
      <c r="K413" s="63">
        <f t="shared" si="13"/>
        <v>0</v>
      </c>
    </row>
    <row r="414" spans="2:11">
      <c r="B414" s="70">
        <v>403</v>
      </c>
      <c r="C414" s="77" t="s">
        <v>733</v>
      </c>
      <c r="D414" s="71" t="str">
        <f>VLOOKUP(C414,[1]B.D!$A:$B,2,FALSE)</f>
        <v>TORNILLO AUTOPERFORANTE 3,9 x 19</v>
      </c>
      <c r="E414" s="71" t="str">
        <f>VLOOKUP(C414,[1]B.D!$A:$F,6,FALSE)</f>
        <v>NATURAL</v>
      </c>
      <c r="F414" s="71" t="str">
        <f>VLOOKUP(C414,[1]B.D!$A:$G,7,FALSE)</f>
        <v>TORNILLO</v>
      </c>
      <c r="G414" s="64">
        <v>21</v>
      </c>
      <c r="H414" s="72"/>
      <c r="I414" s="73">
        <f t="shared" si="12"/>
        <v>0</v>
      </c>
      <c r="J414" s="74">
        <f>VLOOKUP(C414,[1]B.D!$A:$E,5,FALSE)</f>
        <v>1.2999999999999999E-3</v>
      </c>
      <c r="K414" s="63">
        <f t="shared" si="13"/>
        <v>0</v>
      </c>
    </row>
    <row r="415" spans="2:11">
      <c r="B415" s="70">
        <v>404</v>
      </c>
      <c r="C415" s="71" t="s">
        <v>897</v>
      </c>
      <c r="D415" s="71" t="str">
        <f>VLOOKUP(C415,[1]B.D!$A:$B,2,FALSE)</f>
        <v>TORNILLO AUTOPERFORANTE 3,9 x 19 - SILTEK</v>
      </c>
      <c r="E415" s="71" t="str">
        <f>VLOOKUP(C415,[1]B.D!$A:$F,6,FALSE)</f>
        <v>NATURAL</v>
      </c>
      <c r="F415" s="71" t="str">
        <f>VLOOKUP(C415,[1]B.D!$A:$G,7,FALSE)</f>
        <v>TORNILLO</v>
      </c>
      <c r="G415" s="64">
        <v>21</v>
      </c>
      <c r="H415" s="72"/>
      <c r="I415" s="73">
        <f t="shared" si="12"/>
        <v>0</v>
      </c>
      <c r="J415" s="74">
        <f>VLOOKUP(C415,[1]B.D!$A:$E,5,FALSE)</f>
        <v>1.2999999999999999E-3</v>
      </c>
      <c r="K415" s="63">
        <f t="shared" si="13"/>
        <v>0</v>
      </c>
    </row>
    <row r="416" spans="2:11">
      <c r="B416" s="70">
        <v>405</v>
      </c>
      <c r="C416" s="71" t="s">
        <v>734</v>
      </c>
      <c r="D416" s="71" t="str">
        <f>VLOOKUP(C416,[1]B.D!$A:$B,2,FALSE)</f>
        <v>TORNILLO AUTOPERFORANTE 3,9 x 25</v>
      </c>
      <c r="E416" s="71" t="str">
        <f>VLOOKUP(C416,[1]B.D!$A:$F,6,FALSE)</f>
        <v>NATURAL</v>
      </c>
      <c r="F416" s="71" t="str">
        <f>VLOOKUP(C416,[1]B.D!$A:$G,7,FALSE)</f>
        <v>TORNILLO</v>
      </c>
      <c r="G416" s="64">
        <v>26.25</v>
      </c>
      <c r="H416" s="72"/>
      <c r="I416" s="73">
        <f t="shared" si="12"/>
        <v>0</v>
      </c>
      <c r="J416" s="74">
        <f>VLOOKUP(C416,[1]B.D!$A:$E,5,FALSE)</f>
        <v>1.6000000000000001E-3</v>
      </c>
      <c r="K416" s="63">
        <f t="shared" si="13"/>
        <v>0</v>
      </c>
    </row>
    <row r="417" spans="2:11">
      <c r="B417" s="70">
        <v>406</v>
      </c>
      <c r="C417" s="71" t="s">
        <v>898</v>
      </c>
      <c r="D417" s="71" t="str">
        <f>VLOOKUP(C417,[1]B.D!$A:$B,2,FALSE)</f>
        <v>TORNILLO AUTOPERFORANTE 3,9 x 25 - SILTEK</v>
      </c>
      <c r="E417" s="71" t="str">
        <f>VLOOKUP(C417,[1]B.D!$A:$F,6,FALSE)</f>
        <v>NATURAL</v>
      </c>
      <c r="F417" s="71" t="str">
        <f>VLOOKUP(C417,[1]B.D!$A:$G,7,FALSE)</f>
        <v>TORNILLO</v>
      </c>
      <c r="G417" s="64">
        <v>29.400000000000002</v>
      </c>
      <c r="H417" s="72"/>
      <c r="I417" s="73">
        <f t="shared" si="12"/>
        <v>0</v>
      </c>
      <c r="J417" s="74">
        <f>VLOOKUP(C417,[1]B.D!$A:$E,5,FALSE)</f>
        <v>1.6000000000000001E-3</v>
      </c>
      <c r="K417" s="63">
        <f t="shared" si="13"/>
        <v>0</v>
      </c>
    </row>
    <row r="418" spans="2:11">
      <c r="B418" s="70">
        <v>407</v>
      </c>
      <c r="C418" s="71" t="s">
        <v>735</v>
      </c>
      <c r="D418" s="71" t="str">
        <f>VLOOKUP(C418,[1]B.D!$A:$B,2,FALSE)</f>
        <v>TORNILLO AUTOPERFORANTE 4 x 75- MA</v>
      </c>
      <c r="E418" s="71" t="str">
        <f>VLOOKUP(C418,[1]B.D!$A:$F,6,FALSE)</f>
        <v>NATURAL</v>
      </c>
      <c r="F418" s="71" t="str">
        <f>VLOOKUP(C418,[1]B.D!$A:$G,7,FALSE)</f>
        <v>TORNILLO</v>
      </c>
      <c r="G418" s="64">
        <v>70.350000000000009</v>
      </c>
      <c r="H418" s="72"/>
      <c r="I418" s="73">
        <f t="shared" si="12"/>
        <v>0</v>
      </c>
      <c r="J418" s="74">
        <f>VLOOKUP(C418,[1]B.D!$A:$E,5,FALSE)</f>
        <v>4.7000000000000002E-3</v>
      </c>
      <c r="K418" s="63">
        <f t="shared" si="13"/>
        <v>0</v>
      </c>
    </row>
    <row r="419" spans="2:11">
      <c r="B419" s="70">
        <v>408</v>
      </c>
      <c r="C419" s="77" t="s">
        <v>736</v>
      </c>
      <c r="D419" s="71" t="str">
        <f>VLOOKUP(C419,[1]B.D!$A:$B,2,FALSE)</f>
        <v>TORNILLO AUTOPERFORANTE 4,2 x 100 - MA</v>
      </c>
      <c r="E419" s="71" t="str">
        <f>VLOOKUP(C419,[1]B.D!$A:$F,6,FALSE)</f>
        <v>NATURAL</v>
      </c>
      <c r="F419" s="71" t="str">
        <f>VLOOKUP(C419,[1]B.D!$A:$G,7,FALSE)</f>
        <v>TORNILLO</v>
      </c>
      <c r="G419" s="64">
        <v>127.05000000000001</v>
      </c>
      <c r="H419" s="72"/>
      <c r="I419" s="73">
        <f t="shared" si="12"/>
        <v>0</v>
      </c>
      <c r="J419" s="74">
        <f>VLOOKUP(C419,[1]B.D!$A:$E,5,FALSE)</f>
        <v>1.2999999999999999E-3</v>
      </c>
      <c r="K419" s="63">
        <f t="shared" si="13"/>
        <v>0</v>
      </c>
    </row>
    <row r="420" spans="2:11">
      <c r="B420" s="70">
        <v>409</v>
      </c>
      <c r="C420" s="79" t="s">
        <v>737</v>
      </c>
      <c r="D420" s="71" t="str">
        <f>VLOOKUP(C420,[1]B.D!$A:$B,2,FALSE)</f>
        <v>TORNILLO AUTOPERFORANTE 4,2 x 50</v>
      </c>
      <c r="E420" s="71" t="str">
        <f>VLOOKUP(C420,[1]B.D!$A:$F,6,FALSE)</f>
        <v>NATURAL</v>
      </c>
      <c r="F420" s="71" t="str">
        <f>VLOOKUP(C420,[1]B.D!$A:$G,7,FALSE)</f>
        <v>TORNILLO</v>
      </c>
      <c r="G420" s="64">
        <v>116.55000000000001</v>
      </c>
      <c r="H420" s="72"/>
      <c r="I420" s="73">
        <f t="shared" si="12"/>
        <v>0</v>
      </c>
      <c r="J420" s="74">
        <f>VLOOKUP(C420,[1]B.D!$A:$E,5,FALSE)</f>
        <v>4.8999999999999998E-3</v>
      </c>
      <c r="K420" s="63">
        <f t="shared" si="13"/>
        <v>0</v>
      </c>
    </row>
    <row r="421" spans="2:11">
      <c r="B421" s="70">
        <v>410</v>
      </c>
      <c r="C421" s="71" t="s">
        <v>738</v>
      </c>
      <c r="D421" s="71" t="str">
        <f>VLOOKUP(C421,[1]B.D!$A:$B,2,FALSE)</f>
        <v>TORNILLO AUTOPERFORNATE 4,2 x 80</v>
      </c>
      <c r="E421" s="71" t="str">
        <f>VLOOKUP(C421,[1]B.D!$A:$F,6,FALSE)</f>
        <v>NATURAL</v>
      </c>
      <c r="F421" s="71" t="str">
        <f>VLOOKUP(C421,[1]B.D!$A:$G,7,FALSE)</f>
        <v>TORNILLO</v>
      </c>
      <c r="G421" s="64">
        <v>73.5</v>
      </c>
      <c r="H421" s="72"/>
      <c r="I421" s="73">
        <f t="shared" si="12"/>
        <v>0</v>
      </c>
      <c r="J421" s="74">
        <f>VLOOKUP(C421,[1]B.D!$A:$E,5,FALSE)</f>
        <v>0.01</v>
      </c>
      <c r="K421" s="63">
        <f t="shared" si="13"/>
        <v>0</v>
      </c>
    </row>
    <row r="422" spans="2:11">
      <c r="B422" s="70">
        <v>411</v>
      </c>
      <c r="C422" s="71" t="s">
        <v>739</v>
      </c>
      <c r="D422" s="71" t="str">
        <f>VLOOKUP(C422,[1]B.D!$A:$B,2,FALSE)</f>
        <v>TORNILLO CABEZA DE BARRIL 4 x 9,8 - MA</v>
      </c>
      <c r="E422" s="71" t="str">
        <f>VLOOKUP(C422,[1]B.D!$A:$F,6,FALSE)</f>
        <v>NATURAL</v>
      </c>
      <c r="F422" s="71" t="str">
        <f>VLOOKUP(C422,[1]B.D!$A:$G,7,FALSE)</f>
        <v>TORNILLO</v>
      </c>
      <c r="G422" s="64">
        <v>215.25</v>
      </c>
      <c r="H422" s="72"/>
      <c r="I422" s="73">
        <f t="shared" si="12"/>
        <v>0</v>
      </c>
      <c r="J422" s="74">
        <f>VLOOKUP(C422,[1]B.D!$A:$E,5,FALSE)</f>
        <v>2.3999999999999998E-3</v>
      </c>
      <c r="K422" s="63">
        <f t="shared" si="13"/>
        <v>0</v>
      </c>
    </row>
    <row r="423" spans="2:11">
      <c r="B423" s="70">
        <v>412</v>
      </c>
      <c r="C423" s="71" t="s">
        <v>740</v>
      </c>
      <c r="D423" s="71" t="str">
        <f>VLOOKUP(C423,[1]B.D!$A:$B,2,FALSE)</f>
        <v>TORNILLO MILIMETRICO M5 x 55 -MA</v>
      </c>
      <c r="E423" s="71" t="str">
        <f>VLOOKUP(C423,[1]B.D!$A:$F,6,FALSE)</f>
        <v>NATURAL</v>
      </c>
      <c r="F423" s="71" t="str">
        <f>VLOOKUP(C423,[1]B.D!$A:$G,7,FALSE)</f>
        <v>TORNILLO</v>
      </c>
      <c r="G423" s="64">
        <v>195.3</v>
      </c>
      <c r="H423" s="72"/>
      <c r="I423" s="73">
        <f t="shared" si="12"/>
        <v>0</v>
      </c>
      <c r="J423" s="74">
        <f>VLOOKUP(C423,[1]B.D!$A:$E,5,FALSE)</f>
        <v>6.9999999999999999E-4</v>
      </c>
      <c r="K423" s="63">
        <f t="shared" si="13"/>
        <v>0</v>
      </c>
    </row>
    <row r="424" spans="2:11">
      <c r="B424" s="70">
        <v>413</v>
      </c>
      <c r="C424" s="71" t="s">
        <v>741</v>
      </c>
      <c r="D424" s="71" t="str">
        <f>VLOOKUP(C424,[1]B.D!$A:$B,2,FALSE)</f>
        <v>TORNILLO PUNTA AGUJA 4,2 x 20 - MA</v>
      </c>
      <c r="E424" s="71" t="str">
        <f>VLOOKUP(C424,[1]B.D!$A:$F,6,FALSE)</f>
        <v>NATURAL</v>
      </c>
      <c r="F424" s="71" t="str">
        <f>VLOOKUP(C424,[1]B.D!$A:$G,7,FALSE)</f>
        <v>TORNILLO</v>
      </c>
      <c r="G424" s="64">
        <v>23.1</v>
      </c>
      <c r="H424" s="72"/>
      <c r="I424" s="73">
        <f t="shared" si="12"/>
        <v>0</v>
      </c>
      <c r="J424" s="74">
        <f>VLOOKUP(C424,[1]B.D!$A:$E,5,FALSE)</f>
        <v>1.1000000000000001E-3</v>
      </c>
      <c r="K424" s="63">
        <f t="shared" si="13"/>
        <v>0</v>
      </c>
    </row>
    <row r="425" spans="2:11">
      <c r="B425" s="70">
        <v>414</v>
      </c>
      <c r="C425" s="71" t="s">
        <v>742</v>
      </c>
      <c r="D425" s="71" t="str">
        <f>VLOOKUP(C425,[1]B.D!$A:$B,2,FALSE)</f>
        <v>TORNILLO PUNTA AGUJA 4,2 x 25</v>
      </c>
      <c r="E425" s="71" t="str">
        <f>VLOOKUP(C425,[1]B.D!$A:$F,6,FALSE)</f>
        <v>NATURAL</v>
      </c>
      <c r="F425" s="71" t="str">
        <f>VLOOKUP(C425,[1]B.D!$A:$G,7,FALSE)</f>
        <v>TORNILLO</v>
      </c>
      <c r="G425" s="64">
        <v>19.95</v>
      </c>
      <c r="H425" s="72"/>
      <c r="I425" s="73">
        <f t="shared" si="12"/>
        <v>0</v>
      </c>
      <c r="J425" s="74">
        <f>VLOOKUP(C425,[1]B.D!$A:$E,5,FALSE)</f>
        <v>1.6000000000000001E-3</v>
      </c>
      <c r="K425" s="63">
        <f t="shared" si="13"/>
        <v>0</v>
      </c>
    </row>
    <row r="426" spans="2:11">
      <c r="B426" s="70">
        <v>415</v>
      </c>
      <c r="C426" s="75" t="s">
        <v>952</v>
      </c>
      <c r="D426" s="71" t="str">
        <f>VLOOKUP(C426,[1]B.D!$A:$B,2,FALSE)</f>
        <v>TORNILLO PUNTA AGUJA 4,2 x 25 - SILTEK</v>
      </c>
      <c r="E426" s="71" t="str">
        <f>VLOOKUP(C426,[1]B.D!$A:$F,6,FALSE)</f>
        <v>NATURAL</v>
      </c>
      <c r="F426" s="71" t="str">
        <f>VLOOKUP(C426,[1]B.D!$A:$G,7,FALSE)</f>
        <v>TORNILLO</v>
      </c>
      <c r="G426" s="64">
        <v>21</v>
      </c>
      <c r="H426" s="76"/>
      <c r="I426" s="73">
        <f t="shared" si="12"/>
        <v>0</v>
      </c>
      <c r="J426" s="74">
        <f>VLOOKUP(C426,[1]B.D!$A:$E,5,FALSE)</f>
        <v>1.6000000000000001E-3</v>
      </c>
      <c r="K426" s="63">
        <f t="shared" si="13"/>
        <v>0</v>
      </c>
    </row>
    <row r="427" spans="2:11">
      <c r="B427" s="70">
        <v>416</v>
      </c>
      <c r="C427" s="71" t="s">
        <v>743</v>
      </c>
      <c r="D427" s="71" t="str">
        <f>VLOOKUP(C427,[1]B.D!$A:$B,2,FALSE)</f>
        <v>TORNILLO PUNTA AGUJA 4,2 x 38</v>
      </c>
      <c r="E427" s="71" t="str">
        <f>VLOOKUP(C427,[1]B.D!$A:$F,6,FALSE)</f>
        <v>NATURAL</v>
      </c>
      <c r="F427" s="71" t="str">
        <f>VLOOKUP(C427,[1]B.D!$A:$G,7,FALSE)</f>
        <v>TORNILLO</v>
      </c>
      <c r="G427" s="64">
        <v>38.85</v>
      </c>
      <c r="H427" s="72"/>
      <c r="I427" s="73">
        <f t="shared" si="12"/>
        <v>0</v>
      </c>
      <c r="J427" s="74">
        <f>VLOOKUP(C427,[1]B.D!$A:$E,5,FALSE)</f>
        <v>2.3999999999999998E-3</v>
      </c>
      <c r="K427" s="63">
        <f t="shared" si="13"/>
        <v>0</v>
      </c>
    </row>
    <row r="428" spans="2:11">
      <c r="B428" s="70">
        <v>417</v>
      </c>
      <c r="C428" s="71" t="s">
        <v>899</v>
      </c>
      <c r="D428" s="71" t="str">
        <f>VLOOKUP(C428,[1]B.D!$A:$B,2,FALSE)</f>
        <v>TORNILLO PUNTA AGUJA 4,2 x 38 - SILTEK</v>
      </c>
      <c r="E428" s="71" t="str">
        <f>VLOOKUP(C428,[1]B.D!$A:$F,6,FALSE)</f>
        <v>NATURAL</v>
      </c>
      <c r="F428" s="71" t="str">
        <f>VLOOKUP(C428,[1]B.D!$A:$G,7,FALSE)</f>
        <v>TORNILLO</v>
      </c>
      <c r="G428" s="64">
        <v>39.9</v>
      </c>
      <c r="H428" s="72"/>
      <c r="I428" s="73">
        <f t="shared" si="12"/>
        <v>0</v>
      </c>
      <c r="J428" s="74">
        <f>VLOOKUP(C428,[1]B.D!$A:$E,5,FALSE)</f>
        <v>2.3999999999999998E-3</v>
      </c>
      <c r="K428" s="63">
        <f t="shared" si="13"/>
        <v>0</v>
      </c>
    </row>
    <row r="429" spans="2:11">
      <c r="B429" s="70">
        <v>418</v>
      </c>
      <c r="C429" s="71" t="s">
        <v>744</v>
      </c>
      <c r="D429" s="71" t="str">
        <f>VLOOKUP(C429,[1]B.D!$A:$B,2,FALSE)</f>
        <v>TORNILLO PUNTA AGUJA 4,2 x 75 - MA</v>
      </c>
      <c r="E429" s="71" t="str">
        <f>VLOOKUP(C429,[1]B.D!$A:$F,6,FALSE)</f>
        <v>NATURAL</v>
      </c>
      <c r="F429" s="71" t="str">
        <f>VLOOKUP(C429,[1]B.D!$A:$G,7,FALSE)</f>
        <v>TORNILLO</v>
      </c>
      <c r="G429" s="64">
        <v>51.45</v>
      </c>
      <c r="H429" s="72"/>
      <c r="I429" s="73">
        <f t="shared" si="12"/>
        <v>0</v>
      </c>
      <c r="J429" s="74">
        <f>VLOOKUP(C429,[1]B.D!$A:$E,5,FALSE)</f>
        <v>0.01</v>
      </c>
      <c r="K429" s="63">
        <f t="shared" si="13"/>
        <v>0</v>
      </c>
    </row>
    <row r="430" spans="2:11">
      <c r="B430" s="70">
        <v>419</v>
      </c>
      <c r="C430" s="71" t="s">
        <v>745</v>
      </c>
      <c r="D430" s="71" t="str">
        <f>VLOOKUP(C430,[1]B.D!$A:$B,2,FALSE)</f>
        <v>TORNILLO PUNTA AGUJA 5 x 80</v>
      </c>
      <c r="E430" s="71" t="str">
        <f>VLOOKUP(C430,[1]B.D!$A:$F,6,FALSE)</f>
        <v>NATURAL</v>
      </c>
      <c r="F430" s="71" t="str">
        <f>VLOOKUP(C430,[1]B.D!$A:$G,7,FALSE)</f>
        <v>TORNILLO</v>
      </c>
      <c r="G430" s="64">
        <v>49.35</v>
      </c>
      <c r="H430" s="72"/>
      <c r="I430" s="73">
        <f t="shared" si="12"/>
        <v>0</v>
      </c>
      <c r="J430" s="74">
        <f>VLOOKUP(C430,[1]B.D!$A:$E,5,FALSE)</f>
        <v>0.01</v>
      </c>
      <c r="K430" s="63">
        <f t="shared" si="13"/>
        <v>0</v>
      </c>
    </row>
    <row r="431" spans="2:11">
      <c r="B431" s="25"/>
      <c r="D431" s="23"/>
      <c r="E431" s="31"/>
      <c r="F431" s="31"/>
      <c r="G431" s="66"/>
      <c r="H431" s="67"/>
      <c r="I431" s="68"/>
      <c r="J431" s="69"/>
      <c r="K431" s="69"/>
    </row>
    <row r="434" spans="5:9">
      <c r="E434"/>
      <c r="F434"/>
      <c r="G434" s="26"/>
      <c r="H434" s="33"/>
      <c r="I434" s="27"/>
    </row>
    <row r="435" spans="5:9">
      <c r="E435"/>
      <c r="F435"/>
      <c r="G435" s="26"/>
      <c r="H435" s="33"/>
      <c r="I435" s="27"/>
    </row>
    <row r="436" spans="5:9" ht="15.75">
      <c r="E436"/>
      <c r="F436" s="103" t="s">
        <v>399</v>
      </c>
      <c r="G436" s="104"/>
      <c r="H436" s="21"/>
      <c r="I436" s="65">
        <f>SUM($I14:$I430)</f>
        <v>0</v>
      </c>
    </row>
    <row r="437" spans="5:9" ht="15.75">
      <c r="E437"/>
      <c r="F437" s="42" t="s">
        <v>400</v>
      </c>
      <c r="G437" s="20">
        <v>0.19</v>
      </c>
      <c r="H437" s="21"/>
      <c r="I437" s="65">
        <f>$I436*$G437</f>
        <v>0</v>
      </c>
    </row>
    <row r="438" spans="5:9" ht="15.75">
      <c r="E438"/>
      <c r="F438" s="103" t="s">
        <v>401</v>
      </c>
      <c r="G438" s="104"/>
      <c r="H438" s="21"/>
      <c r="I438" s="65">
        <f>$I436+$I437</f>
        <v>0</v>
      </c>
    </row>
    <row r="439" spans="5:9" ht="15.75" thickBot="1"/>
    <row r="440" spans="5:9">
      <c r="F440" s="97" t="s">
        <v>0</v>
      </c>
      <c r="G440" s="98"/>
      <c r="H440" s="115">
        <f>SUM($K$14:$K$430)</f>
        <v>0</v>
      </c>
    </row>
    <row r="441" spans="5:9" ht="15.75" thickBot="1">
      <c r="F441" s="99"/>
      <c r="G441" s="100"/>
      <c r="H441" s="116"/>
    </row>
    <row r="698" spans="9:11">
      <c r="I698" s="4"/>
      <c r="J698" s="4"/>
      <c r="K698" s="4"/>
    </row>
    <row r="699" spans="9:11">
      <c r="I699" s="4"/>
      <c r="J699" s="4"/>
      <c r="K699" s="4"/>
    </row>
    <row r="700" spans="9:11">
      <c r="I700" s="4"/>
      <c r="J700" s="4"/>
      <c r="K700" s="4"/>
    </row>
    <row r="701" spans="9:11">
      <c r="I701" s="4"/>
      <c r="J701" s="4"/>
      <c r="K701" s="4"/>
    </row>
    <row r="702" spans="9:11">
      <c r="I702" s="4"/>
      <c r="J702" s="4"/>
      <c r="K702" s="4"/>
    </row>
    <row r="703" spans="9:11">
      <c r="I703" s="4"/>
      <c r="J703" s="4"/>
      <c r="K703" s="4"/>
    </row>
    <row r="704" spans="9:11">
      <c r="I704" s="4"/>
      <c r="J704" s="4"/>
      <c r="K704" s="4"/>
    </row>
    <row r="705" spans="9:11">
      <c r="I705" s="4"/>
      <c r="J705" s="4"/>
      <c r="K705" s="4"/>
    </row>
    <row r="706" spans="9:11">
      <c r="I706" s="4"/>
      <c r="J706" s="4"/>
      <c r="K706" s="4"/>
    </row>
    <row r="707" spans="9:11">
      <c r="I707" s="4"/>
      <c r="J707" s="4"/>
      <c r="K707" s="4"/>
    </row>
    <row r="708" spans="9:11">
      <c r="I708" s="4"/>
      <c r="J708" s="4"/>
      <c r="K708" s="4"/>
    </row>
    <row r="709" spans="9:11">
      <c r="I709" s="4"/>
      <c r="J709" s="4"/>
      <c r="K709" s="4"/>
    </row>
    <row r="710" spans="9:11">
      <c r="I710" s="4"/>
      <c r="J710" s="4"/>
      <c r="K710" s="4"/>
    </row>
    <row r="711" spans="9:11">
      <c r="I711" s="4"/>
      <c r="J711" s="4"/>
      <c r="K711" s="4"/>
    </row>
    <row r="712" spans="9:11">
      <c r="I712" s="4"/>
      <c r="J712" s="4"/>
      <c r="K712" s="4"/>
    </row>
    <row r="713" spans="9:11">
      <c r="I713" s="4"/>
      <c r="J713" s="4"/>
      <c r="K713" s="4"/>
    </row>
    <row r="714" spans="9:11">
      <c r="I714" s="4"/>
      <c r="J714" s="4"/>
      <c r="K714" s="4"/>
    </row>
    <row r="715" spans="9:11">
      <c r="I715" s="4"/>
      <c r="J715" s="4"/>
      <c r="K715" s="4"/>
    </row>
    <row r="716" spans="9:11">
      <c r="I716" s="4"/>
      <c r="J716" s="4"/>
      <c r="K716" s="4"/>
    </row>
    <row r="717" spans="9:11">
      <c r="I717" s="4"/>
      <c r="J717" s="4"/>
      <c r="K717" s="4"/>
    </row>
    <row r="718" spans="9:11">
      <c r="I718" s="4"/>
      <c r="J718" s="4"/>
      <c r="K718" s="4"/>
    </row>
    <row r="719" spans="9:11">
      <c r="I719" s="4"/>
      <c r="J719" s="4"/>
      <c r="K719" s="4"/>
    </row>
    <row r="720" spans="9:11">
      <c r="I720" s="4"/>
      <c r="J720" s="4"/>
      <c r="K720" s="4"/>
    </row>
    <row r="721" spans="9:11">
      <c r="I721" s="4"/>
      <c r="J721" s="4"/>
      <c r="K721" s="4"/>
    </row>
    <row r="722" spans="9:11">
      <c r="I722" s="4"/>
      <c r="J722" s="4"/>
      <c r="K722" s="4"/>
    </row>
    <row r="723" spans="9:11">
      <c r="I723" s="4"/>
      <c r="J723" s="4"/>
      <c r="K723" s="4"/>
    </row>
    <row r="724" spans="9:11">
      <c r="I724" s="4"/>
      <c r="J724" s="4"/>
      <c r="K724" s="4"/>
    </row>
    <row r="725" spans="9:11">
      <c r="I725" s="4"/>
      <c r="J725" s="4"/>
      <c r="K725" s="4"/>
    </row>
    <row r="726" spans="9:11">
      <c r="I726" s="4"/>
      <c r="J726" s="4"/>
      <c r="K726" s="4"/>
    </row>
    <row r="727" spans="9:11">
      <c r="I727" s="4"/>
      <c r="J727" s="4"/>
      <c r="K727" s="4"/>
    </row>
    <row r="728" spans="9:11">
      <c r="I728" s="4"/>
      <c r="J728" s="4"/>
      <c r="K728" s="4"/>
    </row>
    <row r="729" spans="9:11">
      <c r="I729" s="4"/>
      <c r="J729" s="4"/>
      <c r="K729" s="4"/>
    </row>
    <row r="730" spans="9:11">
      <c r="I730" s="4"/>
      <c r="J730" s="4"/>
      <c r="K730" s="4"/>
    </row>
    <row r="731" spans="9:11">
      <c r="I731" s="4"/>
      <c r="J731" s="4"/>
      <c r="K731" s="4"/>
    </row>
    <row r="732" spans="9:11">
      <c r="I732" s="4"/>
      <c r="J732" s="4"/>
      <c r="K732" s="4"/>
    </row>
    <row r="733" spans="9:11">
      <c r="I733" s="4"/>
      <c r="J733" s="4"/>
      <c r="K733" s="4"/>
    </row>
    <row r="734" spans="9:11">
      <c r="I734" s="4"/>
      <c r="J734" s="4"/>
      <c r="K734" s="4"/>
    </row>
    <row r="735" spans="9:11">
      <c r="I735" s="4"/>
      <c r="J735" s="4"/>
      <c r="K735" s="4"/>
    </row>
    <row r="736" spans="9:11">
      <c r="I736" s="4"/>
      <c r="J736" s="4"/>
      <c r="K736" s="4"/>
    </row>
    <row r="737" spans="9:11">
      <c r="I737" s="4"/>
      <c r="J737" s="4"/>
      <c r="K737" s="4"/>
    </row>
    <row r="738" spans="9:11">
      <c r="I738" s="4"/>
      <c r="J738" s="4"/>
      <c r="K738" s="4"/>
    </row>
    <row r="739" spans="9:11">
      <c r="I739" s="4"/>
      <c r="J739" s="4"/>
      <c r="K739" s="4"/>
    </row>
    <row r="740" spans="9:11">
      <c r="I740" s="4"/>
      <c r="J740" s="4"/>
      <c r="K740" s="4"/>
    </row>
    <row r="741" spans="9:11">
      <c r="I741" s="4"/>
      <c r="J741" s="4"/>
      <c r="K741" s="4"/>
    </row>
    <row r="742" spans="9:11">
      <c r="I742" s="4"/>
      <c r="J742" s="4"/>
      <c r="K742" s="4"/>
    </row>
    <row r="743" spans="9:11">
      <c r="I743" s="4"/>
      <c r="J743" s="4"/>
      <c r="K743" s="4"/>
    </row>
    <row r="744" spans="9:11">
      <c r="I744" s="4"/>
      <c r="J744" s="4"/>
      <c r="K744" s="4"/>
    </row>
    <row r="745" spans="9:11">
      <c r="I745" s="4"/>
      <c r="J745" s="4"/>
      <c r="K745" s="4"/>
    </row>
    <row r="746" spans="9:11">
      <c r="I746" s="4"/>
      <c r="J746" s="4"/>
      <c r="K746" s="4"/>
    </row>
    <row r="747" spans="9:11">
      <c r="I747" s="4"/>
      <c r="J747" s="4"/>
      <c r="K747" s="4"/>
    </row>
    <row r="748" spans="9:11">
      <c r="I748" s="4"/>
      <c r="J748" s="4"/>
      <c r="K748" s="4"/>
    </row>
    <row r="749" spans="9:11">
      <c r="I749" s="4"/>
      <c r="J749" s="4"/>
      <c r="K749" s="4"/>
    </row>
    <row r="750" spans="9:11">
      <c r="I750" s="4"/>
      <c r="J750" s="4"/>
      <c r="K750" s="4"/>
    </row>
    <row r="751" spans="9:11">
      <c r="I751" s="4"/>
      <c r="J751" s="4"/>
      <c r="K751" s="4"/>
    </row>
    <row r="752" spans="9:11">
      <c r="I752" s="4"/>
      <c r="J752" s="4"/>
      <c r="K752" s="4"/>
    </row>
    <row r="753" spans="9:11">
      <c r="I753" s="4"/>
      <c r="J753" s="4"/>
      <c r="K753" s="4"/>
    </row>
    <row r="754" spans="9:11">
      <c r="I754" s="4"/>
      <c r="J754" s="4"/>
      <c r="K754" s="4"/>
    </row>
    <row r="755" spans="9:11">
      <c r="I755" s="4"/>
      <c r="J755" s="4"/>
      <c r="K755" s="4"/>
    </row>
    <row r="756" spans="9:11">
      <c r="I756" s="4"/>
      <c r="J756" s="4"/>
      <c r="K756" s="4"/>
    </row>
    <row r="757" spans="9:11">
      <c r="I757" s="4"/>
      <c r="J757" s="4"/>
      <c r="K757" s="4"/>
    </row>
    <row r="758" spans="9:11">
      <c r="I758" s="4"/>
      <c r="J758" s="4"/>
      <c r="K758" s="4"/>
    </row>
    <row r="759" spans="9:11">
      <c r="I759" s="4"/>
      <c r="J759" s="4"/>
      <c r="K759" s="4"/>
    </row>
    <row r="760" spans="9:11">
      <c r="I760" s="4"/>
      <c r="J760" s="4"/>
      <c r="K760" s="4"/>
    </row>
    <row r="761" spans="9:11">
      <c r="I761" s="4"/>
      <c r="J761" s="4"/>
      <c r="K761" s="4"/>
    </row>
    <row r="762" spans="9:11">
      <c r="I762" s="4"/>
      <c r="J762" s="4"/>
      <c r="K762" s="4"/>
    </row>
    <row r="763" spans="9:11">
      <c r="I763" s="4"/>
      <c r="J763" s="4"/>
      <c r="K763" s="4"/>
    </row>
    <row r="764" spans="9:11">
      <c r="I764" s="4"/>
      <c r="J764" s="4"/>
      <c r="K764" s="4"/>
    </row>
    <row r="765" spans="9:11">
      <c r="I765" s="4"/>
      <c r="J765" s="4"/>
      <c r="K765" s="4"/>
    </row>
    <row r="766" spans="9:11">
      <c r="I766" s="4"/>
      <c r="J766" s="4"/>
      <c r="K766" s="4"/>
    </row>
    <row r="767" spans="9:11">
      <c r="I767" s="4"/>
      <c r="J767" s="4"/>
      <c r="K767" s="4"/>
    </row>
    <row r="768" spans="9:11">
      <c r="I768" s="4"/>
      <c r="J768" s="4"/>
      <c r="K768" s="4"/>
    </row>
    <row r="769" spans="9:11">
      <c r="I769" s="4"/>
      <c r="J769" s="4"/>
      <c r="K769" s="4"/>
    </row>
    <row r="770" spans="9:11">
      <c r="I770" s="4"/>
      <c r="J770" s="4"/>
      <c r="K770" s="4"/>
    </row>
    <row r="771" spans="9:11">
      <c r="I771" s="4"/>
      <c r="J771" s="4"/>
      <c r="K771" s="4"/>
    </row>
    <row r="772" spans="9:11">
      <c r="I772" s="4"/>
      <c r="J772" s="4"/>
      <c r="K772" s="4"/>
    </row>
    <row r="773" spans="9:11">
      <c r="I773" s="4"/>
      <c r="J773" s="4"/>
      <c r="K773" s="4"/>
    </row>
    <row r="774" spans="9:11">
      <c r="I774" s="4"/>
      <c r="J774" s="4"/>
      <c r="K774" s="4"/>
    </row>
    <row r="775" spans="9:11">
      <c r="I775" s="4"/>
      <c r="J775" s="4"/>
      <c r="K775" s="4"/>
    </row>
    <row r="776" spans="9:11">
      <c r="I776" s="4"/>
      <c r="J776" s="4"/>
      <c r="K776" s="4"/>
    </row>
    <row r="777" spans="9:11">
      <c r="I777" s="4"/>
      <c r="J777" s="4"/>
      <c r="K777" s="4"/>
    </row>
    <row r="778" spans="9:11">
      <c r="I778" s="4"/>
      <c r="J778" s="4"/>
      <c r="K778" s="4"/>
    </row>
    <row r="779" spans="9:11">
      <c r="I779" s="4"/>
      <c r="J779" s="4"/>
      <c r="K779" s="4"/>
    </row>
    <row r="780" spans="9:11">
      <c r="I780" s="4"/>
      <c r="J780" s="4"/>
      <c r="K780" s="4"/>
    </row>
    <row r="781" spans="9:11">
      <c r="I781" s="4"/>
      <c r="J781" s="4"/>
      <c r="K781" s="4"/>
    </row>
    <row r="782" spans="9:11">
      <c r="I782" s="4"/>
      <c r="J782" s="4"/>
      <c r="K782" s="4"/>
    </row>
    <row r="783" spans="9:11">
      <c r="I783" s="4"/>
      <c r="J783" s="4"/>
      <c r="K783" s="4"/>
    </row>
    <row r="784" spans="9:11">
      <c r="I784" s="4"/>
      <c r="J784" s="4"/>
      <c r="K784" s="4"/>
    </row>
    <row r="785" spans="9:11">
      <c r="I785" s="4"/>
      <c r="J785" s="4"/>
      <c r="K785" s="4"/>
    </row>
    <row r="786" spans="9:11">
      <c r="I786" s="4"/>
      <c r="J786" s="4"/>
      <c r="K786" s="4"/>
    </row>
    <row r="787" spans="9:11">
      <c r="I787" s="4"/>
      <c r="J787" s="4"/>
      <c r="K787" s="4"/>
    </row>
    <row r="788" spans="9:11">
      <c r="I788" s="4"/>
      <c r="J788" s="4"/>
      <c r="K788" s="4"/>
    </row>
    <row r="789" spans="9:11">
      <c r="I789" s="4"/>
      <c r="J789" s="4"/>
      <c r="K789" s="4"/>
    </row>
    <row r="790" spans="9:11">
      <c r="I790" s="4"/>
      <c r="J790" s="4"/>
      <c r="K790" s="4"/>
    </row>
    <row r="791" spans="9:11">
      <c r="I791" s="4"/>
      <c r="J791" s="4"/>
      <c r="K791" s="4"/>
    </row>
    <row r="792" spans="9:11">
      <c r="I792" s="4"/>
      <c r="J792" s="4"/>
      <c r="K792" s="4"/>
    </row>
    <row r="793" spans="9:11">
      <c r="I793" s="4"/>
      <c r="J793" s="4"/>
      <c r="K793" s="4"/>
    </row>
    <row r="794" spans="9:11">
      <c r="I794" s="4"/>
      <c r="J794" s="4"/>
      <c r="K794" s="4"/>
    </row>
    <row r="795" spans="9:11">
      <c r="I795" s="4"/>
      <c r="J795" s="4"/>
      <c r="K795" s="4"/>
    </row>
    <row r="796" spans="9:11">
      <c r="I796" s="4"/>
      <c r="J796" s="4"/>
      <c r="K796" s="4"/>
    </row>
    <row r="797" spans="9:11">
      <c r="I797" s="4"/>
      <c r="J797" s="4"/>
      <c r="K797" s="4"/>
    </row>
    <row r="798" spans="9:11">
      <c r="I798" s="4"/>
      <c r="J798" s="4"/>
      <c r="K798" s="4"/>
    </row>
    <row r="799" spans="9:11">
      <c r="I799" s="4"/>
      <c r="J799" s="4"/>
      <c r="K799" s="4"/>
    </row>
    <row r="800" spans="9:11">
      <c r="I800" s="4"/>
      <c r="J800" s="4"/>
      <c r="K800" s="4"/>
    </row>
    <row r="801" spans="9:11">
      <c r="I801" s="4"/>
      <c r="J801" s="4"/>
      <c r="K801" s="4"/>
    </row>
    <row r="802" spans="9:11">
      <c r="I802" s="4"/>
      <c r="J802" s="4"/>
      <c r="K802" s="4"/>
    </row>
    <row r="803" spans="9:11">
      <c r="I803" s="4"/>
      <c r="J803" s="4"/>
      <c r="K803" s="4"/>
    </row>
    <row r="804" spans="9:11">
      <c r="I804" s="4"/>
      <c r="J804" s="4"/>
      <c r="K804" s="4"/>
    </row>
    <row r="805" spans="9:11">
      <c r="I805" s="4"/>
      <c r="J805" s="4"/>
      <c r="K805" s="4"/>
    </row>
    <row r="806" spans="9:11">
      <c r="I806" s="4"/>
      <c r="J806" s="4"/>
      <c r="K806" s="4"/>
    </row>
    <row r="807" spans="9:11">
      <c r="I807" s="4"/>
      <c r="J807" s="4"/>
      <c r="K807" s="4"/>
    </row>
    <row r="808" spans="9:11">
      <c r="I808" s="4"/>
      <c r="J808" s="4"/>
      <c r="K808" s="4"/>
    </row>
    <row r="809" spans="9:11">
      <c r="I809" s="4"/>
      <c r="J809" s="4"/>
      <c r="K809" s="4"/>
    </row>
    <row r="810" spans="9:11">
      <c r="I810" s="4"/>
      <c r="J810" s="4"/>
      <c r="K810" s="4"/>
    </row>
    <row r="811" spans="9:11">
      <c r="I811" s="4"/>
      <c r="J811" s="4"/>
      <c r="K811" s="4"/>
    </row>
    <row r="812" spans="9:11">
      <c r="I812" s="4"/>
      <c r="J812" s="4"/>
      <c r="K812" s="4"/>
    </row>
    <row r="813" spans="9:11">
      <c r="I813" s="4"/>
      <c r="J813" s="4"/>
      <c r="K813" s="4"/>
    </row>
    <row r="814" spans="9:11">
      <c r="I814" s="4"/>
      <c r="J814" s="4"/>
      <c r="K814" s="4"/>
    </row>
    <row r="815" spans="9:11">
      <c r="I815" s="4"/>
      <c r="J815" s="4"/>
      <c r="K815" s="4"/>
    </row>
    <row r="816" spans="9:11">
      <c r="I816" s="4"/>
      <c r="J816" s="4"/>
      <c r="K816" s="4"/>
    </row>
    <row r="817" spans="9:11">
      <c r="I817" s="4"/>
      <c r="J817" s="4"/>
      <c r="K817" s="4"/>
    </row>
    <row r="818" spans="9:11">
      <c r="I818" s="4"/>
      <c r="J818" s="4"/>
      <c r="K818" s="4"/>
    </row>
    <row r="819" spans="9:11">
      <c r="I819" s="4"/>
      <c r="J819" s="4"/>
      <c r="K819" s="4"/>
    </row>
    <row r="820" spans="9:11">
      <c r="I820" s="4"/>
      <c r="J820" s="4"/>
      <c r="K820" s="4"/>
    </row>
    <row r="821" spans="9:11">
      <c r="I821" s="4"/>
      <c r="J821" s="4"/>
      <c r="K821" s="4"/>
    </row>
    <row r="822" spans="9:11">
      <c r="I822" s="4"/>
      <c r="J822" s="4"/>
      <c r="K822" s="4"/>
    </row>
    <row r="823" spans="9:11">
      <c r="I823" s="4"/>
      <c r="J823" s="4"/>
      <c r="K823" s="4"/>
    </row>
    <row r="824" spans="9:11">
      <c r="I824" s="4"/>
      <c r="J824" s="4"/>
      <c r="K824" s="4"/>
    </row>
    <row r="825" spans="9:11">
      <c r="I825" s="4"/>
      <c r="J825" s="4"/>
      <c r="K825" s="4"/>
    </row>
    <row r="826" spans="9:11">
      <c r="I826" s="4"/>
      <c r="J826" s="4"/>
      <c r="K826" s="4"/>
    </row>
    <row r="827" spans="9:11">
      <c r="I827" s="4"/>
      <c r="J827" s="4"/>
      <c r="K827" s="4"/>
    </row>
    <row r="828" spans="9:11">
      <c r="I828" s="4"/>
      <c r="J828" s="4"/>
      <c r="K828" s="4"/>
    </row>
    <row r="829" spans="9:11">
      <c r="I829" s="4"/>
      <c r="J829" s="4"/>
      <c r="K829" s="4"/>
    </row>
    <row r="830" spans="9:11">
      <c r="I830" s="4"/>
      <c r="J830" s="4"/>
      <c r="K830" s="4"/>
    </row>
    <row r="831" spans="9:11">
      <c r="I831" s="4"/>
      <c r="J831" s="4"/>
      <c r="K831" s="4"/>
    </row>
    <row r="832" spans="9:11">
      <c r="I832" s="4"/>
      <c r="J832" s="4"/>
      <c r="K832" s="4"/>
    </row>
    <row r="833" spans="9:11">
      <c r="I833" s="4"/>
      <c r="J833" s="4"/>
      <c r="K833" s="4"/>
    </row>
    <row r="834" spans="9:11">
      <c r="I834" s="4"/>
      <c r="J834" s="4"/>
      <c r="K834" s="4"/>
    </row>
    <row r="835" spans="9:11">
      <c r="I835" s="4"/>
      <c r="J835" s="4"/>
      <c r="K835" s="4"/>
    </row>
    <row r="836" spans="9:11">
      <c r="I836" s="4"/>
      <c r="J836" s="4"/>
      <c r="K836" s="4"/>
    </row>
    <row r="837" spans="9:11">
      <c r="I837" s="4"/>
      <c r="J837" s="4"/>
      <c r="K837" s="4"/>
    </row>
    <row r="838" spans="9:11">
      <c r="I838" s="4"/>
      <c r="J838" s="4"/>
      <c r="K838" s="4"/>
    </row>
    <row r="839" spans="9:11">
      <c r="I839" s="4"/>
      <c r="J839" s="4"/>
      <c r="K839" s="4"/>
    </row>
    <row r="840" spans="9:11">
      <c r="I840" s="4"/>
      <c r="J840" s="4"/>
      <c r="K840" s="4"/>
    </row>
    <row r="841" spans="9:11">
      <c r="I841" s="4"/>
      <c r="J841" s="4"/>
      <c r="K841" s="4"/>
    </row>
    <row r="842" spans="9:11">
      <c r="I842" s="4"/>
      <c r="J842" s="4"/>
      <c r="K842" s="4"/>
    </row>
    <row r="843" spans="9:11">
      <c r="I843" s="4"/>
      <c r="J843" s="4"/>
      <c r="K843" s="4"/>
    </row>
    <row r="844" spans="9:11">
      <c r="I844" s="4"/>
      <c r="J844" s="4"/>
      <c r="K844" s="4"/>
    </row>
    <row r="845" spans="9:11">
      <c r="I845" s="4"/>
      <c r="J845" s="4"/>
      <c r="K845" s="4"/>
    </row>
    <row r="846" spans="9:11">
      <c r="I846" s="4"/>
      <c r="J846" s="4"/>
      <c r="K846" s="4"/>
    </row>
    <row r="847" spans="9:11">
      <c r="I847" s="4"/>
      <c r="J847" s="4"/>
      <c r="K847" s="4"/>
    </row>
    <row r="848" spans="9:11">
      <c r="I848" s="4"/>
      <c r="J848" s="4"/>
      <c r="K848" s="4"/>
    </row>
    <row r="849" spans="2:11">
      <c r="I849" s="4"/>
      <c r="J849" s="4"/>
      <c r="K849" s="4"/>
    </row>
    <row r="850" spans="2:11">
      <c r="I850" s="4"/>
      <c r="J850" s="4"/>
      <c r="K850" s="4"/>
    </row>
    <row r="851" spans="2:11">
      <c r="B851" s="6"/>
      <c r="C851" s="24"/>
      <c r="D851" s="5"/>
      <c r="E851" s="5"/>
      <c r="F851" s="4"/>
      <c r="G851" s="4"/>
      <c r="H851" s="4"/>
      <c r="I851" s="4"/>
      <c r="J851" s="4"/>
      <c r="K851" s="4"/>
    </row>
    <row r="852" spans="2:11">
      <c r="B852" s="6"/>
      <c r="C852" s="24"/>
      <c r="D852" s="5"/>
      <c r="E852" s="5"/>
      <c r="F852" s="4"/>
      <c r="G852" s="4"/>
      <c r="H852" s="4"/>
      <c r="I852" s="4"/>
      <c r="J852" s="4"/>
      <c r="K852" s="4"/>
    </row>
    <row r="853" spans="2:11">
      <c r="B853" s="6"/>
      <c r="C853" s="24"/>
      <c r="D853" s="5"/>
      <c r="E853" s="5"/>
      <c r="F853" s="4"/>
      <c r="G853" s="4"/>
      <c r="H853" s="4"/>
      <c r="I853" s="4"/>
      <c r="J853" s="4"/>
      <c r="K853" s="4"/>
    </row>
    <row r="854" spans="2:11">
      <c r="B854" s="6"/>
      <c r="C854" s="24"/>
      <c r="D854" s="5"/>
      <c r="E854" s="5"/>
      <c r="F854" s="4"/>
      <c r="G854" s="4"/>
      <c r="H854" s="4"/>
      <c r="I854" s="4"/>
      <c r="J854" s="4"/>
      <c r="K854" s="4"/>
    </row>
    <row r="855" spans="2:11">
      <c r="B855" s="6"/>
      <c r="C855" s="24"/>
      <c r="D855" s="5"/>
      <c r="E855" s="5"/>
      <c r="F855" s="4"/>
      <c r="G855" s="4"/>
      <c r="H855" s="4"/>
      <c r="I855" s="4"/>
      <c r="J855" s="4"/>
      <c r="K855" s="4"/>
    </row>
    <row r="856" spans="2:11">
      <c r="B856" s="6"/>
      <c r="C856" s="24"/>
      <c r="D856" s="5"/>
      <c r="E856" s="5"/>
      <c r="F856" s="4"/>
      <c r="G856" s="4"/>
      <c r="H856" s="4"/>
      <c r="I856" s="4"/>
      <c r="J856" s="4"/>
      <c r="K856" s="4"/>
    </row>
    <row r="857" spans="2:11">
      <c r="B857" s="6"/>
      <c r="C857" s="24"/>
      <c r="D857" s="5"/>
      <c r="E857" s="5"/>
      <c r="F857" s="4"/>
      <c r="G857" s="4"/>
      <c r="H857" s="4"/>
      <c r="I857" s="4"/>
      <c r="J857" s="4"/>
      <c r="K857" s="4"/>
    </row>
    <row r="858" spans="2:11">
      <c r="B858" s="6"/>
      <c r="C858" s="24"/>
      <c r="D858" s="5"/>
      <c r="E858" s="5"/>
      <c r="F858" s="4"/>
      <c r="G858" s="4"/>
      <c r="H858" s="4"/>
      <c r="I858" s="4"/>
      <c r="J858" s="4"/>
      <c r="K858" s="4"/>
    </row>
    <row r="859" spans="2:11">
      <c r="B859" s="6"/>
      <c r="C859" s="24"/>
      <c r="D859" s="5"/>
      <c r="E859" s="5"/>
      <c r="F859" s="4"/>
      <c r="G859" s="4"/>
      <c r="H859" s="4"/>
      <c r="I859" s="4"/>
      <c r="J859" s="4"/>
      <c r="K859" s="4"/>
    </row>
    <row r="860" spans="2:11">
      <c r="B860" s="6"/>
      <c r="C860" s="24"/>
      <c r="D860" s="5"/>
      <c r="E860" s="5"/>
      <c r="F860" s="4"/>
      <c r="G860" s="4"/>
      <c r="H860" s="4"/>
      <c r="I860" s="4"/>
      <c r="J860" s="4"/>
      <c r="K860" s="4"/>
    </row>
    <row r="861" spans="2:11">
      <c r="B861" s="6"/>
      <c r="C861" s="24"/>
      <c r="D861" s="5"/>
      <c r="E861" s="5"/>
      <c r="F861" s="4"/>
      <c r="G861" s="4"/>
      <c r="H861" s="4"/>
      <c r="I861" s="4"/>
      <c r="J861" s="4"/>
      <c r="K861" s="4"/>
    </row>
    <row r="862" spans="2:11">
      <c r="B862" s="6"/>
      <c r="C862" s="24"/>
      <c r="D862" s="5"/>
      <c r="E862" s="5"/>
      <c r="F862" s="4"/>
      <c r="G862" s="4"/>
      <c r="H862" s="4"/>
      <c r="I862" s="4"/>
      <c r="J862" s="4"/>
      <c r="K862" s="4"/>
    </row>
    <row r="863" spans="2:11">
      <c r="B863" s="6"/>
      <c r="C863" s="24"/>
      <c r="D863" s="5"/>
      <c r="E863" s="5"/>
      <c r="F863" s="4"/>
      <c r="G863" s="4"/>
      <c r="H863" s="4"/>
      <c r="I863" s="4"/>
      <c r="J863" s="4"/>
      <c r="K863" s="4"/>
    </row>
    <row r="864" spans="2:11">
      <c r="B864" s="6"/>
      <c r="C864" s="24"/>
      <c r="D864" s="5"/>
      <c r="E864" s="5"/>
      <c r="F864" s="4"/>
      <c r="G864" s="4"/>
      <c r="H864" s="4"/>
      <c r="I864" s="4"/>
      <c r="J864" s="4"/>
      <c r="K864" s="4"/>
    </row>
    <row r="865" spans="2:11">
      <c r="B865" s="6"/>
      <c r="C865" s="24"/>
      <c r="D865" s="5"/>
      <c r="E865" s="5"/>
      <c r="F865" s="4"/>
      <c r="G865" s="4"/>
      <c r="H865" s="4"/>
      <c r="I865" s="4"/>
      <c r="J865" s="4"/>
      <c r="K865" s="4"/>
    </row>
    <row r="866" spans="2:11">
      <c r="B866" s="6"/>
      <c r="C866" s="24"/>
      <c r="D866" s="5"/>
      <c r="E866" s="5"/>
      <c r="F866" s="4"/>
      <c r="G866" s="4"/>
      <c r="H866" s="4"/>
      <c r="I866" s="4"/>
      <c r="J866" s="4"/>
      <c r="K866" s="4"/>
    </row>
    <row r="867" spans="2:11">
      <c r="B867" s="6"/>
      <c r="C867" s="24"/>
      <c r="D867" s="5"/>
      <c r="E867" s="5"/>
      <c r="F867" s="4"/>
      <c r="G867" s="4"/>
      <c r="H867" s="4"/>
      <c r="I867" s="4"/>
      <c r="J867" s="4"/>
      <c r="K867" s="4"/>
    </row>
    <row r="868" spans="2:11">
      <c r="B868" s="6"/>
      <c r="C868" s="24"/>
      <c r="D868" s="5"/>
      <c r="E868" s="5"/>
      <c r="F868" s="4"/>
      <c r="G868" s="4"/>
      <c r="H868" s="4"/>
      <c r="I868" s="4"/>
      <c r="J868" s="4"/>
      <c r="K868" s="4"/>
    </row>
    <row r="869" spans="2:11">
      <c r="B869" s="6"/>
      <c r="C869" s="24"/>
      <c r="D869" s="5"/>
      <c r="E869" s="5"/>
      <c r="F869" s="4"/>
      <c r="G869" s="4"/>
      <c r="H869" s="4"/>
      <c r="I869" s="4"/>
      <c r="J869" s="4"/>
      <c r="K869" s="4"/>
    </row>
    <row r="870" spans="2:11">
      <c r="B870" s="6"/>
      <c r="C870" s="24"/>
      <c r="D870" s="5"/>
      <c r="E870" s="5"/>
      <c r="F870" s="4"/>
      <c r="G870" s="4"/>
      <c r="H870" s="4"/>
      <c r="I870" s="4"/>
      <c r="J870" s="4"/>
      <c r="K870" s="4"/>
    </row>
    <row r="871" spans="2:11">
      <c r="B871" s="6"/>
      <c r="C871" s="24"/>
      <c r="D871" s="5"/>
      <c r="E871" s="5"/>
      <c r="F871" s="4"/>
      <c r="G871" s="4"/>
      <c r="H871" s="4"/>
      <c r="I871" s="4"/>
      <c r="J871" s="4"/>
      <c r="K871" s="4"/>
    </row>
    <row r="872" spans="2:11">
      <c r="B872" s="6"/>
      <c r="C872" s="24"/>
      <c r="D872" s="5"/>
      <c r="E872" s="5"/>
      <c r="F872" s="4"/>
      <c r="G872" s="4"/>
      <c r="H872" s="4"/>
      <c r="I872" s="4"/>
      <c r="J872" s="4"/>
      <c r="K872" s="4"/>
    </row>
    <row r="873" spans="2:11">
      <c r="B873" s="6"/>
      <c r="C873" s="24"/>
      <c r="D873" s="5"/>
      <c r="E873" s="5"/>
      <c r="F873" s="4"/>
      <c r="G873" s="4"/>
      <c r="H873" s="4"/>
      <c r="I873" s="4"/>
      <c r="J873" s="4"/>
      <c r="K873" s="4"/>
    </row>
    <row r="874" spans="2:11">
      <c r="B874" s="6"/>
      <c r="C874" s="24"/>
      <c r="D874" s="5"/>
      <c r="E874" s="5"/>
      <c r="F874" s="4"/>
      <c r="G874" s="4"/>
      <c r="H874" s="4"/>
      <c r="I874" s="4"/>
      <c r="J874" s="4"/>
      <c r="K874" s="4"/>
    </row>
    <row r="875" spans="2:11">
      <c r="B875" s="6"/>
      <c r="C875" s="24"/>
      <c r="D875" s="5"/>
      <c r="E875" s="5"/>
      <c r="F875" s="4"/>
      <c r="G875" s="4"/>
      <c r="H875" s="4"/>
      <c r="I875" s="4"/>
      <c r="J875" s="4"/>
      <c r="K875" s="4"/>
    </row>
    <row r="876" spans="2:11">
      <c r="B876" s="6"/>
      <c r="C876" s="24"/>
      <c r="D876" s="5"/>
      <c r="E876" s="5"/>
      <c r="F876" s="4"/>
      <c r="G876" s="4"/>
      <c r="H876" s="4"/>
      <c r="I876" s="4"/>
      <c r="J876" s="4"/>
      <c r="K876" s="4"/>
    </row>
    <row r="877" spans="2:11">
      <c r="B877" s="6"/>
      <c r="C877" s="24"/>
      <c r="D877" s="5"/>
      <c r="E877" s="5"/>
      <c r="F877" s="4"/>
      <c r="G877" s="4"/>
      <c r="H877" s="4"/>
      <c r="I877" s="4"/>
      <c r="J877" s="4"/>
      <c r="K877" s="4"/>
    </row>
    <row r="878" spans="2:11">
      <c r="B878" s="6"/>
      <c r="C878" s="24"/>
      <c r="D878" s="5"/>
      <c r="E878" s="5"/>
      <c r="F878" s="4"/>
      <c r="G878" s="4"/>
      <c r="H878" s="4"/>
      <c r="I878" s="4"/>
      <c r="J878" s="4"/>
      <c r="K878" s="4"/>
    </row>
    <row r="879" spans="2:11">
      <c r="B879" s="6"/>
      <c r="C879" s="24"/>
      <c r="D879" s="5"/>
      <c r="E879" s="5"/>
      <c r="F879" s="4"/>
      <c r="G879" s="4"/>
      <c r="H879" s="4"/>
      <c r="I879" s="4"/>
      <c r="J879" s="4"/>
      <c r="K879" s="4"/>
    </row>
    <row r="880" spans="2:11">
      <c r="B880" s="6"/>
      <c r="C880" s="24"/>
      <c r="D880" s="5"/>
      <c r="E880" s="5"/>
      <c r="F880" s="4"/>
      <c r="G880" s="4"/>
      <c r="H880" s="4"/>
      <c r="I880" s="4"/>
      <c r="J880" s="4"/>
      <c r="K880" s="4"/>
    </row>
    <row r="881" spans="2:11">
      <c r="B881" s="6"/>
      <c r="C881" s="24"/>
      <c r="D881" s="5"/>
      <c r="E881" s="5"/>
      <c r="F881" s="4"/>
      <c r="G881" s="4"/>
      <c r="H881" s="4"/>
      <c r="I881" s="4"/>
      <c r="J881" s="4"/>
      <c r="K881" s="4"/>
    </row>
    <row r="882" spans="2:11">
      <c r="B882" s="6"/>
      <c r="C882" s="24"/>
      <c r="D882" s="5"/>
      <c r="E882" s="5"/>
      <c r="F882" s="4"/>
      <c r="G882" s="4"/>
      <c r="H882" s="4"/>
      <c r="I882" s="4"/>
      <c r="J882" s="4"/>
      <c r="K882" s="4"/>
    </row>
    <row r="883" spans="2:11">
      <c r="B883" s="6"/>
      <c r="C883" s="24"/>
      <c r="D883" s="5"/>
      <c r="E883" s="5"/>
      <c r="F883" s="4"/>
      <c r="G883" s="4"/>
      <c r="H883" s="4"/>
      <c r="I883" s="4"/>
      <c r="J883" s="4"/>
      <c r="K883" s="4"/>
    </row>
    <row r="884" spans="2:11">
      <c r="B884" s="6"/>
      <c r="C884" s="24"/>
      <c r="D884" s="5"/>
      <c r="E884" s="5"/>
      <c r="F884" s="4"/>
      <c r="G884" s="4"/>
      <c r="H884" s="4"/>
      <c r="I884" s="4"/>
      <c r="J884" s="4"/>
      <c r="K884" s="4"/>
    </row>
    <row r="885" spans="2:11">
      <c r="B885" s="6"/>
      <c r="C885" s="24"/>
      <c r="D885" s="5"/>
      <c r="E885" s="5"/>
      <c r="F885" s="4"/>
      <c r="G885" s="4"/>
      <c r="H885" s="4"/>
      <c r="I885" s="4"/>
      <c r="J885" s="4"/>
      <c r="K885" s="4"/>
    </row>
    <row r="886" spans="2:11">
      <c r="B886" s="6"/>
      <c r="C886" s="24"/>
      <c r="D886" s="5"/>
      <c r="E886" s="5"/>
      <c r="F886" s="4"/>
      <c r="G886" s="4"/>
      <c r="H886" s="4"/>
      <c r="I886" s="4"/>
      <c r="J886" s="4"/>
      <c r="K886" s="4"/>
    </row>
    <row r="887" spans="2:11">
      <c r="B887" s="6"/>
      <c r="C887" s="24"/>
      <c r="D887" s="5"/>
      <c r="E887" s="5"/>
      <c r="F887" s="4"/>
      <c r="G887" s="4"/>
      <c r="H887" s="4"/>
      <c r="I887" s="4"/>
      <c r="J887" s="4"/>
      <c r="K887" s="4"/>
    </row>
    <row r="888" spans="2:11">
      <c r="B888" s="6"/>
      <c r="C888" s="24"/>
      <c r="D888" s="5"/>
      <c r="E888" s="5"/>
      <c r="F888" s="4"/>
      <c r="G888" s="4"/>
      <c r="H888" s="4"/>
      <c r="I888" s="4"/>
      <c r="J888" s="4"/>
      <c r="K888" s="4"/>
    </row>
    <row r="889" spans="2:11">
      <c r="B889" s="6"/>
      <c r="C889" s="24"/>
      <c r="D889" s="5"/>
      <c r="E889" s="5"/>
      <c r="F889" s="4"/>
      <c r="G889" s="4"/>
      <c r="H889" s="4"/>
      <c r="I889" s="4"/>
      <c r="J889" s="4"/>
      <c r="K889" s="4"/>
    </row>
    <row r="890" spans="2:11">
      <c r="B890" s="6"/>
      <c r="C890" s="24"/>
      <c r="D890" s="5"/>
      <c r="E890" s="5"/>
      <c r="F890" s="4"/>
      <c r="G890" s="4"/>
      <c r="H890" s="4"/>
      <c r="I890" s="4"/>
      <c r="J890" s="4"/>
      <c r="K890" s="4"/>
    </row>
    <row r="891" spans="2:11">
      <c r="B891" s="6"/>
      <c r="C891" s="24"/>
      <c r="D891" s="5"/>
      <c r="E891" s="5"/>
      <c r="F891" s="4"/>
      <c r="G891" s="4"/>
      <c r="H891" s="4"/>
      <c r="I891" s="4"/>
      <c r="J891" s="4"/>
      <c r="K891" s="4"/>
    </row>
    <row r="892" spans="2:11">
      <c r="B892" s="6"/>
      <c r="C892" s="24"/>
      <c r="D892" s="5"/>
      <c r="E892" s="5"/>
      <c r="F892" s="4"/>
      <c r="G892" s="4"/>
      <c r="H892" s="4"/>
      <c r="I892" s="4"/>
      <c r="J892" s="4"/>
      <c r="K892" s="4"/>
    </row>
    <row r="893" spans="2:11">
      <c r="B893" s="6"/>
      <c r="C893" s="24"/>
      <c r="D893" s="5"/>
      <c r="E893" s="5"/>
      <c r="F893" s="4"/>
      <c r="G893" s="4"/>
      <c r="H893" s="4"/>
      <c r="I893" s="4"/>
      <c r="J893" s="4"/>
      <c r="K893" s="4"/>
    </row>
    <row r="894" spans="2:11">
      <c r="B894" s="6"/>
      <c r="C894" s="24"/>
      <c r="D894" s="5"/>
      <c r="E894" s="5"/>
      <c r="F894" s="4"/>
      <c r="G894" s="4"/>
      <c r="H894" s="4"/>
      <c r="I894" s="4"/>
      <c r="J894" s="4"/>
      <c r="K894" s="4"/>
    </row>
    <row r="895" spans="2:11">
      <c r="B895" s="6"/>
      <c r="C895" s="24"/>
      <c r="D895" s="5"/>
      <c r="E895" s="5"/>
      <c r="F895" s="4"/>
      <c r="G895" s="4"/>
      <c r="H895" s="4"/>
      <c r="I895" s="4"/>
      <c r="J895" s="4"/>
      <c r="K895" s="4"/>
    </row>
    <row r="896" spans="2:11">
      <c r="B896" s="6"/>
      <c r="C896" s="24"/>
      <c r="D896" s="5"/>
      <c r="E896" s="5"/>
      <c r="F896" s="4"/>
      <c r="G896" s="4"/>
      <c r="H896" s="4"/>
      <c r="I896" s="4"/>
      <c r="J896" s="4"/>
      <c r="K896" s="4"/>
    </row>
    <row r="897" spans="2:11">
      <c r="B897" s="6"/>
      <c r="C897" s="24"/>
      <c r="D897" s="5"/>
      <c r="E897" s="5"/>
      <c r="F897" s="4"/>
      <c r="G897" s="4"/>
      <c r="H897" s="4"/>
      <c r="I897" s="4"/>
      <c r="J897" s="4"/>
      <c r="K897" s="4"/>
    </row>
    <row r="898" spans="2:11">
      <c r="B898" s="6"/>
      <c r="C898" s="24"/>
      <c r="D898" s="5"/>
      <c r="E898" s="5"/>
      <c r="F898" s="4"/>
      <c r="G898" s="4"/>
      <c r="H898" s="4"/>
      <c r="I898" s="4"/>
      <c r="J898" s="4"/>
      <c r="K898" s="4"/>
    </row>
    <row r="899" spans="2:11">
      <c r="B899" s="6"/>
      <c r="C899" s="24"/>
      <c r="D899" s="5"/>
      <c r="E899" s="5"/>
      <c r="F899" s="4"/>
      <c r="G899" s="4"/>
      <c r="H899" s="4"/>
      <c r="I899" s="4"/>
      <c r="J899" s="4"/>
      <c r="K899" s="4"/>
    </row>
    <row r="900" spans="2:11">
      <c r="B900" s="6"/>
      <c r="C900" s="24"/>
      <c r="D900" s="5"/>
      <c r="E900" s="5"/>
      <c r="F900" s="4"/>
      <c r="G900" s="4"/>
      <c r="H900" s="4"/>
      <c r="I900" s="4"/>
      <c r="J900" s="4"/>
      <c r="K900" s="4"/>
    </row>
    <row r="901" spans="2:11">
      <c r="B901" s="6"/>
      <c r="C901" s="24"/>
      <c r="D901" s="5"/>
      <c r="E901" s="5"/>
      <c r="F901" s="4"/>
      <c r="G901" s="4"/>
      <c r="H901" s="4"/>
      <c r="I901" s="4"/>
      <c r="J901" s="4"/>
      <c r="K901" s="4"/>
    </row>
    <row r="902" spans="2:11">
      <c r="B902" s="6"/>
      <c r="C902" s="24"/>
      <c r="D902" s="5"/>
      <c r="E902" s="5"/>
      <c r="F902" s="4"/>
      <c r="G902" s="4"/>
      <c r="H902" s="4"/>
      <c r="I902" s="4"/>
      <c r="J902" s="4"/>
      <c r="K902" s="4"/>
    </row>
    <row r="903" spans="2:11">
      <c r="B903" s="6"/>
      <c r="C903" s="24"/>
      <c r="D903" s="5"/>
      <c r="E903" s="5"/>
      <c r="F903" s="4"/>
      <c r="G903" s="4"/>
      <c r="H903" s="4"/>
      <c r="I903" s="4"/>
      <c r="J903" s="4"/>
      <c r="K903" s="4"/>
    </row>
    <row r="904" spans="2:11">
      <c r="B904" s="6"/>
      <c r="C904" s="24"/>
      <c r="D904" s="5"/>
      <c r="E904" s="5"/>
      <c r="F904" s="4"/>
      <c r="G904" s="4"/>
      <c r="H904" s="4"/>
      <c r="I904" s="4"/>
      <c r="J904" s="4"/>
      <c r="K904" s="4"/>
    </row>
    <row r="905" spans="2:11">
      <c r="B905" s="6"/>
      <c r="C905" s="24"/>
      <c r="D905" s="5"/>
      <c r="E905" s="5"/>
      <c r="F905" s="4"/>
      <c r="G905" s="4"/>
      <c r="H905" s="4"/>
      <c r="I905" s="4"/>
      <c r="J905" s="4"/>
      <c r="K905" s="4"/>
    </row>
    <row r="906" spans="2:11">
      <c r="B906" s="6"/>
      <c r="C906" s="24"/>
      <c r="D906" s="5"/>
      <c r="E906" s="5"/>
      <c r="F906" s="4"/>
      <c r="G906" s="4"/>
      <c r="H906" s="4"/>
      <c r="I906" s="4"/>
      <c r="J906" s="4"/>
      <c r="K906" s="4"/>
    </row>
    <row r="907" spans="2:11">
      <c r="B907" s="6"/>
      <c r="C907" s="24"/>
      <c r="D907" s="5"/>
      <c r="E907" s="5"/>
      <c r="F907" s="4"/>
      <c r="G907" s="4"/>
      <c r="H907" s="4"/>
      <c r="I907" s="4"/>
      <c r="J907" s="4"/>
      <c r="K907" s="4"/>
    </row>
    <row r="908" spans="2:11">
      <c r="B908" s="6"/>
      <c r="C908" s="24"/>
      <c r="D908" s="5"/>
      <c r="E908" s="5"/>
      <c r="F908" s="4"/>
      <c r="G908" s="4"/>
      <c r="H908" s="4"/>
      <c r="I908" s="4"/>
      <c r="J908" s="4"/>
      <c r="K908" s="4"/>
    </row>
    <row r="909" spans="2:11">
      <c r="B909" s="6"/>
      <c r="C909" s="24"/>
      <c r="D909" s="5"/>
      <c r="E909" s="5"/>
      <c r="F909" s="4"/>
      <c r="G909" s="4"/>
      <c r="H909" s="4"/>
      <c r="I909" s="4"/>
      <c r="J909" s="4"/>
      <c r="K909" s="4"/>
    </row>
    <row r="910" spans="2:11">
      <c r="B910" s="6"/>
      <c r="C910" s="24"/>
      <c r="D910" s="5"/>
      <c r="E910" s="5"/>
      <c r="F910" s="4"/>
      <c r="G910" s="4"/>
      <c r="H910" s="4"/>
      <c r="I910" s="4"/>
      <c r="J910" s="4"/>
      <c r="K910" s="4"/>
    </row>
    <row r="911" spans="2:11">
      <c r="B911" s="6"/>
      <c r="C911" s="24"/>
      <c r="D911" s="5"/>
      <c r="E911" s="5"/>
      <c r="F911" s="4"/>
      <c r="G911" s="4"/>
      <c r="H911" s="4"/>
      <c r="I911" s="4"/>
      <c r="J911" s="4"/>
      <c r="K911" s="4"/>
    </row>
    <row r="912" spans="2:11">
      <c r="B912" s="6"/>
      <c r="C912" s="24"/>
      <c r="D912" s="5"/>
      <c r="E912" s="5"/>
      <c r="F912" s="4"/>
      <c r="G912" s="4"/>
      <c r="H912" s="4"/>
      <c r="I912" s="4"/>
      <c r="J912" s="4"/>
      <c r="K912" s="4"/>
    </row>
    <row r="913" spans="2:11">
      <c r="B913" s="6"/>
      <c r="C913" s="24"/>
      <c r="D913" s="5"/>
      <c r="E913" s="5"/>
      <c r="F913" s="4"/>
      <c r="G913" s="4"/>
      <c r="H913" s="4"/>
      <c r="I913" s="4"/>
      <c r="J913" s="4"/>
      <c r="K913" s="4"/>
    </row>
    <row r="914" spans="2:11">
      <c r="B914" s="6"/>
      <c r="C914" s="24"/>
      <c r="D914" s="5"/>
      <c r="E914" s="5"/>
      <c r="F914" s="4"/>
      <c r="G914" s="4"/>
      <c r="H914" s="4"/>
      <c r="I914" s="4"/>
      <c r="J914" s="4"/>
      <c r="K914" s="4"/>
    </row>
    <row r="915" spans="2:11">
      <c r="B915" s="6"/>
      <c r="C915" s="24"/>
      <c r="D915" s="5"/>
      <c r="E915" s="5"/>
      <c r="F915" s="4"/>
      <c r="G915" s="4"/>
      <c r="H915" s="4"/>
      <c r="I915" s="4"/>
      <c r="J915" s="4"/>
      <c r="K915" s="4"/>
    </row>
    <row r="916" spans="2:11">
      <c r="B916" s="6"/>
      <c r="C916" s="24"/>
      <c r="D916" s="5"/>
      <c r="E916" s="5"/>
      <c r="F916" s="4"/>
      <c r="G916" s="4"/>
      <c r="H916" s="4"/>
      <c r="I916" s="4"/>
      <c r="J916" s="4"/>
      <c r="K916" s="4"/>
    </row>
    <row r="917" spans="2:11">
      <c r="B917" s="6"/>
      <c r="C917" s="24"/>
      <c r="D917" s="5"/>
      <c r="E917" s="5"/>
      <c r="F917" s="4"/>
      <c r="G917" s="4"/>
      <c r="H917" s="4"/>
      <c r="I917" s="4"/>
      <c r="J917" s="4"/>
      <c r="K917" s="4"/>
    </row>
    <row r="918" spans="2:11">
      <c r="B918" s="6"/>
      <c r="C918" s="24"/>
      <c r="D918" s="5"/>
      <c r="E918" s="5"/>
      <c r="F918" s="4"/>
      <c r="G918" s="4"/>
      <c r="H918" s="4"/>
      <c r="I918" s="4"/>
      <c r="J918" s="4"/>
      <c r="K918" s="4"/>
    </row>
    <row r="919" spans="2:11">
      <c r="B919" s="6"/>
      <c r="C919" s="24"/>
      <c r="D919" s="5"/>
      <c r="E919" s="5"/>
      <c r="F919" s="4"/>
      <c r="G919" s="4"/>
      <c r="H919" s="4"/>
      <c r="I919" s="4"/>
      <c r="J919" s="4"/>
      <c r="K919" s="4"/>
    </row>
    <row r="920" spans="2:11">
      <c r="B920" s="6"/>
      <c r="C920" s="24"/>
      <c r="D920" s="5"/>
      <c r="E920" s="5"/>
      <c r="F920" s="4"/>
      <c r="G920" s="4"/>
      <c r="H920" s="4"/>
      <c r="I920" s="4"/>
      <c r="J920" s="4"/>
      <c r="K920" s="4"/>
    </row>
    <row r="921" spans="2:11">
      <c r="B921" s="6"/>
      <c r="C921" s="24"/>
      <c r="D921" s="5"/>
      <c r="E921" s="5"/>
      <c r="F921" s="4"/>
      <c r="G921" s="4"/>
      <c r="H921" s="4"/>
      <c r="I921" s="4"/>
      <c r="J921" s="4"/>
      <c r="K921" s="4"/>
    </row>
    <row r="922" spans="2:11">
      <c r="B922" s="6"/>
      <c r="C922" s="24"/>
      <c r="D922" s="5"/>
      <c r="E922" s="5"/>
      <c r="F922" s="4"/>
      <c r="G922" s="4"/>
      <c r="H922" s="4"/>
      <c r="I922" s="4"/>
      <c r="J922" s="4"/>
      <c r="K922" s="4"/>
    </row>
    <row r="923" spans="2:11">
      <c r="B923" s="6"/>
      <c r="C923" s="24"/>
      <c r="D923" s="5"/>
      <c r="E923" s="5"/>
      <c r="F923" s="4"/>
      <c r="G923" s="4"/>
      <c r="H923" s="4"/>
      <c r="I923" s="4"/>
      <c r="J923" s="4"/>
      <c r="K923" s="4"/>
    </row>
    <row r="924" spans="2:11">
      <c r="B924" s="6"/>
      <c r="C924" s="24"/>
      <c r="D924" s="5"/>
      <c r="E924" s="5"/>
      <c r="F924" s="4"/>
      <c r="G924" s="4"/>
      <c r="H924" s="4"/>
      <c r="I924" s="4"/>
      <c r="J924" s="4"/>
      <c r="K924" s="4"/>
    </row>
    <row r="925" spans="2:11">
      <c r="B925" s="6"/>
      <c r="C925" s="24"/>
      <c r="D925" s="5"/>
      <c r="E925" s="5"/>
      <c r="F925" s="4"/>
      <c r="G925" s="4"/>
      <c r="H925" s="4"/>
      <c r="I925" s="4"/>
      <c r="J925" s="4"/>
      <c r="K925" s="4"/>
    </row>
    <row r="926" spans="2:11">
      <c r="B926" s="6"/>
      <c r="C926" s="24"/>
      <c r="D926" s="5"/>
      <c r="E926" s="5"/>
      <c r="F926" s="4"/>
      <c r="G926" s="4"/>
      <c r="H926" s="4"/>
      <c r="I926" s="4"/>
      <c r="J926" s="4"/>
      <c r="K926" s="4"/>
    </row>
    <row r="927" spans="2:11">
      <c r="B927" s="6"/>
      <c r="C927" s="24"/>
      <c r="D927" s="5"/>
      <c r="E927" s="5"/>
      <c r="F927" s="4"/>
      <c r="G927" s="4"/>
      <c r="H927" s="4"/>
      <c r="I927" s="4"/>
      <c r="J927" s="4"/>
      <c r="K927" s="4"/>
    </row>
    <row r="928" spans="2:11">
      <c r="B928" s="6"/>
      <c r="C928" s="24"/>
      <c r="D928" s="5"/>
      <c r="E928" s="5"/>
      <c r="F928" s="4"/>
      <c r="G928" s="4"/>
      <c r="H928" s="4"/>
      <c r="I928" s="4"/>
      <c r="J928" s="4"/>
      <c r="K928" s="4"/>
    </row>
    <row r="929" spans="2:11">
      <c r="B929" s="6"/>
      <c r="C929" s="24"/>
      <c r="D929" s="5"/>
      <c r="E929" s="5"/>
      <c r="F929" s="4"/>
      <c r="G929" s="4"/>
      <c r="H929" s="4"/>
      <c r="I929" s="4"/>
      <c r="J929" s="4"/>
      <c r="K929" s="4"/>
    </row>
    <row r="930" spans="2:11">
      <c r="B930" s="6"/>
      <c r="C930" s="24"/>
      <c r="D930" s="5"/>
      <c r="E930" s="5"/>
      <c r="F930" s="4"/>
      <c r="G930" s="4"/>
      <c r="H930" s="4"/>
      <c r="I930" s="4"/>
      <c r="J930" s="4"/>
      <c r="K930" s="4"/>
    </row>
    <row r="931" spans="2:11">
      <c r="B931" s="6"/>
      <c r="C931" s="24"/>
      <c r="D931" s="5"/>
      <c r="E931" s="5"/>
      <c r="F931" s="4"/>
      <c r="G931" s="4"/>
      <c r="H931" s="4"/>
      <c r="I931" s="4"/>
      <c r="J931" s="4"/>
      <c r="K931" s="4"/>
    </row>
    <row r="932" spans="2:11">
      <c r="B932" s="6"/>
      <c r="C932" s="24"/>
      <c r="D932" s="5"/>
      <c r="E932" s="5"/>
      <c r="F932" s="4"/>
      <c r="G932" s="4"/>
      <c r="H932" s="4"/>
      <c r="I932" s="4"/>
      <c r="J932" s="4"/>
      <c r="K932" s="4"/>
    </row>
    <row r="933" spans="2:11">
      <c r="B933" s="6"/>
      <c r="C933" s="24"/>
      <c r="D933" s="5"/>
      <c r="E933" s="5"/>
      <c r="F933" s="4"/>
      <c r="G933" s="4"/>
      <c r="H933" s="4"/>
      <c r="I933" s="4"/>
      <c r="J933" s="4"/>
      <c r="K933" s="4"/>
    </row>
    <row r="934" spans="2:11">
      <c r="B934" s="6"/>
      <c r="C934" s="24"/>
      <c r="D934" s="5"/>
      <c r="E934" s="5"/>
      <c r="F934" s="4"/>
      <c r="G934" s="4"/>
      <c r="H934" s="4"/>
      <c r="I934" s="4"/>
      <c r="J934" s="4"/>
      <c r="K934" s="4"/>
    </row>
    <row r="935" spans="2:11">
      <c r="B935" s="6"/>
      <c r="C935" s="24"/>
      <c r="D935" s="5"/>
      <c r="E935" s="5"/>
      <c r="F935" s="4"/>
      <c r="G935" s="4"/>
      <c r="H935" s="4"/>
      <c r="I935" s="4"/>
      <c r="J935" s="4"/>
      <c r="K935" s="4"/>
    </row>
    <row r="936" spans="2:11">
      <c r="B936" s="6"/>
      <c r="C936" s="24"/>
      <c r="D936" s="5"/>
      <c r="E936" s="5"/>
      <c r="F936" s="4"/>
      <c r="G936" s="4"/>
      <c r="H936" s="4"/>
      <c r="I936" s="4"/>
      <c r="J936" s="4"/>
      <c r="K936" s="4"/>
    </row>
    <row r="937" spans="2:11">
      <c r="B937" s="6"/>
      <c r="C937" s="24"/>
      <c r="D937" s="5"/>
      <c r="E937" s="5"/>
      <c r="F937" s="4"/>
      <c r="G937" s="4"/>
      <c r="H937" s="4"/>
      <c r="I937" s="4"/>
      <c r="J937" s="4"/>
      <c r="K937" s="4"/>
    </row>
    <row r="938" spans="2:11">
      <c r="B938" s="6"/>
      <c r="C938" s="24"/>
      <c r="D938" s="5"/>
      <c r="E938" s="5"/>
      <c r="F938" s="4"/>
      <c r="G938" s="4"/>
      <c r="H938" s="4"/>
      <c r="I938" s="4"/>
      <c r="J938" s="4"/>
      <c r="K938" s="4"/>
    </row>
    <row r="939" spans="2:11">
      <c r="B939" s="6"/>
      <c r="C939" s="24"/>
      <c r="D939" s="5"/>
      <c r="E939" s="5"/>
      <c r="F939" s="4"/>
      <c r="G939" s="4"/>
      <c r="H939" s="4"/>
      <c r="I939" s="4"/>
      <c r="J939" s="4"/>
      <c r="K939" s="4"/>
    </row>
    <row r="940" spans="2:11">
      <c r="B940" s="6"/>
      <c r="C940" s="24"/>
      <c r="D940" s="5"/>
      <c r="E940" s="5"/>
      <c r="F940" s="4"/>
      <c r="G940" s="4"/>
      <c r="H940" s="4"/>
      <c r="I940" s="4"/>
      <c r="J940" s="4"/>
      <c r="K940" s="4"/>
    </row>
    <row r="941" spans="2:11">
      <c r="B941" s="6"/>
      <c r="C941" s="24"/>
      <c r="D941" s="5"/>
      <c r="E941" s="5"/>
      <c r="F941" s="4"/>
      <c r="G941" s="4"/>
      <c r="H941" s="4"/>
      <c r="I941" s="4"/>
      <c r="J941" s="4"/>
      <c r="K941" s="4"/>
    </row>
    <row r="942" spans="2:11">
      <c r="B942" s="6"/>
      <c r="C942" s="24"/>
      <c r="D942" s="5"/>
      <c r="E942" s="5"/>
      <c r="F942" s="4"/>
      <c r="G942" s="4"/>
      <c r="H942" s="4"/>
      <c r="I942" s="4"/>
      <c r="J942" s="4"/>
      <c r="K942" s="4"/>
    </row>
    <row r="943" spans="2:11">
      <c r="B943" s="6"/>
      <c r="C943" s="24"/>
      <c r="D943" s="5"/>
      <c r="E943" s="5"/>
      <c r="F943" s="4"/>
      <c r="G943" s="4"/>
      <c r="H943" s="4"/>
      <c r="I943" s="4"/>
      <c r="J943" s="4"/>
      <c r="K943" s="4"/>
    </row>
    <row r="944" spans="2:11">
      <c r="B944" s="6"/>
      <c r="C944" s="24"/>
      <c r="D944" s="5"/>
      <c r="E944" s="5"/>
      <c r="F944" s="4"/>
      <c r="G944" s="4"/>
      <c r="H944" s="4"/>
      <c r="I944" s="4"/>
      <c r="J944" s="4"/>
      <c r="K944" s="4"/>
    </row>
    <row r="945" spans="2:11">
      <c r="B945" s="6"/>
      <c r="C945" s="24"/>
      <c r="D945" s="5"/>
      <c r="E945" s="5"/>
      <c r="F945" s="4"/>
      <c r="G945" s="4"/>
      <c r="H945" s="4"/>
      <c r="I945" s="4"/>
      <c r="J945" s="4"/>
      <c r="K945" s="4"/>
    </row>
    <row r="946" spans="2:11">
      <c r="B946" s="6"/>
      <c r="C946" s="24"/>
      <c r="D946" s="5"/>
      <c r="E946" s="5"/>
      <c r="F946" s="4"/>
      <c r="G946" s="4"/>
      <c r="H946" s="4"/>
      <c r="I946" s="4"/>
      <c r="J946" s="4"/>
      <c r="K946" s="4"/>
    </row>
    <row r="947" spans="2:11">
      <c r="B947" s="6"/>
      <c r="C947" s="24"/>
      <c r="D947" s="5"/>
      <c r="E947" s="5"/>
      <c r="F947" s="4"/>
      <c r="G947" s="4"/>
      <c r="H947" s="4"/>
      <c r="I947" s="4"/>
      <c r="J947" s="4"/>
      <c r="K947" s="4"/>
    </row>
    <row r="948" spans="2:11">
      <c r="B948" s="6"/>
      <c r="C948" s="24"/>
      <c r="D948" s="5"/>
      <c r="E948" s="5"/>
      <c r="F948" s="4"/>
      <c r="G948" s="4"/>
      <c r="H948" s="4"/>
      <c r="I948" s="4"/>
      <c r="J948" s="4"/>
      <c r="K948" s="4"/>
    </row>
    <row r="949" spans="2:11">
      <c r="B949" s="6"/>
      <c r="C949" s="24"/>
      <c r="D949" s="5"/>
      <c r="E949" s="5"/>
      <c r="F949" s="4"/>
      <c r="G949" s="4"/>
      <c r="H949" s="4"/>
      <c r="I949" s="4"/>
      <c r="J949" s="4"/>
      <c r="K949" s="4"/>
    </row>
    <row r="950" spans="2:11">
      <c r="B950" s="6"/>
      <c r="C950" s="24"/>
      <c r="D950" s="5"/>
      <c r="E950" s="5"/>
      <c r="F950" s="4"/>
      <c r="G950" s="4"/>
      <c r="H950" s="4"/>
      <c r="I950" s="4"/>
      <c r="J950" s="4"/>
      <c r="K950" s="4"/>
    </row>
    <row r="951" spans="2:11">
      <c r="B951" s="6"/>
      <c r="C951" s="24"/>
      <c r="D951" s="5"/>
      <c r="E951" s="5"/>
      <c r="F951" s="4"/>
      <c r="G951" s="4"/>
      <c r="H951" s="4"/>
      <c r="I951" s="4"/>
      <c r="J951" s="4"/>
      <c r="K951" s="4"/>
    </row>
    <row r="952" spans="2:11">
      <c r="B952" s="6"/>
      <c r="C952" s="24"/>
      <c r="D952" s="5"/>
      <c r="E952" s="5"/>
      <c r="F952" s="4"/>
      <c r="G952" s="4"/>
      <c r="H952" s="4"/>
      <c r="I952" s="4"/>
      <c r="J952" s="4"/>
      <c r="K952" s="4"/>
    </row>
    <row r="953" spans="2:11">
      <c r="B953" s="6"/>
      <c r="C953" s="24"/>
      <c r="D953" s="5"/>
      <c r="E953" s="5"/>
      <c r="F953" s="4"/>
      <c r="G953" s="4"/>
      <c r="H953" s="4"/>
      <c r="I953" s="4"/>
      <c r="J953" s="4"/>
      <c r="K953" s="4"/>
    </row>
    <row r="954" spans="2:11">
      <c r="B954" s="6"/>
      <c r="C954" s="24"/>
      <c r="D954" s="5"/>
      <c r="E954" s="5"/>
      <c r="F954" s="4"/>
      <c r="G954" s="4"/>
      <c r="H954" s="4"/>
      <c r="I954" s="4"/>
      <c r="J954" s="4"/>
      <c r="K954" s="4"/>
    </row>
    <row r="955" spans="2:11">
      <c r="B955" s="6"/>
      <c r="C955" s="24"/>
      <c r="D955" s="5"/>
      <c r="E955" s="5"/>
      <c r="F955" s="4"/>
      <c r="G955" s="4"/>
      <c r="H955" s="4"/>
      <c r="I955" s="4"/>
      <c r="J955" s="4"/>
      <c r="K955" s="4"/>
    </row>
    <row r="956" spans="2:11">
      <c r="B956" s="6"/>
      <c r="C956" s="24"/>
      <c r="D956" s="5"/>
      <c r="E956" s="5"/>
      <c r="F956" s="4"/>
      <c r="G956" s="4"/>
      <c r="H956" s="4"/>
      <c r="I956" s="4"/>
      <c r="J956" s="4"/>
      <c r="K956" s="4"/>
    </row>
    <row r="957" spans="2:11">
      <c r="B957" s="6"/>
      <c r="C957" s="24"/>
      <c r="D957" s="5"/>
      <c r="E957" s="5"/>
      <c r="F957" s="4"/>
      <c r="G957" s="4"/>
      <c r="H957" s="4"/>
      <c r="I957" s="4"/>
      <c r="J957" s="4"/>
      <c r="K957" s="4"/>
    </row>
    <row r="958" spans="2:11">
      <c r="B958" s="6"/>
      <c r="C958" s="24"/>
      <c r="D958" s="5"/>
      <c r="E958" s="5"/>
      <c r="F958" s="4"/>
      <c r="G958" s="4"/>
      <c r="H958" s="4"/>
      <c r="I958" s="4"/>
      <c r="J958" s="4"/>
      <c r="K958" s="4"/>
    </row>
    <row r="959" spans="2:11">
      <c r="B959" s="6"/>
      <c r="C959" s="24"/>
      <c r="D959" s="5"/>
      <c r="E959" s="5"/>
      <c r="F959" s="4"/>
      <c r="G959" s="4"/>
      <c r="H959" s="4"/>
      <c r="I959" s="4"/>
      <c r="J959" s="4"/>
      <c r="K959" s="4"/>
    </row>
    <row r="960" spans="2:11">
      <c r="B960" s="6"/>
      <c r="C960" s="24"/>
      <c r="D960" s="5"/>
      <c r="E960" s="5"/>
      <c r="F960" s="4"/>
      <c r="G960" s="4"/>
      <c r="H960" s="4"/>
      <c r="I960" s="4"/>
      <c r="J960" s="4"/>
      <c r="K960" s="4"/>
    </row>
    <row r="961" spans="2:11">
      <c r="B961" s="6"/>
      <c r="C961" s="24"/>
      <c r="D961" s="5"/>
      <c r="E961" s="5"/>
      <c r="F961" s="4"/>
      <c r="G961" s="4"/>
      <c r="H961" s="4"/>
      <c r="I961" s="4"/>
      <c r="J961" s="4"/>
      <c r="K961" s="4"/>
    </row>
    <row r="962" spans="2:11">
      <c r="B962" s="6"/>
      <c r="C962" s="24"/>
      <c r="D962" s="5"/>
      <c r="E962" s="5"/>
      <c r="F962" s="4"/>
      <c r="G962" s="4"/>
      <c r="H962" s="4"/>
      <c r="I962" s="4"/>
      <c r="J962" s="4"/>
      <c r="K962" s="4"/>
    </row>
    <row r="963" spans="2:11">
      <c r="B963" s="6"/>
      <c r="C963" s="24"/>
      <c r="D963" s="5"/>
      <c r="E963" s="5"/>
      <c r="F963" s="4"/>
      <c r="G963" s="4"/>
      <c r="H963" s="4"/>
      <c r="I963" s="4"/>
      <c r="J963" s="4"/>
      <c r="K963" s="4"/>
    </row>
    <row r="964" spans="2:11">
      <c r="B964" s="6"/>
      <c r="C964" s="24"/>
      <c r="D964" s="5"/>
      <c r="E964" s="5"/>
      <c r="F964" s="4"/>
      <c r="G964" s="4"/>
      <c r="H964" s="4"/>
      <c r="I964" s="4"/>
      <c r="J964" s="4"/>
      <c r="K964" s="4"/>
    </row>
    <row r="965" spans="2:11">
      <c r="B965" s="6"/>
      <c r="C965" s="24"/>
      <c r="D965" s="5"/>
      <c r="E965" s="5"/>
      <c r="F965" s="4"/>
      <c r="G965" s="4"/>
      <c r="H965" s="4"/>
      <c r="I965" s="4"/>
      <c r="J965" s="4"/>
      <c r="K965" s="4"/>
    </row>
    <row r="966" spans="2:11">
      <c r="B966" s="6"/>
      <c r="C966" s="24"/>
      <c r="D966" s="5"/>
      <c r="E966" s="5"/>
      <c r="F966" s="4"/>
      <c r="G966" s="4"/>
      <c r="H966" s="4"/>
      <c r="I966" s="4"/>
      <c r="J966" s="4"/>
      <c r="K966" s="4"/>
    </row>
    <row r="967" spans="2:11">
      <c r="B967" s="6"/>
      <c r="C967" s="24"/>
      <c r="D967" s="5"/>
      <c r="E967" s="5"/>
      <c r="F967" s="4"/>
      <c r="G967" s="4"/>
      <c r="H967" s="4"/>
      <c r="I967" s="4"/>
      <c r="J967" s="4"/>
      <c r="K967" s="4"/>
    </row>
    <row r="968" spans="2:11">
      <c r="B968" s="6"/>
      <c r="C968" s="24"/>
      <c r="D968" s="5"/>
      <c r="E968" s="5"/>
      <c r="F968" s="4"/>
      <c r="G968" s="4"/>
      <c r="H968" s="4"/>
      <c r="I968" s="4"/>
      <c r="J968" s="4"/>
      <c r="K968" s="4"/>
    </row>
    <row r="969" spans="2:11">
      <c r="B969" s="6"/>
      <c r="C969" s="24"/>
      <c r="D969" s="5"/>
      <c r="E969" s="5"/>
      <c r="F969" s="4"/>
      <c r="G969" s="4"/>
      <c r="H969" s="4"/>
      <c r="I969" s="4"/>
      <c r="J969" s="4"/>
      <c r="K969" s="4"/>
    </row>
    <row r="970" spans="2:11">
      <c r="B970" s="6"/>
      <c r="C970" s="24"/>
      <c r="D970" s="5"/>
      <c r="E970" s="5"/>
      <c r="F970" s="4"/>
      <c r="G970" s="4"/>
      <c r="H970" s="4"/>
      <c r="I970" s="4"/>
      <c r="J970" s="4"/>
      <c r="K970" s="4"/>
    </row>
    <row r="971" spans="2:11">
      <c r="B971" s="6"/>
      <c r="C971" s="24"/>
      <c r="D971" s="5"/>
      <c r="E971" s="5"/>
      <c r="F971" s="4"/>
      <c r="G971" s="4"/>
      <c r="H971" s="4"/>
      <c r="I971" s="4"/>
      <c r="J971" s="4"/>
      <c r="K971" s="4"/>
    </row>
    <row r="972" spans="2:11">
      <c r="B972" s="6"/>
      <c r="C972" s="24"/>
      <c r="D972" s="5"/>
      <c r="E972" s="5"/>
      <c r="F972" s="4"/>
      <c r="G972" s="4"/>
      <c r="H972" s="4"/>
      <c r="I972" s="4"/>
      <c r="J972" s="4"/>
      <c r="K972" s="4"/>
    </row>
    <row r="973" spans="2:11">
      <c r="B973" s="6"/>
      <c r="C973" s="24"/>
      <c r="D973" s="5"/>
      <c r="E973" s="5"/>
      <c r="F973" s="4"/>
      <c r="G973" s="4"/>
      <c r="H973" s="4"/>
      <c r="I973" s="4"/>
      <c r="J973" s="4"/>
      <c r="K973" s="4"/>
    </row>
    <row r="974" spans="2:11">
      <c r="B974" s="6"/>
      <c r="C974" s="24"/>
      <c r="D974" s="5"/>
      <c r="E974" s="5"/>
      <c r="F974" s="4"/>
      <c r="G974" s="4"/>
      <c r="H974" s="4"/>
      <c r="I974" s="4"/>
      <c r="J974" s="4"/>
      <c r="K974" s="4"/>
    </row>
    <row r="975" spans="2:11">
      <c r="B975" s="6"/>
      <c r="C975" s="24"/>
      <c r="D975" s="5"/>
      <c r="E975" s="5"/>
      <c r="F975" s="4"/>
      <c r="G975" s="4"/>
      <c r="H975" s="4"/>
      <c r="I975" s="4"/>
      <c r="J975" s="4"/>
      <c r="K975" s="4"/>
    </row>
    <row r="976" spans="2:11">
      <c r="B976" s="6"/>
      <c r="C976" s="24"/>
      <c r="D976" s="5"/>
      <c r="E976" s="5"/>
      <c r="F976" s="4"/>
      <c r="G976" s="4"/>
      <c r="H976" s="4"/>
      <c r="I976" s="4"/>
      <c r="J976" s="4"/>
      <c r="K976" s="4"/>
    </row>
    <row r="977" spans="2:11">
      <c r="B977" s="6"/>
      <c r="C977" s="24"/>
      <c r="D977" s="5"/>
      <c r="E977" s="5"/>
      <c r="F977" s="4"/>
      <c r="G977" s="4"/>
      <c r="H977" s="4"/>
      <c r="I977" s="4"/>
      <c r="J977" s="4"/>
      <c r="K977" s="4"/>
    </row>
    <row r="978" spans="2:11">
      <c r="B978" s="6"/>
      <c r="C978" s="24"/>
      <c r="D978" s="5"/>
      <c r="E978" s="5"/>
      <c r="F978" s="4"/>
      <c r="G978" s="4"/>
      <c r="H978" s="4"/>
      <c r="I978" s="4"/>
      <c r="J978" s="4"/>
      <c r="K978" s="4"/>
    </row>
    <row r="979" spans="2:11">
      <c r="B979" s="6"/>
      <c r="C979" s="24"/>
      <c r="D979" s="5"/>
      <c r="E979" s="5"/>
      <c r="F979" s="4"/>
      <c r="G979" s="4"/>
      <c r="H979" s="4"/>
      <c r="I979" s="4"/>
      <c r="J979" s="4"/>
      <c r="K979" s="4"/>
    </row>
    <row r="980" spans="2:11">
      <c r="B980" s="6"/>
      <c r="C980" s="24"/>
      <c r="D980" s="5"/>
      <c r="E980" s="5"/>
      <c r="F980" s="4"/>
      <c r="G980" s="4"/>
      <c r="H980" s="4"/>
      <c r="I980" s="4"/>
      <c r="J980" s="4"/>
      <c r="K980" s="4"/>
    </row>
    <row r="981" spans="2:11">
      <c r="B981" s="6"/>
      <c r="C981" s="24"/>
      <c r="D981" s="5"/>
      <c r="E981" s="5"/>
      <c r="F981" s="4"/>
      <c r="G981" s="4"/>
      <c r="H981" s="4"/>
      <c r="I981" s="4"/>
      <c r="J981" s="4"/>
      <c r="K981" s="4"/>
    </row>
    <row r="982" spans="2:11">
      <c r="B982" s="6"/>
      <c r="C982" s="24"/>
      <c r="D982" s="5"/>
      <c r="E982" s="5"/>
      <c r="F982" s="4"/>
      <c r="G982" s="4"/>
      <c r="H982" s="4"/>
      <c r="I982" s="4"/>
      <c r="J982" s="4"/>
      <c r="K982" s="4"/>
    </row>
    <row r="983" spans="2:11">
      <c r="B983" s="6"/>
      <c r="C983" s="24"/>
      <c r="D983" s="5"/>
      <c r="E983" s="5"/>
      <c r="F983" s="4"/>
      <c r="G983" s="4"/>
      <c r="H983" s="4"/>
      <c r="I983" s="4"/>
      <c r="J983" s="4"/>
      <c r="K983" s="4"/>
    </row>
    <row r="984" spans="2:11">
      <c r="B984" s="6"/>
      <c r="C984" s="24"/>
      <c r="D984" s="5"/>
      <c r="E984" s="5"/>
      <c r="F984" s="4"/>
      <c r="G984" s="4"/>
      <c r="H984" s="4"/>
      <c r="I984" s="4"/>
      <c r="J984" s="4"/>
      <c r="K984" s="4"/>
    </row>
    <row r="985" spans="2:11">
      <c r="B985" s="6"/>
      <c r="C985" s="24"/>
      <c r="D985" s="5"/>
      <c r="E985" s="5"/>
      <c r="F985" s="4"/>
      <c r="G985" s="4"/>
      <c r="H985" s="4"/>
      <c r="I985" s="4"/>
      <c r="J985" s="4"/>
      <c r="K985" s="4"/>
    </row>
    <row r="986" spans="2:11">
      <c r="B986" s="6"/>
      <c r="C986" s="24"/>
      <c r="D986" s="5"/>
      <c r="E986" s="5"/>
      <c r="F986" s="4"/>
      <c r="G986" s="4"/>
      <c r="H986" s="4"/>
      <c r="I986" s="4"/>
      <c r="J986" s="4"/>
      <c r="K986" s="4"/>
    </row>
    <row r="987" spans="2:11">
      <c r="B987" s="6"/>
      <c r="C987" s="24"/>
      <c r="D987" s="5"/>
      <c r="E987" s="5"/>
      <c r="F987" s="4"/>
      <c r="G987" s="4"/>
      <c r="H987" s="4"/>
      <c r="I987" s="4"/>
      <c r="J987" s="4"/>
      <c r="K987" s="4"/>
    </row>
    <row r="988" spans="2:11">
      <c r="B988" s="6"/>
      <c r="C988" s="24"/>
      <c r="D988" s="5"/>
      <c r="E988" s="5"/>
      <c r="F988" s="4"/>
      <c r="G988" s="4"/>
      <c r="H988" s="4"/>
      <c r="I988" s="4"/>
      <c r="J988" s="4"/>
      <c r="K988" s="4"/>
    </row>
    <row r="989" spans="2:11">
      <c r="B989" s="6"/>
      <c r="C989" s="24"/>
      <c r="D989" s="5"/>
      <c r="E989" s="5"/>
      <c r="F989" s="4"/>
      <c r="G989" s="4"/>
      <c r="H989" s="4"/>
      <c r="I989" s="4"/>
      <c r="J989" s="4"/>
      <c r="K989" s="4"/>
    </row>
    <row r="990" spans="2:11">
      <c r="B990" s="6"/>
      <c r="C990" s="24"/>
      <c r="D990" s="5"/>
      <c r="E990" s="5"/>
      <c r="F990" s="4"/>
      <c r="G990" s="4"/>
      <c r="H990" s="4"/>
      <c r="I990" s="4"/>
      <c r="J990" s="4"/>
      <c r="K990" s="4"/>
    </row>
    <row r="991" spans="2:11">
      <c r="B991" s="6"/>
      <c r="C991" s="24"/>
      <c r="D991" s="5"/>
      <c r="E991" s="5"/>
      <c r="F991" s="4"/>
      <c r="G991" s="4"/>
      <c r="H991" s="4"/>
      <c r="I991" s="4"/>
      <c r="J991" s="4"/>
      <c r="K991" s="4"/>
    </row>
    <row r="992" spans="2:11">
      <c r="B992" s="6"/>
      <c r="C992" s="24"/>
      <c r="D992" s="5"/>
      <c r="E992" s="5"/>
      <c r="F992" s="4"/>
      <c r="G992" s="4"/>
      <c r="H992" s="4"/>
      <c r="I992" s="4"/>
      <c r="J992" s="4"/>
      <c r="K992" s="4"/>
    </row>
    <row r="993" spans="2:11">
      <c r="B993" s="6"/>
      <c r="C993" s="24"/>
      <c r="D993" s="5"/>
      <c r="E993" s="5"/>
      <c r="F993" s="4"/>
      <c r="G993" s="4"/>
      <c r="H993" s="4"/>
      <c r="I993" s="4"/>
      <c r="J993" s="4"/>
      <c r="K993" s="4"/>
    </row>
    <row r="994" spans="2:11">
      <c r="B994" s="6"/>
      <c r="C994" s="24"/>
      <c r="D994" s="5"/>
      <c r="E994" s="5"/>
      <c r="F994" s="4"/>
      <c r="G994" s="4"/>
      <c r="H994" s="4"/>
      <c r="I994" s="4"/>
      <c r="J994" s="4"/>
      <c r="K994" s="4"/>
    </row>
    <row r="995" spans="2:11">
      <c r="B995" s="6"/>
      <c r="C995" s="24"/>
      <c r="D995" s="5"/>
      <c r="E995" s="5"/>
      <c r="F995" s="4"/>
      <c r="G995" s="4"/>
      <c r="H995" s="4"/>
      <c r="I995" s="4"/>
      <c r="J995" s="4"/>
      <c r="K995" s="4"/>
    </row>
    <row r="996" spans="2:11">
      <c r="B996" s="6"/>
      <c r="C996" s="24"/>
      <c r="D996" s="5"/>
      <c r="E996" s="5"/>
      <c r="F996" s="4"/>
      <c r="G996" s="4"/>
      <c r="H996" s="4"/>
      <c r="I996" s="4"/>
      <c r="J996" s="4"/>
      <c r="K996" s="4"/>
    </row>
    <row r="997" spans="2:11">
      <c r="B997" s="6"/>
      <c r="C997" s="24"/>
      <c r="D997" s="5"/>
      <c r="E997" s="5"/>
      <c r="F997" s="4"/>
      <c r="G997" s="4"/>
      <c r="H997" s="4"/>
      <c r="I997" s="4"/>
      <c r="J997" s="4"/>
      <c r="K997" s="4"/>
    </row>
    <row r="998" spans="2:11">
      <c r="B998" s="6"/>
      <c r="C998" s="24"/>
      <c r="D998" s="5"/>
      <c r="E998" s="5"/>
      <c r="F998" s="4"/>
      <c r="G998" s="4"/>
      <c r="H998" s="4"/>
      <c r="I998" s="4"/>
      <c r="J998" s="4"/>
      <c r="K998" s="4"/>
    </row>
    <row r="999" spans="2:11">
      <c r="B999" s="6"/>
      <c r="C999" s="24"/>
      <c r="D999" s="5"/>
      <c r="E999" s="5"/>
      <c r="F999" s="4"/>
      <c r="G999" s="4"/>
      <c r="H999" s="4"/>
      <c r="I999" s="4"/>
      <c r="J999" s="4"/>
      <c r="K999" s="4"/>
    </row>
    <row r="1000" spans="2:11">
      <c r="B1000" s="6"/>
      <c r="C1000" s="24"/>
      <c r="D1000" s="5"/>
      <c r="E1000" s="5"/>
      <c r="F1000" s="4"/>
      <c r="G1000" s="4"/>
      <c r="H1000" s="4"/>
      <c r="I1000" s="4"/>
      <c r="J1000" s="4"/>
      <c r="K1000" s="4"/>
    </row>
    <row r="1001" spans="2:11">
      <c r="B1001" s="6"/>
      <c r="C1001" s="24"/>
      <c r="D1001" s="5"/>
      <c r="E1001" s="5"/>
      <c r="F1001" s="4"/>
      <c r="G1001" s="4"/>
      <c r="H1001" s="4"/>
      <c r="I1001" s="4"/>
      <c r="J1001" s="4"/>
      <c r="K1001" s="4"/>
    </row>
    <row r="1002" spans="2:11">
      <c r="B1002" s="6"/>
      <c r="C1002" s="24"/>
      <c r="D1002" s="5"/>
      <c r="E1002" s="5"/>
      <c r="F1002" s="4"/>
      <c r="G1002" s="4"/>
      <c r="H1002" s="4"/>
      <c r="I1002" s="4"/>
      <c r="J1002" s="4"/>
      <c r="K1002" s="4"/>
    </row>
    <row r="1003" spans="2:11">
      <c r="B1003" s="6"/>
      <c r="C1003" s="24"/>
      <c r="D1003" s="5"/>
      <c r="E1003" s="5"/>
      <c r="F1003" s="4"/>
      <c r="G1003" s="4"/>
      <c r="H1003" s="4"/>
      <c r="I1003" s="4"/>
      <c r="J1003" s="4"/>
      <c r="K1003" s="4"/>
    </row>
    <row r="1004" spans="2:11">
      <c r="B1004" s="6"/>
      <c r="C1004" s="24"/>
      <c r="D1004" s="5"/>
      <c r="E1004" s="5"/>
      <c r="F1004" s="4"/>
      <c r="G1004" s="4"/>
      <c r="H1004" s="4"/>
      <c r="I1004" s="4"/>
      <c r="J1004" s="4"/>
      <c r="K1004" s="4"/>
    </row>
    <row r="1005" spans="2:11">
      <c r="B1005" s="6"/>
      <c r="C1005" s="24"/>
      <c r="D1005" s="5"/>
      <c r="E1005" s="5"/>
      <c r="F1005" s="4"/>
      <c r="G1005" s="4"/>
      <c r="H1005" s="4"/>
      <c r="I1005" s="4"/>
      <c r="J1005" s="4"/>
      <c r="K1005" s="4"/>
    </row>
    <row r="1006" spans="2:11">
      <c r="B1006" s="6"/>
      <c r="C1006" s="24"/>
      <c r="D1006" s="5"/>
      <c r="E1006" s="5"/>
      <c r="F1006" s="4"/>
      <c r="G1006" s="4"/>
      <c r="H1006" s="4"/>
      <c r="I1006" s="4"/>
      <c r="J1006" s="4"/>
      <c r="K1006" s="4"/>
    </row>
    <row r="1007" spans="2:11">
      <c r="B1007" s="6"/>
      <c r="C1007" s="24"/>
      <c r="D1007" s="5"/>
      <c r="E1007" s="5"/>
      <c r="F1007" s="4"/>
      <c r="G1007" s="4"/>
      <c r="H1007" s="4"/>
      <c r="I1007" s="4"/>
      <c r="J1007" s="4"/>
      <c r="K1007" s="4"/>
    </row>
    <row r="1008" spans="2:11">
      <c r="B1008" s="6"/>
      <c r="C1008" s="24"/>
      <c r="D1008" s="5"/>
      <c r="E1008" s="5"/>
      <c r="F1008" s="4"/>
      <c r="G1008" s="4"/>
      <c r="H1008" s="4"/>
      <c r="I1008" s="4"/>
      <c r="J1008" s="4"/>
      <c r="K1008" s="4"/>
    </row>
    <row r="1009" spans="2:11">
      <c r="B1009" s="6"/>
      <c r="C1009" s="24"/>
      <c r="D1009" s="5"/>
      <c r="E1009" s="5"/>
      <c r="F1009" s="4"/>
      <c r="G1009" s="4"/>
      <c r="H1009" s="4"/>
      <c r="I1009" s="4"/>
      <c r="J1009" s="4"/>
      <c r="K1009" s="4"/>
    </row>
    <row r="1010" spans="2:11">
      <c r="B1010" s="6"/>
      <c r="C1010" s="24"/>
      <c r="D1010" s="5"/>
      <c r="E1010" s="5"/>
      <c r="F1010" s="4"/>
      <c r="G1010" s="4"/>
      <c r="H1010" s="4"/>
      <c r="I1010" s="4"/>
      <c r="J1010" s="4"/>
      <c r="K1010" s="4"/>
    </row>
    <row r="1011" spans="2:11">
      <c r="B1011" s="6"/>
      <c r="C1011" s="24"/>
      <c r="D1011" s="5"/>
      <c r="E1011" s="5"/>
      <c r="F1011" s="4"/>
      <c r="G1011" s="4"/>
      <c r="H1011" s="4"/>
      <c r="I1011" s="4"/>
      <c r="J1011" s="4"/>
      <c r="K1011" s="4"/>
    </row>
    <row r="1012" spans="2:11">
      <c r="B1012" s="6"/>
      <c r="C1012" s="24"/>
      <c r="D1012" s="5"/>
      <c r="E1012" s="5"/>
      <c r="F1012" s="4"/>
      <c r="G1012" s="4"/>
      <c r="H1012" s="4"/>
      <c r="I1012" s="4"/>
      <c r="J1012" s="4"/>
      <c r="K1012" s="4"/>
    </row>
    <row r="1013" spans="2:11">
      <c r="B1013" s="6"/>
      <c r="C1013" s="24"/>
      <c r="D1013" s="5"/>
      <c r="E1013" s="5"/>
      <c r="F1013" s="4"/>
      <c r="G1013" s="4"/>
      <c r="H1013" s="4"/>
      <c r="I1013" s="4"/>
      <c r="J1013" s="4"/>
      <c r="K1013" s="4"/>
    </row>
    <row r="1014" spans="2:11">
      <c r="B1014" s="6"/>
      <c r="C1014" s="24"/>
      <c r="D1014" s="5"/>
      <c r="E1014" s="5"/>
      <c r="F1014" s="4"/>
      <c r="G1014" s="4"/>
      <c r="H1014" s="4"/>
      <c r="I1014" s="4"/>
      <c r="J1014" s="4"/>
      <c r="K1014" s="4"/>
    </row>
    <row r="1015" spans="2:11">
      <c r="B1015" s="6"/>
      <c r="C1015" s="24"/>
      <c r="D1015" s="5"/>
      <c r="E1015" s="5"/>
      <c r="F1015" s="4"/>
      <c r="G1015" s="4"/>
      <c r="H1015" s="4"/>
      <c r="I1015" s="4"/>
      <c r="J1015" s="4"/>
      <c r="K1015" s="4"/>
    </row>
    <row r="1016" spans="2:11">
      <c r="B1016" s="6"/>
      <c r="C1016" s="24"/>
      <c r="D1016" s="5"/>
      <c r="E1016" s="5"/>
      <c r="F1016" s="4"/>
      <c r="G1016" s="4"/>
      <c r="H1016" s="4"/>
      <c r="I1016" s="4"/>
      <c r="J1016" s="4"/>
      <c r="K1016" s="4"/>
    </row>
    <row r="1017" spans="2:11">
      <c r="B1017" s="6"/>
      <c r="C1017" s="24"/>
      <c r="D1017" s="5"/>
      <c r="E1017" s="5"/>
      <c r="F1017" s="4"/>
      <c r="G1017" s="4"/>
      <c r="H1017" s="4"/>
      <c r="I1017" s="4"/>
      <c r="J1017" s="4"/>
      <c r="K1017" s="4"/>
    </row>
    <row r="1018" spans="2:11">
      <c r="B1018" s="6"/>
      <c r="C1018" s="24"/>
      <c r="D1018" s="5"/>
      <c r="E1018" s="5"/>
      <c r="F1018" s="4"/>
      <c r="G1018" s="4"/>
      <c r="H1018" s="4"/>
      <c r="I1018" s="4"/>
      <c r="J1018" s="4"/>
      <c r="K1018" s="4"/>
    </row>
    <row r="1019" spans="2:11">
      <c r="B1019" s="6"/>
      <c r="C1019" s="24"/>
      <c r="D1019" s="5"/>
      <c r="E1019" s="5"/>
      <c r="F1019" s="4"/>
      <c r="G1019" s="4"/>
      <c r="H1019" s="4"/>
      <c r="I1019" s="4"/>
      <c r="J1019" s="4"/>
      <c r="K1019" s="4"/>
    </row>
    <row r="1020" spans="2:11">
      <c r="B1020" s="6"/>
      <c r="C1020" s="24"/>
      <c r="D1020" s="5"/>
      <c r="E1020" s="5"/>
      <c r="F1020" s="4"/>
      <c r="G1020" s="4"/>
      <c r="H1020" s="4"/>
      <c r="I1020" s="4"/>
      <c r="J1020" s="4"/>
      <c r="K1020" s="4"/>
    </row>
    <row r="1021" spans="2:11">
      <c r="B1021" s="6"/>
      <c r="C1021" s="24"/>
      <c r="D1021" s="5"/>
      <c r="E1021" s="5"/>
      <c r="F1021" s="4"/>
      <c r="G1021" s="4"/>
      <c r="H1021" s="4"/>
      <c r="I1021" s="4"/>
      <c r="J1021" s="4"/>
      <c r="K1021" s="4"/>
    </row>
    <row r="1022" spans="2:11">
      <c r="B1022" s="6"/>
      <c r="C1022" s="24"/>
      <c r="D1022" s="5"/>
      <c r="E1022" s="5"/>
      <c r="F1022" s="4"/>
      <c r="G1022" s="4"/>
      <c r="H1022" s="4"/>
      <c r="I1022" s="4"/>
      <c r="J1022" s="4"/>
      <c r="K1022" s="4"/>
    </row>
    <row r="1023" spans="2:11">
      <c r="B1023" s="6"/>
      <c r="C1023" s="24"/>
      <c r="D1023" s="5"/>
      <c r="E1023" s="5"/>
      <c r="F1023" s="4"/>
      <c r="G1023" s="4"/>
      <c r="H1023" s="4"/>
      <c r="I1023" s="4"/>
      <c r="J1023" s="4"/>
      <c r="K1023" s="4"/>
    </row>
    <row r="1024" spans="2:11">
      <c r="B1024" s="6"/>
      <c r="C1024" s="24"/>
      <c r="D1024" s="5"/>
      <c r="E1024" s="5"/>
      <c r="F1024" s="4"/>
      <c r="G1024" s="4"/>
      <c r="H1024" s="4"/>
      <c r="I1024" s="4"/>
      <c r="J1024" s="4"/>
      <c r="K1024" s="4"/>
    </row>
    <row r="1025" spans="2:11">
      <c r="B1025" s="6"/>
      <c r="C1025" s="24"/>
      <c r="D1025" s="5"/>
      <c r="E1025" s="5"/>
      <c r="F1025" s="4"/>
      <c r="G1025" s="4"/>
      <c r="H1025" s="4"/>
      <c r="I1025" s="4"/>
      <c r="J1025" s="4"/>
      <c r="K1025" s="4"/>
    </row>
    <row r="1026" spans="2:11">
      <c r="B1026" s="6"/>
      <c r="C1026" s="24"/>
      <c r="D1026" s="5"/>
      <c r="E1026" s="5"/>
      <c r="F1026" s="4"/>
      <c r="G1026" s="4"/>
      <c r="H1026" s="4"/>
      <c r="I1026" s="4"/>
      <c r="J1026" s="4"/>
      <c r="K1026" s="4"/>
    </row>
    <row r="1027" spans="2:11">
      <c r="B1027" s="6"/>
      <c r="C1027" s="24"/>
      <c r="D1027" s="5"/>
      <c r="E1027" s="5"/>
      <c r="F1027" s="4"/>
      <c r="G1027" s="4"/>
      <c r="H1027" s="4"/>
      <c r="I1027" s="4"/>
      <c r="J1027" s="4"/>
      <c r="K1027" s="4"/>
    </row>
    <row r="1028" spans="2:11">
      <c r="B1028" s="6"/>
      <c r="C1028" s="24"/>
      <c r="D1028" s="5"/>
      <c r="E1028" s="5"/>
      <c r="F1028" s="4"/>
      <c r="G1028" s="4"/>
      <c r="H1028" s="4"/>
      <c r="I1028" s="4"/>
      <c r="J1028" s="4"/>
      <c r="K1028" s="4"/>
    </row>
    <row r="1029" spans="2:11">
      <c r="B1029" s="6"/>
      <c r="C1029" s="24"/>
      <c r="D1029" s="5"/>
      <c r="E1029" s="5"/>
      <c r="F1029" s="4"/>
      <c r="G1029" s="4"/>
      <c r="H1029" s="4"/>
      <c r="I1029" s="4"/>
      <c r="J1029" s="4"/>
      <c r="K1029" s="4"/>
    </row>
    <row r="1030" spans="2:11">
      <c r="B1030" s="6"/>
      <c r="C1030" s="24"/>
      <c r="D1030" s="5"/>
      <c r="E1030" s="5"/>
      <c r="F1030" s="4"/>
      <c r="G1030" s="4"/>
      <c r="H1030" s="4"/>
      <c r="I1030" s="4"/>
      <c r="J1030" s="4"/>
      <c r="K1030" s="4"/>
    </row>
    <row r="1031" spans="2:11">
      <c r="B1031" s="6"/>
      <c r="C1031" s="24"/>
      <c r="D1031" s="5"/>
      <c r="E1031" s="5"/>
      <c r="F1031" s="4"/>
      <c r="G1031" s="4"/>
      <c r="H1031" s="4"/>
      <c r="I1031" s="4"/>
      <c r="J1031" s="4"/>
      <c r="K1031" s="4"/>
    </row>
    <row r="1032" spans="2:11">
      <c r="B1032" s="6"/>
      <c r="C1032" s="24"/>
      <c r="D1032" s="5"/>
      <c r="E1032" s="5"/>
      <c r="F1032" s="4"/>
      <c r="G1032" s="4"/>
      <c r="H1032" s="4"/>
      <c r="I1032" s="4"/>
      <c r="J1032" s="4"/>
      <c r="K1032" s="4"/>
    </row>
    <row r="1033" spans="2:11">
      <c r="B1033" s="6"/>
      <c r="C1033" s="24"/>
      <c r="D1033" s="5"/>
      <c r="E1033" s="5"/>
      <c r="F1033" s="4"/>
      <c r="G1033" s="4"/>
      <c r="H1033" s="4"/>
      <c r="I1033" s="4"/>
      <c r="J1033" s="4"/>
      <c r="K1033" s="4"/>
    </row>
    <row r="1034" spans="2:11">
      <c r="B1034" s="6"/>
      <c r="C1034" s="24"/>
      <c r="D1034" s="5"/>
      <c r="E1034" s="5"/>
      <c r="F1034" s="4"/>
      <c r="G1034" s="4"/>
      <c r="H1034" s="4"/>
      <c r="I1034" s="4"/>
      <c r="J1034" s="4"/>
      <c r="K1034" s="4"/>
    </row>
    <row r="1035" spans="2:11">
      <c r="B1035" s="6"/>
      <c r="C1035" s="24"/>
      <c r="D1035" s="5"/>
      <c r="E1035" s="5"/>
      <c r="F1035" s="4"/>
      <c r="G1035" s="4"/>
      <c r="H1035" s="4"/>
      <c r="I1035" s="4"/>
      <c r="J1035" s="4"/>
      <c r="K1035" s="4"/>
    </row>
    <row r="1036" spans="2:11">
      <c r="B1036" s="6"/>
      <c r="C1036" s="24"/>
      <c r="D1036" s="5"/>
      <c r="E1036" s="5"/>
      <c r="F1036" s="4"/>
      <c r="G1036" s="4"/>
      <c r="H1036" s="4"/>
      <c r="I1036" s="4"/>
      <c r="J1036" s="4"/>
      <c r="K1036" s="4"/>
    </row>
    <row r="1037" spans="2:11">
      <c r="B1037" s="6"/>
      <c r="C1037" s="24"/>
      <c r="D1037" s="5"/>
      <c r="E1037" s="5"/>
      <c r="F1037" s="4"/>
      <c r="G1037" s="4"/>
      <c r="H1037" s="4"/>
      <c r="I1037" s="4"/>
      <c r="J1037" s="4"/>
      <c r="K1037" s="4"/>
    </row>
    <row r="1038" spans="2:11">
      <c r="B1038" s="6"/>
      <c r="C1038" s="24"/>
      <c r="D1038" s="5"/>
      <c r="E1038" s="5"/>
      <c r="F1038" s="4"/>
      <c r="G1038" s="4"/>
      <c r="H1038" s="4"/>
      <c r="I1038" s="4"/>
      <c r="J1038" s="4"/>
      <c r="K1038" s="4"/>
    </row>
    <row r="1039" spans="2:11">
      <c r="B1039" s="6"/>
      <c r="C1039" s="24"/>
      <c r="D1039" s="5"/>
      <c r="E1039" s="5"/>
      <c r="F1039" s="4"/>
      <c r="G1039" s="4"/>
      <c r="H1039" s="4"/>
      <c r="I1039" s="4"/>
      <c r="J1039" s="4"/>
      <c r="K1039" s="4"/>
    </row>
    <row r="1040" spans="2:11">
      <c r="B1040" s="6"/>
      <c r="C1040" s="24"/>
      <c r="D1040" s="5"/>
      <c r="E1040" s="5"/>
      <c r="F1040" s="4"/>
      <c r="G1040" s="4"/>
      <c r="H1040" s="4"/>
      <c r="I1040" s="4"/>
      <c r="J1040" s="4"/>
      <c r="K1040" s="4"/>
    </row>
    <row r="1041" spans="2:11">
      <c r="B1041" s="6"/>
      <c r="C1041" s="24"/>
      <c r="D1041" s="5"/>
      <c r="E1041" s="5"/>
      <c r="F1041" s="4"/>
      <c r="G1041" s="4"/>
      <c r="H1041" s="4"/>
      <c r="I1041" s="4"/>
      <c r="J1041" s="4"/>
      <c r="K1041" s="4"/>
    </row>
    <row r="1042" spans="2:11">
      <c r="B1042" s="6"/>
      <c r="C1042" s="24"/>
      <c r="D1042" s="5"/>
      <c r="E1042" s="5"/>
      <c r="F1042" s="4"/>
      <c r="G1042" s="4"/>
      <c r="H1042" s="4"/>
      <c r="I1042" s="4"/>
      <c r="J1042" s="4"/>
      <c r="K1042" s="4"/>
    </row>
    <row r="1043" spans="2:11">
      <c r="B1043" s="6"/>
      <c r="C1043" s="24"/>
      <c r="D1043" s="5"/>
      <c r="E1043" s="5"/>
      <c r="F1043" s="4"/>
      <c r="G1043" s="4"/>
      <c r="H1043" s="4"/>
      <c r="I1043" s="4"/>
      <c r="J1043" s="4"/>
      <c r="K1043" s="4"/>
    </row>
    <row r="1044" spans="2:11">
      <c r="B1044" s="6"/>
      <c r="C1044" s="24"/>
      <c r="D1044" s="5"/>
      <c r="E1044" s="5"/>
      <c r="F1044" s="4"/>
      <c r="G1044" s="4"/>
      <c r="H1044" s="4"/>
      <c r="I1044" s="4"/>
      <c r="J1044" s="4"/>
      <c r="K1044" s="4"/>
    </row>
    <row r="1045" spans="2:11">
      <c r="B1045" s="6"/>
      <c r="C1045" s="24"/>
      <c r="D1045" s="5"/>
      <c r="E1045" s="5"/>
      <c r="F1045" s="4"/>
      <c r="G1045" s="4"/>
      <c r="H1045" s="4"/>
      <c r="I1045" s="4"/>
      <c r="J1045" s="4"/>
      <c r="K1045" s="4"/>
    </row>
    <row r="1046" spans="2:11">
      <c r="B1046" s="6"/>
      <c r="C1046" s="24"/>
      <c r="D1046" s="5"/>
      <c r="E1046" s="5"/>
      <c r="F1046" s="4"/>
      <c r="G1046" s="4"/>
      <c r="H1046" s="4"/>
      <c r="I1046" s="4"/>
      <c r="J1046" s="4"/>
      <c r="K1046" s="4"/>
    </row>
    <row r="1047" spans="2:11">
      <c r="B1047" s="6"/>
      <c r="C1047" s="24"/>
      <c r="D1047" s="5"/>
      <c r="E1047" s="5"/>
      <c r="F1047" s="4"/>
      <c r="G1047" s="4"/>
      <c r="H1047" s="4"/>
      <c r="I1047" s="4"/>
      <c r="J1047" s="4"/>
      <c r="K1047" s="4"/>
    </row>
    <row r="1048" spans="2:11">
      <c r="B1048" s="6"/>
      <c r="C1048" s="24"/>
      <c r="D1048" s="5"/>
      <c r="E1048" s="5"/>
      <c r="F1048" s="4"/>
      <c r="G1048" s="4"/>
      <c r="H1048" s="4"/>
      <c r="I1048" s="4"/>
      <c r="J1048" s="4"/>
      <c r="K1048" s="4"/>
    </row>
    <row r="1049" spans="2:11">
      <c r="B1049" s="6"/>
      <c r="C1049" s="24"/>
      <c r="D1049" s="5"/>
      <c r="E1049" s="5"/>
      <c r="F1049" s="4"/>
      <c r="G1049" s="4"/>
      <c r="H1049" s="4"/>
      <c r="I1049" s="4"/>
      <c r="J1049" s="4"/>
      <c r="K1049" s="4"/>
    </row>
    <row r="1050" spans="2:11">
      <c r="B1050" s="6"/>
      <c r="C1050" s="24"/>
      <c r="D1050" s="5"/>
      <c r="E1050" s="5"/>
      <c r="F1050" s="4"/>
      <c r="G1050" s="4"/>
      <c r="H1050" s="4"/>
      <c r="I1050" s="4"/>
      <c r="J1050" s="4"/>
      <c r="K1050" s="4"/>
    </row>
    <row r="1051" spans="2:11">
      <c r="B1051" s="6"/>
      <c r="C1051" s="24"/>
      <c r="D1051" s="5"/>
      <c r="E1051" s="5"/>
      <c r="F1051" s="4"/>
      <c r="G1051" s="4"/>
      <c r="H1051" s="4"/>
      <c r="I1051" s="4"/>
      <c r="J1051" s="4"/>
      <c r="K1051" s="4"/>
    </row>
    <row r="1052" spans="2:11">
      <c r="B1052" s="6"/>
      <c r="C1052" s="24"/>
      <c r="D1052" s="5"/>
      <c r="E1052" s="5"/>
      <c r="F1052" s="4"/>
      <c r="G1052" s="4"/>
      <c r="H1052" s="4"/>
      <c r="I1052" s="4"/>
      <c r="J1052" s="4"/>
      <c r="K1052" s="4"/>
    </row>
    <row r="1053" spans="2:11">
      <c r="B1053" s="6"/>
      <c r="C1053" s="24"/>
      <c r="D1053" s="5"/>
      <c r="E1053" s="5"/>
      <c r="F1053" s="4"/>
      <c r="G1053" s="4"/>
      <c r="H1053" s="4"/>
      <c r="I1053" s="4"/>
      <c r="J1053" s="4"/>
      <c r="K1053" s="4"/>
    </row>
    <row r="1054" spans="2:11">
      <c r="B1054" s="6"/>
      <c r="C1054" s="24"/>
      <c r="D1054" s="5"/>
      <c r="E1054" s="5"/>
      <c r="F1054" s="4"/>
      <c r="G1054" s="4"/>
      <c r="H1054" s="4"/>
      <c r="I1054" s="4"/>
      <c r="J1054" s="4"/>
      <c r="K1054" s="4"/>
    </row>
    <row r="1055" spans="2:11">
      <c r="B1055" s="6"/>
      <c r="C1055" s="24"/>
      <c r="D1055" s="5"/>
      <c r="E1055" s="5"/>
      <c r="F1055" s="4"/>
      <c r="G1055" s="4"/>
      <c r="H1055" s="4"/>
      <c r="I1055" s="4"/>
      <c r="J1055" s="4"/>
      <c r="K1055" s="4"/>
    </row>
    <row r="1056" spans="2:11">
      <c r="B1056" s="6"/>
      <c r="C1056" s="24"/>
      <c r="D1056" s="5"/>
      <c r="E1056" s="5"/>
      <c r="F1056" s="4"/>
      <c r="G1056" s="4"/>
      <c r="H1056" s="4"/>
      <c r="I1056" s="4"/>
      <c r="J1056" s="4"/>
      <c r="K1056" s="4"/>
    </row>
    <row r="1057" spans="2:11">
      <c r="B1057" s="6"/>
      <c r="C1057" s="24"/>
      <c r="D1057" s="5"/>
      <c r="E1057" s="5"/>
      <c r="F1057" s="4"/>
      <c r="G1057" s="4"/>
      <c r="H1057" s="4"/>
      <c r="I1057" s="4"/>
      <c r="J1057" s="4"/>
      <c r="K1057" s="4"/>
    </row>
    <row r="1058" spans="2:11">
      <c r="B1058" s="6"/>
      <c r="C1058" s="24"/>
      <c r="D1058" s="5"/>
      <c r="E1058" s="5"/>
      <c r="F1058" s="4"/>
      <c r="G1058" s="4"/>
      <c r="H1058" s="4"/>
      <c r="I1058" s="4"/>
      <c r="J1058" s="4"/>
      <c r="K1058" s="4"/>
    </row>
    <row r="1059" spans="2:11">
      <c r="B1059" s="6"/>
      <c r="C1059" s="24"/>
      <c r="D1059" s="5"/>
      <c r="E1059" s="5"/>
      <c r="F1059" s="4"/>
      <c r="G1059" s="4"/>
      <c r="H1059" s="4"/>
      <c r="I1059" s="4"/>
      <c r="J1059" s="4"/>
      <c r="K1059" s="4"/>
    </row>
    <row r="1060" spans="2:11">
      <c r="B1060" s="6"/>
      <c r="C1060" s="24"/>
      <c r="D1060" s="5"/>
      <c r="E1060" s="5"/>
      <c r="F1060" s="4"/>
      <c r="G1060" s="4"/>
      <c r="H1060" s="4"/>
      <c r="I1060" s="4"/>
      <c r="J1060" s="4"/>
      <c r="K1060" s="4"/>
    </row>
    <row r="1061" spans="2:11">
      <c r="B1061" s="6"/>
      <c r="C1061" s="24"/>
      <c r="D1061" s="5"/>
      <c r="E1061" s="5"/>
      <c r="F1061" s="4"/>
      <c r="G1061" s="4"/>
      <c r="H1061" s="4"/>
      <c r="I1061" s="4"/>
      <c r="J1061" s="4"/>
      <c r="K1061" s="4"/>
    </row>
    <row r="1062" spans="2:11">
      <c r="B1062" s="6"/>
      <c r="C1062" s="24"/>
      <c r="D1062" s="5"/>
      <c r="E1062" s="5"/>
      <c r="F1062" s="4"/>
      <c r="G1062" s="4"/>
      <c r="H1062" s="4"/>
      <c r="I1062" s="4"/>
      <c r="J1062" s="4"/>
      <c r="K1062" s="4"/>
    </row>
    <row r="1063" spans="2:11">
      <c r="B1063" s="6"/>
      <c r="C1063" s="24"/>
      <c r="D1063" s="5"/>
      <c r="E1063" s="5"/>
      <c r="F1063" s="4"/>
      <c r="G1063" s="4"/>
      <c r="H1063" s="4"/>
      <c r="I1063" s="4"/>
      <c r="J1063" s="4"/>
      <c r="K1063" s="4"/>
    </row>
    <row r="1064" spans="2:11">
      <c r="B1064" s="6"/>
      <c r="C1064" s="24"/>
      <c r="D1064" s="5"/>
      <c r="E1064" s="5"/>
      <c r="F1064" s="4"/>
      <c r="G1064" s="4"/>
      <c r="H1064" s="4"/>
      <c r="I1064" s="4"/>
      <c r="J1064" s="4"/>
      <c r="K1064" s="4"/>
    </row>
    <row r="1065" spans="2:11">
      <c r="B1065" s="6"/>
      <c r="C1065" s="24"/>
      <c r="D1065" s="5"/>
      <c r="E1065" s="5"/>
      <c r="F1065" s="4"/>
      <c r="G1065" s="4"/>
      <c r="H1065" s="4"/>
      <c r="I1065" s="4"/>
      <c r="J1065" s="4"/>
      <c r="K1065" s="4"/>
    </row>
    <row r="1066" spans="2:11">
      <c r="B1066" s="6"/>
      <c r="C1066" s="24"/>
      <c r="D1066" s="5"/>
      <c r="E1066" s="5"/>
      <c r="F1066" s="4"/>
      <c r="G1066" s="4"/>
      <c r="H1066" s="4"/>
      <c r="I1066" s="4"/>
      <c r="J1066" s="4"/>
      <c r="K1066" s="4"/>
    </row>
    <row r="1067" spans="2:11">
      <c r="B1067" s="6"/>
      <c r="C1067" s="24"/>
      <c r="D1067" s="5"/>
      <c r="E1067" s="5"/>
      <c r="F1067" s="4"/>
      <c r="G1067" s="4"/>
      <c r="H1067" s="4"/>
      <c r="I1067" s="4"/>
      <c r="J1067" s="4"/>
      <c r="K1067" s="4"/>
    </row>
    <row r="1068" spans="2:11">
      <c r="B1068" s="6"/>
      <c r="C1068" s="24"/>
      <c r="D1068" s="5"/>
      <c r="E1068" s="5"/>
      <c r="F1068" s="4"/>
      <c r="G1068" s="4"/>
      <c r="H1068" s="4"/>
      <c r="I1068" s="4"/>
      <c r="J1068" s="4"/>
      <c r="K1068" s="4"/>
    </row>
    <row r="1069" spans="2:11">
      <c r="B1069" s="6"/>
      <c r="C1069" s="24"/>
      <c r="D1069" s="5"/>
      <c r="E1069" s="5"/>
      <c r="F1069" s="4"/>
      <c r="G1069" s="4"/>
      <c r="H1069" s="4"/>
      <c r="I1069" s="4"/>
      <c r="J1069" s="4"/>
      <c r="K1069" s="4"/>
    </row>
    <row r="1070" spans="2:11">
      <c r="B1070" s="6"/>
      <c r="C1070" s="24"/>
      <c r="D1070" s="5"/>
      <c r="E1070" s="5"/>
      <c r="F1070" s="4"/>
      <c r="G1070" s="4"/>
      <c r="H1070" s="4"/>
      <c r="I1070" s="4"/>
      <c r="J1070" s="4"/>
      <c r="K1070" s="4"/>
    </row>
    <row r="1071" spans="2:11">
      <c r="B1071" s="6"/>
      <c r="C1071" s="24"/>
      <c r="D1071" s="5"/>
      <c r="E1071" s="5"/>
      <c r="F1071" s="4"/>
      <c r="G1071" s="4"/>
      <c r="H1071" s="4"/>
      <c r="I1071" s="4"/>
      <c r="J1071" s="4"/>
      <c r="K1071" s="4"/>
    </row>
    <row r="1072" spans="2:11">
      <c r="B1072" s="6"/>
      <c r="C1072" s="24"/>
      <c r="D1072" s="5"/>
      <c r="E1072" s="5"/>
      <c r="F1072" s="4"/>
      <c r="G1072" s="4"/>
      <c r="H1072" s="4"/>
      <c r="I1072" s="4"/>
      <c r="J1072" s="4"/>
      <c r="K1072" s="4"/>
    </row>
    <row r="1073" spans="2:11">
      <c r="B1073" s="6"/>
      <c r="C1073" s="24"/>
      <c r="D1073" s="5"/>
      <c r="E1073" s="5"/>
      <c r="F1073" s="4"/>
      <c r="G1073" s="4"/>
      <c r="H1073" s="4"/>
      <c r="I1073" s="4"/>
      <c r="J1073" s="4"/>
      <c r="K1073" s="4"/>
    </row>
    <row r="1074" spans="2:11">
      <c r="B1074" s="6"/>
      <c r="C1074" s="24"/>
      <c r="D1074" s="5"/>
      <c r="E1074" s="5"/>
      <c r="F1074" s="4"/>
      <c r="G1074" s="4"/>
      <c r="H1074" s="4"/>
      <c r="I1074" s="4"/>
      <c r="J1074" s="4"/>
      <c r="K1074" s="4"/>
    </row>
    <row r="1075" spans="2:11">
      <c r="B1075" s="6"/>
      <c r="C1075" s="24"/>
      <c r="D1075" s="5"/>
      <c r="E1075" s="5"/>
      <c r="F1075" s="4"/>
      <c r="G1075" s="4"/>
      <c r="H1075" s="4"/>
      <c r="I1075" s="4"/>
      <c r="J1075" s="4"/>
      <c r="K1075" s="4"/>
    </row>
    <row r="1076" spans="2:11">
      <c r="B1076" s="6"/>
      <c r="C1076" s="24"/>
      <c r="D1076" s="5"/>
      <c r="E1076" s="5"/>
      <c r="F1076" s="4"/>
      <c r="G1076" s="4"/>
      <c r="H1076" s="4"/>
      <c r="I1076" s="4"/>
      <c r="J1076" s="4"/>
      <c r="K1076" s="4"/>
    </row>
    <row r="1077" spans="2:11">
      <c r="B1077" s="6"/>
      <c r="C1077" s="24"/>
      <c r="D1077" s="5"/>
      <c r="E1077" s="5"/>
      <c r="F1077" s="4"/>
      <c r="G1077" s="4"/>
      <c r="H1077" s="4"/>
      <c r="I1077" s="4"/>
      <c r="J1077" s="4"/>
      <c r="K1077" s="4"/>
    </row>
    <row r="1078" spans="2:11">
      <c r="B1078" s="6"/>
      <c r="C1078" s="24"/>
      <c r="D1078" s="5"/>
      <c r="E1078" s="5"/>
      <c r="F1078" s="4"/>
      <c r="G1078" s="4"/>
      <c r="H1078" s="4"/>
      <c r="I1078" s="4"/>
      <c r="J1078" s="4"/>
      <c r="K1078" s="4"/>
    </row>
    <row r="1079" spans="2:11">
      <c r="B1079" s="6"/>
      <c r="C1079" s="24"/>
      <c r="D1079" s="5"/>
      <c r="E1079" s="5"/>
      <c r="F1079" s="4"/>
      <c r="G1079" s="4"/>
      <c r="H1079" s="4"/>
      <c r="I1079" s="4"/>
      <c r="J1079" s="4"/>
      <c r="K1079" s="4"/>
    </row>
    <row r="1080" spans="2:11">
      <c r="B1080" s="6"/>
      <c r="C1080" s="24"/>
      <c r="D1080" s="5"/>
      <c r="E1080" s="5"/>
      <c r="F1080" s="4"/>
      <c r="G1080" s="4"/>
      <c r="H1080" s="4"/>
      <c r="I1080" s="4"/>
      <c r="J1080" s="4"/>
      <c r="K1080" s="4"/>
    </row>
    <row r="1081" spans="2:11">
      <c r="B1081" s="6"/>
      <c r="C1081" s="24"/>
      <c r="D1081" s="5"/>
      <c r="E1081" s="5"/>
      <c r="F1081" s="4"/>
      <c r="G1081" s="4"/>
      <c r="H1081" s="4"/>
      <c r="I1081" s="4"/>
      <c r="J1081" s="4"/>
      <c r="K1081" s="4"/>
    </row>
    <row r="1082" spans="2:11">
      <c r="B1082" s="6"/>
      <c r="C1082" s="24"/>
      <c r="D1082" s="5"/>
      <c r="E1082" s="5"/>
      <c r="F1082" s="4"/>
      <c r="G1082" s="4"/>
      <c r="H1082" s="4"/>
      <c r="I1082" s="4"/>
      <c r="J1082" s="4"/>
      <c r="K1082" s="4"/>
    </row>
    <row r="1083" spans="2:11">
      <c r="B1083" s="6"/>
      <c r="C1083" s="24"/>
      <c r="D1083" s="5"/>
      <c r="E1083" s="5"/>
      <c r="F1083" s="4"/>
      <c r="G1083" s="4"/>
      <c r="H1083" s="4"/>
      <c r="I1083" s="4"/>
      <c r="J1083" s="4"/>
      <c r="K1083" s="4"/>
    </row>
    <row r="1084" spans="2:11">
      <c r="B1084" s="6"/>
      <c r="C1084" s="24"/>
      <c r="D1084" s="5"/>
      <c r="E1084" s="5"/>
      <c r="F1084" s="4"/>
      <c r="G1084" s="4"/>
      <c r="H1084" s="4"/>
      <c r="I1084" s="4"/>
      <c r="J1084" s="4"/>
      <c r="K1084" s="4"/>
    </row>
    <row r="1085" spans="2:11">
      <c r="B1085" s="6"/>
      <c r="C1085" s="24"/>
      <c r="D1085" s="5"/>
      <c r="E1085" s="5"/>
      <c r="F1085" s="4"/>
      <c r="G1085" s="4"/>
      <c r="H1085" s="4"/>
      <c r="I1085" s="4"/>
      <c r="J1085" s="4"/>
      <c r="K1085" s="4"/>
    </row>
    <row r="1086" spans="2:11">
      <c r="B1086" s="6"/>
      <c r="C1086" s="24"/>
      <c r="D1086" s="5"/>
      <c r="E1086" s="5"/>
      <c r="F1086" s="4"/>
      <c r="G1086" s="4"/>
      <c r="H1086" s="4"/>
      <c r="I1086" s="4"/>
      <c r="J1086" s="4"/>
      <c r="K1086" s="4"/>
    </row>
    <row r="1087" spans="2:11">
      <c r="B1087" s="6"/>
      <c r="C1087" s="24"/>
      <c r="D1087" s="5"/>
      <c r="E1087" s="5"/>
      <c r="F1087" s="4"/>
      <c r="G1087" s="4"/>
      <c r="H1087" s="4"/>
      <c r="I1087" s="4"/>
      <c r="J1087" s="4"/>
      <c r="K1087" s="4"/>
    </row>
    <row r="1088" spans="2:11">
      <c r="B1088" s="6"/>
      <c r="C1088" s="24"/>
      <c r="D1088" s="5"/>
      <c r="E1088" s="5"/>
      <c r="F1088" s="4"/>
      <c r="G1088" s="4"/>
      <c r="H1088" s="4"/>
      <c r="I1088" s="4"/>
      <c r="J1088" s="4"/>
      <c r="K1088" s="4"/>
    </row>
    <row r="1089" spans="2:11">
      <c r="B1089" s="6"/>
      <c r="C1089" s="24"/>
      <c r="D1089" s="5"/>
      <c r="E1089" s="5"/>
      <c r="F1089" s="4"/>
      <c r="G1089" s="4"/>
      <c r="H1089" s="4"/>
      <c r="I1089" s="4"/>
      <c r="J1089" s="4"/>
      <c r="K1089" s="4"/>
    </row>
    <row r="1090" spans="2:11">
      <c r="B1090" s="6"/>
      <c r="C1090" s="24"/>
      <c r="D1090" s="5"/>
      <c r="E1090" s="5"/>
      <c r="F1090" s="4"/>
      <c r="G1090" s="4"/>
      <c r="H1090" s="4"/>
      <c r="I1090" s="4"/>
      <c r="J1090" s="4"/>
      <c r="K1090" s="4"/>
    </row>
    <row r="1091" spans="2:11">
      <c r="B1091" s="6"/>
      <c r="C1091" s="24"/>
      <c r="D1091" s="5"/>
      <c r="E1091" s="5"/>
      <c r="F1091" s="4"/>
      <c r="G1091" s="4"/>
      <c r="H1091" s="4"/>
      <c r="I1091" s="4"/>
      <c r="J1091" s="4"/>
      <c r="K1091" s="4"/>
    </row>
    <row r="1092" spans="2:11">
      <c r="B1092" s="6"/>
      <c r="C1092" s="24"/>
      <c r="D1092" s="5"/>
      <c r="E1092" s="5"/>
      <c r="F1092" s="4"/>
      <c r="G1092" s="4"/>
      <c r="H1092" s="4"/>
      <c r="I1092" s="4"/>
      <c r="J1092" s="4"/>
      <c r="K1092" s="4"/>
    </row>
    <row r="1093" spans="2:11">
      <c r="B1093" s="6"/>
      <c r="C1093" s="24"/>
      <c r="D1093" s="5"/>
      <c r="E1093" s="5"/>
      <c r="F1093" s="4"/>
      <c r="G1093" s="4"/>
      <c r="H1093" s="4"/>
      <c r="I1093" s="4"/>
      <c r="J1093" s="4"/>
      <c r="K1093" s="4"/>
    </row>
    <row r="1094" spans="2:11">
      <c r="B1094" s="6"/>
      <c r="C1094" s="24"/>
      <c r="D1094" s="5"/>
      <c r="E1094" s="5"/>
      <c r="F1094" s="4"/>
      <c r="G1094" s="4"/>
      <c r="H1094" s="4"/>
      <c r="I1094" s="4"/>
      <c r="J1094" s="4"/>
      <c r="K1094" s="4"/>
    </row>
    <row r="1095" spans="2:11">
      <c r="B1095" s="6"/>
      <c r="C1095" s="24"/>
      <c r="D1095" s="5"/>
      <c r="E1095" s="5"/>
      <c r="F1095" s="4"/>
      <c r="G1095" s="4"/>
      <c r="H1095" s="4"/>
      <c r="I1095" s="4"/>
      <c r="J1095" s="4"/>
      <c r="K1095" s="4"/>
    </row>
    <row r="1096" spans="2:11">
      <c r="B1096" s="6"/>
      <c r="C1096" s="24"/>
      <c r="D1096" s="5"/>
      <c r="E1096" s="5"/>
      <c r="F1096" s="4"/>
      <c r="G1096" s="4"/>
      <c r="H1096" s="4"/>
      <c r="I1096" s="4"/>
      <c r="J1096" s="4"/>
      <c r="K1096" s="4"/>
    </row>
    <row r="1097" spans="2:11">
      <c r="B1097" s="6"/>
      <c r="C1097" s="24"/>
      <c r="D1097" s="5"/>
      <c r="E1097" s="5"/>
      <c r="F1097" s="4"/>
      <c r="G1097" s="4"/>
      <c r="H1097" s="4"/>
      <c r="I1097" s="4"/>
      <c r="J1097" s="4"/>
      <c r="K1097" s="4"/>
    </row>
    <row r="1098" spans="2:11">
      <c r="B1098" s="6"/>
      <c r="C1098" s="24"/>
      <c r="D1098" s="5"/>
      <c r="E1098" s="5"/>
      <c r="F1098" s="4"/>
      <c r="G1098" s="4"/>
      <c r="H1098" s="4"/>
      <c r="I1098" s="4"/>
      <c r="J1098" s="4"/>
      <c r="K1098" s="4"/>
    </row>
    <row r="1099" spans="2:11">
      <c r="B1099" s="6"/>
      <c r="C1099" s="24"/>
      <c r="D1099" s="5"/>
      <c r="E1099" s="5"/>
      <c r="F1099" s="4"/>
      <c r="G1099" s="4"/>
      <c r="H1099" s="4"/>
      <c r="I1099" s="4"/>
      <c r="J1099" s="4"/>
      <c r="K1099" s="4"/>
    </row>
    <row r="1100" spans="2:11">
      <c r="B1100" s="6"/>
      <c r="C1100" s="24"/>
      <c r="D1100" s="5"/>
      <c r="E1100" s="5"/>
      <c r="F1100" s="4"/>
      <c r="G1100" s="4"/>
      <c r="H1100" s="4"/>
      <c r="I1100" s="4"/>
      <c r="J1100" s="4"/>
      <c r="K1100" s="4"/>
    </row>
    <row r="1101" spans="2:11">
      <c r="B1101" s="6"/>
      <c r="C1101" s="24"/>
      <c r="D1101" s="5"/>
      <c r="E1101" s="5"/>
      <c r="F1101" s="4"/>
      <c r="G1101" s="4"/>
      <c r="H1101" s="4"/>
      <c r="I1101" s="4"/>
      <c r="J1101" s="4"/>
      <c r="K1101" s="4"/>
    </row>
    <row r="1102" spans="2:11">
      <c r="B1102" s="6"/>
      <c r="C1102" s="24"/>
      <c r="D1102" s="5"/>
      <c r="E1102" s="5"/>
      <c r="F1102" s="4"/>
      <c r="G1102" s="4"/>
      <c r="H1102" s="4"/>
      <c r="I1102" s="4"/>
      <c r="J1102" s="4"/>
      <c r="K1102" s="4"/>
    </row>
    <row r="1103" spans="2:11">
      <c r="B1103" s="6"/>
      <c r="C1103" s="24"/>
      <c r="D1103" s="5"/>
      <c r="E1103" s="5"/>
      <c r="F1103" s="4"/>
      <c r="G1103" s="4"/>
      <c r="H1103" s="4"/>
      <c r="I1103" s="4"/>
      <c r="J1103" s="4"/>
      <c r="K1103" s="4"/>
    </row>
    <row r="1104" spans="2:11">
      <c r="B1104" s="6"/>
      <c r="C1104" s="24"/>
      <c r="D1104" s="5"/>
      <c r="E1104" s="5"/>
      <c r="F1104" s="4"/>
      <c r="G1104" s="4"/>
      <c r="H1104" s="4"/>
      <c r="I1104" s="4"/>
      <c r="J1104" s="4"/>
      <c r="K1104" s="4"/>
    </row>
    <row r="1105" spans="2:11">
      <c r="B1105" s="6"/>
      <c r="C1105" s="24"/>
      <c r="D1105" s="5"/>
      <c r="E1105" s="5"/>
      <c r="F1105" s="4"/>
      <c r="G1105" s="4"/>
      <c r="H1105" s="4"/>
      <c r="I1105" s="4"/>
      <c r="J1105" s="4"/>
      <c r="K1105" s="4"/>
    </row>
    <row r="1106" spans="2:11">
      <c r="B1106" s="6"/>
      <c r="C1106" s="24"/>
      <c r="D1106" s="5"/>
      <c r="E1106" s="5"/>
      <c r="F1106" s="4"/>
      <c r="G1106" s="4"/>
      <c r="H1106" s="4"/>
      <c r="I1106" s="4"/>
      <c r="J1106" s="4"/>
      <c r="K1106" s="4"/>
    </row>
    <row r="1107" spans="2:11">
      <c r="B1107" s="6"/>
      <c r="C1107" s="24"/>
      <c r="D1107" s="5"/>
      <c r="E1107" s="5"/>
      <c r="F1107" s="4"/>
      <c r="G1107" s="4"/>
      <c r="H1107" s="4"/>
      <c r="I1107" s="4"/>
      <c r="J1107" s="4"/>
      <c r="K1107" s="4"/>
    </row>
    <row r="1108" spans="2:11">
      <c r="B1108" s="6"/>
      <c r="C1108" s="24"/>
      <c r="D1108" s="5"/>
      <c r="E1108" s="5"/>
      <c r="F1108" s="4"/>
      <c r="G1108" s="4"/>
      <c r="H1108" s="4"/>
      <c r="I1108" s="4"/>
      <c r="J1108" s="4"/>
      <c r="K1108" s="4"/>
    </row>
    <row r="1109" spans="2:11">
      <c r="B1109" s="6"/>
      <c r="C1109" s="24"/>
      <c r="D1109" s="5"/>
      <c r="E1109" s="5"/>
      <c r="F1109" s="4"/>
      <c r="G1109" s="4"/>
      <c r="H1109" s="4"/>
      <c r="I1109" s="4"/>
      <c r="J1109" s="4"/>
      <c r="K1109" s="4"/>
    </row>
    <row r="1110" spans="2:11">
      <c r="B1110" s="6"/>
      <c r="C1110" s="24"/>
      <c r="D1110" s="5"/>
      <c r="E1110" s="5"/>
      <c r="F1110" s="4"/>
      <c r="G1110" s="4"/>
      <c r="H1110" s="4"/>
      <c r="I1110" s="4"/>
      <c r="J1110" s="4"/>
      <c r="K1110" s="4"/>
    </row>
    <row r="1111" spans="2:11">
      <c r="B1111" s="6"/>
      <c r="C1111" s="24"/>
      <c r="D1111" s="5"/>
      <c r="E1111" s="5"/>
      <c r="F1111" s="4"/>
      <c r="G1111" s="4"/>
      <c r="H1111" s="4"/>
      <c r="I1111" s="4"/>
      <c r="J1111" s="4"/>
      <c r="K1111" s="4"/>
    </row>
    <row r="1112" spans="2:11">
      <c r="B1112" s="6"/>
      <c r="C1112" s="24"/>
      <c r="D1112" s="5"/>
      <c r="E1112" s="5"/>
      <c r="F1112" s="4"/>
      <c r="G1112" s="4"/>
      <c r="H1112" s="4"/>
      <c r="I1112" s="4"/>
      <c r="J1112" s="4"/>
      <c r="K1112" s="4"/>
    </row>
    <row r="1113" spans="2:11">
      <c r="B1113" s="6"/>
      <c r="C1113" s="24"/>
      <c r="D1113" s="5"/>
      <c r="E1113" s="5"/>
      <c r="F1113" s="4"/>
      <c r="G1113" s="4"/>
      <c r="H1113" s="4"/>
      <c r="I1113" s="4"/>
      <c r="J1113" s="4"/>
      <c r="K1113" s="4"/>
    </row>
    <row r="1114" spans="2:11">
      <c r="B1114" s="6"/>
      <c r="C1114" s="24"/>
      <c r="D1114" s="5"/>
      <c r="E1114" s="5"/>
      <c r="F1114" s="4"/>
      <c r="G1114" s="4"/>
      <c r="H1114" s="4"/>
      <c r="I1114" s="4"/>
      <c r="J1114" s="4"/>
      <c r="K1114" s="4"/>
    </row>
    <row r="1115" spans="2:11">
      <c r="B1115" s="6"/>
      <c r="C1115" s="24"/>
      <c r="D1115" s="5"/>
      <c r="E1115" s="5"/>
      <c r="F1115" s="4"/>
      <c r="G1115" s="4"/>
      <c r="H1115" s="4"/>
      <c r="I1115" s="4"/>
      <c r="J1115" s="4"/>
      <c r="K1115" s="4"/>
    </row>
    <row r="1116" spans="2:11">
      <c r="B1116" s="6"/>
      <c r="C1116" s="24"/>
      <c r="D1116" s="5"/>
      <c r="E1116" s="5"/>
      <c r="F1116" s="4"/>
      <c r="G1116" s="4"/>
      <c r="H1116" s="4"/>
      <c r="I1116" s="4"/>
      <c r="J1116" s="4"/>
      <c r="K1116" s="4"/>
    </row>
    <row r="1117" spans="2:11">
      <c r="B1117" s="6"/>
      <c r="C1117" s="24"/>
      <c r="D1117" s="5"/>
      <c r="E1117" s="5"/>
      <c r="F1117" s="4"/>
      <c r="G1117" s="4"/>
      <c r="H1117" s="4"/>
      <c r="I1117" s="4"/>
      <c r="J1117" s="4"/>
      <c r="K1117" s="4"/>
    </row>
    <row r="1118" spans="2:11">
      <c r="B1118" s="6"/>
      <c r="C1118" s="24"/>
      <c r="D1118" s="5"/>
      <c r="E1118" s="5"/>
      <c r="F1118" s="4"/>
      <c r="G1118" s="4"/>
      <c r="H1118" s="4"/>
      <c r="I1118" s="4"/>
      <c r="J1118" s="4"/>
      <c r="K1118" s="4"/>
    </row>
    <row r="1119" spans="2:11">
      <c r="B1119" s="6"/>
      <c r="C1119" s="24"/>
      <c r="D1119" s="5"/>
      <c r="E1119" s="5"/>
      <c r="F1119" s="4"/>
      <c r="G1119" s="4"/>
      <c r="H1119" s="4"/>
      <c r="I1119" s="4"/>
      <c r="J1119" s="4"/>
      <c r="K1119" s="4"/>
    </row>
    <row r="1120" spans="2:11">
      <c r="B1120" s="6"/>
      <c r="C1120" s="24"/>
      <c r="D1120" s="5"/>
      <c r="E1120" s="5"/>
      <c r="F1120" s="4"/>
      <c r="G1120" s="4"/>
      <c r="H1120" s="4"/>
      <c r="I1120" s="4"/>
      <c r="J1120" s="4"/>
      <c r="K1120" s="4"/>
    </row>
    <row r="1121" spans="2:11">
      <c r="B1121" s="6"/>
      <c r="C1121" s="24"/>
      <c r="D1121" s="5"/>
      <c r="E1121" s="5"/>
      <c r="F1121" s="4"/>
      <c r="G1121" s="4"/>
      <c r="H1121" s="4"/>
      <c r="I1121" s="4"/>
      <c r="J1121" s="4"/>
      <c r="K1121" s="4"/>
    </row>
    <row r="1122" spans="2:11">
      <c r="B1122" s="6"/>
      <c r="C1122" s="24"/>
      <c r="D1122" s="5"/>
      <c r="E1122" s="5"/>
      <c r="F1122" s="4"/>
      <c r="G1122" s="4"/>
      <c r="H1122" s="4"/>
      <c r="I1122" s="4"/>
      <c r="J1122" s="4"/>
      <c r="K1122" s="4"/>
    </row>
    <row r="1123" spans="2:11">
      <c r="B1123" s="6"/>
      <c r="C1123" s="24"/>
      <c r="D1123" s="5"/>
      <c r="E1123" s="5"/>
      <c r="F1123" s="4"/>
      <c r="G1123" s="4"/>
      <c r="H1123" s="4"/>
      <c r="I1123" s="4"/>
      <c r="J1123" s="4"/>
      <c r="K1123" s="4"/>
    </row>
    <row r="1124" spans="2:11">
      <c r="B1124" s="6"/>
      <c r="C1124" s="24"/>
      <c r="D1124" s="5"/>
      <c r="E1124" s="5"/>
      <c r="F1124" s="4"/>
      <c r="G1124" s="4"/>
      <c r="H1124" s="4"/>
      <c r="I1124" s="4"/>
      <c r="J1124" s="4"/>
      <c r="K1124" s="4"/>
    </row>
    <row r="1125" spans="2:11">
      <c r="B1125" s="6"/>
      <c r="C1125" s="24"/>
      <c r="D1125" s="5"/>
      <c r="E1125" s="5"/>
      <c r="F1125" s="4"/>
      <c r="G1125" s="4"/>
      <c r="H1125" s="4"/>
      <c r="I1125" s="4"/>
      <c r="J1125" s="4"/>
      <c r="K1125" s="4"/>
    </row>
    <row r="1126" spans="2:11">
      <c r="B1126" s="6"/>
      <c r="C1126" s="24"/>
      <c r="D1126" s="5"/>
      <c r="E1126" s="5"/>
      <c r="F1126" s="4"/>
      <c r="G1126" s="4"/>
      <c r="H1126" s="4"/>
      <c r="I1126" s="4"/>
      <c r="J1126" s="4"/>
      <c r="K1126" s="4"/>
    </row>
    <row r="1127" spans="2:11">
      <c r="B1127" s="6"/>
      <c r="C1127" s="24"/>
      <c r="D1127" s="5"/>
      <c r="E1127" s="5"/>
      <c r="F1127" s="4"/>
      <c r="G1127" s="4"/>
      <c r="H1127" s="4"/>
      <c r="I1127" s="4"/>
      <c r="J1127" s="4"/>
      <c r="K1127" s="4"/>
    </row>
    <row r="1128" spans="2:11">
      <c r="B1128" s="6"/>
      <c r="C1128" s="24"/>
      <c r="D1128" s="5"/>
      <c r="E1128" s="5"/>
      <c r="F1128" s="4"/>
      <c r="G1128" s="4"/>
      <c r="H1128" s="4"/>
      <c r="I1128" s="4"/>
      <c r="J1128" s="4"/>
      <c r="K1128" s="4"/>
    </row>
    <row r="1129" spans="2:11">
      <c r="B1129" s="6"/>
      <c r="C1129" s="24"/>
      <c r="D1129" s="5"/>
      <c r="E1129" s="5"/>
      <c r="F1129" s="4"/>
      <c r="G1129" s="4"/>
      <c r="H1129" s="4"/>
      <c r="I1129" s="4"/>
      <c r="J1129" s="4"/>
      <c r="K1129" s="4"/>
    </row>
    <row r="1130" spans="2:11">
      <c r="B1130" s="6"/>
      <c r="C1130" s="24"/>
      <c r="D1130" s="5"/>
      <c r="E1130" s="5"/>
      <c r="F1130" s="4"/>
      <c r="G1130" s="4"/>
      <c r="H1130" s="4"/>
      <c r="I1130" s="4"/>
      <c r="J1130" s="4"/>
      <c r="K1130" s="4"/>
    </row>
    <row r="1131" spans="2:11">
      <c r="B1131" s="6"/>
      <c r="C1131" s="24"/>
      <c r="D1131" s="5"/>
      <c r="E1131" s="5"/>
      <c r="F1131" s="4"/>
      <c r="G1131" s="4"/>
      <c r="H1131" s="4"/>
      <c r="I1131" s="4"/>
      <c r="J1131" s="4"/>
      <c r="K1131" s="4"/>
    </row>
    <row r="1132" spans="2:11">
      <c r="B1132" s="6"/>
      <c r="C1132" s="24"/>
      <c r="D1132" s="5"/>
      <c r="E1132" s="5"/>
      <c r="F1132" s="4"/>
      <c r="G1132" s="4"/>
      <c r="H1132" s="4"/>
      <c r="I1132" s="4"/>
      <c r="J1132" s="4"/>
      <c r="K1132" s="4"/>
    </row>
    <row r="1133" spans="2:11">
      <c r="B1133" s="6"/>
      <c r="C1133" s="24"/>
      <c r="D1133" s="5"/>
      <c r="E1133" s="5"/>
      <c r="F1133" s="4"/>
      <c r="G1133" s="4"/>
      <c r="H1133" s="4"/>
      <c r="I1133" s="4"/>
      <c r="J1133" s="4"/>
      <c r="K1133" s="4"/>
    </row>
    <row r="1134" spans="2:11">
      <c r="B1134" s="6"/>
      <c r="C1134" s="24"/>
      <c r="D1134" s="5"/>
      <c r="E1134" s="5"/>
      <c r="F1134" s="4"/>
      <c r="G1134" s="4"/>
      <c r="H1134" s="4"/>
      <c r="I1134" s="4"/>
      <c r="J1134" s="4"/>
      <c r="K1134" s="4"/>
    </row>
    <row r="1135" spans="2:11">
      <c r="B1135" s="6"/>
      <c r="C1135" s="24"/>
      <c r="D1135" s="5"/>
      <c r="E1135" s="5"/>
      <c r="F1135" s="4"/>
      <c r="G1135" s="4"/>
      <c r="H1135" s="4"/>
      <c r="I1135" s="4"/>
      <c r="J1135" s="4"/>
      <c r="K1135" s="4"/>
    </row>
    <row r="1136" spans="2:11">
      <c r="B1136" s="6"/>
      <c r="C1136" s="24"/>
      <c r="D1136" s="5"/>
      <c r="E1136" s="5"/>
      <c r="F1136" s="4"/>
      <c r="G1136" s="4"/>
      <c r="H1136" s="4"/>
      <c r="I1136" s="4"/>
      <c r="J1136" s="4"/>
      <c r="K1136" s="4"/>
    </row>
    <row r="1137" spans="2:11">
      <c r="B1137" s="6"/>
      <c r="C1137" s="24"/>
      <c r="D1137" s="5"/>
      <c r="E1137" s="5"/>
      <c r="F1137" s="4"/>
      <c r="G1137" s="4"/>
      <c r="H1137" s="4"/>
      <c r="I1137" s="4"/>
      <c r="J1137" s="4"/>
      <c r="K1137" s="4"/>
    </row>
    <row r="1138" spans="2:11">
      <c r="B1138" s="6"/>
      <c r="C1138" s="24"/>
      <c r="D1138" s="5"/>
      <c r="E1138" s="5"/>
      <c r="F1138" s="4"/>
      <c r="G1138" s="4"/>
      <c r="H1138" s="4"/>
      <c r="I1138" s="4"/>
      <c r="J1138" s="4"/>
      <c r="K1138" s="4"/>
    </row>
    <row r="1139" spans="2:11">
      <c r="B1139" s="6"/>
      <c r="C1139" s="24"/>
      <c r="D1139" s="5"/>
      <c r="E1139" s="5"/>
      <c r="F1139" s="4"/>
      <c r="G1139" s="4"/>
      <c r="H1139" s="4"/>
      <c r="I1139" s="4"/>
      <c r="J1139" s="4"/>
      <c r="K1139" s="4"/>
    </row>
    <row r="1140" spans="2:11">
      <c r="B1140" s="6"/>
      <c r="C1140" s="24"/>
      <c r="D1140" s="5"/>
      <c r="E1140" s="5"/>
      <c r="F1140" s="4"/>
      <c r="G1140" s="4"/>
      <c r="H1140" s="4"/>
      <c r="I1140" s="4"/>
      <c r="J1140" s="4"/>
      <c r="K1140" s="4"/>
    </row>
    <row r="1141" spans="2:11">
      <c r="B1141" s="6"/>
      <c r="C1141" s="24"/>
      <c r="D1141" s="5"/>
      <c r="E1141" s="5"/>
      <c r="F1141" s="4"/>
      <c r="G1141" s="4"/>
      <c r="H1141" s="4"/>
      <c r="I1141" s="4"/>
      <c r="J1141" s="4"/>
      <c r="K1141" s="4"/>
    </row>
    <row r="1142" spans="2:11">
      <c r="B1142" s="6"/>
      <c r="C1142" s="24"/>
      <c r="D1142" s="5"/>
      <c r="E1142" s="5"/>
      <c r="F1142" s="4"/>
      <c r="G1142" s="4"/>
      <c r="H1142" s="4"/>
      <c r="I1142" s="4"/>
      <c r="J1142" s="4"/>
      <c r="K1142" s="4"/>
    </row>
    <row r="1143" spans="2:11">
      <c r="B1143" s="6"/>
      <c r="C1143" s="24"/>
      <c r="D1143" s="5"/>
      <c r="E1143" s="5"/>
      <c r="F1143" s="4"/>
      <c r="G1143" s="4"/>
      <c r="H1143" s="4"/>
      <c r="I1143" s="4"/>
      <c r="J1143" s="4"/>
      <c r="K1143" s="4"/>
    </row>
    <row r="1144" spans="2:11">
      <c r="B1144" s="6"/>
      <c r="C1144" s="24"/>
      <c r="D1144" s="5"/>
      <c r="E1144" s="5"/>
      <c r="F1144" s="4"/>
      <c r="G1144" s="4"/>
      <c r="H1144" s="4"/>
      <c r="I1144" s="4"/>
      <c r="J1144" s="4"/>
      <c r="K1144" s="4"/>
    </row>
    <row r="1145" spans="2:11">
      <c r="B1145" s="6"/>
      <c r="C1145" s="24"/>
      <c r="D1145" s="5"/>
      <c r="E1145" s="5"/>
      <c r="F1145" s="4"/>
      <c r="G1145" s="4"/>
      <c r="H1145" s="4"/>
      <c r="I1145" s="4"/>
      <c r="J1145" s="4"/>
      <c r="K1145" s="4"/>
    </row>
    <row r="1146" spans="2:11">
      <c r="B1146" s="6"/>
      <c r="C1146" s="24"/>
      <c r="D1146" s="5"/>
      <c r="E1146" s="5"/>
      <c r="F1146" s="4"/>
      <c r="G1146" s="4"/>
      <c r="H1146" s="4"/>
      <c r="I1146" s="4"/>
      <c r="J1146" s="4"/>
      <c r="K1146" s="4"/>
    </row>
    <row r="1147" spans="2:11">
      <c r="B1147" s="6"/>
      <c r="C1147" s="24"/>
      <c r="D1147" s="5"/>
      <c r="E1147" s="5"/>
      <c r="F1147" s="4"/>
      <c r="G1147" s="4"/>
      <c r="H1147" s="4"/>
      <c r="I1147" s="4"/>
      <c r="J1147" s="4"/>
      <c r="K1147" s="4"/>
    </row>
    <row r="1148" spans="2:11">
      <c r="B1148" s="6"/>
      <c r="C1148" s="24"/>
      <c r="D1148" s="5"/>
      <c r="E1148" s="5"/>
      <c r="F1148" s="4"/>
      <c r="G1148" s="4"/>
      <c r="H1148" s="4"/>
      <c r="I1148" s="4"/>
      <c r="J1148" s="4"/>
      <c r="K1148" s="4"/>
    </row>
    <row r="1149" spans="2:11">
      <c r="B1149" s="6"/>
      <c r="C1149" s="24"/>
      <c r="D1149" s="5"/>
      <c r="E1149" s="5"/>
      <c r="F1149" s="4"/>
      <c r="G1149" s="4"/>
      <c r="H1149" s="4"/>
      <c r="I1149" s="4"/>
      <c r="J1149" s="4"/>
      <c r="K1149" s="4"/>
    </row>
    <row r="1150" spans="2:11">
      <c r="B1150" s="6"/>
      <c r="C1150" s="24"/>
      <c r="D1150" s="5"/>
      <c r="E1150" s="5"/>
      <c r="F1150" s="4"/>
      <c r="G1150" s="4"/>
      <c r="H1150" s="4"/>
      <c r="I1150" s="4"/>
      <c r="J1150" s="4"/>
      <c r="K1150" s="4"/>
    </row>
    <row r="1151" spans="2:11">
      <c r="B1151" s="6"/>
      <c r="C1151" s="24"/>
      <c r="D1151" s="5"/>
      <c r="E1151" s="5"/>
      <c r="F1151" s="4"/>
      <c r="G1151" s="4"/>
      <c r="H1151" s="4"/>
      <c r="I1151" s="4"/>
      <c r="J1151" s="4"/>
      <c r="K1151" s="4"/>
    </row>
    <row r="1152" spans="2:11">
      <c r="B1152" s="6"/>
      <c r="C1152" s="24"/>
      <c r="D1152" s="5"/>
      <c r="E1152" s="5"/>
      <c r="F1152" s="4"/>
      <c r="G1152" s="4"/>
      <c r="H1152" s="4"/>
      <c r="I1152" s="4"/>
      <c r="J1152" s="4"/>
      <c r="K1152" s="4"/>
    </row>
    <row r="1153" spans="2:11">
      <c r="B1153" s="6"/>
      <c r="C1153" s="24"/>
      <c r="D1153" s="5"/>
      <c r="E1153" s="5"/>
      <c r="F1153" s="4"/>
      <c r="G1153" s="4"/>
      <c r="H1153" s="4"/>
      <c r="I1153" s="4"/>
      <c r="J1153" s="4"/>
      <c r="K1153" s="4"/>
    </row>
    <row r="1154" spans="2:11">
      <c r="B1154" s="6"/>
      <c r="C1154" s="24"/>
      <c r="D1154" s="5"/>
      <c r="E1154" s="5"/>
      <c r="F1154" s="4"/>
      <c r="G1154" s="4"/>
      <c r="H1154" s="4"/>
      <c r="I1154" s="4"/>
      <c r="J1154" s="4"/>
      <c r="K1154" s="4"/>
    </row>
    <row r="1155" spans="2:11">
      <c r="B1155" s="6"/>
      <c r="C1155" s="24"/>
      <c r="D1155" s="5"/>
      <c r="E1155" s="5"/>
      <c r="F1155" s="4"/>
      <c r="G1155" s="4"/>
      <c r="H1155" s="4"/>
      <c r="I1155" s="4"/>
      <c r="J1155" s="4"/>
      <c r="K1155" s="4"/>
    </row>
    <row r="1156" spans="2:11">
      <c r="B1156" s="6"/>
      <c r="C1156" s="24"/>
      <c r="D1156" s="5"/>
      <c r="E1156" s="5"/>
      <c r="F1156" s="4"/>
      <c r="G1156" s="4"/>
      <c r="H1156" s="4"/>
      <c r="I1156" s="4"/>
      <c r="J1156" s="4"/>
      <c r="K1156" s="4"/>
    </row>
    <row r="1157" spans="2:11">
      <c r="B1157" s="6"/>
      <c r="C1157" s="24"/>
      <c r="D1157" s="5"/>
      <c r="E1157" s="5"/>
      <c r="F1157" s="4"/>
      <c r="G1157" s="4"/>
      <c r="H1157" s="4"/>
      <c r="I1157" s="4"/>
      <c r="J1157" s="4"/>
      <c r="K1157" s="4"/>
    </row>
    <row r="1158" spans="2:11">
      <c r="B1158" s="6"/>
      <c r="C1158" s="24"/>
      <c r="D1158" s="5"/>
      <c r="E1158" s="5"/>
      <c r="F1158" s="4"/>
      <c r="G1158" s="4"/>
      <c r="H1158" s="4"/>
      <c r="I1158" s="4"/>
      <c r="J1158" s="4"/>
      <c r="K1158" s="4"/>
    </row>
    <row r="1159" spans="2:11">
      <c r="B1159" s="6"/>
      <c r="C1159" s="24"/>
      <c r="D1159" s="5"/>
      <c r="E1159" s="5"/>
      <c r="F1159" s="4"/>
      <c r="G1159" s="4"/>
      <c r="H1159" s="4"/>
      <c r="I1159" s="4"/>
      <c r="J1159" s="4"/>
      <c r="K1159" s="4"/>
    </row>
    <row r="1160" spans="2:11">
      <c r="B1160" s="6"/>
      <c r="C1160" s="24"/>
      <c r="D1160" s="5"/>
      <c r="E1160" s="5"/>
      <c r="F1160" s="4"/>
      <c r="G1160" s="4"/>
      <c r="H1160" s="4"/>
      <c r="I1160" s="4"/>
      <c r="J1160" s="4"/>
      <c r="K1160" s="4"/>
    </row>
    <row r="1161" spans="2:11">
      <c r="B1161" s="6"/>
      <c r="C1161" s="24"/>
      <c r="D1161" s="5"/>
      <c r="E1161" s="5"/>
      <c r="F1161" s="4"/>
      <c r="G1161" s="4"/>
      <c r="H1161" s="4"/>
      <c r="I1161" s="4"/>
      <c r="J1161" s="4"/>
      <c r="K1161" s="4"/>
    </row>
    <row r="1162" spans="2:11">
      <c r="B1162" s="6"/>
      <c r="C1162" s="24"/>
      <c r="D1162" s="5"/>
      <c r="E1162" s="5"/>
      <c r="F1162" s="4"/>
      <c r="G1162" s="4"/>
      <c r="H1162" s="4"/>
      <c r="I1162" s="4"/>
      <c r="J1162" s="4"/>
      <c r="K1162" s="4"/>
    </row>
    <row r="1163" spans="2:11">
      <c r="B1163" s="6"/>
      <c r="C1163" s="24"/>
      <c r="D1163" s="5"/>
      <c r="E1163" s="5"/>
      <c r="F1163" s="4"/>
      <c r="G1163" s="4"/>
      <c r="H1163" s="4"/>
      <c r="I1163" s="4"/>
      <c r="J1163" s="4"/>
      <c r="K1163" s="4"/>
    </row>
    <row r="1164" spans="2:11">
      <c r="B1164" s="6"/>
      <c r="C1164" s="24"/>
      <c r="D1164" s="5"/>
      <c r="E1164" s="5"/>
      <c r="F1164" s="4"/>
      <c r="G1164" s="4"/>
      <c r="H1164" s="4"/>
      <c r="I1164" s="4"/>
      <c r="J1164" s="4"/>
      <c r="K1164" s="4"/>
    </row>
    <row r="1165" spans="2:11">
      <c r="B1165" s="6"/>
      <c r="C1165" s="24"/>
      <c r="D1165" s="5"/>
      <c r="E1165" s="5"/>
      <c r="F1165" s="4"/>
      <c r="G1165" s="4"/>
      <c r="H1165" s="4"/>
      <c r="I1165" s="4"/>
      <c r="J1165" s="4"/>
      <c r="K1165" s="4"/>
    </row>
    <row r="1166" spans="2:11">
      <c r="B1166" s="6"/>
      <c r="C1166" s="24"/>
      <c r="D1166" s="5"/>
      <c r="E1166" s="5"/>
      <c r="F1166" s="4"/>
      <c r="G1166" s="4"/>
      <c r="H1166" s="4"/>
      <c r="I1166" s="4"/>
      <c r="J1166" s="4"/>
      <c r="K1166" s="4"/>
    </row>
    <row r="1167" spans="2:11">
      <c r="B1167" s="6"/>
      <c r="C1167" s="24"/>
      <c r="D1167" s="5"/>
      <c r="E1167" s="5"/>
      <c r="F1167" s="4"/>
      <c r="G1167" s="4"/>
      <c r="H1167" s="4"/>
      <c r="I1167" s="4"/>
      <c r="J1167" s="4"/>
      <c r="K1167" s="4"/>
    </row>
    <row r="1168" spans="2:11">
      <c r="B1168" s="6"/>
      <c r="C1168" s="24"/>
      <c r="D1168" s="5"/>
      <c r="E1168" s="5"/>
      <c r="F1168" s="4"/>
      <c r="G1168" s="4"/>
      <c r="H1168" s="4"/>
      <c r="I1168" s="4"/>
      <c r="J1168" s="4"/>
      <c r="K1168" s="4"/>
    </row>
    <row r="1169" spans="2:11">
      <c r="B1169" s="6"/>
      <c r="C1169" s="24"/>
      <c r="D1169" s="5"/>
      <c r="E1169" s="5"/>
      <c r="F1169" s="4"/>
      <c r="G1169" s="4"/>
      <c r="H1169" s="4"/>
      <c r="I1169" s="4"/>
      <c r="J1169" s="4"/>
      <c r="K1169" s="4"/>
    </row>
    <row r="1170" spans="2:11">
      <c r="B1170" s="6"/>
      <c r="C1170" s="24"/>
      <c r="D1170" s="5"/>
      <c r="E1170" s="5"/>
      <c r="F1170" s="4"/>
      <c r="G1170" s="4"/>
      <c r="H1170" s="4"/>
      <c r="I1170" s="4"/>
      <c r="J1170" s="4"/>
      <c r="K1170" s="4"/>
    </row>
    <row r="1171" spans="2:11">
      <c r="B1171" s="6"/>
      <c r="C1171" s="24"/>
      <c r="D1171" s="5"/>
      <c r="E1171" s="5"/>
      <c r="F1171" s="4"/>
      <c r="G1171" s="4"/>
      <c r="H1171" s="4"/>
      <c r="I1171" s="4"/>
      <c r="J1171" s="4"/>
      <c r="K1171" s="4"/>
    </row>
    <row r="1172" spans="2:11">
      <c r="B1172" s="6"/>
      <c r="C1172" s="24"/>
      <c r="D1172" s="5"/>
      <c r="E1172" s="5"/>
      <c r="F1172" s="4"/>
      <c r="G1172" s="4"/>
      <c r="H1172" s="4"/>
      <c r="I1172" s="4"/>
      <c r="J1172" s="4"/>
      <c r="K1172" s="4"/>
    </row>
    <row r="1173" spans="2:11">
      <c r="B1173" s="6"/>
      <c r="C1173" s="24"/>
      <c r="D1173" s="5"/>
      <c r="E1173" s="5"/>
      <c r="F1173" s="4"/>
      <c r="G1173" s="4"/>
      <c r="H1173" s="4"/>
      <c r="I1173" s="4"/>
      <c r="J1173" s="4"/>
      <c r="K1173" s="4"/>
    </row>
    <row r="1174" spans="2:11">
      <c r="B1174" s="6"/>
      <c r="C1174" s="24"/>
      <c r="D1174" s="5"/>
      <c r="E1174" s="5"/>
      <c r="F1174" s="4"/>
      <c r="G1174" s="4"/>
      <c r="H1174" s="4"/>
      <c r="I1174" s="4"/>
      <c r="J1174" s="4"/>
      <c r="K1174" s="4"/>
    </row>
    <row r="1175" spans="2:11">
      <c r="B1175" s="6"/>
      <c r="C1175" s="24"/>
      <c r="D1175" s="5"/>
      <c r="E1175" s="5"/>
      <c r="F1175" s="4"/>
      <c r="G1175" s="4"/>
      <c r="H1175" s="4"/>
      <c r="I1175" s="4"/>
      <c r="J1175" s="4"/>
      <c r="K1175" s="4"/>
    </row>
    <row r="1176" spans="2:11">
      <c r="B1176" s="6"/>
      <c r="C1176" s="24"/>
      <c r="D1176" s="5"/>
      <c r="E1176" s="5"/>
      <c r="F1176" s="4"/>
      <c r="G1176" s="4"/>
      <c r="H1176" s="4"/>
      <c r="I1176" s="4"/>
      <c r="J1176" s="4"/>
      <c r="K1176" s="4"/>
    </row>
    <row r="1177" spans="2:11">
      <c r="B1177" s="6"/>
      <c r="C1177" s="24"/>
      <c r="D1177" s="5"/>
      <c r="E1177" s="5"/>
      <c r="F1177" s="4"/>
      <c r="G1177" s="4"/>
      <c r="H1177" s="4"/>
      <c r="I1177" s="4"/>
      <c r="J1177" s="4"/>
      <c r="K1177" s="4"/>
    </row>
    <row r="1178" spans="2:11">
      <c r="B1178" s="6"/>
      <c r="C1178" s="24"/>
      <c r="D1178" s="5"/>
      <c r="E1178" s="5"/>
      <c r="F1178" s="4"/>
      <c r="G1178" s="4"/>
      <c r="H1178" s="4"/>
      <c r="I1178" s="4"/>
      <c r="J1178" s="4"/>
      <c r="K1178" s="4"/>
    </row>
    <row r="1179" spans="2:11">
      <c r="B1179" s="6"/>
      <c r="C1179" s="24"/>
      <c r="D1179" s="5"/>
      <c r="E1179" s="5"/>
      <c r="F1179" s="4"/>
      <c r="G1179" s="4"/>
      <c r="H1179" s="4"/>
      <c r="I1179" s="4"/>
      <c r="J1179" s="4"/>
      <c r="K1179" s="4"/>
    </row>
    <row r="1180" spans="2:11">
      <c r="B1180" s="6"/>
      <c r="C1180" s="24"/>
      <c r="D1180" s="5"/>
      <c r="E1180" s="5"/>
      <c r="F1180" s="4"/>
      <c r="G1180" s="4"/>
      <c r="H1180" s="4"/>
      <c r="I1180" s="4"/>
      <c r="J1180" s="4"/>
      <c r="K1180" s="4"/>
    </row>
    <row r="1181" spans="2:11">
      <c r="B1181" s="6"/>
      <c r="C1181" s="24"/>
      <c r="D1181" s="5"/>
      <c r="E1181" s="5"/>
      <c r="F1181" s="4"/>
      <c r="G1181" s="4"/>
      <c r="H1181" s="4"/>
      <c r="I1181" s="4"/>
      <c r="J1181" s="4"/>
      <c r="K1181" s="4"/>
    </row>
    <row r="1182" spans="2:11">
      <c r="B1182" s="6"/>
      <c r="C1182" s="24"/>
      <c r="D1182" s="5"/>
      <c r="E1182" s="5"/>
      <c r="F1182" s="4"/>
      <c r="G1182" s="4"/>
      <c r="H1182" s="4"/>
      <c r="I1182" s="4"/>
      <c r="J1182" s="4"/>
      <c r="K1182" s="4"/>
    </row>
    <row r="1183" spans="2:11">
      <c r="B1183" s="6"/>
      <c r="C1183" s="24"/>
      <c r="D1183" s="5"/>
      <c r="E1183" s="5"/>
      <c r="F1183" s="4"/>
      <c r="G1183" s="4"/>
      <c r="H1183" s="4"/>
      <c r="I1183" s="4"/>
      <c r="J1183" s="4"/>
      <c r="K1183" s="4"/>
    </row>
    <row r="1184" spans="2:11">
      <c r="B1184" s="6"/>
      <c r="C1184" s="24"/>
      <c r="D1184" s="5"/>
      <c r="E1184" s="5"/>
      <c r="F1184" s="4"/>
      <c r="G1184" s="4"/>
      <c r="H1184" s="4"/>
      <c r="I1184" s="4"/>
      <c r="J1184" s="4"/>
      <c r="K1184" s="4"/>
    </row>
    <row r="1185" spans="2:11">
      <c r="B1185" s="6"/>
      <c r="C1185" s="24"/>
      <c r="D1185" s="5"/>
      <c r="E1185" s="5"/>
      <c r="F1185" s="4"/>
      <c r="G1185" s="4"/>
      <c r="H1185" s="4"/>
      <c r="I1185" s="4"/>
      <c r="J1185" s="4"/>
      <c r="K1185" s="4"/>
    </row>
    <row r="1186" spans="2:11">
      <c r="B1186" s="6"/>
      <c r="C1186" s="24"/>
      <c r="D1186" s="5"/>
      <c r="E1186" s="5"/>
      <c r="F1186" s="4"/>
      <c r="G1186" s="4"/>
      <c r="H1186" s="4"/>
      <c r="I1186" s="4"/>
      <c r="J1186" s="4"/>
      <c r="K1186" s="4"/>
    </row>
    <row r="1187" spans="2:11">
      <c r="B1187" s="6"/>
      <c r="C1187" s="24"/>
      <c r="D1187" s="5"/>
      <c r="E1187" s="5"/>
      <c r="F1187" s="4"/>
      <c r="G1187" s="4"/>
      <c r="H1187" s="4"/>
      <c r="I1187" s="4"/>
      <c r="J1187" s="4"/>
      <c r="K1187" s="4"/>
    </row>
    <row r="1188" spans="2:11">
      <c r="B1188" s="6"/>
      <c r="C1188" s="24"/>
      <c r="D1188" s="5"/>
      <c r="E1188" s="5"/>
      <c r="F1188" s="4"/>
      <c r="G1188" s="4"/>
      <c r="H1188" s="4"/>
      <c r="I1188" s="4"/>
      <c r="J1188" s="4"/>
      <c r="K1188" s="4"/>
    </row>
    <row r="1189" spans="2:11">
      <c r="B1189" s="6"/>
      <c r="C1189" s="24"/>
      <c r="D1189" s="5"/>
      <c r="E1189" s="5"/>
      <c r="F1189" s="4"/>
      <c r="G1189" s="4"/>
      <c r="H1189" s="4"/>
      <c r="I1189" s="4"/>
      <c r="J1189" s="4"/>
      <c r="K1189" s="4"/>
    </row>
    <row r="1190" spans="2:11">
      <c r="B1190" s="6"/>
      <c r="C1190" s="24"/>
      <c r="D1190" s="5"/>
      <c r="E1190" s="5"/>
      <c r="F1190" s="4"/>
      <c r="G1190" s="4"/>
      <c r="H1190" s="4"/>
      <c r="I1190" s="4"/>
      <c r="J1190" s="4"/>
      <c r="K1190" s="4"/>
    </row>
    <row r="1191" spans="2:11">
      <c r="B1191" s="6"/>
      <c r="C1191" s="24"/>
      <c r="D1191" s="5"/>
      <c r="E1191" s="5"/>
      <c r="F1191" s="4"/>
      <c r="G1191" s="4"/>
      <c r="H1191" s="4"/>
      <c r="I1191" s="4"/>
      <c r="J1191" s="4"/>
      <c r="K1191" s="4"/>
    </row>
    <row r="1192" spans="2:11">
      <c r="B1192" s="6"/>
      <c r="C1192" s="24"/>
      <c r="D1192" s="5"/>
      <c r="E1192" s="5"/>
      <c r="F1192" s="4"/>
      <c r="G1192" s="4"/>
      <c r="H1192" s="4"/>
      <c r="I1192" s="4"/>
      <c r="J1192" s="4"/>
      <c r="K1192" s="4"/>
    </row>
    <row r="1193" spans="2:11">
      <c r="B1193" s="6"/>
      <c r="C1193" s="24"/>
      <c r="D1193" s="5"/>
      <c r="E1193" s="5"/>
      <c r="F1193" s="4"/>
      <c r="G1193" s="4"/>
      <c r="H1193" s="4"/>
      <c r="I1193" s="4"/>
      <c r="J1193" s="4"/>
      <c r="K1193" s="4"/>
    </row>
    <row r="1194" spans="2:11">
      <c r="B1194" s="6"/>
      <c r="C1194" s="24"/>
      <c r="D1194" s="5"/>
      <c r="E1194" s="5"/>
      <c r="F1194" s="4"/>
      <c r="G1194" s="4"/>
      <c r="H1194" s="4"/>
      <c r="I1194" s="4"/>
      <c r="J1194" s="4"/>
      <c r="K1194" s="4"/>
    </row>
    <row r="1195" spans="2:11">
      <c r="B1195" s="6"/>
      <c r="C1195" s="24"/>
      <c r="D1195" s="5"/>
      <c r="E1195" s="5"/>
      <c r="F1195" s="4"/>
      <c r="G1195" s="4"/>
      <c r="H1195" s="4"/>
      <c r="I1195" s="4"/>
      <c r="J1195" s="4"/>
      <c r="K1195" s="4"/>
    </row>
    <row r="1196" spans="2:11">
      <c r="B1196" s="6"/>
      <c r="C1196" s="24"/>
      <c r="D1196" s="5"/>
      <c r="E1196" s="5"/>
      <c r="F1196" s="4"/>
      <c r="G1196" s="4"/>
      <c r="H1196" s="4"/>
      <c r="I1196" s="4"/>
      <c r="J1196" s="4"/>
      <c r="K1196" s="4"/>
    </row>
    <row r="1197" spans="2:11">
      <c r="B1197" s="6"/>
      <c r="C1197" s="24"/>
      <c r="D1197" s="5"/>
      <c r="E1197" s="5"/>
      <c r="F1197" s="4"/>
      <c r="G1197" s="4"/>
      <c r="H1197" s="4"/>
      <c r="I1197" s="4"/>
      <c r="J1197" s="4"/>
      <c r="K1197" s="4"/>
    </row>
    <row r="1198" spans="2:11">
      <c r="B1198" s="6"/>
      <c r="C1198" s="24"/>
      <c r="D1198" s="5"/>
      <c r="E1198" s="5"/>
      <c r="F1198" s="4"/>
      <c r="G1198" s="4"/>
      <c r="H1198" s="4"/>
      <c r="I1198" s="4"/>
      <c r="J1198" s="4"/>
      <c r="K1198" s="4"/>
    </row>
    <row r="1199" spans="2:11">
      <c r="B1199" s="6"/>
      <c r="C1199" s="24"/>
      <c r="D1199" s="5"/>
      <c r="E1199" s="5"/>
      <c r="F1199" s="4"/>
      <c r="G1199" s="4"/>
      <c r="H1199" s="4"/>
      <c r="I1199" s="4"/>
      <c r="J1199" s="4"/>
      <c r="K1199" s="4"/>
    </row>
    <row r="1200" spans="2:11">
      <c r="B1200" s="6"/>
      <c r="C1200" s="24"/>
      <c r="D1200" s="5"/>
      <c r="E1200" s="5"/>
      <c r="F1200" s="4"/>
      <c r="G1200" s="4"/>
      <c r="H1200" s="4"/>
      <c r="I1200" s="4"/>
      <c r="J1200" s="4"/>
      <c r="K1200" s="4"/>
    </row>
    <row r="1201" spans="2:11">
      <c r="B1201" s="6"/>
      <c r="C1201" s="24"/>
      <c r="D1201" s="5"/>
      <c r="E1201" s="5"/>
      <c r="F1201" s="4"/>
      <c r="G1201" s="4"/>
      <c r="H1201" s="4"/>
      <c r="I1201" s="4"/>
      <c r="J1201" s="4"/>
      <c r="K1201" s="4"/>
    </row>
    <row r="1202" spans="2:11">
      <c r="B1202" s="6"/>
      <c r="C1202" s="24"/>
      <c r="D1202" s="5"/>
      <c r="E1202" s="5"/>
      <c r="F1202" s="4"/>
      <c r="G1202" s="4"/>
      <c r="H1202" s="4"/>
      <c r="I1202" s="4"/>
      <c r="J1202" s="4"/>
      <c r="K1202" s="4"/>
    </row>
    <row r="1203" spans="2:11">
      <c r="B1203" s="6"/>
      <c r="C1203" s="24"/>
      <c r="D1203" s="5"/>
      <c r="E1203" s="5"/>
      <c r="F1203" s="4"/>
      <c r="G1203" s="4"/>
      <c r="H1203" s="4"/>
      <c r="I1203" s="4"/>
      <c r="J1203" s="4"/>
      <c r="K1203" s="4"/>
    </row>
    <row r="1204" spans="2:11">
      <c r="B1204" s="6"/>
      <c r="C1204" s="24"/>
      <c r="D1204" s="5"/>
      <c r="E1204" s="5"/>
      <c r="F1204" s="4"/>
      <c r="G1204" s="4"/>
      <c r="H1204" s="4"/>
      <c r="I1204" s="4"/>
      <c r="J1204" s="4"/>
      <c r="K1204" s="4"/>
    </row>
    <row r="1205" spans="2:11">
      <c r="B1205" s="6"/>
      <c r="C1205" s="24"/>
      <c r="D1205" s="5"/>
      <c r="E1205" s="5"/>
      <c r="F1205" s="4"/>
      <c r="G1205" s="4"/>
      <c r="H1205" s="4"/>
      <c r="I1205" s="4"/>
      <c r="J1205" s="4"/>
      <c r="K1205" s="4"/>
    </row>
    <row r="1206" spans="2:11">
      <c r="B1206" s="6"/>
      <c r="C1206" s="24"/>
      <c r="D1206" s="5"/>
      <c r="E1206" s="5"/>
      <c r="F1206" s="4"/>
      <c r="G1206" s="4"/>
      <c r="H1206" s="4"/>
      <c r="I1206" s="4"/>
      <c r="J1206" s="4"/>
      <c r="K1206" s="4"/>
    </row>
    <row r="1207" spans="2:11">
      <c r="B1207" s="6"/>
      <c r="C1207" s="24"/>
      <c r="D1207" s="5"/>
      <c r="E1207" s="5"/>
      <c r="F1207" s="4"/>
      <c r="G1207" s="4"/>
      <c r="H1207" s="4"/>
      <c r="I1207" s="4"/>
      <c r="J1207" s="4"/>
      <c r="K1207" s="4"/>
    </row>
    <row r="1208" spans="2:11">
      <c r="B1208" s="6"/>
      <c r="C1208" s="24"/>
      <c r="D1208" s="5"/>
      <c r="E1208" s="5"/>
      <c r="F1208" s="4"/>
      <c r="G1208" s="4"/>
      <c r="H1208" s="4"/>
      <c r="I1208" s="4"/>
      <c r="J1208" s="4"/>
      <c r="K1208" s="4"/>
    </row>
    <row r="1209" spans="2:11">
      <c r="B1209" s="6"/>
      <c r="C1209" s="24"/>
      <c r="D1209" s="5"/>
      <c r="E1209" s="5"/>
      <c r="F1209" s="4"/>
      <c r="G1209" s="4"/>
      <c r="H1209" s="4"/>
      <c r="I1209" s="4"/>
      <c r="J1209" s="4"/>
      <c r="K1209" s="4"/>
    </row>
    <row r="1210" spans="2:11">
      <c r="B1210" s="6"/>
      <c r="C1210" s="24"/>
      <c r="D1210" s="5"/>
      <c r="E1210" s="5"/>
      <c r="F1210" s="4"/>
      <c r="G1210" s="4"/>
      <c r="H1210" s="4"/>
      <c r="I1210" s="4"/>
      <c r="J1210" s="4"/>
      <c r="K1210" s="4"/>
    </row>
    <row r="1211" spans="2:11">
      <c r="B1211" s="6"/>
      <c r="C1211" s="24"/>
      <c r="D1211" s="5"/>
      <c r="E1211" s="5"/>
      <c r="F1211" s="4"/>
      <c r="G1211" s="4"/>
      <c r="H1211" s="4"/>
      <c r="I1211" s="4"/>
      <c r="J1211" s="4"/>
      <c r="K1211" s="4"/>
    </row>
    <row r="1212" spans="2:11">
      <c r="B1212" s="6"/>
      <c r="C1212" s="24"/>
      <c r="D1212" s="5"/>
      <c r="E1212" s="5"/>
      <c r="F1212" s="4"/>
      <c r="G1212" s="4"/>
      <c r="H1212" s="4"/>
      <c r="I1212" s="4"/>
      <c r="J1212" s="4"/>
      <c r="K1212" s="4"/>
    </row>
    <row r="1213" spans="2:11">
      <c r="B1213" s="6"/>
      <c r="C1213" s="24"/>
      <c r="D1213" s="5"/>
      <c r="E1213" s="5"/>
      <c r="F1213" s="4"/>
      <c r="G1213" s="4"/>
      <c r="H1213" s="4"/>
      <c r="I1213" s="4"/>
      <c r="J1213" s="4"/>
      <c r="K1213" s="4"/>
    </row>
    <row r="1214" spans="2:11">
      <c r="B1214" s="6"/>
      <c r="C1214" s="24"/>
      <c r="D1214" s="5"/>
      <c r="E1214" s="5"/>
      <c r="F1214" s="4"/>
      <c r="G1214" s="4"/>
      <c r="H1214" s="4"/>
      <c r="I1214" s="4"/>
      <c r="J1214" s="4"/>
      <c r="K1214" s="4"/>
    </row>
    <row r="1215" spans="2:11">
      <c r="B1215" s="6"/>
      <c r="C1215" s="24"/>
      <c r="D1215" s="5"/>
      <c r="E1215" s="5"/>
      <c r="F1215" s="4"/>
      <c r="G1215" s="4"/>
      <c r="H1215" s="4"/>
      <c r="I1215" s="4"/>
      <c r="J1215" s="4"/>
      <c r="K1215" s="4"/>
    </row>
    <row r="1216" spans="2:11">
      <c r="B1216" s="6"/>
      <c r="C1216" s="24"/>
      <c r="D1216" s="5"/>
      <c r="E1216" s="5"/>
      <c r="F1216" s="4"/>
      <c r="G1216" s="4"/>
      <c r="H1216" s="4"/>
      <c r="I1216" s="4"/>
      <c r="J1216" s="4"/>
      <c r="K1216" s="4"/>
    </row>
    <row r="1217" spans="2:11">
      <c r="B1217" s="6"/>
      <c r="C1217" s="24"/>
      <c r="D1217" s="5"/>
      <c r="E1217" s="5"/>
      <c r="F1217" s="4"/>
      <c r="G1217" s="4"/>
      <c r="H1217" s="4"/>
      <c r="I1217" s="4"/>
      <c r="J1217" s="4"/>
      <c r="K1217" s="4"/>
    </row>
    <row r="1218" spans="2:11">
      <c r="B1218" s="6"/>
      <c r="C1218" s="24"/>
      <c r="D1218" s="5"/>
      <c r="E1218" s="5"/>
      <c r="F1218" s="4"/>
      <c r="G1218" s="4"/>
      <c r="H1218" s="4"/>
      <c r="I1218" s="4"/>
      <c r="J1218" s="4"/>
      <c r="K1218" s="4"/>
    </row>
    <row r="1219" spans="2:11">
      <c r="B1219" s="6"/>
      <c r="C1219" s="24"/>
      <c r="D1219" s="5"/>
      <c r="E1219" s="5"/>
      <c r="F1219" s="4"/>
      <c r="G1219" s="4"/>
      <c r="H1219" s="4"/>
      <c r="I1219" s="4"/>
      <c r="J1219" s="4"/>
      <c r="K1219" s="4"/>
    </row>
    <row r="1220" spans="2:11">
      <c r="B1220" s="6"/>
      <c r="C1220" s="24"/>
      <c r="D1220" s="5"/>
      <c r="E1220" s="5"/>
      <c r="F1220" s="4"/>
      <c r="G1220" s="4"/>
      <c r="H1220" s="4"/>
      <c r="I1220" s="4"/>
      <c r="J1220" s="4"/>
      <c r="K1220" s="4"/>
    </row>
    <row r="1221" spans="2:11">
      <c r="B1221" s="6"/>
      <c r="C1221" s="24"/>
      <c r="D1221" s="5"/>
      <c r="E1221" s="5"/>
      <c r="F1221" s="4"/>
      <c r="G1221" s="4"/>
      <c r="H1221" s="4"/>
      <c r="I1221" s="4"/>
      <c r="J1221" s="4"/>
      <c r="K1221" s="4"/>
    </row>
    <row r="1222" spans="2:11">
      <c r="B1222" s="6"/>
      <c r="C1222" s="24"/>
      <c r="D1222" s="5"/>
      <c r="E1222" s="5"/>
      <c r="F1222" s="4"/>
      <c r="G1222" s="4"/>
      <c r="H1222" s="4"/>
      <c r="I1222" s="4"/>
      <c r="J1222" s="4"/>
      <c r="K1222" s="4"/>
    </row>
    <row r="1223" spans="2:11">
      <c r="B1223" s="6"/>
      <c r="C1223" s="24"/>
      <c r="D1223" s="5"/>
      <c r="E1223" s="5"/>
      <c r="F1223" s="4"/>
      <c r="G1223" s="4"/>
      <c r="H1223" s="4"/>
      <c r="I1223" s="4"/>
      <c r="J1223" s="4"/>
      <c r="K1223" s="4"/>
    </row>
    <row r="1224" spans="2:11">
      <c r="B1224" s="6"/>
      <c r="C1224" s="24"/>
      <c r="D1224" s="5"/>
      <c r="E1224" s="5"/>
      <c r="F1224" s="4"/>
      <c r="G1224" s="4"/>
      <c r="H1224" s="4"/>
      <c r="I1224" s="4"/>
      <c r="J1224" s="4"/>
      <c r="K1224" s="4"/>
    </row>
    <row r="1225" spans="2:11">
      <c r="B1225" s="6"/>
      <c r="C1225" s="24"/>
      <c r="D1225" s="5"/>
      <c r="E1225" s="5"/>
      <c r="F1225" s="4"/>
      <c r="G1225" s="4"/>
      <c r="H1225" s="4"/>
      <c r="I1225" s="4"/>
      <c r="J1225" s="4"/>
      <c r="K1225" s="4"/>
    </row>
    <row r="1226" spans="2:11">
      <c r="B1226" s="6"/>
      <c r="C1226" s="24"/>
      <c r="D1226" s="5"/>
      <c r="E1226" s="5"/>
      <c r="F1226" s="4"/>
      <c r="G1226" s="4"/>
      <c r="H1226" s="4"/>
      <c r="I1226" s="4"/>
      <c r="J1226" s="4"/>
      <c r="K1226" s="4"/>
    </row>
    <row r="1227" spans="2:11">
      <c r="B1227" s="6"/>
      <c r="C1227" s="24"/>
      <c r="D1227" s="5"/>
      <c r="E1227" s="5"/>
      <c r="F1227" s="4"/>
      <c r="G1227" s="4"/>
      <c r="H1227" s="4"/>
      <c r="I1227" s="4"/>
      <c r="J1227" s="4"/>
      <c r="K1227" s="4"/>
    </row>
    <row r="1228" spans="2:11">
      <c r="B1228" s="6"/>
      <c r="C1228" s="24"/>
      <c r="D1228" s="5"/>
      <c r="E1228" s="5"/>
      <c r="F1228" s="4"/>
      <c r="G1228" s="4"/>
      <c r="H1228" s="4"/>
      <c r="I1228" s="4"/>
      <c r="J1228" s="4"/>
      <c r="K1228" s="4"/>
    </row>
    <row r="1229" spans="2:11">
      <c r="B1229" s="6"/>
      <c r="C1229" s="24"/>
      <c r="D1229" s="5"/>
      <c r="E1229" s="5"/>
      <c r="F1229" s="4"/>
      <c r="G1229" s="4"/>
      <c r="H1229" s="4"/>
      <c r="I1229" s="4"/>
      <c r="J1229" s="4"/>
      <c r="K1229" s="4"/>
    </row>
    <row r="1230" spans="2:11">
      <c r="B1230" s="6"/>
      <c r="C1230" s="24"/>
      <c r="D1230" s="5"/>
      <c r="E1230" s="5"/>
      <c r="F1230" s="4"/>
      <c r="G1230" s="4"/>
      <c r="H1230" s="4"/>
      <c r="I1230" s="4"/>
      <c r="J1230" s="4"/>
      <c r="K1230" s="4"/>
    </row>
    <row r="1231" spans="2:11">
      <c r="B1231" s="6"/>
      <c r="C1231" s="24"/>
      <c r="D1231" s="5"/>
      <c r="E1231" s="5"/>
      <c r="F1231" s="4"/>
      <c r="G1231" s="4"/>
      <c r="H1231" s="4"/>
      <c r="I1231" s="4"/>
      <c r="J1231" s="4"/>
      <c r="K1231" s="4"/>
    </row>
    <row r="1232" spans="2:11">
      <c r="B1232" s="6"/>
      <c r="C1232" s="24"/>
      <c r="D1232" s="5"/>
      <c r="E1232" s="5"/>
      <c r="F1232" s="4"/>
      <c r="G1232" s="4"/>
      <c r="H1232" s="4"/>
      <c r="I1232" s="4"/>
      <c r="J1232" s="4"/>
      <c r="K1232" s="4"/>
    </row>
    <row r="1233" spans="2:11">
      <c r="B1233" s="6"/>
      <c r="C1233" s="24"/>
      <c r="D1233" s="5"/>
      <c r="E1233" s="5"/>
      <c r="F1233" s="4"/>
      <c r="G1233" s="4"/>
      <c r="H1233" s="4"/>
      <c r="I1233" s="4"/>
      <c r="J1233" s="4"/>
      <c r="K1233" s="4"/>
    </row>
    <row r="1234" spans="2:11">
      <c r="B1234" s="6"/>
      <c r="C1234" s="24"/>
      <c r="D1234" s="5"/>
      <c r="E1234" s="5"/>
      <c r="F1234" s="4"/>
      <c r="G1234" s="4"/>
      <c r="H1234" s="4"/>
      <c r="I1234" s="4"/>
      <c r="J1234" s="4"/>
      <c r="K1234" s="4"/>
    </row>
    <row r="1235" spans="2:11">
      <c r="B1235" s="6"/>
      <c r="C1235" s="24"/>
      <c r="D1235" s="5"/>
      <c r="E1235" s="5"/>
      <c r="F1235" s="4"/>
      <c r="G1235" s="4"/>
      <c r="H1235" s="4"/>
      <c r="I1235" s="4"/>
      <c r="J1235" s="4"/>
      <c r="K1235" s="4"/>
    </row>
    <row r="1236" spans="2:11">
      <c r="B1236" s="6"/>
      <c r="C1236" s="24"/>
      <c r="D1236" s="5"/>
      <c r="E1236" s="5"/>
      <c r="F1236" s="4"/>
      <c r="G1236" s="4"/>
      <c r="H1236" s="4"/>
      <c r="I1236" s="4"/>
      <c r="J1236" s="4"/>
      <c r="K1236" s="4"/>
    </row>
    <row r="1237" spans="2:11">
      <c r="B1237" s="6"/>
      <c r="C1237" s="24"/>
      <c r="D1237" s="5"/>
      <c r="E1237" s="5"/>
      <c r="F1237" s="4"/>
      <c r="G1237" s="4"/>
      <c r="H1237" s="4"/>
      <c r="I1237" s="4"/>
      <c r="J1237" s="4"/>
      <c r="K1237" s="4"/>
    </row>
    <row r="1238" spans="2:11">
      <c r="B1238" s="6"/>
      <c r="C1238" s="24"/>
      <c r="D1238" s="5"/>
      <c r="E1238" s="5"/>
      <c r="F1238" s="4"/>
      <c r="G1238" s="4"/>
      <c r="H1238" s="4"/>
      <c r="I1238" s="4"/>
      <c r="J1238" s="4"/>
      <c r="K1238" s="4"/>
    </row>
    <row r="1239" spans="2:11">
      <c r="B1239" s="6"/>
      <c r="C1239" s="24"/>
      <c r="D1239" s="5"/>
      <c r="E1239" s="5"/>
      <c r="F1239" s="4"/>
      <c r="G1239" s="4"/>
      <c r="H1239" s="4"/>
      <c r="I1239" s="4"/>
      <c r="J1239" s="4"/>
      <c r="K1239" s="4"/>
    </row>
    <row r="1240" spans="2:11">
      <c r="B1240" s="6"/>
      <c r="C1240" s="24"/>
      <c r="D1240" s="5"/>
      <c r="E1240" s="5"/>
      <c r="F1240" s="4"/>
      <c r="G1240" s="4"/>
      <c r="H1240" s="4"/>
      <c r="I1240" s="4"/>
      <c r="J1240" s="4"/>
      <c r="K1240" s="4"/>
    </row>
    <row r="1241" spans="2:11">
      <c r="B1241" s="6"/>
      <c r="C1241" s="24"/>
      <c r="D1241" s="5"/>
      <c r="E1241" s="5"/>
      <c r="F1241" s="4"/>
      <c r="G1241" s="4"/>
      <c r="H1241" s="4"/>
      <c r="I1241" s="4"/>
      <c r="J1241" s="4"/>
      <c r="K1241" s="4"/>
    </row>
    <row r="1242" spans="2:11">
      <c r="B1242" s="6"/>
      <c r="C1242" s="24"/>
      <c r="D1242" s="5"/>
      <c r="E1242" s="5"/>
      <c r="F1242" s="4"/>
      <c r="G1242" s="4"/>
      <c r="H1242" s="4"/>
      <c r="I1242" s="4"/>
      <c r="J1242" s="4"/>
      <c r="K1242" s="4"/>
    </row>
    <row r="1243" spans="2:11">
      <c r="B1243" s="6"/>
      <c r="C1243" s="24"/>
      <c r="D1243" s="5"/>
      <c r="E1243" s="5"/>
      <c r="F1243" s="4"/>
      <c r="G1243" s="4"/>
      <c r="H1243" s="4"/>
      <c r="I1243" s="4"/>
      <c r="J1243" s="4"/>
      <c r="K1243" s="4"/>
    </row>
    <row r="1244" spans="2:11">
      <c r="B1244" s="6"/>
      <c r="C1244" s="24"/>
      <c r="D1244" s="5"/>
      <c r="E1244" s="5"/>
      <c r="F1244" s="4"/>
      <c r="G1244" s="4"/>
      <c r="H1244" s="4"/>
      <c r="I1244" s="4"/>
      <c r="J1244" s="4"/>
      <c r="K1244" s="4"/>
    </row>
    <row r="1245" spans="2:11">
      <c r="B1245" s="6"/>
      <c r="C1245" s="24"/>
      <c r="D1245" s="5"/>
      <c r="E1245" s="5"/>
      <c r="F1245" s="4"/>
      <c r="G1245" s="4"/>
      <c r="H1245" s="4"/>
      <c r="I1245" s="4"/>
      <c r="J1245" s="4"/>
      <c r="K1245" s="4"/>
    </row>
    <row r="1246" spans="2:11">
      <c r="B1246" s="6"/>
      <c r="C1246" s="24"/>
      <c r="D1246" s="5"/>
      <c r="E1246" s="5"/>
      <c r="F1246" s="4"/>
      <c r="G1246" s="4"/>
      <c r="H1246" s="4"/>
      <c r="I1246" s="4"/>
      <c r="J1246" s="4"/>
      <c r="K1246" s="4"/>
    </row>
    <row r="1247" spans="2:11">
      <c r="B1247" s="6"/>
      <c r="C1247" s="24"/>
      <c r="D1247" s="5"/>
      <c r="E1247" s="5"/>
      <c r="F1247" s="4"/>
      <c r="G1247" s="4"/>
      <c r="H1247" s="4"/>
      <c r="I1247" s="4"/>
      <c r="J1247" s="4"/>
      <c r="K1247" s="4"/>
    </row>
    <row r="1248" spans="2:11">
      <c r="B1248" s="6"/>
      <c r="C1248" s="24"/>
      <c r="D1248" s="5"/>
      <c r="E1248" s="5"/>
      <c r="F1248" s="4"/>
      <c r="G1248" s="4"/>
      <c r="H1248" s="4"/>
      <c r="I1248" s="4"/>
      <c r="J1248" s="4"/>
      <c r="K1248" s="4"/>
    </row>
    <row r="1249" spans="2:11">
      <c r="B1249" s="6"/>
      <c r="C1249" s="24"/>
      <c r="D1249" s="5"/>
      <c r="E1249" s="5"/>
      <c r="F1249" s="4"/>
      <c r="G1249" s="4"/>
      <c r="H1249" s="4"/>
      <c r="I1249" s="4"/>
      <c r="J1249" s="4"/>
      <c r="K1249" s="4"/>
    </row>
    <row r="1250" spans="2:11">
      <c r="B1250" s="6"/>
      <c r="C1250" s="24"/>
      <c r="D1250" s="5"/>
      <c r="E1250" s="5"/>
      <c r="F1250" s="4"/>
      <c r="G1250" s="4"/>
      <c r="H1250" s="4"/>
      <c r="I1250" s="4"/>
      <c r="J1250" s="4"/>
      <c r="K1250" s="4"/>
    </row>
    <row r="1251" spans="2:11">
      <c r="B1251" s="6"/>
      <c r="C1251" s="24"/>
      <c r="D1251" s="5"/>
      <c r="E1251" s="5"/>
      <c r="F1251" s="4"/>
      <c r="G1251" s="4"/>
      <c r="H1251" s="4"/>
      <c r="I1251" s="4"/>
      <c r="J1251" s="4"/>
      <c r="K1251" s="4"/>
    </row>
    <row r="1252" spans="2:11">
      <c r="B1252" s="6"/>
      <c r="C1252" s="24"/>
      <c r="D1252" s="5"/>
      <c r="E1252" s="5"/>
      <c r="F1252" s="4"/>
      <c r="G1252" s="4"/>
      <c r="H1252" s="4"/>
      <c r="I1252" s="4"/>
      <c r="J1252" s="4"/>
      <c r="K1252" s="4"/>
    </row>
    <row r="1253" spans="2:11">
      <c r="B1253" s="6"/>
      <c r="C1253" s="24"/>
      <c r="D1253" s="5"/>
      <c r="E1253" s="5"/>
      <c r="F1253" s="4"/>
      <c r="G1253" s="4"/>
      <c r="H1253" s="4"/>
      <c r="I1253" s="4"/>
      <c r="J1253" s="4"/>
      <c r="K1253" s="4"/>
    </row>
    <row r="1254" spans="2:11">
      <c r="B1254" s="6"/>
      <c r="C1254" s="24"/>
      <c r="D1254" s="5"/>
      <c r="E1254" s="5"/>
      <c r="F1254" s="4"/>
      <c r="G1254" s="4"/>
      <c r="H1254" s="4"/>
      <c r="I1254" s="4"/>
      <c r="J1254" s="4"/>
      <c r="K1254" s="4"/>
    </row>
    <row r="1255" spans="2:11">
      <c r="B1255" s="6"/>
      <c r="C1255" s="24"/>
      <c r="D1255" s="5"/>
      <c r="E1255" s="5"/>
      <c r="F1255" s="4"/>
      <c r="G1255" s="4"/>
      <c r="H1255" s="4"/>
      <c r="I1255" s="4"/>
      <c r="J1255" s="4"/>
      <c r="K1255" s="4"/>
    </row>
    <row r="1256" spans="2:11">
      <c r="B1256" s="6"/>
      <c r="C1256" s="24"/>
      <c r="D1256" s="5"/>
      <c r="E1256" s="5"/>
      <c r="F1256" s="4"/>
      <c r="G1256" s="4"/>
      <c r="H1256" s="4"/>
      <c r="I1256" s="4"/>
      <c r="J1256" s="4"/>
      <c r="K1256" s="4"/>
    </row>
    <row r="1257" spans="2:11">
      <c r="B1257" s="6"/>
      <c r="C1257" s="24"/>
      <c r="D1257" s="5"/>
      <c r="E1257" s="5"/>
      <c r="F1257" s="4"/>
      <c r="G1257" s="4"/>
      <c r="H1257" s="4"/>
      <c r="I1257" s="4"/>
      <c r="J1257" s="4"/>
      <c r="K1257" s="4"/>
    </row>
    <row r="1258" spans="2:11">
      <c r="B1258" s="6"/>
      <c r="C1258" s="24"/>
      <c r="D1258" s="5"/>
      <c r="E1258" s="5"/>
      <c r="F1258" s="4"/>
      <c r="G1258" s="4"/>
      <c r="H1258" s="4"/>
      <c r="I1258" s="4"/>
      <c r="J1258" s="4"/>
      <c r="K1258" s="4"/>
    </row>
    <row r="1259" spans="2:11">
      <c r="B1259" s="6"/>
      <c r="C1259" s="24"/>
      <c r="D1259" s="5"/>
      <c r="E1259" s="5"/>
      <c r="F1259" s="4"/>
      <c r="G1259" s="4"/>
      <c r="H1259" s="4"/>
      <c r="I1259" s="4"/>
      <c r="J1259" s="4"/>
      <c r="K1259" s="4"/>
    </row>
    <row r="1260" spans="2:11">
      <c r="B1260" s="6"/>
      <c r="C1260" s="24"/>
      <c r="D1260" s="5"/>
      <c r="E1260" s="5"/>
      <c r="F1260" s="4"/>
      <c r="G1260" s="4"/>
      <c r="H1260" s="4"/>
      <c r="I1260" s="4"/>
      <c r="J1260" s="4"/>
      <c r="K1260" s="4"/>
    </row>
    <row r="1261" spans="2:11">
      <c r="B1261" s="6"/>
      <c r="C1261" s="24"/>
      <c r="D1261" s="5"/>
      <c r="E1261" s="5"/>
      <c r="F1261" s="4"/>
      <c r="G1261" s="4"/>
      <c r="H1261" s="4"/>
      <c r="I1261" s="4"/>
      <c r="J1261" s="4"/>
      <c r="K1261" s="4"/>
    </row>
    <row r="1262" spans="2:11">
      <c r="B1262" s="6"/>
      <c r="C1262" s="24"/>
      <c r="D1262" s="5"/>
      <c r="E1262" s="5"/>
      <c r="F1262" s="4"/>
      <c r="G1262" s="4"/>
      <c r="H1262" s="4"/>
      <c r="I1262" s="4"/>
      <c r="J1262" s="4"/>
      <c r="K1262" s="4"/>
    </row>
    <row r="1263" spans="2:11">
      <c r="B1263" s="6"/>
      <c r="C1263" s="24"/>
      <c r="D1263" s="5"/>
      <c r="E1263" s="5"/>
      <c r="F1263" s="4"/>
      <c r="G1263" s="4"/>
      <c r="H1263" s="4"/>
      <c r="I1263" s="4"/>
      <c r="J1263" s="4"/>
      <c r="K1263" s="4"/>
    </row>
    <row r="1264" spans="2:11">
      <c r="B1264" s="6"/>
      <c r="C1264" s="24"/>
      <c r="D1264" s="5"/>
      <c r="E1264" s="5"/>
      <c r="F1264" s="4"/>
      <c r="G1264" s="4"/>
      <c r="H1264" s="4"/>
      <c r="I1264" s="4"/>
      <c r="J1264" s="4"/>
      <c r="K1264" s="4"/>
    </row>
    <row r="1265" spans="2:11">
      <c r="B1265" s="6"/>
      <c r="C1265" s="24"/>
      <c r="D1265" s="5"/>
      <c r="E1265" s="5"/>
      <c r="F1265" s="4"/>
      <c r="G1265" s="4"/>
      <c r="H1265" s="4"/>
      <c r="I1265" s="4"/>
      <c r="J1265" s="4"/>
      <c r="K1265" s="4"/>
    </row>
    <row r="1266" spans="2:11">
      <c r="B1266" s="6"/>
      <c r="C1266" s="24"/>
      <c r="D1266" s="5"/>
      <c r="E1266" s="5"/>
      <c r="F1266" s="4"/>
      <c r="G1266" s="4"/>
      <c r="H1266" s="4"/>
      <c r="I1266" s="4"/>
      <c r="J1266" s="4"/>
      <c r="K1266" s="4"/>
    </row>
    <row r="1267" spans="2:11">
      <c r="B1267" s="6"/>
      <c r="C1267" s="24"/>
      <c r="D1267" s="5"/>
      <c r="E1267" s="5"/>
      <c r="F1267" s="4"/>
      <c r="G1267" s="4"/>
      <c r="H1267" s="4"/>
      <c r="I1267" s="4"/>
      <c r="J1267" s="4"/>
      <c r="K1267" s="4"/>
    </row>
    <row r="1268" spans="2:11">
      <c r="B1268" s="6"/>
      <c r="C1268" s="24"/>
      <c r="D1268" s="5"/>
      <c r="E1268" s="5"/>
      <c r="F1268" s="4"/>
      <c r="G1268" s="4"/>
      <c r="H1268" s="4"/>
      <c r="I1268" s="4"/>
      <c r="J1268" s="4"/>
      <c r="K1268" s="4"/>
    </row>
    <row r="1269" spans="2:11">
      <c r="B1269" s="6"/>
      <c r="C1269" s="24"/>
      <c r="D1269" s="5"/>
      <c r="E1269" s="5"/>
      <c r="F1269" s="4"/>
      <c r="G1269" s="4"/>
      <c r="H1269" s="4"/>
      <c r="I1269" s="4"/>
      <c r="J1269" s="4"/>
      <c r="K1269" s="4"/>
    </row>
    <row r="1270" spans="2:11">
      <c r="B1270" s="6"/>
      <c r="C1270" s="24"/>
      <c r="D1270" s="5"/>
      <c r="E1270" s="5"/>
      <c r="F1270" s="4"/>
      <c r="G1270" s="4"/>
      <c r="H1270" s="4"/>
      <c r="I1270" s="4"/>
      <c r="J1270" s="4"/>
      <c r="K1270" s="4"/>
    </row>
    <row r="1271" spans="2:11">
      <c r="B1271" s="6"/>
      <c r="C1271" s="24"/>
      <c r="D1271" s="5"/>
      <c r="E1271" s="5"/>
      <c r="F1271" s="4"/>
      <c r="G1271" s="4"/>
      <c r="H1271" s="4"/>
      <c r="I1271" s="4"/>
      <c r="J1271" s="4"/>
      <c r="K1271" s="4"/>
    </row>
    <row r="1272" spans="2:11">
      <c r="B1272" s="6"/>
      <c r="C1272" s="24"/>
      <c r="D1272" s="5"/>
      <c r="E1272" s="5"/>
      <c r="F1272" s="4"/>
      <c r="G1272" s="4"/>
      <c r="H1272" s="4"/>
      <c r="I1272" s="4"/>
      <c r="J1272" s="4"/>
      <c r="K1272" s="4"/>
    </row>
    <row r="1273" spans="2:11">
      <c r="B1273" s="6"/>
      <c r="C1273" s="24"/>
      <c r="D1273" s="5"/>
      <c r="E1273" s="5"/>
      <c r="F1273" s="4"/>
      <c r="G1273" s="4"/>
      <c r="H1273" s="4"/>
      <c r="I1273" s="4"/>
      <c r="J1273" s="4"/>
      <c r="K1273" s="4"/>
    </row>
    <row r="1274" spans="2:11">
      <c r="B1274" s="6"/>
      <c r="C1274" s="24"/>
      <c r="D1274" s="5"/>
      <c r="E1274" s="5"/>
      <c r="F1274" s="4"/>
      <c r="G1274" s="4"/>
      <c r="H1274" s="4"/>
      <c r="I1274" s="4"/>
      <c r="J1274" s="4"/>
      <c r="K1274" s="4"/>
    </row>
    <row r="1275" spans="2:11">
      <c r="B1275" s="6"/>
      <c r="C1275" s="24"/>
      <c r="D1275" s="5"/>
      <c r="E1275" s="5"/>
      <c r="F1275" s="4"/>
      <c r="G1275" s="4"/>
      <c r="H1275" s="4"/>
      <c r="I1275" s="4"/>
      <c r="J1275" s="4"/>
      <c r="K1275" s="4"/>
    </row>
    <row r="1276" spans="2:11">
      <c r="B1276" s="6"/>
      <c r="C1276" s="24"/>
      <c r="D1276" s="5"/>
      <c r="E1276" s="5"/>
      <c r="F1276" s="4"/>
      <c r="G1276" s="4"/>
      <c r="H1276" s="4"/>
      <c r="I1276" s="4"/>
      <c r="J1276" s="4"/>
      <c r="K1276" s="4"/>
    </row>
    <row r="1277" spans="2:11">
      <c r="B1277" s="6"/>
      <c r="C1277" s="24"/>
      <c r="D1277" s="5"/>
      <c r="E1277" s="5"/>
      <c r="F1277" s="4"/>
      <c r="G1277" s="4"/>
      <c r="H1277" s="4"/>
      <c r="I1277" s="4"/>
      <c r="J1277" s="4"/>
      <c r="K1277" s="4"/>
    </row>
    <row r="1278" spans="2:11">
      <c r="B1278" s="6"/>
      <c r="C1278" s="24"/>
      <c r="D1278" s="5"/>
      <c r="E1278" s="5"/>
      <c r="F1278" s="4"/>
      <c r="G1278" s="4"/>
      <c r="H1278" s="4"/>
      <c r="I1278" s="4"/>
      <c r="J1278" s="4"/>
      <c r="K1278" s="4"/>
    </row>
    <row r="1279" spans="2:11">
      <c r="B1279" s="6"/>
      <c r="C1279" s="24"/>
      <c r="D1279" s="5"/>
      <c r="E1279" s="5"/>
      <c r="F1279" s="4"/>
      <c r="G1279" s="4"/>
      <c r="H1279" s="4"/>
      <c r="I1279" s="4"/>
      <c r="J1279" s="4"/>
      <c r="K1279" s="4"/>
    </row>
    <row r="1280" spans="2:11">
      <c r="B1280" s="6"/>
      <c r="C1280" s="24"/>
      <c r="D1280" s="5"/>
      <c r="E1280" s="5"/>
      <c r="F1280" s="4"/>
      <c r="G1280" s="4"/>
      <c r="H1280" s="4"/>
      <c r="I1280" s="4"/>
      <c r="J1280" s="4"/>
      <c r="K1280" s="4"/>
    </row>
    <row r="1281" spans="2:11">
      <c r="B1281" s="6"/>
      <c r="C1281" s="24"/>
      <c r="D1281" s="5"/>
      <c r="E1281" s="5"/>
      <c r="F1281" s="4"/>
      <c r="G1281" s="4"/>
      <c r="H1281" s="4"/>
      <c r="I1281" s="4"/>
      <c r="J1281" s="4"/>
      <c r="K1281" s="4"/>
    </row>
    <row r="1282" spans="2:11">
      <c r="B1282" s="6"/>
      <c r="C1282" s="24"/>
      <c r="D1282" s="5"/>
      <c r="E1282" s="5"/>
      <c r="F1282" s="4"/>
      <c r="G1282" s="4"/>
      <c r="H1282" s="4"/>
      <c r="I1282" s="4"/>
      <c r="J1282" s="4"/>
      <c r="K1282" s="4"/>
    </row>
    <row r="1283" spans="2:11">
      <c r="B1283" s="6"/>
      <c r="C1283" s="24"/>
      <c r="D1283" s="5"/>
      <c r="E1283" s="5"/>
      <c r="F1283" s="4"/>
      <c r="G1283" s="4"/>
      <c r="H1283" s="4"/>
      <c r="I1283" s="4"/>
      <c r="J1283" s="4"/>
      <c r="K1283" s="4"/>
    </row>
    <row r="1284" spans="2:11">
      <c r="B1284" s="6"/>
      <c r="C1284" s="24"/>
      <c r="D1284" s="5"/>
      <c r="E1284" s="5"/>
      <c r="F1284" s="4"/>
      <c r="G1284" s="4"/>
      <c r="H1284" s="4"/>
      <c r="I1284" s="4"/>
      <c r="J1284" s="4"/>
      <c r="K1284" s="4"/>
    </row>
    <row r="1285" spans="2:11">
      <c r="B1285" s="6"/>
      <c r="C1285" s="24"/>
      <c r="D1285" s="5"/>
      <c r="E1285" s="5"/>
      <c r="F1285" s="4"/>
      <c r="G1285" s="4"/>
      <c r="H1285" s="4"/>
      <c r="I1285" s="4"/>
      <c r="J1285" s="4"/>
      <c r="K1285" s="4"/>
    </row>
    <row r="1286" spans="2:11">
      <c r="B1286" s="6"/>
      <c r="C1286" s="24"/>
      <c r="D1286" s="5"/>
      <c r="E1286" s="5"/>
      <c r="F1286" s="4"/>
      <c r="G1286" s="4"/>
      <c r="H1286" s="4"/>
      <c r="I1286" s="4"/>
      <c r="J1286" s="4"/>
      <c r="K1286" s="4"/>
    </row>
    <row r="1287" spans="2:11">
      <c r="B1287" s="6"/>
      <c r="C1287" s="24"/>
      <c r="D1287" s="5"/>
      <c r="E1287" s="5"/>
      <c r="F1287" s="4"/>
      <c r="G1287" s="4"/>
      <c r="H1287" s="4"/>
      <c r="I1287" s="4"/>
      <c r="J1287" s="4"/>
      <c r="K1287" s="4"/>
    </row>
    <row r="1288" spans="2:11">
      <c r="B1288" s="6"/>
      <c r="C1288" s="24"/>
      <c r="D1288" s="5"/>
      <c r="E1288" s="5"/>
      <c r="F1288" s="4"/>
      <c r="G1288" s="4"/>
      <c r="H1288" s="4"/>
      <c r="I1288" s="4"/>
      <c r="J1288" s="4"/>
      <c r="K1288" s="4"/>
    </row>
    <row r="1289" spans="2:11">
      <c r="B1289" s="6"/>
      <c r="C1289" s="24"/>
      <c r="D1289" s="5"/>
      <c r="E1289" s="5"/>
      <c r="F1289" s="4"/>
      <c r="G1289" s="4"/>
      <c r="H1289" s="4"/>
      <c r="I1289" s="4"/>
      <c r="J1289" s="4"/>
      <c r="K1289" s="4"/>
    </row>
    <row r="1290" spans="2:11">
      <c r="B1290" s="6"/>
      <c r="C1290" s="24"/>
      <c r="D1290" s="5"/>
      <c r="E1290" s="5"/>
      <c r="F1290" s="4"/>
      <c r="G1290" s="4"/>
      <c r="H1290" s="4"/>
      <c r="I1290" s="4"/>
      <c r="J1290" s="4"/>
      <c r="K1290" s="4"/>
    </row>
    <row r="1291" spans="2:11">
      <c r="B1291" s="6"/>
      <c r="C1291" s="24"/>
      <c r="D1291" s="5"/>
      <c r="E1291" s="5"/>
      <c r="F1291" s="4"/>
      <c r="G1291" s="4"/>
      <c r="H1291" s="4"/>
      <c r="I1291" s="4"/>
      <c r="J1291" s="4"/>
      <c r="K1291" s="4"/>
    </row>
    <row r="1292" spans="2:11">
      <c r="B1292" s="6"/>
      <c r="C1292" s="24"/>
      <c r="D1292" s="5"/>
      <c r="E1292" s="5"/>
      <c r="F1292" s="4"/>
      <c r="G1292" s="4"/>
      <c r="H1292" s="4"/>
      <c r="I1292" s="4"/>
      <c r="J1292" s="4"/>
      <c r="K1292" s="4"/>
    </row>
    <row r="1293" spans="2:11">
      <c r="B1293" s="6"/>
      <c r="C1293" s="24"/>
      <c r="D1293" s="5"/>
      <c r="E1293" s="5"/>
      <c r="F1293" s="4"/>
      <c r="G1293" s="4"/>
      <c r="H1293" s="4"/>
      <c r="I1293" s="4"/>
      <c r="J1293" s="4"/>
      <c r="K1293" s="4"/>
    </row>
    <row r="1294" spans="2:11">
      <c r="B1294" s="6"/>
      <c r="C1294" s="24"/>
      <c r="D1294" s="5"/>
      <c r="E1294" s="5"/>
      <c r="F1294" s="4"/>
      <c r="G1294" s="4"/>
      <c r="H1294" s="4"/>
      <c r="I1294" s="4"/>
      <c r="J1294" s="4"/>
      <c r="K1294" s="4"/>
    </row>
    <row r="1295" spans="2:11">
      <c r="B1295" s="6"/>
      <c r="C1295" s="24"/>
      <c r="D1295" s="5"/>
      <c r="E1295" s="5"/>
      <c r="F1295" s="4"/>
      <c r="G1295" s="4"/>
      <c r="H1295" s="4"/>
      <c r="I1295" s="4"/>
      <c r="J1295" s="4"/>
      <c r="K1295" s="4"/>
    </row>
    <row r="1296" spans="2:11">
      <c r="B1296" s="6"/>
      <c r="C1296" s="24"/>
      <c r="D1296" s="5"/>
      <c r="E1296" s="5"/>
      <c r="F1296" s="4"/>
      <c r="G1296" s="4"/>
      <c r="H1296" s="4"/>
      <c r="I1296" s="4"/>
      <c r="J1296" s="4"/>
      <c r="K1296" s="4"/>
    </row>
    <row r="1297" spans="2:11">
      <c r="B1297" s="6"/>
      <c r="C1297" s="24"/>
      <c r="D1297" s="5"/>
      <c r="E1297" s="5"/>
      <c r="F1297" s="4"/>
      <c r="G1297" s="4"/>
      <c r="H1297" s="4"/>
      <c r="I1297" s="4"/>
      <c r="J1297" s="4"/>
      <c r="K1297" s="4"/>
    </row>
    <row r="1298" spans="2:11">
      <c r="B1298" s="6"/>
      <c r="C1298" s="24"/>
      <c r="D1298" s="5"/>
      <c r="E1298" s="5"/>
      <c r="F1298" s="4"/>
      <c r="G1298" s="4"/>
      <c r="H1298" s="4"/>
      <c r="I1298" s="4"/>
      <c r="J1298" s="4"/>
      <c r="K1298" s="4"/>
    </row>
    <row r="1299" spans="2:11">
      <c r="B1299" s="6"/>
      <c r="C1299" s="24"/>
      <c r="D1299" s="5"/>
      <c r="E1299" s="5"/>
      <c r="F1299" s="4"/>
      <c r="G1299" s="4"/>
      <c r="H1299" s="4"/>
      <c r="I1299" s="4"/>
      <c r="J1299" s="4"/>
      <c r="K1299" s="4"/>
    </row>
    <row r="1300" spans="2:11">
      <c r="B1300" s="6"/>
      <c r="C1300" s="24"/>
      <c r="D1300" s="5"/>
      <c r="E1300" s="5"/>
      <c r="F1300" s="4"/>
      <c r="G1300" s="4"/>
      <c r="H1300" s="4"/>
      <c r="I1300" s="4"/>
      <c r="J1300" s="4"/>
      <c r="K1300" s="4"/>
    </row>
    <row r="1301" spans="2:11">
      <c r="B1301" s="6"/>
      <c r="C1301" s="24"/>
      <c r="D1301" s="5"/>
      <c r="E1301" s="5"/>
      <c r="F1301" s="4"/>
      <c r="G1301" s="4"/>
      <c r="H1301" s="4"/>
      <c r="I1301" s="4"/>
      <c r="J1301" s="4"/>
      <c r="K1301" s="4"/>
    </row>
    <row r="1302" spans="2:11">
      <c r="B1302" s="6"/>
      <c r="C1302" s="24"/>
      <c r="D1302" s="5"/>
      <c r="E1302" s="5"/>
      <c r="F1302" s="4"/>
      <c r="G1302" s="4"/>
      <c r="H1302" s="4"/>
      <c r="I1302" s="4"/>
      <c r="J1302" s="4"/>
      <c r="K1302" s="4"/>
    </row>
    <row r="1303" spans="2:11">
      <c r="B1303" s="6"/>
      <c r="C1303" s="24"/>
      <c r="D1303" s="5"/>
      <c r="E1303" s="5"/>
      <c r="F1303" s="4"/>
      <c r="G1303" s="4"/>
      <c r="H1303" s="4"/>
      <c r="I1303" s="4"/>
      <c r="J1303" s="4"/>
      <c r="K1303" s="4"/>
    </row>
    <row r="1304" spans="2:11">
      <c r="B1304" s="6"/>
      <c r="C1304" s="24"/>
      <c r="D1304" s="5"/>
      <c r="E1304" s="5"/>
      <c r="F1304" s="4"/>
      <c r="G1304" s="4"/>
      <c r="H1304" s="4"/>
      <c r="I1304" s="4"/>
      <c r="J1304" s="4"/>
      <c r="K1304" s="4"/>
    </row>
    <row r="1305" spans="2:11">
      <c r="B1305" s="6"/>
      <c r="C1305" s="24"/>
      <c r="D1305" s="5"/>
      <c r="E1305" s="5"/>
      <c r="F1305" s="4"/>
      <c r="G1305" s="4"/>
      <c r="H1305" s="4"/>
      <c r="I1305" s="4"/>
      <c r="J1305" s="4"/>
      <c r="K1305" s="4"/>
    </row>
    <row r="1306" spans="2:11">
      <c r="B1306" s="6"/>
      <c r="C1306" s="24"/>
      <c r="D1306" s="5"/>
      <c r="E1306" s="5"/>
      <c r="F1306" s="4"/>
      <c r="G1306" s="4"/>
      <c r="H1306" s="4"/>
      <c r="I1306" s="4"/>
      <c r="J1306" s="4"/>
      <c r="K1306" s="4"/>
    </row>
    <row r="1307" spans="2:11">
      <c r="B1307" s="6"/>
      <c r="C1307" s="24"/>
      <c r="D1307" s="5"/>
      <c r="E1307" s="5"/>
      <c r="F1307" s="4"/>
      <c r="G1307" s="4"/>
      <c r="H1307" s="4"/>
      <c r="I1307" s="4"/>
      <c r="J1307" s="4"/>
      <c r="K1307" s="4"/>
    </row>
    <row r="1308" spans="2:11">
      <c r="B1308" s="6"/>
      <c r="C1308" s="24"/>
      <c r="D1308" s="5"/>
      <c r="E1308" s="5"/>
      <c r="F1308" s="4"/>
      <c r="G1308" s="4"/>
      <c r="H1308" s="4"/>
      <c r="I1308" s="4"/>
      <c r="J1308" s="4"/>
      <c r="K1308" s="4"/>
    </row>
    <row r="1309" spans="2:11">
      <c r="B1309" s="6"/>
      <c r="C1309" s="24"/>
      <c r="D1309" s="5"/>
      <c r="E1309" s="5"/>
      <c r="F1309" s="4"/>
      <c r="G1309" s="4"/>
      <c r="H1309" s="4"/>
      <c r="I1309" s="4"/>
      <c r="J1309" s="4"/>
      <c r="K1309" s="4"/>
    </row>
    <row r="1310" spans="2:11">
      <c r="B1310" s="6"/>
      <c r="C1310" s="24"/>
      <c r="D1310" s="5"/>
      <c r="E1310" s="5"/>
      <c r="F1310" s="4"/>
      <c r="G1310" s="4"/>
      <c r="H1310" s="4"/>
      <c r="I1310" s="4"/>
      <c r="J1310" s="4"/>
      <c r="K1310" s="4"/>
    </row>
    <row r="1311" spans="2:11">
      <c r="B1311" s="6"/>
      <c r="C1311" s="24"/>
      <c r="D1311" s="5"/>
      <c r="E1311" s="5"/>
      <c r="F1311" s="4"/>
      <c r="G1311" s="4"/>
      <c r="H1311" s="4"/>
      <c r="I1311" s="4"/>
      <c r="J1311" s="4"/>
      <c r="K1311" s="4"/>
    </row>
    <row r="1312" spans="2:11">
      <c r="B1312" s="6"/>
      <c r="C1312" s="24"/>
      <c r="D1312" s="5"/>
      <c r="E1312" s="5"/>
      <c r="F1312" s="4"/>
      <c r="G1312" s="4"/>
      <c r="H1312" s="4"/>
      <c r="I1312" s="4"/>
      <c r="J1312" s="4"/>
      <c r="K1312" s="4"/>
    </row>
    <row r="1313" spans="2:11">
      <c r="B1313" s="6"/>
      <c r="C1313" s="24"/>
      <c r="D1313" s="5"/>
      <c r="E1313" s="5"/>
      <c r="F1313" s="4"/>
      <c r="G1313" s="4"/>
      <c r="H1313" s="4"/>
      <c r="I1313" s="4"/>
      <c r="J1313" s="4"/>
      <c r="K1313" s="4"/>
    </row>
    <row r="1314" spans="2:11">
      <c r="B1314" s="6"/>
      <c r="C1314" s="24"/>
      <c r="D1314" s="5"/>
      <c r="E1314" s="5"/>
      <c r="F1314" s="4"/>
      <c r="G1314" s="4"/>
      <c r="H1314" s="4"/>
      <c r="I1314" s="4"/>
      <c r="J1314" s="4"/>
      <c r="K1314" s="4"/>
    </row>
    <row r="1315" spans="2:11">
      <c r="B1315" s="6"/>
      <c r="C1315" s="24"/>
      <c r="D1315" s="5"/>
      <c r="E1315" s="5"/>
      <c r="F1315" s="4"/>
      <c r="G1315" s="4"/>
      <c r="H1315" s="4"/>
      <c r="I1315" s="4"/>
      <c r="J1315" s="4"/>
      <c r="K1315" s="4"/>
    </row>
    <row r="1316" spans="2:11">
      <c r="B1316" s="6"/>
      <c r="C1316" s="24"/>
      <c r="D1316" s="5"/>
      <c r="E1316" s="5"/>
      <c r="F1316" s="4"/>
      <c r="G1316" s="4"/>
      <c r="H1316" s="4"/>
      <c r="I1316" s="4"/>
      <c r="J1316" s="4"/>
      <c r="K1316" s="4"/>
    </row>
    <row r="1317" spans="2:11">
      <c r="B1317" s="6"/>
      <c r="C1317" s="24"/>
      <c r="D1317" s="5"/>
      <c r="E1317" s="5"/>
      <c r="F1317" s="4"/>
      <c r="G1317" s="4"/>
      <c r="H1317" s="4"/>
      <c r="I1317" s="4"/>
      <c r="J1317" s="4"/>
      <c r="K1317" s="4"/>
    </row>
    <row r="1318" spans="2:11">
      <c r="B1318" s="6"/>
      <c r="C1318" s="24"/>
      <c r="D1318" s="5"/>
      <c r="E1318" s="5"/>
      <c r="F1318" s="4"/>
      <c r="G1318" s="4"/>
      <c r="H1318" s="4"/>
      <c r="I1318" s="4"/>
      <c r="J1318" s="4"/>
      <c r="K1318" s="4"/>
    </row>
    <row r="1319" spans="2:11">
      <c r="B1319" s="6"/>
      <c r="C1319" s="24"/>
      <c r="D1319" s="5"/>
      <c r="E1319" s="5"/>
      <c r="F1319" s="4"/>
      <c r="G1319" s="4"/>
      <c r="H1319" s="4"/>
      <c r="I1319" s="4"/>
      <c r="J1319" s="4"/>
      <c r="K1319" s="4"/>
    </row>
    <row r="1320" spans="2:11">
      <c r="B1320" s="6"/>
      <c r="C1320" s="24"/>
      <c r="D1320" s="5"/>
      <c r="E1320" s="5"/>
      <c r="F1320" s="4"/>
      <c r="G1320" s="4"/>
      <c r="H1320" s="4"/>
      <c r="I1320" s="4"/>
      <c r="J1320" s="4"/>
      <c r="K1320" s="4"/>
    </row>
    <row r="1321" spans="2:11">
      <c r="B1321" s="6"/>
      <c r="C1321" s="24"/>
      <c r="D1321" s="5"/>
      <c r="E1321" s="5"/>
      <c r="F1321" s="4"/>
      <c r="G1321" s="4"/>
      <c r="H1321" s="4"/>
      <c r="I1321" s="4"/>
      <c r="J1321" s="4"/>
      <c r="K1321" s="4"/>
    </row>
    <row r="1322" spans="2:11">
      <c r="B1322" s="6"/>
      <c r="C1322" s="24"/>
      <c r="D1322" s="5"/>
      <c r="E1322" s="5"/>
      <c r="F1322" s="4"/>
      <c r="G1322" s="4"/>
      <c r="H1322" s="4"/>
      <c r="I1322" s="4"/>
      <c r="J1322" s="4"/>
      <c r="K1322" s="4"/>
    </row>
    <row r="1323" spans="2:11">
      <c r="B1323" s="6"/>
      <c r="C1323" s="24"/>
      <c r="D1323" s="5"/>
      <c r="E1323" s="5"/>
      <c r="F1323" s="4"/>
      <c r="G1323" s="4"/>
      <c r="H1323" s="4"/>
      <c r="I1323" s="4"/>
      <c r="J1323" s="4"/>
      <c r="K1323" s="4"/>
    </row>
    <row r="1324" spans="2:11">
      <c r="B1324" s="6"/>
      <c r="C1324" s="24"/>
      <c r="D1324" s="5"/>
      <c r="E1324" s="5"/>
      <c r="F1324" s="4"/>
      <c r="G1324" s="4"/>
      <c r="H1324" s="4"/>
      <c r="I1324" s="4"/>
      <c r="J1324" s="4"/>
      <c r="K1324" s="4"/>
    </row>
    <row r="1325" spans="2:11">
      <c r="B1325" s="6"/>
      <c r="C1325" s="24"/>
      <c r="D1325" s="5"/>
      <c r="E1325" s="5"/>
      <c r="F1325" s="4"/>
      <c r="G1325" s="4"/>
      <c r="H1325" s="4"/>
      <c r="I1325" s="4"/>
      <c r="J1325" s="4"/>
      <c r="K1325" s="4"/>
    </row>
    <row r="1326" spans="2:11">
      <c r="B1326" s="6"/>
      <c r="C1326" s="24"/>
      <c r="D1326" s="5"/>
      <c r="E1326" s="5"/>
      <c r="F1326" s="4"/>
      <c r="G1326" s="4"/>
      <c r="H1326" s="4"/>
      <c r="I1326" s="4"/>
      <c r="J1326" s="4"/>
      <c r="K1326" s="4"/>
    </row>
    <row r="1327" spans="2:11">
      <c r="B1327" s="6"/>
      <c r="C1327" s="24"/>
      <c r="D1327" s="5"/>
      <c r="E1327" s="5"/>
      <c r="F1327" s="4"/>
      <c r="G1327" s="4"/>
      <c r="H1327" s="4"/>
      <c r="I1327" s="4"/>
      <c r="J1327" s="4"/>
      <c r="K1327" s="4"/>
    </row>
    <row r="1328" spans="2:11">
      <c r="B1328" s="6"/>
      <c r="C1328" s="24"/>
      <c r="D1328" s="5"/>
      <c r="E1328" s="5"/>
      <c r="F1328" s="4"/>
      <c r="G1328" s="4"/>
      <c r="H1328" s="4"/>
      <c r="I1328" s="4"/>
      <c r="J1328" s="4"/>
      <c r="K1328" s="4"/>
    </row>
    <row r="1329" spans="2:11">
      <c r="B1329" s="6"/>
      <c r="C1329" s="24"/>
      <c r="D1329" s="5"/>
      <c r="E1329" s="5"/>
      <c r="F1329" s="4"/>
      <c r="G1329" s="4"/>
      <c r="H1329" s="4"/>
      <c r="I1329" s="4"/>
      <c r="J1329" s="4"/>
      <c r="K1329" s="4"/>
    </row>
    <row r="1330" spans="2:11">
      <c r="B1330" s="6"/>
      <c r="C1330" s="24"/>
      <c r="D1330" s="5"/>
      <c r="E1330" s="5"/>
      <c r="F1330" s="4"/>
      <c r="G1330" s="4"/>
      <c r="H1330" s="4"/>
      <c r="I1330" s="4"/>
      <c r="J1330" s="4"/>
      <c r="K1330" s="4"/>
    </row>
    <row r="1331" spans="2:11">
      <c r="B1331" s="6"/>
      <c r="C1331" s="24"/>
      <c r="D1331" s="5"/>
      <c r="E1331" s="5"/>
      <c r="F1331" s="4"/>
      <c r="G1331" s="4"/>
      <c r="H1331" s="4"/>
      <c r="I1331" s="4"/>
      <c r="J1331" s="4"/>
      <c r="K1331" s="4"/>
    </row>
    <row r="1332" spans="2:11">
      <c r="B1332" s="6"/>
      <c r="C1332" s="24"/>
      <c r="D1332" s="5"/>
      <c r="E1332" s="5"/>
      <c r="F1332" s="4"/>
      <c r="G1332" s="4"/>
      <c r="H1332" s="4"/>
      <c r="I1332" s="4"/>
      <c r="J1332" s="4"/>
      <c r="K1332" s="4"/>
    </row>
    <row r="1333" spans="2:11">
      <c r="B1333" s="6"/>
      <c r="C1333" s="24"/>
      <c r="D1333" s="5"/>
      <c r="E1333" s="5"/>
      <c r="F1333" s="4"/>
      <c r="G1333" s="4"/>
      <c r="H1333" s="4"/>
      <c r="I1333" s="4"/>
      <c r="J1333" s="4"/>
      <c r="K1333" s="4"/>
    </row>
    <row r="1334" spans="2:11">
      <c r="B1334" s="6"/>
      <c r="C1334" s="24"/>
      <c r="D1334" s="5"/>
      <c r="E1334" s="5"/>
      <c r="F1334" s="4"/>
      <c r="G1334" s="4"/>
      <c r="H1334" s="4"/>
      <c r="I1334" s="4"/>
      <c r="J1334" s="4"/>
      <c r="K1334" s="4"/>
    </row>
    <row r="1335" spans="2:11">
      <c r="B1335" s="6"/>
      <c r="C1335" s="24"/>
      <c r="D1335" s="5"/>
      <c r="E1335" s="5"/>
      <c r="F1335" s="4"/>
      <c r="G1335" s="4"/>
      <c r="H1335" s="4"/>
      <c r="I1335" s="4"/>
      <c r="J1335" s="4"/>
      <c r="K1335" s="4"/>
    </row>
    <row r="1336" spans="2:11">
      <c r="B1336" s="6"/>
      <c r="C1336" s="24"/>
      <c r="D1336" s="5"/>
      <c r="E1336" s="5"/>
      <c r="F1336" s="4"/>
      <c r="G1336" s="4"/>
      <c r="H1336" s="4"/>
      <c r="I1336" s="4"/>
      <c r="J1336" s="4"/>
      <c r="K1336" s="4"/>
    </row>
    <row r="1337" spans="2:11">
      <c r="B1337" s="6"/>
      <c r="C1337" s="24"/>
      <c r="D1337" s="5"/>
      <c r="E1337" s="5"/>
      <c r="F1337" s="4"/>
      <c r="G1337" s="4"/>
      <c r="H1337" s="4"/>
      <c r="I1337" s="4"/>
      <c r="J1337" s="4"/>
      <c r="K1337" s="4"/>
    </row>
    <row r="1338" spans="2:11">
      <c r="B1338" s="6"/>
      <c r="C1338" s="24"/>
      <c r="D1338" s="5"/>
      <c r="E1338" s="5"/>
      <c r="F1338" s="4"/>
      <c r="G1338" s="4"/>
      <c r="H1338" s="4"/>
      <c r="I1338" s="4"/>
      <c r="J1338" s="4"/>
      <c r="K1338" s="4"/>
    </row>
    <row r="1339" spans="2:11">
      <c r="B1339" s="6"/>
      <c r="C1339" s="24"/>
      <c r="D1339" s="5"/>
      <c r="E1339" s="5"/>
      <c r="F1339" s="4"/>
      <c r="G1339" s="4"/>
      <c r="H1339" s="4"/>
      <c r="I1339" s="4"/>
      <c r="J1339" s="4"/>
      <c r="K1339" s="4"/>
    </row>
    <row r="1340" spans="2:11">
      <c r="B1340" s="6"/>
      <c r="C1340" s="24"/>
      <c r="D1340" s="5"/>
      <c r="E1340" s="5"/>
      <c r="F1340" s="4"/>
      <c r="G1340" s="4"/>
      <c r="H1340" s="4"/>
      <c r="I1340" s="4"/>
      <c r="J1340" s="4"/>
      <c r="K1340" s="4"/>
    </row>
    <row r="1341" spans="2:11">
      <c r="B1341" s="6"/>
      <c r="C1341" s="24"/>
      <c r="D1341" s="5"/>
      <c r="E1341" s="5"/>
      <c r="F1341" s="4"/>
      <c r="G1341" s="4"/>
      <c r="H1341" s="4"/>
      <c r="I1341" s="4"/>
      <c r="J1341" s="4"/>
      <c r="K1341" s="4"/>
    </row>
    <row r="1342" spans="2:11">
      <c r="B1342" s="6"/>
      <c r="C1342" s="24"/>
      <c r="D1342" s="5"/>
      <c r="E1342" s="5"/>
      <c r="F1342" s="4"/>
      <c r="G1342" s="4"/>
      <c r="H1342" s="4"/>
      <c r="I1342" s="4"/>
      <c r="J1342" s="4"/>
      <c r="K1342" s="4"/>
    </row>
    <row r="1343" spans="2:11">
      <c r="B1343" s="6"/>
      <c r="C1343" s="24"/>
      <c r="D1343" s="5"/>
      <c r="E1343" s="5"/>
      <c r="F1343" s="4"/>
      <c r="G1343" s="4"/>
      <c r="H1343" s="4"/>
      <c r="I1343" s="4"/>
      <c r="J1343" s="4"/>
      <c r="K1343" s="4"/>
    </row>
    <row r="1344" spans="2:11">
      <c r="B1344" s="6"/>
      <c r="C1344" s="24"/>
      <c r="D1344" s="5"/>
      <c r="E1344" s="5"/>
      <c r="F1344" s="4"/>
      <c r="G1344" s="4"/>
      <c r="H1344" s="4"/>
      <c r="I1344" s="4"/>
      <c r="J1344" s="4"/>
      <c r="K1344" s="4"/>
    </row>
    <row r="1345" spans="2:11">
      <c r="B1345" s="6"/>
      <c r="C1345" s="24"/>
      <c r="D1345" s="5"/>
      <c r="E1345" s="5"/>
      <c r="F1345" s="4"/>
      <c r="G1345" s="4"/>
      <c r="H1345" s="4"/>
      <c r="I1345" s="4"/>
      <c r="J1345" s="4"/>
      <c r="K1345" s="4"/>
    </row>
    <row r="1346" spans="2:11">
      <c r="B1346" s="6"/>
      <c r="C1346" s="24"/>
      <c r="D1346" s="5"/>
      <c r="E1346" s="5"/>
      <c r="F1346" s="4"/>
      <c r="G1346" s="4"/>
      <c r="H1346" s="4"/>
      <c r="I1346" s="4"/>
      <c r="J1346" s="4"/>
      <c r="K1346" s="4"/>
    </row>
    <row r="1347" spans="2:11">
      <c r="B1347" s="6"/>
      <c r="C1347" s="24"/>
      <c r="D1347" s="5"/>
      <c r="E1347" s="5"/>
      <c r="F1347" s="4"/>
      <c r="G1347" s="4"/>
      <c r="H1347" s="4"/>
      <c r="I1347" s="4"/>
      <c r="J1347" s="4"/>
      <c r="K1347" s="4"/>
    </row>
    <row r="1348" spans="2:11">
      <c r="B1348" s="6"/>
      <c r="C1348" s="24"/>
      <c r="D1348" s="5"/>
      <c r="E1348" s="5"/>
      <c r="F1348" s="4"/>
      <c r="G1348" s="4"/>
      <c r="H1348" s="4"/>
      <c r="I1348" s="4"/>
      <c r="J1348" s="4"/>
      <c r="K1348" s="4"/>
    </row>
    <row r="1349" spans="2:11">
      <c r="B1349" s="6"/>
      <c r="C1349" s="24"/>
      <c r="D1349" s="5"/>
      <c r="E1349" s="5"/>
      <c r="F1349" s="4"/>
      <c r="G1349" s="4"/>
      <c r="H1349" s="4"/>
      <c r="I1349" s="4"/>
      <c r="J1349" s="4"/>
      <c r="K1349" s="4"/>
    </row>
    <row r="1350" spans="2:11">
      <c r="B1350" s="6"/>
      <c r="C1350" s="24"/>
      <c r="D1350" s="5"/>
      <c r="E1350" s="5"/>
      <c r="F1350" s="4"/>
      <c r="G1350" s="4"/>
      <c r="H1350" s="4"/>
      <c r="I1350" s="4"/>
      <c r="J1350" s="4"/>
      <c r="K1350" s="4"/>
    </row>
    <row r="1351" spans="2:11">
      <c r="B1351" s="6"/>
      <c r="C1351" s="24"/>
      <c r="D1351" s="5"/>
      <c r="E1351" s="5"/>
      <c r="F1351" s="4"/>
      <c r="G1351" s="4"/>
      <c r="H1351" s="4"/>
      <c r="I1351" s="4"/>
      <c r="J1351" s="4"/>
      <c r="K1351" s="4"/>
    </row>
    <row r="1352" spans="2:11">
      <c r="B1352" s="6"/>
      <c r="C1352" s="24"/>
      <c r="D1352" s="5"/>
      <c r="E1352" s="5"/>
      <c r="F1352" s="4"/>
      <c r="G1352" s="4"/>
      <c r="H1352" s="4"/>
      <c r="I1352" s="4"/>
      <c r="J1352" s="4"/>
      <c r="K1352" s="4"/>
    </row>
    <row r="1353" spans="2:11">
      <c r="B1353" s="6"/>
      <c r="C1353" s="24"/>
      <c r="D1353" s="5"/>
      <c r="E1353" s="5"/>
      <c r="F1353" s="4"/>
      <c r="G1353" s="4"/>
      <c r="H1353" s="4"/>
      <c r="I1353" s="4"/>
      <c r="J1353" s="4"/>
      <c r="K1353" s="4"/>
    </row>
    <row r="1354" spans="2:11">
      <c r="B1354" s="6"/>
      <c r="C1354" s="24"/>
      <c r="D1354" s="5"/>
      <c r="E1354" s="5"/>
      <c r="F1354" s="4"/>
      <c r="G1354" s="4"/>
      <c r="H1354" s="4"/>
      <c r="I1354" s="4"/>
      <c r="J1354" s="4"/>
      <c r="K1354" s="4"/>
    </row>
    <row r="1355" spans="2:11">
      <c r="B1355" s="6"/>
      <c r="C1355" s="24"/>
      <c r="D1355" s="5"/>
      <c r="E1355" s="5"/>
      <c r="F1355" s="4"/>
      <c r="G1355" s="4"/>
      <c r="H1355" s="4"/>
      <c r="I1355" s="4"/>
      <c r="J1355" s="4"/>
      <c r="K1355" s="4"/>
    </row>
    <row r="1356" spans="2:11">
      <c r="B1356" s="6"/>
      <c r="C1356" s="24"/>
      <c r="D1356" s="5"/>
      <c r="E1356" s="5"/>
      <c r="F1356" s="4"/>
      <c r="G1356" s="4"/>
      <c r="H1356" s="4"/>
      <c r="I1356" s="4"/>
      <c r="J1356" s="4"/>
      <c r="K1356" s="4"/>
    </row>
    <row r="1357" spans="2:11">
      <c r="B1357" s="6"/>
      <c r="C1357" s="24"/>
      <c r="D1357" s="5"/>
      <c r="E1357" s="5"/>
      <c r="F1357" s="4"/>
      <c r="G1357" s="4"/>
      <c r="H1357" s="4"/>
      <c r="I1357" s="4"/>
      <c r="J1357" s="4"/>
      <c r="K1357" s="4"/>
    </row>
    <row r="1358" spans="2:11">
      <c r="B1358" s="6"/>
      <c r="C1358" s="24"/>
      <c r="D1358" s="5"/>
      <c r="E1358" s="5"/>
      <c r="F1358" s="4"/>
      <c r="G1358" s="4"/>
      <c r="H1358" s="4"/>
      <c r="I1358" s="4"/>
      <c r="J1358" s="4"/>
      <c r="K1358" s="4"/>
    </row>
    <row r="1359" spans="2:11">
      <c r="B1359" s="6"/>
      <c r="C1359" s="24"/>
      <c r="D1359" s="5"/>
      <c r="E1359" s="5"/>
      <c r="F1359" s="4"/>
      <c r="G1359" s="4"/>
      <c r="H1359" s="4"/>
      <c r="I1359" s="4"/>
      <c r="J1359" s="4"/>
      <c r="K1359" s="4"/>
    </row>
    <row r="1360" spans="2:11">
      <c r="B1360" s="6"/>
      <c r="C1360" s="24"/>
      <c r="D1360" s="5"/>
      <c r="E1360" s="5"/>
      <c r="F1360" s="4"/>
      <c r="G1360" s="4"/>
      <c r="H1360" s="4"/>
      <c r="I1360" s="4"/>
      <c r="J1360" s="4"/>
      <c r="K1360" s="4"/>
    </row>
    <row r="1361" spans="2:11">
      <c r="B1361" s="6"/>
      <c r="C1361" s="24"/>
      <c r="D1361" s="5"/>
      <c r="E1361" s="5"/>
      <c r="F1361" s="4"/>
      <c r="G1361" s="4"/>
      <c r="H1361" s="4"/>
      <c r="I1361" s="4"/>
      <c r="J1361" s="4"/>
      <c r="K1361" s="4"/>
    </row>
    <row r="1362" spans="2:11">
      <c r="B1362" s="6"/>
      <c r="C1362" s="24"/>
      <c r="D1362" s="5"/>
      <c r="E1362" s="5"/>
      <c r="F1362" s="4"/>
      <c r="G1362" s="4"/>
      <c r="H1362" s="4"/>
      <c r="I1362" s="4"/>
      <c r="J1362" s="4"/>
      <c r="K1362" s="4"/>
    </row>
    <row r="1363" spans="2:11">
      <c r="B1363" s="6"/>
      <c r="C1363" s="24"/>
      <c r="D1363" s="5"/>
      <c r="E1363" s="5"/>
      <c r="F1363" s="4"/>
      <c r="G1363" s="4"/>
      <c r="H1363" s="4"/>
      <c r="I1363" s="4"/>
      <c r="J1363" s="4"/>
      <c r="K1363" s="4"/>
    </row>
    <row r="1364" spans="2:11">
      <c r="B1364" s="6"/>
      <c r="C1364" s="24"/>
      <c r="D1364" s="5"/>
      <c r="E1364" s="5"/>
      <c r="F1364" s="4"/>
      <c r="G1364" s="4"/>
      <c r="H1364" s="4"/>
      <c r="I1364" s="4"/>
      <c r="J1364" s="4"/>
      <c r="K1364" s="4"/>
    </row>
    <row r="1365" spans="2:11">
      <c r="B1365" s="6"/>
      <c r="C1365" s="24"/>
      <c r="D1365" s="5"/>
      <c r="E1365" s="5"/>
      <c r="F1365" s="4"/>
      <c r="G1365" s="4"/>
      <c r="H1365" s="4"/>
      <c r="I1365" s="4"/>
      <c r="J1365" s="4"/>
      <c r="K1365" s="4"/>
    </row>
    <row r="1366" spans="2:11">
      <c r="B1366" s="6"/>
      <c r="C1366" s="24"/>
      <c r="D1366" s="5"/>
      <c r="E1366" s="5"/>
      <c r="F1366" s="4"/>
      <c r="G1366" s="4"/>
      <c r="H1366" s="4"/>
      <c r="I1366" s="4"/>
      <c r="J1366" s="4"/>
      <c r="K1366" s="4"/>
    </row>
    <row r="1367" spans="2:11">
      <c r="B1367" s="6"/>
      <c r="C1367" s="24"/>
      <c r="D1367" s="5"/>
      <c r="E1367" s="5"/>
      <c r="F1367" s="4"/>
      <c r="G1367" s="4"/>
      <c r="H1367" s="4"/>
      <c r="I1367" s="4"/>
      <c r="J1367" s="4"/>
      <c r="K1367" s="4"/>
    </row>
    <row r="1368" spans="2:11">
      <c r="B1368" s="6"/>
      <c r="C1368" s="24"/>
      <c r="D1368" s="5"/>
      <c r="E1368" s="5"/>
      <c r="F1368" s="4"/>
      <c r="G1368" s="4"/>
      <c r="H1368" s="4"/>
      <c r="I1368" s="4"/>
      <c r="J1368" s="4"/>
      <c r="K1368" s="4"/>
    </row>
    <row r="1369" spans="2:11">
      <c r="B1369" s="6"/>
      <c r="C1369" s="24"/>
      <c r="D1369" s="5"/>
      <c r="E1369" s="5"/>
      <c r="F1369" s="4"/>
      <c r="G1369" s="4"/>
      <c r="H1369" s="4"/>
      <c r="I1369" s="4"/>
      <c r="J1369" s="4"/>
      <c r="K1369" s="4"/>
    </row>
    <row r="1370" spans="2:11">
      <c r="B1370" s="6"/>
      <c r="C1370" s="24"/>
      <c r="D1370" s="5"/>
      <c r="E1370" s="5"/>
      <c r="F1370" s="4"/>
      <c r="G1370" s="4"/>
      <c r="H1370" s="4"/>
      <c r="I1370" s="4"/>
      <c r="J1370" s="4"/>
      <c r="K1370" s="4"/>
    </row>
    <row r="1371" spans="2:11">
      <c r="B1371" s="6"/>
      <c r="C1371" s="24"/>
      <c r="D1371" s="5"/>
      <c r="E1371" s="5"/>
      <c r="F1371" s="4"/>
      <c r="G1371" s="4"/>
      <c r="H1371" s="4"/>
      <c r="I1371" s="4"/>
      <c r="J1371" s="4"/>
      <c r="K1371" s="4"/>
    </row>
    <row r="1372" spans="2:11">
      <c r="B1372" s="6"/>
      <c r="C1372" s="24"/>
      <c r="D1372" s="5"/>
      <c r="E1372" s="5"/>
      <c r="F1372" s="4"/>
      <c r="G1372" s="4"/>
      <c r="H1372" s="4"/>
      <c r="I1372" s="4"/>
      <c r="J1372" s="4"/>
      <c r="K1372" s="4"/>
    </row>
    <row r="1373" spans="2:11">
      <c r="B1373" s="6"/>
      <c r="C1373" s="24"/>
      <c r="D1373" s="5"/>
      <c r="E1373" s="5"/>
      <c r="F1373" s="4"/>
      <c r="G1373" s="4"/>
      <c r="H1373" s="4"/>
      <c r="I1373" s="4"/>
      <c r="J1373" s="4"/>
      <c r="K1373" s="4"/>
    </row>
    <row r="1374" spans="2:11">
      <c r="B1374" s="6"/>
      <c r="C1374" s="24"/>
      <c r="D1374" s="5"/>
      <c r="E1374" s="5"/>
      <c r="F1374" s="4"/>
      <c r="G1374" s="4"/>
      <c r="H1374" s="4"/>
      <c r="I1374" s="4"/>
      <c r="J1374" s="4"/>
      <c r="K1374" s="4"/>
    </row>
    <row r="1375" spans="2:11">
      <c r="B1375" s="6"/>
      <c r="C1375" s="24"/>
      <c r="D1375" s="5"/>
      <c r="E1375" s="5"/>
      <c r="F1375" s="4"/>
      <c r="G1375" s="4"/>
      <c r="H1375" s="4"/>
      <c r="I1375" s="4"/>
      <c r="J1375" s="4"/>
      <c r="K1375" s="4"/>
    </row>
    <row r="1376" spans="2:11">
      <c r="B1376" s="6"/>
      <c r="C1376" s="24"/>
      <c r="D1376" s="5"/>
      <c r="E1376" s="5"/>
      <c r="F1376" s="4"/>
      <c r="G1376" s="4"/>
      <c r="H1376" s="4"/>
      <c r="I1376" s="4"/>
      <c r="J1376" s="4"/>
      <c r="K1376" s="4"/>
    </row>
    <row r="1377" spans="2:11">
      <c r="B1377" s="6"/>
      <c r="C1377" s="24"/>
      <c r="D1377" s="5"/>
      <c r="E1377" s="5"/>
      <c r="F1377" s="4"/>
      <c r="G1377" s="4"/>
      <c r="H1377" s="4"/>
      <c r="I1377" s="4"/>
      <c r="J1377" s="4"/>
      <c r="K1377" s="4"/>
    </row>
    <row r="1378" spans="2:11">
      <c r="B1378" s="6"/>
      <c r="C1378" s="24"/>
      <c r="D1378" s="5"/>
      <c r="E1378" s="5"/>
      <c r="F1378" s="4"/>
      <c r="G1378" s="4"/>
      <c r="H1378" s="4"/>
      <c r="I1378" s="4"/>
      <c r="J1378" s="4"/>
      <c r="K1378" s="4"/>
    </row>
    <row r="1379" spans="2:11">
      <c r="B1379" s="6"/>
      <c r="C1379" s="24"/>
      <c r="D1379" s="5"/>
      <c r="E1379" s="5"/>
      <c r="F1379" s="4"/>
      <c r="G1379" s="4"/>
      <c r="H1379" s="4"/>
      <c r="I1379" s="4"/>
      <c r="J1379" s="4"/>
      <c r="K1379" s="4"/>
    </row>
    <row r="1380" spans="2:11">
      <c r="B1380" s="6"/>
      <c r="C1380" s="24"/>
      <c r="D1380" s="5"/>
      <c r="E1380" s="5"/>
      <c r="F1380" s="4"/>
      <c r="G1380" s="4"/>
      <c r="H1380" s="4"/>
      <c r="I1380" s="4"/>
      <c r="J1380" s="4"/>
      <c r="K1380" s="4"/>
    </row>
    <row r="1381" spans="2:11">
      <c r="B1381" s="6"/>
      <c r="C1381" s="24"/>
      <c r="D1381" s="5"/>
      <c r="E1381" s="5"/>
      <c r="F1381" s="4"/>
      <c r="G1381" s="4"/>
      <c r="H1381" s="4"/>
      <c r="I1381" s="4"/>
      <c r="J1381" s="4"/>
      <c r="K1381" s="4"/>
    </row>
    <row r="1382" spans="2:11">
      <c r="B1382" s="6"/>
      <c r="C1382" s="24"/>
      <c r="D1382" s="5"/>
      <c r="E1382" s="5"/>
      <c r="F1382" s="4"/>
      <c r="G1382" s="4"/>
      <c r="H1382" s="4"/>
      <c r="I1382" s="4"/>
      <c r="J1382" s="4"/>
      <c r="K1382" s="4"/>
    </row>
    <row r="1383" spans="2:11">
      <c r="B1383" s="6"/>
      <c r="C1383" s="24"/>
      <c r="D1383" s="5"/>
      <c r="E1383" s="5"/>
      <c r="F1383" s="4"/>
      <c r="G1383" s="4"/>
      <c r="H1383" s="4"/>
      <c r="I1383" s="4"/>
      <c r="J1383" s="4"/>
      <c r="K1383" s="4"/>
    </row>
    <row r="1384" spans="2:11">
      <c r="B1384" s="6"/>
      <c r="C1384" s="24"/>
      <c r="D1384" s="5"/>
      <c r="E1384" s="5"/>
      <c r="F1384" s="4"/>
      <c r="G1384" s="4"/>
      <c r="H1384" s="4"/>
      <c r="I1384" s="4"/>
      <c r="J1384" s="4"/>
      <c r="K1384" s="4"/>
    </row>
    <row r="1385" spans="2:11">
      <c r="B1385" s="6"/>
      <c r="C1385" s="24"/>
      <c r="D1385" s="5"/>
      <c r="E1385" s="5"/>
      <c r="F1385" s="4"/>
      <c r="G1385" s="4"/>
      <c r="H1385" s="4"/>
      <c r="I1385" s="4"/>
      <c r="J1385" s="4"/>
      <c r="K1385" s="4"/>
    </row>
    <row r="1386" spans="2:11">
      <c r="B1386" s="6"/>
      <c r="C1386" s="24"/>
      <c r="D1386" s="5"/>
      <c r="E1386" s="5"/>
      <c r="F1386" s="4"/>
      <c r="G1386" s="4"/>
      <c r="H1386" s="4"/>
      <c r="I1386" s="4"/>
      <c r="J1386" s="4"/>
      <c r="K1386" s="4"/>
    </row>
    <row r="1387" spans="2:11">
      <c r="B1387" s="6"/>
      <c r="C1387" s="24"/>
      <c r="D1387" s="5"/>
      <c r="E1387" s="5"/>
      <c r="F1387" s="4"/>
      <c r="G1387" s="4"/>
      <c r="H1387" s="4"/>
      <c r="I1387" s="4"/>
      <c r="J1387" s="4"/>
      <c r="K1387" s="4"/>
    </row>
    <row r="1388" spans="2:11">
      <c r="B1388" s="6"/>
      <c r="C1388" s="24"/>
      <c r="D1388" s="5"/>
      <c r="E1388" s="5"/>
      <c r="F1388" s="4"/>
      <c r="G1388" s="4"/>
      <c r="H1388" s="4"/>
      <c r="I1388" s="4"/>
      <c r="J1388" s="4"/>
      <c r="K1388" s="4"/>
    </row>
    <row r="1389" spans="2:11">
      <c r="B1389" s="6"/>
      <c r="C1389" s="24"/>
      <c r="D1389" s="5"/>
      <c r="E1389" s="5"/>
      <c r="F1389" s="4"/>
      <c r="G1389" s="4"/>
      <c r="H1389" s="4"/>
      <c r="I1389" s="4"/>
      <c r="J1389" s="4"/>
      <c r="K1389" s="4"/>
    </row>
    <row r="1390" spans="2:11">
      <c r="B1390" s="6"/>
      <c r="C1390" s="24"/>
      <c r="D1390" s="5"/>
      <c r="E1390" s="5"/>
      <c r="F1390" s="4"/>
      <c r="G1390" s="4"/>
      <c r="H1390" s="4"/>
      <c r="I1390" s="4"/>
      <c r="J1390" s="4"/>
      <c r="K1390" s="4"/>
    </row>
    <row r="1391" spans="2:11">
      <c r="B1391" s="6"/>
      <c r="C1391" s="24"/>
      <c r="D1391" s="5"/>
      <c r="E1391" s="5"/>
      <c r="F1391" s="4"/>
      <c r="G1391" s="4"/>
      <c r="H1391" s="4"/>
      <c r="I1391" s="4"/>
      <c r="J1391" s="4"/>
      <c r="K1391" s="4"/>
    </row>
    <row r="1392" spans="2:11">
      <c r="B1392" s="6"/>
      <c r="C1392" s="24"/>
      <c r="D1392" s="5"/>
      <c r="E1392" s="5"/>
      <c r="F1392" s="4"/>
      <c r="G1392" s="4"/>
      <c r="H1392" s="4"/>
      <c r="I1392" s="4"/>
      <c r="J1392" s="4"/>
      <c r="K1392" s="4"/>
    </row>
    <row r="1393" spans="2:11">
      <c r="B1393" s="6"/>
      <c r="C1393" s="24"/>
      <c r="D1393" s="5"/>
      <c r="E1393" s="5"/>
      <c r="F1393" s="4"/>
      <c r="G1393" s="4"/>
      <c r="H1393" s="4"/>
      <c r="I1393" s="4"/>
      <c r="J1393" s="4"/>
      <c r="K1393" s="4"/>
    </row>
    <row r="1394" spans="2:11">
      <c r="B1394" s="6"/>
      <c r="C1394" s="24"/>
      <c r="D1394" s="5"/>
      <c r="E1394" s="5"/>
      <c r="F1394" s="4"/>
      <c r="G1394" s="4"/>
      <c r="H1394" s="4"/>
      <c r="I1394" s="4"/>
      <c r="J1394" s="4"/>
      <c r="K1394" s="4"/>
    </row>
    <row r="1395" spans="2:11">
      <c r="B1395" s="6"/>
      <c r="C1395" s="24"/>
      <c r="D1395" s="5"/>
      <c r="E1395" s="5"/>
      <c r="F1395" s="4"/>
      <c r="G1395" s="4"/>
      <c r="H1395" s="4"/>
      <c r="I1395" s="4"/>
      <c r="J1395" s="4"/>
      <c r="K1395" s="4"/>
    </row>
    <row r="1396" spans="2:11">
      <c r="B1396" s="6"/>
      <c r="C1396" s="24"/>
      <c r="D1396" s="5"/>
      <c r="E1396" s="5"/>
      <c r="F1396" s="4"/>
      <c r="G1396" s="4"/>
      <c r="H1396" s="4"/>
      <c r="I1396" s="4"/>
      <c r="J1396" s="4"/>
      <c r="K1396" s="4"/>
    </row>
    <row r="1397" spans="2:11">
      <c r="B1397" s="6"/>
      <c r="C1397" s="24"/>
      <c r="D1397" s="5"/>
      <c r="E1397" s="5"/>
      <c r="F1397" s="4"/>
      <c r="G1397" s="4"/>
      <c r="H1397" s="4"/>
      <c r="I1397" s="4"/>
      <c r="J1397" s="4"/>
      <c r="K1397" s="4"/>
    </row>
    <row r="1398" spans="2:11">
      <c r="B1398" s="6"/>
      <c r="C1398" s="24"/>
      <c r="D1398" s="5"/>
      <c r="E1398" s="5"/>
      <c r="F1398" s="4"/>
      <c r="G1398" s="4"/>
      <c r="H1398" s="4"/>
      <c r="I1398" s="4"/>
      <c r="J1398" s="4"/>
      <c r="K1398" s="4"/>
    </row>
    <row r="1399" spans="2:11">
      <c r="B1399" s="6"/>
      <c r="C1399" s="24"/>
      <c r="D1399" s="5"/>
      <c r="E1399" s="5"/>
      <c r="F1399" s="4"/>
      <c r="G1399" s="4"/>
      <c r="H1399" s="4"/>
      <c r="I1399" s="4"/>
      <c r="J1399" s="4"/>
      <c r="K1399" s="4"/>
    </row>
    <row r="1400" spans="2:11">
      <c r="B1400" s="6"/>
      <c r="C1400" s="24"/>
      <c r="D1400" s="5"/>
      <c r="E1400" s="5"/>
      <c r="F1400" s="4"/>
      <c r="G1400" s="4"/>
      <c r="H1400" s="4"/>
      <c r="I1400" s="4"/>
      <c r="J1400" s="4"/>
      <c r="K1400" s="4"/>
    </row>
    <row r="1401" spans="2:11">
      <c r="B1401" s="6"/>
      <c r="C1401" s="24"/>
      <c r="D1401" s="5"/>
      <c r="E1401" s="5"/>
      <c r="F1401" s="4"/>
      <c r="G1401" s="4"/>
      <c r="H1401" s="4"/>
      <c r="I1401" s="4"/>
      <c r="J1401" s="4"/>
      <c r="K1401" s="4"/>
    </row>
    <row r="1402" spans="2:11">
      <c r="B1402" s="6"/>
      <c r="C1402" s="24"/>
      <c r="D1402" s="5"/>
      <c r="E1402" s="5"/>
      <c r="F1402" s="4"/>
      <c r="G1402" s="4"/>
      <c r="H1402" s="4"/>
      <c r="I1402" s="4"/>
      <c r="J1402" s="4"/>
      <c r="K1402" s="4"/>
    </row>
    <row r="1403" spans="2:11">
      <c r="B1403" s="6"/>
      <c r="C1403" s="24"/>
      <c r="D1403" s="5"/>
      <c r="E1403" s="5"/>
      <c r="F1403" s="4"/>
      <c r="G1403" s="4"/>
      <c r="H1403" s="4"/>
      <c r="I1403" s="4"/>
      <c r="J1403" s="4"/>
      <c r="K1403" s="4"/>
    </row>
    <row r="1404" spans="2:11">
      <c r="B1404" s="6"/>
      <c r="C1404" s="24"/>
      <c r="D1404" s="5"/>
      <c r="E1404" s="5"/>
      <c r="F1404" s="4"/>
      <c r="G1404" s="4"/>
      <c r="H1404" s="4"/>
      <c r="I1404" s="4"/>
      <c r="J1404" s="4"/>
      <c r="K1404" s="4"/>
    </row>
    <row r="1405" spans="2:11">
      <c r="B1405" s="6"/>
      <c r="C1405" s="24"/>
      <c r="D1405" s="5"/>
      <c r="E1405" s="5"/>
      <c r="F1405" s="4"/>
      <c r="G1405" s="4"/>
      <c r="H1405" s="4"/>
      <c r="I1405" s="4"/>
      <c r="J1405" s="4"/>
      <c r="K1405" s="4"/>
    </row>
    <row r="1406" spans="2:11">
      <c r="B1406" s="6"/>
      <c r="C1406" s="24"/>
      <c r="D1406" s="5"/>
      <c r="E1406" s="5"/>
      <c r="F1406" s="4"/>
      <c r="G1406" s="4"/>
      <c r="H1406" s="4"/>
      <c r="I1406" s="4"/>
      <c r="J1406" s="4"/>
      <c r="K1406" s="4"/>
    </row>
    <row r="1407" spans="2:11">
      <c r="B1407" s="6"/>
      <c r="C1407" s="24"/>
      <c r="D1407" s="5"/>
      <c r="E1407" s="5"/>
      <c r="F1407" s="4"/>
      <c r="G1407" s="4"/>
      <c r="H1407" s="4"/>
      <c r="I1407" s="4"/>
      <c r="J1407" s="4"/>
      <c r="K1407" s="4"/>
    </row>
    <row r="1408" spans="2:11">
      <c r="B1408" s="6"/>
      <c r="C1408" s="24"/>
      <c r="D1408" s="5"/>
      <c r="E1408" s="5"/>
      <c r="F1408" s="4"/>
      <c r="G1408" s="4"/>
      <c r="H1408" s="4"/>
      <c r="I1408" s="4"/>
      <c r="J1408" s="4"/>
      <c r="K1408" s="4"/>
    </row>
    <row r="1409" spans="2:11">
      <c r="B1409" s="6"/>
      <c r="C1409" s="24"/>
      <c r="D1409" s="5"/>
      <c r="E1409" s="5"/>
      <c r="F1409" s="4"/>
      <c r="G1409" s="4"/>
      <c r="H1409" s="4"/>
      <c r="I1409" s="4"/>
      <c r="J1409" s="4"/>
      <c r="K1409" s="4"/>
    </row>
    <row r="1410" spans="2:11">
      <c r="B1410" s="6"/>
      <c r="C1410" s="24"/>
      <c r="D1410" s="5"/>
      <c r="E1410" s="5"/>
      <c r="F1410" s="4"/>
      <c r="G1410" s="4"/>
      <c r="H1410" s="4"/>
      <c r="I1410" s="4"/>
      <c r="J1410" s="4"/>
      <c r="K1410" s="4"/>
    </row>
    <row r="1411" spans="2:11">
      <c r="B1411" s="6"/>
      <c r="C1411" s="24"/>
      <c r="D1411" s="5"/>
      <c r="E1411" s="5"/>
      <c r="F1411" s="4"/>
      <c r="G1411" s="4"/>
      <c r="H1411" s="4"/>
      <c r="I1411" s="4"/>
      <c r="J1411" s="4"/>
      <c r="K1411" s="4"/>
    </row>
    <row r="1412" spans="2:11">
      <c r="B1412" s="6"/>
      <c r="C1412" s="24"/>
      <c r="D1412" s="5"/>
      <c r="E1412" s="5"/>
      <c r="F1412" s="4"/>
      <c r="G1412" s="4"/>
      <c r="H1412" s="4"/>
      <c r="I1412" s="4"/>
      <c r="J1412" s="4"/>
      <c r="K1412" s="4"/>
    </row>
    <row r="1413" spans="2:11">
      <c r="B1413" s="6"/>
      <c r="C1413" s="24"/>
      <c r="D1413" s="5"/>
      <c r="E1413" s="5"/>
      <c r="F1413" s="4"/>
      <c r="G1413" s="4"/>
      <c r="H1413" s="4"/>
      <c r="I1413" s="4"/>
      <c r="J1413" s="4"/>
      <c r="K1413" s="4"/>
    </row>
    <row r="1414" spans="2:11">
      <c r="B1414" s="6"/>
      <c r="C1414" s="24"/>
      <c r="D1414" s="5"/>
      <c r="E1414" s="5"/>
      <c r="F1414" s="4"/>
      <c r="G1414" s="4"/>
      <c r="H1414" s="4"/>
      <c r="I1414" s="4"/>
      <c r="J1414" s="4"/>
      <c r="K1414" s="4"/>
    </row>
    <row r="1415" spans="2:11">
      <c r="B1415" s="6"/>
      <c r="C1415" s="24"/>
      <c r="D1415" s="5"/>
      <c r="E1415" s="5"/>
      <c r="F1415" s="4"/>
      <c r="G1415" s="4"/>
      <c r="H1415" s="4"/>
      <c r="I1415" s="4"/>
      <c r="J1415" s="4"/>
      <c r="K1415" s="4"/>
    </row>
    <row r="1416" spans="2:11">
      <c r="B1416" s="6"/>
      <c r="C1416" s="24"/>
      <c r="D1416" s="5"/>
      <c r="E1416" s="5"/>
      <c r="F1416" s="4"/>
      <c r="G1416" s="4"/>
      <c r="H1416" s="4"/>
      <c r="I1416" s="4"/>
      <c r="J1416" s="4"/>
      <c r="K1416" s="4"/>
    </row>
    <row r="1417" spans="2:11">
      <c r="B1417" s="6"/>
      <c r="C1417" s="24"/>
      <c r="D1417" s="5"/>
      <c r="E1417" s="5"/>
      <c r="F1417" s="4"/>
      <c r="G1417" s="4"/>
      <c r="H1417" s="4"/>
      <c r="I1417" s="4"/>
      <c r="J1417" s="4"/>
      <c r="K1417" s="4"/>
    </row>
    <row r="1418" spans="2:11">
      <c r="B1418" s="6"/>
      <c r="C1418" s="24"/>
      <c r="D1418" s="5"/>
      <c r="E1418" s="5"/>
      <c r="F1418" s="4"/>
      <c r="G1418" s="4"/>
      <c r="H1418" s="4"/>
      <c r="I1418" s="4"/>
      <c r="J1418" s="4"/>
      <c r="K1418" s="4"/>
    </row>
    <row r="1419" spans="2:11">
      <c r="B1419" s="6"/>
      <c r="C1419" s="24"/>
      <c r="D1419" s="5"/>
      <c r="E1419" s="5"/>
      <c r="F1419" s="4"/>
      <c r="G1419" s="4"/>
      <c r="H1419" s="4"/>
      <c r="I1419" s="4"/>
      <c r="J1419" s="4"/>
      <c r="K1419" s="4"/>
    </row>
    <row r="1420" spans="2:11">
      <c r="B1420" s="6"/>
      <c r="C1420" s="24"/>
      <c r="D1420" s="5"/>
      <c r="E1420" s="5"/>
      <c r="F1420" s="4"/>
      <c r="G1420" s="4"/>
      <c r="H1420" s="4"/>
      <c r="I1420" s="4"/>
      <c r="J1420" s="4"/>
      <c r="K1420" s="4"/>
    </row>
    <row r="1421" spans="2:11">
      <c r="B1421" s="6"/>
      <c r="C1421" s="24"/>
      <c r="D1421" s="5"/>
      <c r="E1421" s="5"/>
      <c r="F1421" s="4"/>
      <c r="G1421" s="4"/>
      <c r="H1421" s="4"/>
      <c r="I1421" s="4"/>
      <c r="J1421" s="4"/>
      <c r="K1421" s="4"/>
    </row>
    <row r="1422" spans="2:11">
      <c r="B1422" s="6"/>
      <c r="C1422" s="24"/>
      <c r="D1422" s="5"/>
      <c r="E1422" s="5"/>
      <c r="F1422" s="4"/>
      <c r="G1422" s="4"/>
      <c r="H1422" s="4"/>
      <c r="I1422" s="4"/>
      <c r="J1422" s="4"/>
      <c r="K1422" s="4"/>
    </row>
    <row r="1423" spans="2:11">
      <c r="B1423" s="6"/>
      <c r="C1423" s="24"/>
      <c r="D1423" s="5"/>
      <c r="E1423" s="5"/>
      <c r="F1423" s="4"/>
      <c r="G1423" s="4"/>
      <c r="H1423" s="4"/>
      <c r="I1423" s="4"/>
      <c r="J1423" s="4"/>
      <c r="K1423" s="4"/>
    </row>
    <row r="1424" spans="2:11">
      <c r="B1424" s="6"/>
      <c r="C1424" s="24"/>
      <c r="D1424" s="5"/>
      <c r="E1424" s="5"/>
      <c r="F1424" s="4"/>
      <c r="G1424" s="4"/>
      <c r="H1424" s="4"/>
      <c r="I1424" s="4"/>
      <c r="J1424" s="4"/>
      <c r="K1424" s="4"/>
    </row>
    <row r="1425" spans="2:11">
      <c r="B1425" s="6"/>
      <c r="C1425" s="24"/>
      <c r="D1425" s="5"/>
      <c r="E1425" s="5"/>
      <c r="F1425" s="4"/>
      <c r="G1425" s="4"/>
      <c r="H1425" s="4"/>
      <c r="I1425" s="4"/>
      <c r="J1425" s="4"/>
      <c r="K1425" s="4"/>
    </row>
    <row r="1426" spans="2:11">
      <c r="B1426" s="6"/>
      <c r="C1426" s="24"/>
      <c r="D1426" s="5"/>
      <c r="E1426" s="5"/>
      <c r="F1426" s="4"/>
      <c r="G1426" s="4"/>
      <c r="H1426" s="4"/>
      <c r="I1426" s="4"/>
      <c r="J1426" s="4"/>
      <c r="K1426" s="4"/>
    </row>
    <row r="1427" spans="2:11">
      <c r="B1427" s="6"/>
      <c r="C1427" s="24"/>
      <c r="D1427" s="5"/>
      <c r="E1427" s="5"/>
      <c r="F1427" s="4"/>
      <c r="G1427" s="4"/>
      <c r="H1427" s="4"/>
      <c r="I1427" s="4"/>
      <c r="J1427" s="4"/>
      <c r="K1427" s="4"/>
    </row>
    <row r="1428" spans="2:11">
      <c r="B1428" s="6"/>
      <c r="C1428" s="24"/>
      <c r="D1428" s="5"/>
      <c r="E1428" s="5"/>
      <c r="F1428" s="4"/>
      <c r="G1428" s="4"/>
      <c r="H1428" s="4"/>
      <c r="I1428" s="4"/>
      <c r="J1428" s="4"/>
      <c r="K1428" s="4"/>
    </row>
    <row r="1429" spans="2:11">
      <c r="B1429" s="6"/>
      <c r="C1429" s="24"/>
      <c r="D1429" s="5"/>
      <c r="E1429" s="5"/>
      <c r="F1429" s="4"/>
      <c r="G1429" s="4"/>
      <c r="H1429" s="4"/>
      <c r="I1429" s="4"/>
      <c r="J1429" s="4"/>
      <c r="K1429" s="4"/>
    </row>
    <row r="1430" spans="2:11">
      <c r="B1430" s="6"/>
      <c r="C1430" s="24"/>
      <c r="D1430" s="5"/>
      <c r="E1430" s="5"/>
      <c r="F1430" s="4"/>
      <c r="G1430" s="4"/>
      <c r="H1430" s="4"/>
      <c r="I1430" s="4"/>
      <c r="J1430" s="4"/>
      <c r="K1430" s="4"/>
    </row>
    <row r="1431" spans="2:11">
      <c r="B1431" s="6"/>
      <c r="C1431" s="24"/>
      <c r="D1431" s="5"/>
      <c r="E1431" s="5"/>
      <c r="F1431" s="4"/>
      <c r="G1431" s="4"/>
      <c r="H1431" s="4"/>
      <c r="I1431" s="4"/>
      <c r="J1431" s="4"/>
      <c r="K1431" s="4"/>
    </row>
    <row r="1432" spans="2:11">
      <c r="B1432" s="6"/>
      <c r="C1432" s="24"/>
      <c r="D1432" s="5"/>
      <c r="E1432" s="5"/>
      <c r="F1432" s="4"/>
      <c r="G1432" s="4"/>
      <c r="H1432" s="4"/>
      <c r="I1432" s="4"/>
      <c r="J1432" s="4"/>
      <c r="K1432" s="4"/>
    </row>
    <row r="1433" spans="2:11">
      <c r="B1433" s="6"/>
      <c r="C1433" s="24"/>
      <c r="D1433" s="5"/>
      <c r="E1433" s="5"/>
      <c r="F1433" s="4"/>
      <c r="G1433" s="4"/>
      <c r="H1433" s="4"/>
      <c r="I1433" s="4"/>
      <c r="J1433" s="4"/>
      <c r="K1433" s="4"/>
    </row>
    <row r="1434" spans="2:11">
      <c r="B1434" s="6"/>
      <c r="C1434" s="24"/>
      <c r="D1434" s="5"/>
      <c r="E1434" s="5"/>
      <c r="F1434" s="4"/>
      <c r="G1434" s="4"/>
      <c r="H1434" s="4"/>
      <c r="I1434" s="4"/>
      <c r="J1434" s="4"/>
      <c r="K1434" s="4"/>
    </row>
    <row r="1435" spans="2:11">
      <c r="B1435" s="6"/>
      <c r="C1435" s="24"/>
      <c r="D1435" s="5"/>
      <c r="E1435" s="5"/>
      <c r="F1435" s="4"/>
      <c r="G1435" s="4"/>
      <c r="H1435" s="4"/>
      <c r="I1435" s="4"/>
      <c r="J1435" s="4"/>
      <c r="K1435" s="4"/>
    </row>
    <row r="1436" spans="2:11">
      <c r="B1436" s="6"/>
      <c r="C1436" s="24"/>
      <c r="D1436" s="5"/>
      <c r="E1436" s="5"/>
      <c r="F1436" s="4"/>
      <c r="G1436" s="4"/>
      <c r="H1436" s="4"/>
      <c r="I1436" s="4"/>
      <c r="J1436" s="4"/>
      <c r="K1436" s="4"/>
    </row>
    <row r="1437" spans="2:11">
      <c r="B1437" s="6"/>
      <c r="C1437" s="24"/>
      <c r="D1437" s="5"/>
      <c r="E1437" s="5"/>
      <c r="F1437" s="4"/>
      <c r="G1437" s="4"/>
      <c r="H1437" s="4"/>
      <c r="I1437" s="4"/>
      <c r="J1437" s="4"/>
      <c r="K1437" s="4"/>
    </row>
    <row r="1438" spans="2:11">
      <c r="B1438" s="6"/>
      <c r="C1438" s="24"/>
      <c r="D1438" s="5"/>
      <c r="E1438" s="5"/>
      <c r="F1438" s="4"/>
      <c r="G1438" s="4"/>
      <c r="H1438" s="4"/>
      <c r="I1438" s="4"/>
      <c r="J1438" s="4"/>
      <c r="K1438" s="4"/>
    </row>
    <row r="1439" spans="2:11">
      <c r="B1439" s="6"/>
      <c r="C1439" s="24"/>
      <c r="D1439" s="5"/>
      <c r="E1439" s="5"/>
      <c r="F1439" s="4"/>
      <c r="G1439" s="4"/>
      <c r="H1439" s="4"/>
      <c r="I1439" s="4"/>
      <c r="J1439" s="4"/>
      <c r="K1439" s="4"/>
    </row>
    <row r="1440" spans="2:11">
      <c r="B1440" s="6"/>
      <c r="C1440" s="24"/>
      <c r="D1440" s="5"/>
      <c r="E1440" s="5"/>
      <c r="F1440" s="4"/>
      <c r="G1440" s="4"/>
      <c r="H1440" s="4"/>
      <c r="I1440" s="4"/>
      <c r="J1440" s="4"/>
      <c r="K1440" s="4"/>
    </row>
    <row r="1441" spans="2:11">
      <c r="B1441" s="6"/>
      <c r="C1441" s="24"/>
      <c r="D1441" s="5"/>
      <c r="E1441" s="5"/>
      <c r="F1441" s="4"/>
      <c r="G1441" s="4"/>
      <c r="H1441" s="4"/>
      <c r="I1441" s="4"/>
      <c r="J1441" s="4"/>
      <c r="K1441" s="4"/>
    </row>
    <row r="1442" spans="2:11">
      <c r="B1442" s="6"/>
      <c r="C1442" s="24"/>
      <c r="D1442" s="5"/>
      <c r="E1442" s="5"/>
      <c r="F1442" s="4"/>
      <c r="G1442" s="4"/>
      <c r="H1442" s="4"/>
      <c r="I1442" s="4"/>
      <c r="J1442" s="4"/>
      <c r="K1442" s="4"/>
    </row>
    <row r="1443" spans="2:11">
      <c r="B1443" s="6"/>
      <c r="C1443" s="24"/>
      <c r="D1443" s="5"/>
      <c r="E1443" s="5"/>
      <c r="F1443" s="4"/>
      <c r="G1443" s="4"/>
      <c r="H1443" s="4"/>
      <c r="I1443" s="4"/>
      <c r="J1443" s="4"/>
      <c r="K1443" s="4"/>
    </row>
    <row r="1444" spans="2:11">
      <c r="B1444" s="6"/>
      <c r="C1444" s="24"/>
      <c r="D1444" s="5"/>
      <c r="E1444" s="5"/>
      <c r="F1444" s="4"/>
      <c r="G1444" s="4"/>
      <c r="H1444" s="4"/>
      <c r="I1444" s="4"/>
      <c r="J1444" s="4"/>
      <c r="K1444" s="4"/>
    </row>
    <row r="1445" spans="2:11">
      <c r="B1445" s="6"/>
      <c r="C1445" s="24"/>
      <c r="D1445" s="5"/>
      <c r="E1445" s="5"/>
      <c r="F1445" s="4"/>
      <c r="G1445" s="4"/>
      <c r="H1445" s="4"/>
      <c r="I1445" s="4"/>
      <c r="J1445" s="4"/>
      <c r="K1445" s="4"/>
    </row>
    <row r="1446" spans="2:11">
      <c r="B1446" s="6"/>
      <c r="C1446" s="24"/>
      <c r="D1446" s="5"/>
      <c r="E1446" s="5"/>
      <c r="F1446" s="4"/>
      <c r="G1446" s="4"/>
      <c r="H1446" s="4"/>
      <c r="I1446" s="4"/>
      <c r="J1446" s="4"/>
      <c r="K1446" s="4"/>
    </row>
    <row r="1447" spans="2:11">
      <c r="B1447" s="6"/>
      <c r="C1447" s="24"/>
      <c r="D1447" s="5"/>
      <c r="E1447" s="5"/>
      <c r="F1447" s="4"/>
      <c r="G1447" s="4"/>
      <c r="H1447" s="4"/>
      <c r="I1447" s="4"/>
      <c r="J1447" s="4"/>
      <c r="K1447" s="4"/>
    </row>
    <row r="1448" spans="2:11">
      <c r="B1448" s="6"/>
      <c r="C1448" s="24"/>
      <c r="D1448" s="5"/>
      <c r="E1448" s="5"/>
      <c r="F1448" s="4"/>
      <c r="G1448" s="4"/>
      <c r="H1448" s="4"/>
      <c r="I1448" s="4"/>
      <c r="J1448" s="4"/>
      <c r="K1448" s="4"/>
    </row>
    <row r="1449" spans="2:11">
      <c r="B1449" s="6"/>
      <c r="C1449" s="24"/>
      <c r="D1449" s="5"/>
      <c r="E1449" s="5"/>
      <c r="F1449" s="4"/>
      <c r="G1449" s="4"/>
      <c r="H1449" s="4"/>
      <c r="I1449" s="4"/>
      <c r="J1449" s="4"/>
      <c r="K1449" s="4"/>
    </row>
    <row r="1450" spans="2:11">
      <c r="B1450" s="6"/>
      <c r="C1450" s="24"/>
      <c r="D1450" s="5"/>
      <c r="E1450" s="5"/>
      <c r="F1450" s="4"/>
      <c r="G1450" s="4"/>
      <c r="H1450" s="4"/>
      <c r="I1450" s="4"/>
      <c r="J1450" s="4"/>
      <c r="K1450" s="4"/>
    </row>
    <row r="1451" spans="2:11">
      <c r="B1451" s="6"/>
      <c r="C1451" s="24"/>
      <c r="D1451" s="5"/>
      <c r="E1451" s="5"/>
      <c r="F1451" s="4"/>
      <c r="G1451" s="4"/>
      <c r="H1451" s="4"/>
      <c r="I1451" s="4"/>
      <c r="J1451" s="4"/>
      <c r="K1451" s="4"/>
    </row>
    <row r="1452" spans="2:11">
      <c r="B1452" s="6"/>
      <c r="C1452" s="24"/>
      <c r="D1452" s="5"/>
      <c r="E1452" s="5"/>
      <c r="F1452" s="4"/>
      <c r="G1452" s="4"/>
      <c r="H1452" s="4"/>
      <c r="I1452" s="4"/>
      <c r="J1452" s="4"/>
      <c r="K1452" s="4"/>
    </row>
    <row r="1453" spans="2:11">
      <c r="B1453" s="6"/>
      <c r="C1453" s="24"/>
      <c r="D1453" s="5"/>
      <c r="E1453" s="5"/>
      <c r="F1453" s="4"/>
      <c r="G1453" s="4"/>
      <c r="H1453" s="4"/>
      <c r="I1453" s="4"/>
      <c r="J1453" s="4"/>
      <c r="K1453" s="4"/>
    </row>
    <row r="1454" spans="2:11">
      <c r="B1454" s="6"/>
      <c r="C1454" s="24"/>
      <c r="D1454" s="5"/>
      <c r="E1454" s="5"/>
      <c r="F1454" s="4"/>
      <c r="G1454" s="4"/>
      <c r="H1454" s="4"/>
      <c r="I1454" s="4"/>
      <c r="J1454" s="4"/>
      <c r="K1454" s="4"/>
    </row>
    <row r="1455" spans="2:11">
      <c r="B1455" s="6"/>
      <c r="C1455" s="24"/>
      <c r="D1455" s="5"/>
      <c r="E1455" s="5"/>
      <c r="F1455" s="4"/>
      <c r="G1455" s="4"/>
      <c r="H1455" s="4"/>
      <c r="I1455" s="4"/>
      <c r="J1455" s="4"/>
      <c r="K1455" s="4"/>
    </row>
    <row r="1456" spans="2:11">
      <c r="B1456" s="6"/>
      <c r="C1456" s="24"/>
      <c r="D1456" s="5"/>
      <c r="E1456" s="5"/>
      <c r="F1456" s="4"/>
      <c r="G1456" s="4"/>
      <c r="H1456" s="4"/>
      <c r="I1456" s="4"/>
      <c r="J1456" s="4"/>
      <c r="K1456" s="4"/>
    </row>
    <row r="1457" spans="2:11">
      <c r="B1457" s="6"/>
      <c r="C1457" s="24"/>
      <c r="D1457" s="5"/>
      <c r="E1457" s="5"/>
      <c r="F1457" s="4"/>
      <c r="G1457" s="4"/>
      <c r="H1457" s="4"/>
      <c r="I1457" s="4"/>
      <c r="J1457" s="4"/>
      <c r="K1457" s="4"/>
    </row>
    <row r="1458" spans="2:11">
      <c r="B1458" s="6"/>
      <c r="C1458" s="24"/>
      <c r="D1458" s="5"/>
      <c r="E1458" s="5"/>
      <c r="F1458" s="4"/>
      <c r="G1458" s="4"/>
      <c r="H1458" s="4"/>
      <c r="I1458" s="4"/>
      <c r="J1458" s="4"/>
      <c r="K1458" s="4"/>
    </row>
    <row r="1459" spans="2:11">
      <c r="B1459" s="6"/>
      <c r="C1459" s="24"/>
      <c r="D1459" s="5"/>
      <c r="E1459" s="5"/>
      <c r="F1459" s="4"/>
      <c r="G1459" s="4"/>
      <c r="H1459" s="4"/>
      <c r="I1459" s="4"/>
      <c r="J1459" s="4"/>
      <c r="K1459" s="4"/>
    </row>
    <row r="1460" spans="2:11">
      <c r="B1460" s="6"/>
      <c r="C1460" s="24"/>
      <c r="D1460" s="5"/>
      <c r="E1460" s="5"/>
      <c r="F1460" s="4"/>
      <c r="G1460" s="4"/>
      <c r="H1460" s="4"/>
      <c r="I1460" s="4"/>
      <c r="J1460" s="4"/>
      <c r="K1460" s="4"/>
    </row>
    <row r="1461" spans="2:11">
      <c r="B1461" s="6"/>
      <c r="C1461" s="24"/>
      <c r="D1461" s="5"/>
      <c r="E1461" s="5"/>
      <c r="F1461" s="4"/>
      <c r="G1461" s="4"/>
      <c r="H1461" s="4"/>
      <c r="I1461" s="4"/>
      <c r="J1461" s="4"/>
      <c r="K1461" s="4"/>
    </row>
    <row r="1462" spans="2:11">
      <c r="B1462" s="6"/>
      <c r="C1462" s="24"/>
      <c r="D1462" s="5"/>
      <c r="E1462" s="5"/>
      <c r="F1462" s="4"/>
      <c r="G1462" s="4"/>
      <c r="H1462" s="4"/>
      <c r="I1462" s="4"/>
      <c r="J1462" s="4"/>
      <c r="K1462" s="4"/>
    </row>
    <row r="1463" spans="2:11">
      <c r="B1463" s="6"/>
      <c r="C1463" s="24"/>
      <c r="D1463" s="5"/>
      <c r="E1463" s="5"/>
      <c r="F1463" s="4"/>
      <c r="G1463" s="4"/>
      <c r="H1463" s="4"/>
      <c r="I1463" s="4"/>
      <c r="J1463" s="4"/>
      <c r="K1463" s="4"/>
    </row>
    <row r="1464" spans="2:11">
      <c r="B1464" s="6"/>
      <c r="C1464" s="24"/>
      <c r="D1464" s="5"/>
      <c r="E1464" s="5"/>
      <c r="F1464" s="4"/>
      <c r="G1464" s="4"/>
      <c r="H1464" s="4"/>
      <c r="I1464" s="4"/>
      <c r="J1464" s="4"/>
      <c r="K1464" s="4"/>
    </row>
    <row r="1465" spans="2:11">
      <c r="B1465" s="6"/>
      <c r="C1465" s="24"/>
      <c r="D1465" s="5"/>
      <c r="E1465" s="5"/>
      <c r="F1465" s="4"/>
      <c r="G1465" s="4"/>
      <c r="H1465" s="4"/>
      <c r="I1465" s="4"/>
      <c r="J1465" s="4"/>
      <c r="K1465" s="4"/>
    </row>
    <row r="1466" spans="2:11">
      <c r="B1466" s="6"/>
      <c r="C1466" s="24"/>
      <c r="D1466" s="5"/>
      <c r="E1466" s="5"/>
      <c r="F1466" s="4"/>
      <c r="G1466" s="4"/>
      <c r="H1466" s="4"/>
      <c r="I1466" s="4"/>
      <c r="J1466" s="4"/>
      <c r="K1466" s="4"/>
    </row>
    <row r="1467" spans="2:11">
      <c r="B1467" s="6"/>
      <c r="C1467" s="24"/>
      <c r="D1467" s="5"/>
      <c r="E1467" s="5"/>
      <c r="F1467" s="4"/>
      <c r="G1467" s="4"/>
      <c r="H1467" s="4"/>
      <c r="I1467" s="4"/>
      <c r="J1467" s="4"/>
      <c r="K1467" s="4"/>
    </row>
    <row r="1468" spans="2:11">
      <c r="B1468" s="6"/>
      <c r="C1468" s="24"/>
      <c r="D1468" s="5"/>
      <c r="E1468" s="5"/>
      <c r="F1468" s="4"/>
      <c r="G1468" s="4"/>
      <c r="H1468" s="4"/>
      <c r="I1468" s="4"/>
      <c r="J1468" s="4"/>
      <c r="K1468" s="4"/>
    </row>
    <row r="1469" spans="2:11">
      <c r="B1469" s="6"/>
      <c r="C1469" s="24"/>
      <c r="D1469" s="5"/>
      <c r="E1469" s="5"/>
      <c r="F1469" s="4"/>
      <c r="G1469" s="4"/>
      <c r="H1469" s="4"/>
      <c r="I1469" s="4"/>
      <c r="J1469" s="4"/>
      <c r="K1469" s="4"/>
    </row>
    <row r="1470" spans="2:11">
      <c r="B1470" s="6"/>
      <c r="C1470" s="24"/>
      <c r="D1470" s="5"/>
      <c r="E1470" s="5"/>
      <c r="F1470" s="4"/>
      <c r="G1470" s="4"/>
      <c r="H1470" s="4"/>
      <c r="I1470" s="4"/>
      <c r="J1470" s="4"/>
      <c r="K1470" s="4"/>
    </row>
    <row r="1471" spans="2:11">
      <c r="B1471" s="6"/>
      <c r="C1471" s="24"/>
      <c r="D1471" s="5"/>
      <c r="E1471" s="5"/>
      <c r="F1471" s="4"/>
      <c r="G1471" s="4"/>
      <c r="H1471" s="4"/>
      <c r="I1471" s="4"/>
      <c r="J1471" s="4"/>
      <c r="K1471" s="4"/>
    </row>
    <row r="1472" spans="2:11">
      <c r="B1472" s="6"/>
      <c r="C1472" s="24"/>
      <c r="D1472" s="5"/>
      <c r="E1472" s="5"/>
      <c r="F1472" s="4"/>
      <c r="G1472" s="4"/>
      <c r="H1472" s="4"/>
      <c r="I1472" s="4"/>
      <c r="J1472" s="4"/>
      <c r="K1472" s="4"/>
    </row>
    <row r="1473" spans="2:11">
      <c r="B1473" s="6"/>
      <c r="C1473" s="24"/>
      <c r="D1473" s="5"/>
      <c r="E1473" s="5"/>
      <c r="F1473" s="4"/>
      <c r="G1473" s="4"/>
      <c r="H1473" s="4"/>
      <c r="I1473" s="4"/>
      <c r="J1473" s="4"/>
      <c r="K1473" s="4"/>
    </row>
    <row r="1474" spans="2:11">
      <c r="B1474" s="6"/>
      <c r="C1474" s="24"/>
      <c r="D1474" s="5"/>
      <c r="E1474" s="5"/>
      <c r="F1474" s="4"/>
      <c r="G1474" s="4"/>
      <c r="H1474" s="4"/>
      <c r="I1474" s="4"/>
      <c r="J1474" s="4"/>
      <c r="K1474" s="4"/>
    </row>
    <row r="1475" spans="2:11">
      <c r="B1475" s="6"/>
      <c r="C1475" s="24"/>
      <c r="D1475" s="5"/>
      <c r="E1475" s="5"/>
      <c r="F1475" s="4"/>
      <c r="G1475" s="4"/>
      <c r="H1475" s="4"/>
      <c r="I1475" s="4"/>
      <c r="J1475" s="4"/>
      <c r="K1475" s="4"/>
    </row>
    <row r="1476" spans="2:11">
      <c r="B1476" s="6"/>
      <c r="C1476" s="24"/>
      <c r="D1476" s="5"/>
      <c r="E1476" s="5"/>
      <c r="F1476" s="4"/>
      <c r="G1476" s="4"/>
      <c r="H1476" s="4"/>
      <c r="I1476" s="4"/>
      <c r="J1476" s="4"/>
      <c r="K1476" s="4"/>
    </row>
    <row r="1477" spans="2:11">
      <c r="B1477" s="6"/>
      <c r="C1477" s="24"/>
      <c r="D1477" s="5"/>
      <c r="E1477" s="5"/>
      <c r="F1477" s="4"/>
      <c r="G1477" s="4"/>
      <c r="H1477" s="4"/>
      <c r="I1477" s="4"/>
      <c r="J1477" s="4"/>
      <c r="K1477" s="4"/>
    </row>
    <row r="1478" spans="2:11">
      <c r="B1478" s="6"/>
      <c r="C1478" s="24"/>
      <c r="D1478" s="5"/>
      <c r="E1478" s="5"/>
      <c r="F1478" s="4"/>
      <c r="G1478" s="4"/>
      <c r="H1478" s="4"/>
      <c r="I1478" s="4"/>
      <c r="J1478" s="4"/>
      <c r="K1478" s="4"/>
    </row>
    <row r="1479" spans="2:11">
      <c r="B1479" s="6"/>
      <c r="C1479" s="24"/>
      <c r="D1479" s="5"/>
      <c r="E1479" s="5"/>
      <c r="F1479" s="4"/>
      <c r="G1479" s="4"/>
      <c r="H1479" s="4"/>
      <c r="I1479" s="4"/>
      <c r="J1479" s="4"/>
      <c r="K1479" s="4"/>
    </row>
    <row r="1480" spans="2:11">
      <c r="B1480" s="6"/>
      <c r="C1480" s="24"/>
      <c r="D1480" s="5"/>
      <c r="E1480" s="5"/>
      <c r="F1480" s="4"/>
      <c r="G1480" s="4"/>
      <c r="H1480" s="4"/>
      <c r="I1480" s="4"/>
      <c r="J1480" s="4"/>
      <c r="K1480" s="4"/>
    </row>
    <row r="1481" spans="2:11">
      <c r="B1481" s="6"/>
      <c r="C1481" s="24"/>
      <c r="D1481" s="5"/>
      <c r="E1481" s="5"/>
      <c r="F1481" s="4"/>
      <c r="G1481" s="4"/>
      <c r="H1481" s="4"/>
      <c r="I1481" s="4"/>
      <c r="J1481" s="4"/>
      <c r="K1481" s="4"/>
    </row>
    <row r="1482" spans="2:11">
      <c r="B1482" s="6"/>
      <c r="C1482" s="24"/>
      <c r="D1482" s="5"/>
      <c r="E1482" s="5"/>
      <c r="F1482" s="4"/>
      <c r="G1482" s="4"/>
      <c r="H1482" s="4"/>
      <c r="I1482" s="4"/>
      <c r="J1482" s="4"/>
      <c r="K1482" s="4"/>
    </row>
    <row r="1483" spans="2:11">
      <c r="B1483" s="6"/>
      <c r="C1483" s="24"/>
      <c r="D1483" s="5"/>
      <c r="E1483" s="5"/>
      <c r="F1483" s="4"/>
      <c r="G1483" s="4"/>
      <c r="H1483" s="4"/>
      <c r="I1483" s="4"/>
      <c r="J1483" s="4"/>
      <c r="K1483" s="4"/>
    </row>
    <row r="1484" spans="2:11">
      <c r="B1484" s="6"/>
      <c r="C1484" s="24"/>
      <c r="D1484" s="5"/>
      <c r="E1484" s="5"/>
      <c r="F1484" s="4"/>
      <c r="G1484" s="4"/>
      <c r="H1484" s="4"/>
      <c r="I1484" s="4"/>
      <c r="J1484" s="4"/>
      <c r="K1484" s="4"/>
    </row>
    <row r="1485" spans="2:11">
      <c r="B1485" s="6"/>
      <c r="C1485" s="24"/>
      <c r="D1485" s="5"/>
      <c r="E1485" s="5"/>
      <c r="F1485" s="4"/>
      <c r="G1485" s="4"/>
      <c r="H1485" s="4"/>
      <c r="I1485" s="4"/>
      <c r="J1485" s="4"/>
      <c r="K1485" s="4"/>
    </row>
    <row r="1486" spans="2:11">
      <c r="B1486" s="6"/>
      <c r="C1486" s="24"/>
      <c r="D1486" s="5"/>
      <c r="E1486" s="5"/>
      <c r="F1486" s="4"/>
      <c r="G1486" s="4"/>
      <c r="H1486" s="4"/>
      <c r="I1486" s="4"/>
      <c r="J1486" s="4"/>
      <c r="K1486" s="4"/>
    </row>
    <row r="1487" spans="2:11">
      <c r="B1487" s="6"/>
      <c r="C1487" s="24"/>
      <c r="D1487" s="5"/>
      <c r="E1487" s="5"/>
      <c r="F1487" s="4"/>
      <c r="G1487" s="4"/>
      <c r="H1487" s="4"/>
      <c r="I1487" s="4"/>
      <c r="J1487" s="4"/>
      <c r="K1487" s="4"/>
    </row>
    <row r="1488" spans="2:11">
      <c r="B1488" s="6"/>
      <c r="C1488" s="24"/>
      <c r="D1488" s="5"/>
      <c r="E1488" s="5"/>
      <c r="F1488" s="4"/>
      <c r="G1488" s="4"/>
      <c r="H1488" s="4"/>
      <c r="I1488" s="4"/>
      <c r="J1488" s="4"/>
      <c r="K1488" s="4"/>
    </row>
    <row r="1489" spans="2:11">
      <c r="B1489" s="6"/>
      <c r="C1489" s="24"/>
      <c r="D1489" s="5"/>
      <c r="E1489" s="5"/>
      <c r="F1489" s="4"/>
      <c r="G1489" s="4"/>
      <c r="H1489" s="4"/>
      <c r="I1489" s="4"/>
      <c r="J1489" s="4"/>
      <c r="K1489" s="4"/>
    </row>
    <row r="1490" spans="2:11">
      <c r="B1490" s="6"/>
      <c r="C1490" s="24"/>
      <c r="D1490" s="5"/>
      <c r="E1490" s="5"/>
      <c r="F1490" s="4"/>
      <c r="G1490" s="4"/>
      <c r="H1490" s="4"/>
      <c r="I1490" s="4"/>
      <c r="J1490" s="4"/>
      <c r="K1490" s="4"/>
    </row>
    <row r="1491" spans="2:11">
      <c r="B1491" s="6"/>
      <c r="C1491" s="24"/>
      <c r="D1491" s="5"/>
      <c r="E1491" s="5"/>
      <c r="F1491" s="4"/>
      <c r="G1491" s="4"/>
      <c r="H1491" s="4"/>
      <c r="I1491" s="4"/>
      <c r="J1491" s="4"/>
      <c r="K1491" s="4"/>
    </row>
    <row r="1492" spans="2:11">
      <c r="B1492" s="6"/>
      <c r="C1492" s="24"/>
      <c r="D1492" s="5"/>
      <c r="E1492" s="5"/>
      <c r="F1492" s="4"/>
      <c r="G1492" s="4"/>
      <c r="H1492" s="4"/>
      <c r="I1492" s="4"/>
      <c r="J1492" s="4"/>
      <c r="K1492" s="4"/>
    </row>
    <row r="1493" spans="2:11">
      <c r="B1493" s="6"/>
      <c r="C1493" s="24"/>
      <c r="D1493" s="5"/>
      <c r="E1493" s="5"/>
      <c r="F1493" s="4"/>
      <c r="G1493" s="4"/>
      <c r="H1493" s="4"/>
      <c r="I1493" s="4"/>
      <c r="J1493" s="4"/>
      <c r="K1493" s="4"/>
    </row>
    <row r="1494" spans="2:11">
      <c r="B1494" s="6"/>
      <c r="C1494" s="24"/>
      <c r="D1494" s="5"/>
      <c r="E1494" s="5"/>
      <c r="F1494" s="4"/>
      <c r="G1494" s="4"/>
      <c r="H1494" s="4"/>
      <c r="I1494" s="4"/>
      <c r="J1494" s="4"/>
      <c r="K1494" s="4"/>
    </row>
    <row r="1495" spans="2:11">
      <c r="B1495" s="6"/>
      <c r="C1495" s="24"/>
      <c r="D1495" s="5"/>
      <c r="E1495" s="5"/>
      <c r="F1495" s="4"/>
      <c r="G1495" s="4"/>
      <c r="H1495" s="4"/>
      <c r="I1495" s="4"/>
      <c r="J1495" s="4"/>
      <c r="K1495" s="4"/>
    </row>
    <row r="1496" spans="2:11">
      <c r="B1496" s="6"/>
      <c r="C1496" s="24"/>
      <c r="D1496" s="5"/>
      <c r="E1496" s="5"/>
      <c r="F1496" s="4"/>
      <c r="G1496" s="4"/>
      <c r="H1496" s="4"/>
      <c r="I1496" s="4"/>
      <c r="J1496" s="4"/>
      <c r="K1496" s="4"/>
    </row>
    <row r="1497" spans="2:11">
      <c r="B1497" s="6"/>
      <c r="C1497" s="24"/>
      <c r="D1497" s="5"/>
      <c r="E1497" s="5"/>
      <c r="F1497" s="4"/>
      <c r="G1497" s="4"/>
      <c r="H1497" s="4"/>
      <c r="I1497" s="4"/>
      <c r="J1497" s="4"/>
      <c r="K1497" s="4"/>
    </row>
    <row r="1498" spans="2:11">
      <c r="B1498" s="6"/>
      <c r="C1498" s="24"/>
      <c r="D1498" s="5"/>
      <c r="E1498" s="5"/>
      <c r="F1498" s="4"/>
      <c r="G1498" s="4"/>
      <c r="H1498" s="4"/>
      <c r="I1498" s="4"/>
      <c r="J1498" s="4"/>
      <c r="K1498" s="4"/>
    </row>
    <row r="1499" spans="2:11">
      <c r="B1499" s="6"/>
      <c r="C1499" s="24"/>
      <c r="D1499" s="5"/>
      <c r="E1499" s="5"/>
      <c r="F1499" s="4"/>
      <c r="G1499" s="4"/>
      <c r="H1499" s="4"/>
      <c r="I1499" s="4"/>
      <c r="J1499" s="4"/>
      <c r="K1499" s="4"/>
    </row>
    <row r="1500" spans="2:11">
      <c r="B1500" s="6"/>
      <c r="C1500" s="24"/>
      <c r="D1500" s="5"/>
      <c r="E1500" s="5"/>
      <c r="F1500" s="4"/>
      <c r="G1500" s="4"/>
      <c r="H1500" s="4"/>
      <c r="I1500" s="4"/>
      <c r="J1500" s="4"/>
      <c r="K1500" s="4"/>
    </row>
    <row r="1501" spans="2:11">
      <c r="B1501" s="6"/>
      <c r="C1501" s="24"/>
      <c r="D1501" s="5"/>
      <c r="E1501" s="5"/>
      <c r="F1501" s="4"/>
      <c r="G1501" s="4"/>
      <c r="H1501" s="4"/>
      <c r="I1501" s="4"/>
      <c r="J1501" s="4"/>
      <c r="K1501" s="4"/>
    </row>
    <row r="1502" spans="2:11">
      <c r="B1502" s="6"/>
      <c r="C1502" s="24"/>
      <c r="D1502" s="5"/>
      <c r="E1502" s="5"/>
      <c r="F1502" s="4"/>
      <c r="G1502" s="4"/>
      <c r="H1502" s="4"/>
      <c r="I1502" s="4"/>
      <c r="J1502" s="4"/>
      <c r="K1502" s="4"/>
    </row>
    <row r="1503" spans="2:11">
      <c r="B1503" s="6"/>
      <c r="C1503" s="24"/>
      <c r="D1503" s="5"/>
      <c r="E1503" s="5"/>
      <c r="F1503" s="4"/>
      <c r="G1503" s="4"/>
      <c r="H1503" s="4"/>
      <c r="I1503" s="4"/>
      <c r="J1503" s="4"/>
      <c r="K1503" s="4"/>
    </row>
    <row r="1504" spans="2:11">
      <c r="B1504" s="6"/>
      <c r="C1504" s="24"/>
      <c r="D1504" s="5"/>
      <c r="E1504" s="5"/>
      <c r="F1504" s="4"/>
      <c r="G1504" s="4"/>
      <c r="H1504" s="4"/>
      <c r="I1504" s="4"/>
      <c r="J1504" s="4"/>
      <c r="K1504" s="4"/>
    </row>
    <row r="1505" spans="2:11">
      <c r="B1505" s="6"/>
      <c r="C1505" s="24"/>
      <c r="D1505" s="5"/>
      <c r="E1505" s="5"/>
      <c r="F1505" s="4"/>
      <c r="G1505" s="4"/>
      <c r="H1505" s="4"/>
      <c r="I1505" s="4"/>
      <c r="J1505" s="4"/>
      <c r="K1505" s="4"/>
    </row>
    <row r="1506" spans="2:11">
      <c r="B1506" s="6"/>
      <c r="C1506" s="24"/>
      <c r="D1506" s="5"/>
      <c r="E1506" s="5"/>
      <c r="F1506" s="4"/>
      <c r="G1506" s="4"/>
      <c r="H1506" s="4"/>
      <c r="I1506" s="4"/>
      <c r="J1506" s="4"/>
      <c r="K1506" s="4"/>
    </row>
    <row r="1507" spans="2:11">
      <c r="B1507" s="6"/>
      <c r="C1507" s="24"/>
      <c r="D1507" s="5"/>
      <c r="E1507" s="5"/>
      <c r="F1507" s="4"/>
      <c r="G1507" s="4"/>
      <c r="H1507" s="4"/>
      <c r="I1507" s="4"/>
      <c r="J1507" s="4"/>
      <c r="K1507" s="4"/>
    </row>
    <row r="1508" spans="2:11">
      <c r="B1508" s="6"/>
      <c r="C1508" s="24"/>
      <c r="D1508" s="5"/>
      <c r="E1508" s="5"/>
      <c r="F1508" s="4"/>
      <c r="G1508" s="4"/>
      <c r="H1508" s="4"/>
      <c r="I1508" s="4"/>
      <c r="J1508" s="4"/>
      <c r="K1508" s="4"/>
    </row>
    <row r="1509" spans="2:11">
      <c r="B1509" s="6"/>
      <c r="C1509" s="24"/>
      <c r="D1509" s="5"/>
      <c r="E1509" s="5"/>
      <c r="F1509" s="4"/>
      <c r="G1509" s="4"/>
      <c r="H1509" s="4"/>
      <c r="I1509" s="4"/>
      <c r="J1509" s="4"/>
      <c r="K1509" s="4"/>
    </row>
    <row r="1510" spans="2:11">
      <c r="B1510" s="6"/>
      <c r="C1510" s="24"/>
      <c r="D1510" s="5"/>
      <c r="E1510" s="5"/>
      <c r="F1510" s="4"/>
      <c r="G1510" s="4"/>
      <c r="H1510" s="4"/>
      <c r="I1510" s="4"/>
      <c r="J1510" s="4"/>
      <c r="K1510" s="4"/>
    </row>
    <row r="1511" spans="2:11">
      <c r="B1511" s="6"/>
      <c r="C1511" s="24"/>
      <c r="D1511" s="5"/>
      <c r="E1511" s="5"/>
      <c r="F1511" s="4"/>
      <c r="G1511" s="4"/>
      <c r="H1511" s="4"/>
      <c r="I1511" s="4"/>
      <c r="J1511" s="4"/>
      <c r="K1511" s="4"/>
    </row>
    <row r="1512" spans="2:11">
      <c r="B1512" s="6"/>
      <c r="C1512" s="24"/>
      <c r="D1512" s="5"/>
      <c r="E1512" s="5"/>
      <c r="F1512" s="4"/>
      <c r="G1512" s="4"/>
      <c r="H1512" s="4"/>
      <c r="I1512" s="4"/>
      <c r="J1512" s="4"/>
      <c r="K1512" s="4"/>
    </row>
    <row r="1513" spans="2:11">
      <c r="B1513" s="6"/>
      <c r="C1513" s="24"/>
      <c r="D1513" s="5"/>
      <c r="E1513" s="5"/>
      <c r="F1513" s="4"/>
      <c r="G1513" s="4"/>
      <c r="H1513" s="4"/>
      <c r="I1513" s="4"/>
      <c r="J1513" s="4"/>
      <c r="K1513" s="4"/>
    </row>
    <row r="1514" spans="2:11">
      <c r="B1514" s="6"/>
      <c r="C1514" s="24"/>
      <c r="D1514" s="5"/>
      <c r="E1514" s="5"/>
      <c r="F1514" s="4"/>
      <c r="G1514" s="4"/>
      <c r="H1514" s="4"/>
      <c r="I1514" s="4"/>
      <c r="J1514" s="4"/>
      <c r="K1514" s="4"/>
    </row>
    <row r="1515" spans="2:11">
      <c r="B1515" s="6"/>
      <c r="C1515" s="24"/>
      <c r="D1515" s="5"/>
      <c r="E1515" s="5"/>
      <c r="F1515" s="4"/>
      <c r="G1515" s="4"/>
      <c r="H1515" s="4"/>
      <c r="I1515" s="4"/>
      <c r="J1515" s="4"/>
      <c r="K1515" s="4"/>
    </row>
    <row r="1516" spans="2:11">
      <c r="B1516" s="6"/>
      <c r="C1516" s="24"/>
      <c r="D1516" s="5"/>
      <c r="E1516" s="5"/>
      <c r="F1516" s="4"/>
      <c r="G1516" s="4"/>
      <c r="H1516" s="4"/>
      <c r="I1516" s="4"/>
      <c r="J1516" s="4"/>
      <c r="K1516" s="4"/>
    </row>
    <row r="1517" spans="2:11">
      <c r="B1517" s="6"/>
      <c r="C1517" s="24"/>
      <c r="D1517" s="5"/>
      <c r="E1517" s="5"/>
      <c r="F1517" s="4"/>
      <c r="G1517" s="4"/>
      <c r="H1517" s="4"/>
      <c r="I1517" s="4"/>
      <c r="J1517" s="4"/>
      <c r="K1517" s="4"/>
    </row>
    <row r="1518" spans="2:11">
      <c r="B1518" s="6"/>
      <c r="C1518" s="24"/>
      <c r="D1518" s="5"/>
      <c r="E1518" s="5"/>
      <c r="F1518" s="4"/>
      <c r="G1518" s="4"/>
      <c r="H1518" s="4"/>
      <c r="I1518" s="4"/>
      <c r="J1518" s="4"/>
      <c r="K1518" s="4"/>
    </row>
    <row r="1519" spans="2:11">
      <c r="B1519" s="6"/>
      <c r="C1519" s="24"/>
      <c r="D1519" s="5"/>
      <c r="E1519" s="5"/>
      <c r="F1519" s="4"/>
      <c r="G1519" s="4"/>
      <c r="H1519" s="4"/>
      <c r="I1519" s="4"/>
      <c r="J1519" s="4"/>
      <c r="K1519" s="4"/>
    </row>
    <row r="1520" spans="2:11">
      <c r="B1520" s="6"/>
      <c r="C1520" s="24"/>
      <c r="D1520" s="5"/>
      <c r="E1520" s="5"/>
      <c r="F1520" s="4"/>
      <c r="G1520" s="4"/>
      <c r="H1520" s="4"/>
      <c r="I1520" s="4"/>
      <c r="J1520" s="4"/>
      <c r="K1520" s="4"/>
    </row>
    <row r="1521" spans="2:11">
      <c r="B1521" s="6"/>
      <c r="C1521" s="24"/>
      <c r="D1521" s="5"/>
      <c r="E1521" s="5"/>
      <c r="F1521" s="4"/>
      <c r="G1521" s="4"/>
      <c r="H1521" s="4"/>
      <c r="I1521" s="4"/>
      <c r="J1521" s="4"/>
      <c r="K1521" s="4"/>
    </row>
    <row r="1522" spans="2:11">
      <c r="B1522" s="6"/>
      <c r="C1522" s="24"/>
      <c r="D1522" s="5"/>
      <c r="E1522" s="5"/>
      <c r="F1522" s="4"/>
      <c r="G1522" s="4"/>
      <c r="H1522" s="4"/>
      <c r="I1522" s="4"/>
      <c r="J1522" s="4"/>
      <c r="K1522" s="4"/>
    </row>
    <row r="1523" spans="2:11">
      <c r="B1523" s="6"/>
      <c r="C1523" s="24"/>
      <c r="D1523" s="5"/>
      <c r="E1523" s="5"/>
      <c r="F1523" s="4"/>
      <c r="G1523" s="4"/>
      <c r="H1523" s="4"/>
      <c r="I1523" s="4"/>
      <c r="J1523" s="4"/>
      <c r="K1523" s="4"/>
    </row>
    <row r="1524" spans="2:11">
      <c r="B1524" s="6"/>
      <c r="C1524" s="24"/>
      <c r="D1524" s="5"/>
      <c r="E1524" s="5"/>
      <c r="F1524" s="4"/>
      <c r="G1524" s="4"/>
      <c r="H1524" s="4"/>
      <c r="I1524" s="4"/>
      <c r="J1524" s="4"/>
      <c r="K1524" s="4"/>
    </row>
    <row r="1525" spans="2:11">
      <c r="B1525" s="6"/>
      <c r="C1525" s="24"/>
      <c r="D1525" s="5"/>
      <c r="E1525" s="5"/>
      <c r="F1525" s="4"/>
      <c r="G1525" s="4"/>
      <c r="H1525" s="4"/>
      <c r="I1525" s="4"/>
      <c r="J1525" s="4"/>
      <c r="K1525" s="4"/>
    </row>
    <row r="1526" spans="2:11">
      <c r="B1526" s="6"/>
      <c r="C1526" s="24"/>
      <c r="D1526" s="5"/>
      <c r="E1526" s="5"/>
      <c r="F1526" s="4"/>
      <c r="G1526" s="4"/>
      <c r="H1526" s="4"/>
      <c r="I1526" s="4"/>
      <c r="J1526" s="4"/>
      <c r="K1526" s="4"/>
    </row>
    <row r="1527" spans="2:11">
      <c r="B1527" s="6"/>
      <c r="C1527" s="24"/>
      <c r="D1527" s="5"/>
      <c r="E1527" s="5"/>
      <c r="F1527" s="4"/>
      <c r="G1527" s="4"/>
      <c r="H1527" s="4"/>
      <c r="I1527" s="4"/>
      <c r="J1527" s="4"/>
      <c r="K1527" s="4"/>
    </row>
    <row r="1528" spans="2:11">
      <c r="B1528" s="6"/>
      <c r="C1528" s="24"/>
      <c r="D1528" s="5"/>
      <c r="E1528" s="5"/>
      <c r="F1528" s="4"/>
      <c r="G1528" s="4"/>
      <c r="H1528" s="4"/>
      <c r="I1528" s="4"/>
      <c r="J1528" s="4"/>
      <c r="K1528" s="4"/>
    </row>
    <row r="1529" spans="2:11">
      <c r="B1529" s="6"/>
      <c r="C1529" s="24"/>
      <c r="D1529" s="5"/>
      <c r="E1529" s="5"/>
      <c r="F1529" s="4"/>
      <c r="G1529" s="4"/>
      <c r="H1529" s="4"/>
      <c r="I1529" s="4"/>
      <c r="J1529" s="4"/>
      <c r="K1529" s="4"/>
    </row>
    <row r="1530" spans="2:11">
      <c r="B1530" s="6"/>
      <c r="C1530" s="24"/>
      <c r="D1530" s="5"/>
      <c r="E1530" s="5"/>
      <c r="F1530" s="4"/>
      <c r="G1530" s="4"/>
      <c r="H1530" s="4"/>
      <c r="I1530" s="4"/>
      <c r="J1530" s="4"/>
      <c r="K1530" s="4"/>
    </row>
    <row r="1531" spans="2:11">
      <c r="B1531" s="6"/>
      <c r="C1531" s="24"/>
      <c r="D1531" s="5"/>
      <c r="E1531" s="5"/>
      <c r="F1531" s="4"/>
      <c r="G1531" s="4"/>
      <c r="H1531" s="4"/>
      <c r="I1531" s="4"/>
      <c r="J1531" s="4"/>
      <c r="K1531" s="4"/>
    </row>
    <row r="1532" spans="2:11">
      <c r="B1532" s="6"/>
      <c r="C1532" s="24"/>
      <c r="D1532" s="5"/>
      <c r="E1532" s="5"/>
      <c r="F1532" s="4"/>
      <c r="G1532" s="4"/>
      <c r="H1532" s="4"/>
      <c r="I1532" s="4"/>
      <c r="J1532" s="4"/>
      <c r="K1532" s="4"/>
    </row>
    <row r="1533" spans="2:11">
      <c r="B1533" s="6"/>
      <c r="C1533" s="24"/>
      <c r="D1533" s="5"/>
      <c r="E1533" s="5"/>
      <c r="F1533" s="4"/>
      <c r="G1533" s="4"/>
      <c r="H1533" s="4"/>
      <c r="I1533" s="4"/>
      <c r="J1533" s="4"/>
      <c r="K1533" s="4"/>
    </row>
    <row r="1534" spans="2:11">
      <c r="B1534" s="6"/>
      <c r="C1534" s="24"/>
      <c r="D1534" s="5"/>
      <c r="E1534" s="5"/>
      <c r="F1534" s="4"/>
      <c r="G1534" s="4"/>
      <c r="H1534" s="4"/>
      <c r="I1534" s="4"/>
      <c r="J1534" s="4"/>
      <c r="K1534" s="4"/>
    </row>
    <row r="1535" spans="2:11">
      <c r="B1535" s="6"/>
      <c r="C1535" s="24"/>
      <c r="D1535" s="5"/>
      <c r="E1535" s="5"/>
      <c r="F1535" s="4"/>
      <c r="G1535" s="4"/>
      <c r="H1535" s="4"/>
      <c r="I1535" s="4"/>
      <c r="J1535" s="4"/>
      <c r="K1535" s="4"/>
    </row>
    <row r="1536" spans="2:11">
      <c r="B1536" s="6"/>
      <c r="C1536" s="24"/>
      <c r="D1536" s="5"/>
      <c r="E1536" s="5"/>
      <c r="F1536" s="4"/>
      <c r="G1536" s="4"/>
      <c r="H1536" s="4"/>
      <c r="I1536" s="4"/>
      <c r="J1536" s="4"/>
      <c r="K1536" s="4"/>
    </row>
    <row r="1537" spans="2:11">
      <c r="B1537" s="6"/>
      <c r="C1537" s="24"/>
      <c r="D1537" s="5"/>
      <c r="E1537" s="5"/>
      <c r="F1537" s="4"/>
      <c r="G1537" s="4"/>
      <c r="H1537" s="4"/>
      <c r="I1537" s="4"/>
      <c r="J1537" s="4"/>
      <c r="K1537" s="4"/>
    </row>
    <row r="1538" spans="2:11">
      <c r="B1538" s="6"/>
      <c r="C1538" s="24"/>
      <c r="D1538" s="5"/>
      <c r="E1538" s="5"/>
      <c r="F1538" s="4"/>
      <c r="G1538" s="4"/>
      <c r="H1538" s="4"/>
      <c r="I1538" s="4"/>
      <c r="J1538" s="4"/>
      <c r="K1538" s="4"/>
    </row>
    <row r="1539" spans="2:11">
      <c r="B1539" s="6"/>
      <c r="C1539" s="24"/>
      <c r="D1539" s="5"/>
      <c r="E1539" s="5"/>
      <c r="F1539" s="4"/>
      <c r="G1539" s="4"/>
      <c r="H1539" s="4"/>
      <c r="I1539" s="4"/>
      <c r="J1539" s="4"/>
      <c r="K1539" s="4"/>
    </row>
    <row r="1540" spans="2:11">
      <c r="B1540" s="6"/>
      <c r="C1540" s="24"/>
      <c r="D1540" s="5"/>
      <c r="E1540" s="5"/>
      <c r="F1540" s="4"/>
      <c r="G1540" s="4"/>
      <c r="H1540" s="4"/>
      <c r="I1540" s="4"/>
      <c r="J1540" s="4"/>
      <c r="K1540" s="4"/>
    </row>
    <row r="1541" spans="2:11">
      <c r="B1541" s="6"/>
      <c r="C1541" s="24"/>
      <c r="D1541" s="5"/>
      <c r="E1541" s="5"/>
      <c r="F1541" s="4"/>
      <c r="G1541" s="4"/>
      <c r="H1541" s="4"/>
      <c r="I1541" s="4"/>
      <c r="J1541" s="4"/>
      <c r="K1541" s="4"/>
    </row>
    <row r="1542" spans="2:11">
      <c r="B1542" s="6"/>
      <c r="C1542" s="24"/>
      <c r="D1542" s="5"/>
      <c r="E1542" s="5"/>
      <c r="F1542" s="4"/>
      <c r="G1542" s="4"/>
      <c r="H1542" s="4"/>
      <c r="I1542" s="4"/>
      <c r="J1542" s="4"/>
      <c r="K1542" s="4"/>
    </row>
    <row r="1543" spans="2:11">
      <c r="B1543" s="6"/>
      <c r="C1543" s="24"/>
      <c r="D1543" s="5"/>
      <c r="E1543" s="5"/>
      <c r="F1543" s="4"/>
      <c r="G1543" s="4"/>
      <c r="H1543" s="4"/>
      <c r="I1543" s="4"/>
      <c r="J1543" s="4"/>
      <c r="K1543" s="4"/>
    </row>
    <row r="1544" spans="2:11">
      <c r="B1544" s="6"/>
      <c r="C1544" s="24"/>
      <c r="D1544" s="5"/>
      <c r="E1544" s="5"/>
      <c r="F1544" s="4"/>
      <c r="G1544" s="4"/>
      <c r="H1544" s="4"/>
      <c r="I1544" s="4"/>
      <c r="J1544" s="4"/>
      <c r="K1544" s="4"/>
    </row>
    <row r="1545" spans="2:11">
      <c r="B1545" s="6"/>
      <c r="C1545" s="24"/>
      <c r="D1545" s="5"/>
      <c r="E1545" s="5"/>
      <c r="F1545" s="4"/>
      <c r="G1545" s="4"/>
      <c r="H1545" s="4"/>
      <c r="I1545" s="4"/>
      <c r="J1545" s="4"/>
      <c r="K1545" s="4"/>
    </row>
    <row r="1546" spans="2:11">
      <c r="B1546" s="6"/>
      <c r="C1546" s="24"/>
      <c r="D1546" s="5"/>
      <c r="E1546" s="5"/>
      <c r="F1546" s="4"/>
      <c r="G1546" s="4"/>
      <c r="H1546" s="4"/>
      <c r="I1546" s="4"/>
      <c r="J1546" s="4"/>
      <c r="K1546" s="4"/>
    </row>
    <row r="1547" spans="2:11">
      <c r="B1547" s="6"/>
      <c r="C1547" s="24"/>
      <c r="D1547" s="5"/>
      <c r="E1547" s="5"/>
      <c r="F1547" s="4"/>
      <c r="G1547" s="4"/>
      <c r="H1547" s="4"/>
      <c r="I1547" s="4"/>
      <c r="J1547" s="4"/>
      <c r="K1547" s="4"/>
    </row>
    <row r="1548" spans="2:11">
      <c r="B1548" s="6"/>
      <c r="C1548" s="24"/>
      <c r="D1548" s="5"/>
      <c r="E1548" s="5"/>
      <c r="F1548" s="4"/>
      <c r="G1548" s="4"/>
      <c r="H1548" s="4"/>
      <c r="I1548" s="4"/>
      <c r="J1548" s="4"/>
      <c r="K1548" s="4"/>
    </row>
    <row r="1549" spans="2:11">
      <c r="B1549" s="6"/>
      <c r="C1549" s="24"/>
      <c r="D1549" s="5"/>
      <c r="E1549" s="5"/>
      <c r="F1549" s="4"/>
      <c r="G1549" s="4"/>
      <c r="H1549" s="4"/>
      <c r="I1549" s="4"/>
      <c r="J1549" s="4"/>
      <c r="K1549" s="4"/>
    </row>
    <row r="1550" spans="2:11">
      <c r="B1550" s="6"/>
      <c r="C1550" s="24"/>
      <c r="D1550" s="5"/>
      <c r="E1550" s="5"/>
      <c r="F1550" s="4"/>
      <c r="G1550" s="4"/>
      <c r="H1550" s="4"/>
      <c r="I1550" s="4"/>
      <c r="J1550" s="4"/>
      <c r="K1550" s="4"/>
    </row>
    <row r="1551" spans="2:11">
      <c r="B1551" s="6"/>
      <c r="C1551" s="24"/>
      <c r="D1551" s="5"/>
      <c r="E1551" s="5"/>
      <c r="F1551" s="4"/>
      <c r="G1551" s="4"/>
      <c r="H1551" s="4"/>
      <c r="I1551" s="4"/>
      <c r="J1551" s="4"/>
      <c r="K1551" s="4"/>
    </row>
    <row r="1552" spans="2:11">
      <c r="B1552" s="6"/>
      <c r="C1552" s="24"/>
      <c r="D1552" s="5"/>
      <c r="E1552" s="5"/>
      <c r="F1552" s="4"/>
      <c r="G1552" s="4"/>
      <c r="H1552" s="4"/>
      <c r="I1552" s="4"/>
      <c r="J1552" s="4"/>
      <c r="K1552" s="4"/>
    </row>
    <row r="1553" spans="2:11">
      <c r="B1553" s="6"/>
      <c r="C1553" s="24"/>
      <c r="D1553" s="5"/>
      <c r="E1553" s="5"/>
      <c r="F1553" s="4"/>
      <c r="G1553" s="4"/>
      <c r="H1553" s="4"/>
      <c r="I1553" s="4"/>
      <c r="J1553" s="4"/>
      <c r="K1553" s="4"/>
    </row>
    <row r="1554" spans="2:11">
      <c r="B1554" s="6"/>
      <c r="C1554" s="24"/>
      <c r="D1554" s="5"/>
      <c r="E1554" s="5"/>
      <c r="F1554" s="4"/>
      <c r="G1554" s="4"/>
      <c r="H1554" s="4"/>
      <c r="I1554" s="4"/>
      <c r="J1554" s="4"/>
      <c r="K1554" s="4"/>
    </row>
    <row r="1555" spans="2:11">
      <c r="B1555" s="6"/>
      <c r="C1555" s="24"/>
      <c r="D1555" s="5"/>
      <c r="E1555" s="5"/>
      <c r="F1555" s="4"/>
      <c r="G1555" s="4"/>
      <c r="H1555" s="4"/>
      <c r="I1555" s="4"/>
      <c r="J1555" s="4"/>
      <c r="K1555" s="4"/>
    </row>
    <row r="1556" spans="2:11">
      <c r="B1556" s="6"/>
      <c r="C1556" s="24"/>
      <c r="D1556" s="5"/>
      <c r="E1556" s="5"/>
      <c r="F1556" s="4"/>
      <c r="G1556" s="4"/>
      <c r="H1556" s="4"/>
      <c r="I1556" s="4"/>
      <c r="J1556" s="4"/>
      <c r="K1556" s="4"/>
    </row>
    <row r="1557" spans="2:11">
      <c r="B1557" s="6"/>
      <c r="C1557" s="24"/>
      <c r="D1557" s="5"/>
      <c r="E1557" s="5"/>
      <c r="F1557" s="4"/>
      <c r="G1557" s="4"/>
      <c r="H1557" s="4"/>
      <c r="I1557" s="4"/>
      <c r="J1557" s="4"/>
      <c r="K1557" s="4"/>
    </row>
    <row r="1558" spans="2:11">
      <c r="B1558" s="6"/>
      <c r="C1558" s="24"/>
      <c r="D1558" s="5"/>
      <c r="E1558" s="5"/>
      <c r="F1558" s="4"/>
      <c r="G1558" s="4"/>
      <c r="H1558" s="4"/>
      <c r="I1558" s="4"/>
      <c r="J1558" s="4"/>
      <c r="K1558" s="4"/>
    </row>
    <row r="1559" spans="2:11">
      <c r="B1559" s="6"/>
      <c r="C1559" s="24"/>
      <c r="D1559" s="5"/>
      <c r="E1559" s="5"/>
      <c r="F1559" s="4"/>
      <c r="G1559" s="4"/>
      <c r="H1559" s="4"/>
      <c r="I1559" s="4"/>
      <c r="J1559" s="4"/>
      <c r="K1559" s="4"/>
    </row>
    <row r="1560" spans="2:11">
      <c r="B1560" s="6"/>
      <c r="C1560" s="24"/>
      <c r="D1560" s="5"/>
      <c r="E1560" s="5"/>
      <c r="F1560" s="4"/>
      <c r="G1560" s="4"/>
      <c r="H1560" s="4"/>
      <c r="I1560" s="4"/>
      <c r="J1560" s="4"/>
      <c r="K1560" s="4"/>
    </row>
    <row r="1561" spans="2:11">
      <c r="B1561" s="6"/>
      <c r="C1561" s="24"/>
      <c r="D1561" s="5"/>
      <c r="E1561" s="5"/>
      <c r="F1561" s="4"/>
      <c r="G1561" s="4"/>
      <c r="H1561" s="4"/>
      <c r="I1561" s="4"/>
      <c r="J1561" s="4"/>
      <c r="K1561" s="4"/>
    </row>
    <row r="1562" spans="2:11">
      <c r="B1562" s="6"/>
      <c r="C1562" s="24"/>
      <c r="D1562" s="5"/>
      <c r="E1562" s="5"/>
      <c r="F1562" s="4"/>
      <c r="G1562" s="4"/>
      <c r="H1562" s="4"/>
      <c r="I1562" s="4"/>
      <c r="J1562" s="4"/>
      <c r="K1562" s="4"/>
    </row>
    <row r="1563" spans="2:11">
      <c r="B1563" s="6"/>
      <c r="C1563" s="24"/>
      <c r="D1563" s="5"/>
      <c r="E1563" s="5"/>
      <c r="F1563" s="4"/>
      <c r="G1563" s="4"/>
      <c r="H1563" s="4"/>
      <c r="I1563" s="4"/>
      <c r="J1563" s="4"/>
      <c r="K1563" s="4"/>
    </row>
    <row r="1564" spans="2:11">
      <c r="B1564" s="6"/>
      <c r="C1564" s="24"/>
      <c r="D1564" s="5"/>
      <c r="E1564" s="5"/>
      <c r="F1564" s="4"/>
      <c r="G1564" s="4"/>
      <c r="H1564" s="4"/>
      <c r="I1564" s="4"/>
      <c r="J1564" s="4"/>
      <c r="K1564" s="4"/>
    </row>
    <row r="1565" spans="2:11">
      <c r="B1565" s="6"/>
      <c r="C1565" s="24"/>
      <c r="D1565" s="5"/>
      <c r="E1565" s="5"/>
      <c r="F1565" s="4"/>
      <c r="G1565" s="4"/>
      <c r="H1565" s="4"/>
      <c r="I1565" s="4"/>
      <c r="J1565" s="4"/>
      <c r="K1565" s="4"/>
    </row>
    <row r="1566" spans="2:11">
      <c r="B1566" s="6"/>
      <c r="C1566" s="24"/>
      <c r="D1566" s="5"/>
      <c r="E1566" s="5"/>
      <c r="F1566" s="4"/>
      <c r="G1566" s="4"/>
      <c r="H1566" s="4"/>
      <c r="I1566" s="4"/>
      <c r="J1566" s="4"/>
      <c r="K1566" s="4"/>
    </row>
    <row r="1567" spans="2:11">
      <c r="B1567" s="6"/>
      <c r="C1567" s="24"/>
      <c r="D1567" s="5"/>
      <c r="E1567" s="5"/>
      <c r="F1567" s="4"/>
      <c r="G1567" s="4"/>
      <c r="H1567" s="4"/>
      <c r="I1567" s="4"/>
      <c r="J1567" s="4"/>
      <c r="K1567" s="4"/>
    </row>
    <row r="1568" spans="2:11">
      <c r="B1568" s="6"/>
      <c r="C1568" s="24"/>
      <c r="D1568" s="5"/>
      <c r="E1568" s="5"/>
      <c r="F1568" s="4"/>
      <c r="G1568" s="4"/>
      <c r="H1568" s="4"/>
      <c r="I1568" s="4"/>
      <c r="J1568" s="4"/>
      <c r="K1568" s="4"/>
    </row>
    <row r="1569" spans="2:11">
      <c r="B1569" s="6"/>
      <c r="C1569" s="24"/>
      <c r="D1569" s="5"/>
      <c r="E1569" s="5"/>
      <c r="F1569" s="4"/>
      <c r="G1569" s="4"/>
      <c r="H1569" s="4"/>
      <c r="I1569" s="4"/>
      <c r="J1569" s="4"/>
      <c r="K1569" s="4"/>
    </row>
    <row r="1570" spans="2:11">
      <c r="B1570" s="6"/>
      <c r="C1570" s="24"/>
      <c r="D1570" s="5"/>
      <c r="E1570" s="5"/>
      <c r="F1570" s="4"/>
      <c r="G1570" s="4"/>
      <c r="H1570" s="4"/>
      <c r="I1570" s="4"/>
      <c r="J1570" s="4"/>
      <c r="K1570" s="4"/>
    </row>
    <row r="1571" spans="2:11">
      <c r="B1571" s="6"/>
      <c r="C1571" s="24"/>
      <c r="D1571" s="5"/>
      <c r="E1571" s="5"/>
      <c r="F1571" s="4"/>
      <c r="G1571" s="4"/>
      <c r="H1571" s="4"/>
      <c r="I1571" s="4"/>
      <c r="J1571" s="4"/>
      <c r="K1571" s="4"/>
    </row>
    <row r="1572" spans="2:11">
      <c r="B1572" s="6"/>
      <c r="C1572" s="24"/>
      <c r="D1572" s="5"/>
      <c r="E1572" s="5"/>
      <c r="F1572" s="4"/>
      <c r="G1572" s="4"/>
      <c r="H1572" s="4"/>
      <c r="I1572" s="4"/>
      <c r="J1572" s="4"/>
      <c r="K1572" s="4"/>
    </row>
    <row r="1573" spans="2:11">
      <c r="B1573" s="6"/>
      <c r="C1573" s="24"/>
      <c r="D1573" s="5"/>
      <c r="E1573" s="5"/>
      <c r="F1573" s="4"/>
      <c r="G1573" s="4"/>
      <c r="H1573" s="4"/>
      <c r="I1573" s="4"/>
      <c r="J1573" s="4"/>
      <c r="K1573" s="4"/>
    </row>
    <row r="1574" spans="2:11">
      <c r="B1574" s="6"/>
      <c r="C1574" s="24"/>
      <c r="D1574" s="5"/>
      <c r="E1574" s="5"/>
      <c r="F1574" s="4"/>
      <c r="G1574" s="4"/>
      <c r="H1574" s="4"/>
      <c r="I1574" s="4"/>
      <c r="J1574" s="4"/>
      <c r="K1574" s="4"/>
    </row>
    <row r="1575" spans="2:11">
      <c r="B1575" s="6"/>
      <c r="C1575" s="24"/>
      <c r="D1575" s="5"/>
      <c r="E1575" s="5"/>
      <c r="F1575" s="4"/>
      <c r="G1575" s="4"/>
      <c r="H1575" s="4"/>
      <c r="I1575" s="4"/>
      <c r="J1575" s="4"/>
      <c r="K1575" s="4"/>
    </row>
    <row r="1576" spans="2:11">
      <c r="B1576" s="6"/>
      <c r="C1576" s="24"/>
      <c r="D1576" s="5"/>
      <c r="E1576" s="5"/>
      <c r="F1576" s="4"/>
      <c r="G1576" s="4"/>
      <c r="H1576" s="4"/>
      <c r="I1576" s="4"/>
      <c r="J1576" s="4"/>
      <c r="K1576" s="4"/>
    </row>
    <row r="1577" spans="2:11">
      <c r="B1577" s="6"/>
      <c r="C1577" s="24"/>
      <c r="D1577" s="5"/>
      <c r="E1577" s="5"/>
      <c r="F1577" s="4"/>
      <c r="G1577" s="4"/>
      <c r="H1577" s="4"/>
      <c r="I1577" s="4"/>
      <c r="J1577" s="4"/>
      <c r="K1577" s="4"/>
    </row>
    <row r="1578" spans="2:11">
      <c r="B1578" s="6"/>
      <c r="C1578" s="24"/>
      <c r="D1578" s="5"/>
      <c r="E1578" s="5"/>
      <c r="F1578" s="4"/>
      <c r="G1578" s="4"/>
      <c r="H1578" s="4"/>
      <c r="I1578" s="4"/>
      <c r="J1578" s="4"/>
      <c r="K1578" s="4"/>
    </row>
    <row r="1579" spans="2:11">
      <c r="B1579" s="6"/>
      <c r="C1579" s="24"/>
      <c r="D1579" s="5"/>
      <c r="E1579" s="5"/>
      <c r="F1579" s="4"/>
      <c r="G1579" s="4"/>
      <c r="H1579" s="4"/>
      <c r="I1579" s="4"/>
      <c r="J1579" s="4"/>
      <c r="K1579" s="4"/>
    </row>
    <row r="1580" spans="2:11">
      <c r="B1580" s="6"/>
      <c r="C1580" s="24"/>
      <c r="D1580" s="5"/>
      <c r="E1580" s="5"/>
      <c r="F1580" s="4"/>
      <c r="G1580" s="4"/>
      <c r="H1580" s="4"/>
      <c r="I1580" s="4"/>
      <c r="J1580" s="4"/>
      <c r="K1580" s="4"/>
    </row>
    <row r="1581" spans="2:11">
      <c r="B1581" s="6"/>
      <c r="C1581" s="24"/>
      <c r="D1581" s="5"/>
      <c r="E1581" s="5"/>
      <c r="F1581" s="4"/>
      <c r="G1581" s="4"/>
      <c r="H1581" s="4"/>
      <c r="I1581" s="4"/>
      <c r="J1581" s="4"/>
      <c r="K1581" s="4"/>
    </row>
    <row r="1582" spans="2:11">
      <c r="B1582" s="6"/>
      <c r="C1582" s="24"/>
      <c r="D1582" s="5"/>
      <c r="E1582" s="5"/>
      <c r="F1582" s="4"/>
      <c r="G1582" s="4"/>
      <c r="H1582" s="4"/>
      <c r="I1582" s="4"/>
      <c r="J1582" s="4"/>
      <c r="K1582" s="4"/>
    </row>
    <row r="1583" spans="2:11">
      <c r="B1583" s="6"/>
      <c r="C1583" s="24"/>
      <c r="D1583" s="5"/>
      <c r="E1583" s="5"/>
      <c r="F1583" s="4"/>
      <c r="G1583" s="4"/>
      <c r="H1583" s="4"/>
      <c r="I1583" s="4"/>
      <c r="J1583" s="4"/>
      <c r="K1583" s="4"/>
    </row>
    <row r="1584" spans="2:11">
      <c r="B1584" s="6"/>
      <c r="C1584" s="24"/>
      <c r="D1584" s="5"/>
      <c r="E1584" s="5"/>
      <c r="F1584" s="4"/>
      <c r="G1584" s="4"/>
      <c r="H1584" s="4"/>
      <c r="I1584" s="4"/>
      <c r="J1584" s="4"/>
      <c r="K1584" s="4"/>
    </row>
    <row r="1585" spans="2:11">
      <c r="B1585" s="6"/>
      <c r="C1585" s="24"/>
      <c r="D1585" s="5"/>
      <c r="E1585" s="5"/>
      <c r="F1585" s="4"/>
      <c r="G1585" s="4"/>
      <c r="H1585" s="4"/>
      <c r="I1585" s="4"/>
      <c r="J1585" s="4"/>
      <c r="K1585" s="4"/>
    </row>
    <row r="1586" spans="2:11">
      <c r="B1586" s="6"/>
      <c r="C1586" s="24"/>
      <c r="D1586" s="5"/>
      <c r="E1586" s="5"/>
      <c r="F1586" s="4"/>
      <c r="G1586" s="4"/>
      <c r="H1586" s="4"/>
      <c r="I1586" s="4"/>
      <c r="J1586" s="4"/>
      <c r="K1586" s="4"/>
    </row>
    <row r="1587" spans="2:11">
      <c r="B1587" s="6"/>
      <c r="C1587" s="24"/>
      <c r="D1587" s="5"/>
      <c r="E1587" s="5"/>
      <c r="F1587" s="4"/>
      <c r="G1587" s="4"/>
      <c r="H1587" s="4"/>
      <c r="I1587" s="4"/>
      <c r="J1587" s="4"/>
      <c r="K1587" s="4"/>
    </row>
    <row r="1588" spans="2:11">
      <c r="B1588" s="6"/>
      <c r="C1588" s="24"/>
      <c r="D1588" s="5"/>
      <c r="E1588" s="5"/>
      <c r="F1588" s="4"/>
      <c r="G1588" s="4"/>
      <c r="H1588" s="4"/>
      <c r="I1588" s="4"/>
      <c r="J1588" s="4"/>
      <c r="K1588" s="4"/>
    </row>
    <row r="1589" spans="2:11">
      <c r="B1589" s="6"/>
      <c r="C1589" s="24"/>
      <c r="D1589" s="5"/>
      <c r="E1589" s="5"/>
      <c r="F1589" s="4"/>
      <c r="G1589" s="4"/>
      <c r="H1589" s="4"/>
      <c r="I1589" s="4"/>
      <c r="J1589" s="4"/>
      <c r="K1589" s="4"/>
    </row>
    <row r="1590" spans="2:11">
      <c r="B1590" s="6"/>
      <c r="C1590" s="24"/>
      <c r="D1590" s="5"/>
      <c r="E1590" s="5"/>
      <c r="F1590" s="4"/>
      <c r="G1590" s="4"/>
      <c r="H1590" s="4"/>
      <c r="I1590" s="4"/>
      <c r="J1590" s="4"/>
      <c r="K1590" s="4"/>
    </row>
    <row r="1591" spans="2:11">
      <c r="B1591" s="6"/>
      <c r="C1591" s="24"/>
      <c r="D1591" s="5"/>
      <c r="E1591" s="5"/>
      <c r="F1591" s="4"/>
      <c r="G1591" s="4"/>
      <c r="H1591" s="4"/>
      <c r="I1591" s="4"/>
      <c r="J1591" s="4"/>
      <c r="K1591" s="4"/>
    </row>
    <row r="1592" spans="2:11">
      <c r="B1592" s="6"/>
      <c r="C1592" s="24"/>
      <c r="D1592" s="5"/>
      <c r="E1592" s="5"/>
      <c r="F1592" s="4"/>
      <c r="G1592" s="4"/>
      <c r="H1592" s="4"/>
      <c r="I1592" s="4"/>
      <c r="J1592" s="4"/>
      <c r="K1592" s="4"/>
    </row>
    <row r="1593" spans="2:11">
      <c r="B1593" s="6"/>
      <c r="C1593" s="24"/>
      <c r="D1593" s="5"/>
      <c r="E1593" s="5"/>
      <c r="F1593" s="4"/>
      <c r="G1593" s="4"/>
      <c r="H1593" s="4"/>
      <c r="I1593" s="4"/>
      <c r="J1593" s="4"/>
      <c r="K1593" s="4"/>
    </row>
    <row r="1594" spans="2:11">
      <c r="B1594" s="6"/>
      <c r="C1594" s="24"/>
      <c r="D1594" s="5"/>
      <c r="E1594" s="5"/>
      <c r="F1594" s="4"/>
      <c r="G1594" s="4"/>
      <c r="H1594" s="4"/>
      <c r="I1594" s="4"/>
      <c r="J1594" s="4"/>
      <c r="K1594" s="4"/>
    </row>
    <row r="1595" spans="2:11">
      <c r="B1595" s="6"/>
      <c r="C1595" s="24"/>
      <c r="D1595" s="5"/>
      <c r="E1595" s="5"/>
      <c r="F1595" s="4"/>
      <c r="G1595" s="4"/>
      <c r="H1595" s="4"/>
      <c r="I1595" s="4"/>
      <c r="J1595" s="4"/>
      <c r="K1595" s="4"/>
    </row>
    <row r="1596" spans="2:11">
      <c r="B1596" s="6"/>
      <c r="C1596" s="24"/>
      <c r="D1596" s="5"/>
      <c r="E1596" s="5"/>
      <c r="F1596" s="4"/>
      <c r="G1596" s="4"/>
      <c r="H1596" s="4"/>
      <c r="I1596" s="4"/>
      <c r="J1596" s="4"/>
      <c r="K1596" s="4"/>
    </row>
    <row r="1597" spans="2:11">
      <c r="B1597" s="6"/>
      <c r="C1597" s="24"/>
      <c r="D1597" s="5"/>
      <c r="E1597" s="5"/>
      <c r="F1597" s="4"/>
      <c r="G1597" s="4"/>
      <c r="H1597" s="4"/>
      <c r="I1597" s="4"/>
      <c r="J1597" s="4"/>
      <c r="K1597" s="4"/>
    </row>
    <row r="1598" spans="2:11">
      <c r="B1598" s="6"/>
      <c r="C1598" s="24"/>
      <c r="D1598" s="5"/>
      <c r="E1598" s="5"/>
      <c r="F1598" s="4"/>
      <c r="G1598" s="4"/>
      <c r="H1598" s="4"/>
      <c r="I1598" s="4"/>
      <c r="J1598" s="4"/>
      <c r="K1598" s="4"/>
    </row>
    <row r="1599" spans="2:11">
      <c r="B1599" s="6"/>
      <c r="C1599" s="24"/>
      <c r="D1599" s="5"/>
      <c r="E1599" s="5"/>
      <c r="F1599" s="4"/>
      <c r="G1599" s="4"/>
      <c r="H1599" s="4"/>
      <c r="I1599" s="4"/>
      <c r="J1599" s="4"/>
      <c r="K1599" s="4"/>
    </row>
    <row r="1600" spans="2:11">
      <c r="B1600" s="6"/>
      <c r="C1600" s="24"/>
      <c r="D1600" s="5"/>
      <c r="E1600" s="5"/>
      <c r="F1600" s="4"/>
      <c r="G1600" s="4"/>
      <c r="H1600" s="4"/>
      <c r="I1600" s="4"/>
      <c r="J1600" s="4"/>
      <c r="K1600" s="4"/>
    </row>
    <row r="1601" spans="2:11">
      <c r="B1601" s="6"/>
      <c r="C1601" s="24"/>
      <c r="D1601" s="5"/>
      <c r="E1601" s="5"/>
      <c r="F1601" s="4"/>
      <c r="G1601" s="4"/>
      <c r="H1601" s="4"/>
      <c r="I1601" s="4"/>
      <c r="J1601" s="4"/>
      <c r="K1601" s="4"/>
    </row>
    <row r="1602" spans="2:11">
      <c r="B1602" s="6"/>
      <c r="C1602" s="24"/>
      <c r="D1602" s="5"/>
      <c r="E1602" s="5"/>
      <c r="F1602" s="4"/>
      <c r="G1602" s="4"/>
      <c r="H1602" s="4"/>
      <c r="I1602" s="4"/>
      <c r="J1602" s="4"/>
      <c r="K1602" s="4"/>
    </row>
    <row r="1603" spans="2:11">
      <c r="B1603" s="6"/>
      <c r="C1603" s="24"/>
      <c r="D1603" s="5"/>
      <c r="E1603" s="5"/>
      <c r="F1603" s="4"/>
      <c r="G1603" s="4"/>
      <c r="H1603" s="4"/>
      <c r="I1603" s="4"/>
      <c r="J1603" s="4"/>
      <c r="K1603" s="4"/>
    </row>
    <row r="1604" spans="2:11">
      <c r="B1604" s="6"/>
      <c r="C1604" s="24"/>
      <c r="D1604" s="5"/>
      <c r="E1604" s="5"/>
      <c r="F1604" s="4"/>
      <c r="G1604" s="4"/>
      <c r="H1604" s="4"/>
      <c r="I1604" s="4"/>
      <c r="J1604" s="4"/>
      <c r="K1604" s="4"/>
    </row>
    <row r="1605" spans="2:11">
      <c r="B1605" s="6"/>
      <c r="C1605" s="24"/>
      <c r="D1605" s="5"/>
      <c r="E1605" s="5"/>
      <c r="F1605" s="4"/>
      <c r="G1605" s="4"/>
      <c r="H1605" s="4"/>
      <c r="I1605" s="4"/>
      <c r="J1605" s="4"/>
      <c r="K1605" s="4"/>
    </row>
    <row r="1606" spans="2:11">
      <c r="B1606" s="6"/>
      <c r="C1606" s="24"/>
      <c r="D1606" s="5"/>
      <c r="E1606" s="5"/>
      <c r="F1606" s="4"/>
      <c r="G1606" s="4"/>
      <c r="H1606" s="4"/>
      <c r="I1606" s="4"/>
      <c r="J1606" s="4"/>
      <c r="K1606" s="4"/>
    </row>
    <row r="1607" spans="2:11">
      <c r="B1607" s="6"/>
      <c r="C1607" s="24"/>
      <c r="D1607" s="5"/>
      <c r="E1607" s="5"/>
      <c r="F1607" s="4"/>
      <c r="G1607" s="4"/>
      <c r="H1607" s="4"/>
      <c r="I1607" s="4"/>
      <c r="J1607" s="4"/>
      <c r="K1607" s="4"/>
    </row>
    <row r="1608" spans="2:11">
      <c r="B1608" s="6"/>
      <c r="C1608" s="24"/>
      <c r="D1608" s="5"/>
      <c r="E1608" s="5"/>
      <c r="F1608" s="4"/>
      <c r="G1608" s="4"/>
      <c r="H1608" s="4"/>
      <c r="I1608" s="4"/>
      <c r="J1608" s="4"/>
      <c r="K1608" s="4"/>
    </row>
    <row r="1609" spans="2:11">
      <c r="B1609" s="6"/>
      <c r="C1609" s="24"/>
      <c r="D1609" s="5"/>
      <c r="E1609" s="5"/>
      <c r="F1609" s="4"/>
      <c r="G1609" s="4"/>
      <c r="H1609" s="4"/>
      <c r="I1609" s="4"/>
      <c r="J1609" s="4"/>
      <c r="K1609" s="4"/>
    </row>
    <row r="1610" spans="2:11">
      <c r="B1610" s="6"/>
      <c r="C1610" s="24"/>
      <c r="D1610" s="5"/>
      <c r="E1610" s="5"/>
      <c r="F1610" s="4"/>
      <c r="G1610" s="4"/>
      <c r="H1610" s="4"/>
      <c r="I1610" s="4"/>
      <c r="J1610" s="4"/>
      <c r="K1610" s="4"/>
    </row>
    <row r="1611" spans="2:11">
      <c r="B1611" s="6"/>
      <c r="C1611" s="24"/>
      <c r="D1611" s="5"/>
      <c r="E1611" s="5"/>
      <c r="F1611" s="4"/>
      <c r="G1611" s="4"/>
      <c r="H1611" s="4"/>
      <c r="I1611" s="4"/>
      <c r="J1611" s="4"/>
      <c r="K1611" s="4"/>
    </row>
    <row r="1612" spans="2:11">
      <c r="B1612" s="6"/>
      <c r="C1612" s="24"/>
      <c r="D1612" s="5"/>
      <c r="E1612" s="5"/>
      <c r="F1612" s="4"/>
      <c r="G1612" s="4"/>
      <c r="H1612" s="4"/>
      <c r="I1612" s="4"/>
      <c r="J1612" s="4"/>
      <c r="K1612" s="4"/>
    </row>
    <row r="1613" spans="2:11">
      <c r="B1613" s="6"/>
      <c r="C1613" s="24"/>
      <c r="D1613" s="5"/>
      <c r="E1613" s="5"/>
      <c r="F1613" s="4"/>
      <c r="G1613" s="4"/>
      <c r="H1613" s="4"/>
      <c r="I1613" s="4"/>
      <c r="J1613" s="4"/>
      <c r="K1613" s="4"/>
    </row>
    <row r="1614" spans="2:11">
      <c r="B1614" s="6"/>
      <c r="C1614" s="24"/>
      <c r="D1614" s="5"/>
      <c r="E1614" s="5"/>
      <c r="F1614" s="4"/>
      <c r="G1614" s="4"/>
      <c r="H1614" s="4"/>
      <c r="I1614" s="4"/>
      <c r="J1614" s="4"/>
      <c r="K1614" s="4"/>
    </row>
    <row r="1615" spans="2:11">
      <c r="B1615" s="6"/>
      <c r="C1615" s="24"/>
      <c r="D1615" s="5"/>
      <c r="E1615" s="5"/>
      <c r="F1615" s="4"/>
      <c r="G1615" s="4"/>
      <c r="H1615" s="4"/>
      <c r="I1615" s="4"/>
      <c r="J1615" s="4"/>
      <c r="K1615" s="4"/>
    </row>
    <row r="1616" spans="2:11">
      <c r="B1616" s="6"/>
      <c r="C1616" s="24"/>
      <c r="D1616" s="5"/>
      <c r="E1616" s="5"/>
      <c r="F1616" s="4"/>
      <c r="G1616" s="4"/>
      <c r="H1616" s="4"/>
      <c r="I1616" s="4"/>
      <c r="J1616" s="4"/>
      <c r="K1616" s="4"/>
    </row>
    <row r="1617" spans="2:11">
      <c r="B1617" s="6"/>
      <c r="C1617" s="24"/>
      <c r="D1617" s="5"/>
      <c r="E1617" s="5"/>
      <c r="F1617" s="4"/>
      <c r="G1617" s="4"/>
      <c r="H1617" s="4"/>
      <c r="I1617" s="4"/>
      <c r="J1617" s="4"/>
      <c r="K1617" s="4"/>
    </row>
    <row r="1618" spans="2:11">
      <c r="B1618" s="6"/>
      <c r="C1618" s="24"/>
      <c r="D1618" s="5"/>
      <c r="E1618" s="5"/>
      <c r="F1618" s="4"/>
      <c r="G1618" s="4"/>
      <c r="H1618" s="4"/>
      <c r="I1618" s="4"/>
      <c r="J1618" s="4"/>
      <c r="K1618" s="4"/>
    </row>
    <row r="1619" spans="2:11">
      <c r="B1619" s="6"/>
      <c r="C1619" s="24"/>
      <c r="D1619" s="5"/>
      <c r="E1619" s="5"/>
      <c r="F1619" s="4"/>
      <c r="G1619" s="4"/>
      <c r="H1619" s="4"/>
      <c r="I1619" s="4"/>
      <c r="J1619" s="4"/>
      <c r="K1619" s="4"/>
    </row>
    <row r="1620" spans="2:11">
      <c r="B1620" s="6"/>
      <c r="C1620" s="24"/>
      <c r="D1620" s="5"/>
      <c r="E1620" s="5"/>
      <c r="F1620" s="4"/>
      <c r="G1620" s="4"/>
      <c r="H1620" s="4"/>
      <c r="I1620" s="4"/>
      <c r="J1620" s="4"/>
      <c r="K1620" s="4"/>
    </row>
    <row r="1621" spans="2:11">
      <c r="B1621" s="6"/>
      <c r="C1621" s="24"/>
      <c r="D1621" s="5"/>
      <c r="E1621" s="5"/>
      <c r="F1621" s="4"/>
      <c r="G1621" s="4"/>
      <c r="H1621" s="4"/>
      <c r="I1621" s="4"/>
      <c r="J1621" s="4"/>
      <c r="K1621" s="4"/>
    </row>
    <row r="1622" spans="2:11">
      <c r="B1622" s="6"/>
      <c r="C1622" s="24"/>
      <c r="D1622" s="5"/>
      <c r="E1622" s="5"/>
      <c r="F1622" s="4"/>
      <c r="G1622" s="4"/>
      <c r="H1622" s="4"/>
      <c r="I1622" s="4"/>
      <c r="J1622" s="4"/>
      <c r="K1622" s="4"/>
    </row>
    <row r="1623" spans="2:11">
      <c r="B1623" s="6"/>
      <c r="C1623" s="24"/>
      <c r="D1623" s="5"/>
      <c r="E1623" s="5"/>
      <c r="F1623" s="4"/>
      <c r="G1623" s="4"/>
      <c r="H1623" s="4"/>
      <c r="I1623" s="4"/>
      <c r="J1623" s="4"/>
      <c r="K1623" s="4"/>
    </row>
    <row r="1624" spans="2:11">
      <c r="B1624" s="6"/>
      <c r="C1624" s="24"/>
      <c r="D1624" s="5"/>
      <c r="E1624" s="5"/>
      <c r="F1624" s="4"/>
      <c r="G1624" s="4"/>
      <c r="H1624" s="4"/>
      <c r="I1624" s="4"/>
      <c r="J1624" s="4"/>
      <c r="K1624" s="4"/>
    </row>
    <row r="1625" spans="2:11">
      <c r="B1625" s="6"/>
      <c r="C1625" s="24"/>
      <c r="D1625" s="5"/>
      <c r="E1625" s="5"/>
      <c r="F1625" s="4"/>
      <c r="G1625" s="4"/>
      <c r="H1625" s="4"/>
      <c r="I1625" s="4"/>
      <c r="J1625" s="4"/>
      <c r="K1625" s="4"/>
    </row>
    <row r="1626" spans="2:11">
      <c r="B1626" s="6"/>
      <c r="C1626" s="24"/>
      <c r="D1626" s="5"/>
      <c r="E1626" s="5"/>
      <c r="F1626" s="4"/>
      <c r="G1626" s="4"/>
      <c r="H1626" s="4"/>
      <c r="I1626" s="4"/>
      <c r="J1626" s="4"/>
      <c r="K1626" s="4"/>
    </row>
    <row r="1627" spans="2:11">
      <c r="B1627" s="6"/>
      <c r="C1627" s="24"/>
      <c r="D1627" s="5"/>
      <c r="E1627" s="5"/>
      <c r="F1627" s="4"/>
      <c r="G1627" s="4"/>
      <c r="H1627" s="4"/>
      <c r="I1627" s="4"/>
      <c r="J1627" s="4"/>
      <c r="K1627" s="4"/>
    </row>
    <row r="1628" spans="2:11">
      <c r="B1628" s="6"/>
      <c r="C1628" s="24"/>
      <c r="D1628" s="5"/>
      <c r="E1628" s="5"/>
      <c r="F1628" s="4"/>
      <c r="G1628" s="4"/>
      <c r="H1628" s="4"/>
      <c r="I1628" s="4"/>
      <c r="J1628" s="4"/>
      <c r="K1628" s="4"/>
    </row>
    <row r="1629" spans="2:11">
      <c r="B1629" s="6"/>
      <c r="C1629" s="24"/>
      <c r="D1629" s="5"/>
      <c r="E1629" s="5"/>
      <c r="F1629" s="4"/>
      <c r="G1629" s="4"/>
      <c r="H1629" s="4"/>
      <c r="I1629" s="4"/>
      <c r="J1629" s="4"/>
      <c r="K1629" s="4"/>
    </row>
    <row r="1630" spans="2:11">
      <c r="B1630" s="6"/>
      <c r="C1630" s="24"/>
      <c r="D1630" s="5"/>
      <c r="E1630" s="5"/>
      <c r="F1630" s="4"/>
      <c r="G1630" s="4"/>
      <c r="H1630" s="4"/>
      <c r="I1630" s="4"/>
      <c r="J1630" s="4"/>
      <c r="K1630" s="4"/>
    </row>
    <row r="1631" spans="2:11">
      <c r="B1631" s="6"/>
      <c r="C1631" s="24"/>
      <c r="D1631" s="5"/>
      <c r="E1631" s="5"/>
      <c r="F1631" s="4"/>
      <c r="G1631" s="4"/>
      <c r="H1631" s="4"/>
      <c r="I1631" s="4"/>
      <c r="J1631" s="4"/>
      <c r="K1631" s="4"/>
    </row>
    <row r="1632" spans="2:11">
      <c r="B1632" s="6"/>
      <c r="C1632" s="24"/>
      <c r="D1632" s="5"/>
      <c r="E1632" s="5"/>
      <c r="F1632" s="4"/>
      <c r="G1632" s="4"/>
      <c r="H1632" s="4"/>
      <c r="I1632" s="4"/>
      <c r="J1632" s="4"/>
      <c r="K1632" s="4"/>
    </row>
    <row r="1633" spans="2:11">
      <c r="B1633" s="6"/>
      <c r="C1633" s="24"/>
      <c r="D1633" s="5"/>
      <c r="E1633" s="5"/>
      <c r="F1633" s="4"/>
      <c r="G1633" s="4"/>
      <c r="H1633" s="4"/>
      <c r="I1633" s="4"/>
      <c r="J1633" s="4"/>
      <c r="K1633" s="4"/>
    </row>
    <row r="1634" spans="2:11">
      <c r="B1634" s="6"/>
      <c r="C1634" s="24"/>
      <c r="D1634" s="5"/>
      <c r="E1634" s="5"/>
      <c r="F1634" s="4"/>
      <c r="G1634" s="4"/>
      <c r="H1634" s="4"/>
      <c r="I1634" s="4"/>
      <c r="J1634" s="4"/>
      <c r="K1634" s="4"/>
    </row>
    <row r="1635" spans="2:11">
      <c r="B1635" s="6"/>
      <c r="C1635" s="24"/>
      <c r="D1635" s="5"/>
      <c r="E1635" s="5"/>
      <c r="F1635" s="4"/>
      <c r="G1635" s="4"/>
      <c r="H1635" s="4"/>
      <c r="I1635" s="4"/>
      <c r="J1635" s="4"/>
      <c r="K1635" s="4"/>
    </row>
    <row r="1636" spans="2:11">
      <c r="B1636" s="6"/>
      <c r="C1636" s="24"/>
      <c r="D1636" s="5"/>
      <c r="E1636" s="5"/>
      <c r="F1636" s="4"/>
      <c r="G1636" s="4"/>
      <c r="H1636" s="4"/>
      <c r="I1636" s="4"/>
      <c r="J1636" s="4"/>
      <c r="K1636" s="4"/>
    </row>
    <row r="1637" spans="2:11">
      <c r="B1637" s="6"/>
      <c r="C1637" s="24"/>
      <c r="D1637" s="5"/>
      <c r="E1637" s="5"/>
      <c r="F1637" s="4"/>
      <c r="G1637" s="4"/>
      <c r="H1637" s="4"/>
      <c r="I1637" s="4"/>
      <c r="J1637" s="4"/>
      <c r="K1637" s="4"/>
    </row>
    <row r="1638" spans="2:11">
      <c r="B1638" s="6"/>
      <c r="C1638" s="24"/>
      <c r="D1638" s="5"/>
      <c r="E1638" s="5"/>
      <c r="F1638" s="4"/>
      <c r="G1638" s="4"/>
      <c r="H1638" s="4"/>
      <c r="I1638" s="4"/>
      <c r="J1638" s="4"/>
      <c r="K1638" s="4"/>
    </row>
    <row r="1639" spans="2:11">
      <c r="B1639" s="6"/>
      <c r="C1639" s="24"/>
      <c r="D1639" s="5"/>
      <c r="E1639" s="5"/>
      <c r="F1639" s="4"/>
      <c r="G1639" s="4"/>
      <c r="H1639" s="4"/>
      <c r="I1639" s="4"/>
      <c r="J1639" s="4"/>
      <c r="K1639" s="4"/>
    </row>
    <row r="1640" spans="2:11">
      <c r="B1640" s="6"/>
      <c r="C1640" s="24"/>
      <c r="D1640" s="5"/>
      <c r="E1640" s="5"/>
      <c r="F1640" s="4"/>
      <c r="G1640" s="4"/>
      <c r="H1640" s="4"/>
      <c r="I1640" s="4"/>
      <c r="J1640" s="4"/>
      <c r="K1640" s="4"/>
    </row>
    <row r="1641" spans="2:11">
      <c r="B1641" s="6"/>
      <c r="C1641" s="24"/>
      <c r="D1641" s="5"/>
      <c r="E1641" s="5"/>
      <c r="F1641" s="4"/>
      <c r="G1641" s="4"/>
      <c r="H1641" s="4"/>
      <c r="I1641" s="4"/>
      <c r="J1641" s="4"/>
      <c r="K1641" s="4"/>
    </row>
    <row r="1642" spans="2:11">
      <c r="B1642" s="6"/>
      <c r="C1642" s="24"/>
      <c r="D1642" s="5"/>
      <c r="E1642" s="5"/>
      <c r="F1642" s="4"/>
      <c r="G1642" s="4"/>
      <c r="H1642" s="4"/>
      <c r="I1642" s="4"/>
      <c r="J1642" s="4"/>
      <c r="K1642" s="4"/>
    </row>
    <row r="1643" spans="2:11">
      <c r="B1643" s="6"/>
      <c r="C1643" s="24"/>
      <c r="D1643" s="5"/>
      <c r="E1643" s="5"/>
      <c r="F1643" s="4"/>
      <c r="G1643" s="4"/>
      <c r="H1643" s="4"/>
      <c r="I1643" s="4"/>
      <c r="J1643" s="4"/>
      <c r="K1643" s="4"/>
    </row>
    <row r="1644" spans="2:11">
      <c r="B1644" s="6"/>
      <c r="C1644" s="24"/>
      <c r="D1644" s="5"/>
      <c r="E1644" s="5"/>
      <c r="F1644" s="4"/>
      <c r="G1644" s="4"/>
      <c r="H1644" s="4"/>
      <c r="I1644" s="4"/>
      <c r="J1644" s="4"/>
      <c r="K1644" s="4"/>
    </row>
    <row r="1645" spans="2:11">
      <c r="B1645" s="6"/>
      <c r="C1645" s="24"/>
      <c r="D1645" s="5"/>
      <c r="E1645" s="5"/>
      <c r="F1645" s="4"/>
      <c r="G1645" s="4"/>
      <c r="H1645" s="4"/>
      <c r="I1645" s="4"/>
      <c r="J1645" s="4"/>
      <c r="K1645" s="4"/>
    </row>
    <row r="1646" spans="2:11">
      <c r="B1646" s="6"/>
      <c r="C1646" s="24"/>
      <c r="D1646" s="5"/>
      <c r="E1646" s="5"/>
      <c r="F1646" s="4"/>
      <c r="G1646" s="4"/>
      <c r="H1646" s="4"/>
      <c r="I1646" s="4"/>
      <c r="J1646" s="4"/>
      <c r="K1646" s="4"/>
    </row>
    <row r="1647" spans="2:11">
      <c r="B1647" s="6"/>
      <c r="C1647" s="24"/>
      <c r="D1647" s="5"/>
      <c r="E1647" s="5"/>
      <c r="F1647" s="4"/>
      <c r="G1647" s="4"/>
      <c r="H1647" s="4"/>
      <c r="I1647" s="4"/>
      <c r="J1647" s="4"/>
      <c r="K1647" s="4"/>
    </row>
    <row r="1648" spans="2:11">
      <c r="B1648" s="6"/>
      <c r="C1648" s="24"/>
      <c r="D1648" s="5"/>
      <c r="E1648" s="5"/>
      <c r="F1648" s="4"/>
      <c r="G1648" s="4"/>
      <c r="H1648" s="4"/>
      <c r="I1648" s="4"/>
      <c r="J1648" s="4"/>
      <c r="K1648" s="4"/>
    </row>
    <row r="1649" spans="2:11">
      <c r="B1649" s="6"/>
      <c r="C1649" s="24"/>
      <c r="D1649" s="5"/>
      <c r="E1649" s="5"/>
      <c r="F1649" s="4"/>
      <c r="G1649" s="4"/>
      <c r="H1649" s="4"/>
      <c r="I1649" s="4"/>
      <c r="J1649" s="4"/>
      <c r="K1649" s="4"/>
    </row>
    <row r="1650" spans="2:11">
      <c r="B1650" s="6"/>
      <c r="C1650" s="24"/>
      <c r="D1650" s="5"/>
      <c r="E1650" s="5"/>
      <c r="F1650" s="4"/>
      <c r="G1650" s="4"/>
      <c r="H1650" s="4"/>
      <c r="I1650" s="4"/>
      <c r="J1650" s="4"/>
      <c r="K1650" s="4"/>
    </row>
    <row r="1651" spans="2:11">
      <c r="B1651" s="6"/>
      <c r="C1651" s="24"/>
      <c r="D1651" s="5"/>
      <c r="E1651" s="5"/>
      <c r="F1651" s="4"/>
      <c r="G1651" s="4"/>
      <c r="H1651" s="4"/>
      <c r="I1651" s="4"/>
      <c r="J1651" s="4"/>
      <c r="K1651" s="4"/>
    </row>
    <row r="1652" spans="2:11">
      <c r="B1652" s="6"/>
      <c r="C1652" s="24"/>
      <c r="D1652" s="5"/>
      <c r="E1652" s="5"/>
      <c r="F1652" s="4"/>
      <c r="G1652" s="4"/>
      <c r="H1652" s="4"/>
      <c r="I1652" s="4"/>
      <c r="J1652" s="4"/>
      <c r="K1652" s="4"/>
    </row>
    <row r="1653" spans="2:11">
      <c r="B1653" s="6"/>
      <c r="C1653" s="24"/>
      <c r="D1653" s="5"/>
      <c r="E1653" s="5"/>
      <c r="F1653" s="4"/>
      <c r="G1653" s="4"/>
      <c r="H1653" s="4"/>
      <c r="I1653" s="4"/>
      <c r="J1653" s="4"/>
      <c r="K1653" s="4"/>
    </row>
    <row r="1654" spans="2:11">
      <c r="B1654" s="6"/>
      <c r="C1654" s="24"/>
      <c r="D1654" s="5"/>
      <c r="E1654" s="5"/>
      <c r="F1654" s="4"/>
      <c r="G1654" s="4"/>
      <c r="H1654" s="4"/>
      <c r="I1654" s="4"/>
      <c r="J1654" s="4"/>
      <c r="K1654" s="4"/>
    </row>
    <row r="1655" spans="2:11">
      <c r="B1655" s="6"/>
      <c r="C1655" s="24"/>
      <c r="D1655" s="5"/>
      <c r="E1655" s="5"/>
      <c r="F1655" s="4"/>
      <c r="G1655" s="4"/>
      <c r="H1655" s="4"/>
      <c r="I1655" s="4"/>
      <c r="J1655" s="4"/>
      <c r="K1655" s="4"/>
    </row>
    <row r="1656" spans="2:11">
      <c r="B1656" s="6"/>
      <c r="C1656" s="24"/>
      <c r="D1656" s="5"/>
      <c r="E1656" s="5"/>
      <c r="F1656" s="4"/>
      <c r="G1656" s="4"/>
      <c r="H1656" s="4"/>
      <c r="I1656" s="4"/>
      <c r="J1656" s="4"/>
      <c r="K1656" s="4"/>
    </row>
    <row r="1657" spans="2:11">
      <c r="B1657" s="6"/>
      <c r="C1657" s="24"/>
      <c r="D1657" s="5"/>
      <c r="E1657" s="5"/>
      <c r="F1657" s="4"/>
      <c r="G1657" s="4"/>
      <c r="H1657" s="4"/>
      <c r="I1657" s="4"/>
      <c r="J1657" s="4"/>
      <c r="K1657" s="4"/>
    </row>
    <row r="1658" spans="2:11">
      <c r="B1658" s="6"/>
      <c r="C1658" s="24"/>
      <c r="D1658" s="5"/>
      <c r="E1658" s="5"/>
      <c r="F1658" s="4"/>
      <c r="G1658" s="4"/>
      <c r="H1658" s="4"/>
      <c r="I1658" s="4"/>
      <c r="J1658" s="4"/>
      <c r="K1658" s="4"/>
    </row>
    <row r="1659" spans="2:11">
      <c r="B1659" s="6"/>
      <c r="C1659" s="24"/>
      <c r="D1659" s="5"/>
      <c r="E1659" s="5"/>
      <c r="F1659" s="4"/>
      <c r="G1659" s="4"/>
      <c r="H1659" s="4"/>
      <c r="I1659" s="4"/>
      <c r="J1659" s="4"/>
      <c r="K1659" s="4"/>
    </row>
    <row r="1660" spans="2:11">
      <c r="B1660" s="6"/>
      <c r="C1660" s="24"/>
      <c r="D1660" s="5"/>
      <c r="E1660" s="5"/>
      <c r="F1660" s="4"/>
      <c r="G1660" s="4"/>
      <c r="H1660" s="4"/>
      <c r="I1660" s="4"/>
      <c r="J1660" s="4"/>
      <c r="K1660" s="4"/>
    </row>
    <row r="1661" spans="2:11">
      <c r="B1661" s="6"/>
      <c r="C1661" s="24"/>
      <c r="D1661" s="5"/>
      <c r="E1661" s="5"/>
      <c r="F1661" s="4"/>
      <c r="G1661" s="4"/>
      <c r="H1661" s="4"/>
      <c r="I1661" s="4"/>
      <c r="J1661" s="4"/>
      <c r="K1661" s="4"/>
    </row>
    <row r="1662" spans="2:11">
      <c r="B1662" s="6"/>
      <c r="C1662" s="24"/>
      <c r="D1662" s="5"/>
      <c r="E1662" s="5"/>
      <c r="F1662" s="4"/>
      <c r="G1662" s="4"/>
      <c r="H1662" s="4"/>
      <c r="I1662" s="4"/>
      <c r="J1662" s="4"/>
      <c r="K1662" s="4"/>
    </row>
    <row r="1663" spans="2:11">
      <c r="B1663" s="6"/>
      <c r="C1663" s="24"/>
      <c r="D1663" s="5"/>
      <c r="E1663" s="5"/>
      <c r="F1663" s="4"/>
      <c r="G1663" s="4"/>
      <c r="H1663" s="4"/>
      <c r="I1663" s="4"/>
      <c r="J1663" s="4"/>
      <c r="K1663" s="4"/>
    </row>
    <row r="1664" spans="2:11">
      <c r="B1664" s="6"/>
      <c r="C1664" s="24"/>
      <c r="D1664" s="5"/>
      <c r="E1664" s="5"/>
      <c r="F1664" s="4"/>
      <c r="G1664" s="4"/>
      <c r="H1664" s="4"/>
      <c r="I1664" s="4"/>
      <c r="J1664" s="4"/>
      <c r="K1664" s="4"/>
    </row>
    <row r="1665" spans="2:11">
      <c r="B1665" s="6"/>
      <c r="C1665" s="24"/>
      <c r="D1665" s="5"/>
      <c r="E1665" s="5"/>
      <c r="F1665" s="4"/>
      <c r="G1665" s="4"/>
      <c r="H1665" s="4"/>
      <c r="I1665" s="4"/>
      <c r="J1665" s="4"/>
      <c r="K1665" s="4"/>
    </row>
    <row r="1666" spans="2:11">
      <c r="B1666" s="6"/>
      <c r="C1666" s="24"/>
      <c r="D1666" s="5"/>
      <c r="E1666" s="5"/>
      <c r="F1666" s="4"/>
      <c r="G1666" s="4"/>
      <c r="H1666" s="4"/>
      <c r="I1666" s="4"/>
      <c r="J1666" s="4"/>
      <c r="K1666" s="4"/>
    </row>
    <row r="1667" spans="2:11">
      <c r="B1667" s="6"/>
      <c r="C1667" s="24"/>
      <c r="D1667" s="5"/>
      <c r="E1667" s="5"/>
      <c r="F1667" s="4"/>
      <c r="G1667" s="4"/>
      <c r="H1667" s="4"/>
      <c r="I1667" s="4"/>
      <c r="J1667" s="4"/>
      <c r="K1667" s="4"/>
    </row>
    <row r="1668" spans="2:11">
      <c r="B1668" s="6"/>
      <c r="C1668" s="24"/>
      <c r="D1668" s="5"/>
      <c r="E1668" s="5"/>
      <c r="F1668" s="4"/>
      <c r="G1668" s="4"/>
      <c r="H1668" s="4"/>
      <c r="I1668" s="4"/>
      <c r="J1668" s="4"/>
      <c r="K1668" s="4"/>
    </row>
    <row r="1669" spans="2:11">
      <c r="B1669" s="6"/>
      <c r="C1669" s="24"/>
      <c r="D1669" s="5"/>
      <c r="E1669" s="5"/>
      <c r="F1669" s="4"/>
      <c r="G1669" s="4"/>
      <c r="H1669" s="4"/>
      <c r="I1669" s="4"/>
      <c r="J1669" s="4"/>
      <c r="K1669" s="4"/>
    </row>
    <row r="1670" spans="2:11">
      <c r="B1670" s="6"/>
      <c r="C1670" s="24"/>
      <c r="D1670" s="5"/>
      <c r="E1670" s="5"/>
      <c r="F1670" s="4"/>
      <c r="G1670" s="4"/>
      <c r="H1670" s="4"/>
      <c r="I1670" s="4"/>
      <c r="J1670" s="4"/>
      <c r="K1670" s="4"/>
    </row>
    <row r="1671" spans="2:11">
      <c r="B1671" s="6"/>
      <c r="C1671" s="24"/>
      <c r="D1671" s="5"/>
      <c r="E1671" s="5"/>
      <c r="F1671" s="4"/>
      <c r="G1671" s="4"/>
      <c r="H1671" s="4"/>
      <c r="I1671" s="4"/>
      <c r="J1671" s="4"/>
      <c r="K1671" s="4"/>
    </row>
    <row r="1672" spans="2:11">
      <c r="B1672" s="6"/>
      <c r="C1672" s="24"/>
      <c r="D1672" s="5"/>
      <c r="E1672" s="5"/>
      <c r="F1672" s="4"/>
      <c r="G1672" s="4"/>
      <c r="H1672" s="4"/>
      <c r="I1672" s="4"/>
      <c r="J1672" s="4"/>
      <c r="K1672" s="4"/>
    </row>
    <row r="1673" spans="2:11">
      <c r="B1673" s="6"/>
      <c r="C1673" s="24"/>
      <c r="D1673" s="5"/>
      <c r="E1673" s="5"/>
      <c r="F1673" s="4"/>
      <c r="G1673" s="4"/>
      <c r="H1673" s="4"/>
      <c r="I1673" s="4"/>
      <c r="J1673" s="4"/>
      <c r="K1673" s="4"/>
    </row>
    <row r="1674" spans="2:11">
      <c r="B1674" s="6"/>
      <c r="C1674" s="24"/>
      <c r="D1674" s="5"/>
      <c r="E1674" s="5"/>
      <c r="F1674" s="4"/>
      <c r="G1674" s="4"/>
      <c r="H1674" s="4"/>
      <c r="I1674" s="4"/>
      <c r="J1674" s="4"/>
      <c r="K1674" s="4"/>
    </row>
    <row r="1675" spans="2:11">
      <c r="B1675" s="6"/>
      <c r="C1675" s="24"/>
      <c r="D1675" s="5"/>
      <c r="E1675" s="5"/>
      <c r="F1675" s="4"/>
      <c r="G1675" s="4"/>
      <c r="H1675" s="4"/>
      <c r="I1675" s="4"/>
      <c r="J1675" s="4"/>
      <c r="K1675" s="4"/>
    </row>
    <row r="1676" spans="2:11">
      <c r="B1676" s="6"/>
      <c r="C1676" s="24"/>
      <c r="D1676" s="5"/>
      <c r="E1676" s="5"/>
      <c r="F1676" s="4"/>
      <c r="G1676" s="4"/>
      <c r="H1676" s="4"/>
      <c r="I1676" s="4"/>
      <c r="J1676" s="4"/>
      <c r="K1676" s="4"/>
    </row>
    <row r="1677" spans="2:11">
      <c r="B1677" s="6"/>
      <c r="C1677" s="24"/>
      <c r="D1677" s="5"/>
      <c r="E1677" s="5"/>
      <c r="F1677" s="4"/>
      <c r="G1677" s="4"/>
      <c r="H1677" s="4"/>
      <c r="I1677" s="4"/>
      <c r="J1677" s="4"/>
      <c r="K1677" s="4"/>
    </row>
    <row r="1678" spans="2:11">
      <c r="B1678" s="6"/>
      <c r="C1678" s="24"/>
      <c r="D1678" s="5"/>
      <c r="E1678" s="5"/>
      <c r="F1678" s="4"/>
      <c r="G1678" s="4"/>
      <c r="H1678" s="4"/>
      <c r="I1678" s="4"/>
      <c r="J1678" s="4"/>
      <c r="K1678" s="4"/>
    </row>
    <row r="1679" spans="2:11">
      <c r="B1679" s="6"/>
      <c r="C1679" s="24"/>
      <c r="D1679" s="5"/>
      <c r="E1679" s="5"/>
      <c r="F1679" s="4"/>
      <c r="G1679" s="4"/>
      <c r="H1679" s="4"/>
      <c r="I1679" s="4"/>
      <c r="J1679" s="4"/>
      <c r="K1679" s="4"/>
    </row>
    <row r="1680" spans="2:11">
      <c r="B1680" s="6"/>
      <c r="C1680" s="24"/>
      <c r="D1680" s="5"/>
      <c r="E1680" s="5"/>
      <c r="F1680" s="4"/>
      <c r="G1680" s="4"/>
      <c r="H1680" s="4"/>
      <c r="I1680" s="4"/>
      <c r="J1680" s="4"/>
      <c r="K1680" s="4"/>
    </row>
    <row r="1681" spans="2:11">
      <c r="B1681" s="6"/>
      <c r="C1681" s="24"/>
      <c r="D1681" s="5"/>
      <c r="E1681" s="5"/>
      <c r="F1681" s="4"/>
      <c r="G1681" s="4"/>
      <c r="H1681" s="4"/>
      <c r="I1681" s="4"/>
      <c r="J1681" s="4"/>
      <c r="K1681" s="4"/>
    </row>
    <row r="1682" spans="2:11">
      <c r="B1682" s="6"/>
      <c r="C1682" s="24"/>
      <c r="D1682" s="5"/>
      <c r="E1682" s="5"/>
      <c r="F1682" s="4"/>
      <c r="G1682" s="4"/>
      <c r="H1682" s="4"/>
      <c r="I1682" s="4"/>
      <c r="J1682" s="4"/>
      <c r="K1682" s="4"/>
    </row>
    <row r="1683" spans="2:11">
      <c r="B1683" s="6"/>
      <c r="C1683" s="24"/>
      <c r="D1683" s="5"/>
      <c r="E1683" s="5"/>
      <c r="F1683" s="4"/>
      <c r="G1683" s="4"/>
      <c r="H1683" s="4"/>
      <c r="I1683" s="4"/>
      <c r="J1683" s="4"/>
      <c r="K1683" s="4"/>
    </row>
    <row r="1684" spans="2:11">
      <c r="B1684" s="6"/>
      <c r="C1684" s="24"/>
      <c r="D1684" s="5"/>
      <c r="E1684" s="5"/>
      <c r="F1684" s="4"/>
      <c r="G1684" s="4"/>
      <c r="H1684" s="4"/>
      <c r="I1684" s="4"/>
      <c r="J1684" s="4"/>
      <c r="K1684" s="4"/>
    </row>
    <row r="1685" spans="2:11">
      <c r="B1685" s="6"/>
      <c r="C1685" s="24"/>
      <c r="D1685" s="5"/>
      <c r="E1685" s="5"/>
      <c r="F1685" s="4"/>
      <c r="G1685" s="4"/>
      <c r="H1685" s="4"/>
      <c r="I1685" s="4"/>
      <c r="J1685" s="4"/>
      <c r="K1685" s="4"/>
    </row>
    <row r="1686" spans="2:11">
      <c r="B1686" s="6"/>
      <c r="C1686" s="24"/>
      <c r="D1686" s="5"/>
      <c r="E1686" s="5"/>
      <c r="F1686" s="4"/>
      <c r="G1686" s="4"/>
      <c r="H1686" s="4"/>
      <c r="I1686" s="4"/>
      <c r="J1686" s="4"/>
      <c r="K1686" s="4"/>
    </row>
    <row r="1687" spans="2:11">
      <c r="B1687" s="6"/>
      <c r="C1687" s="24"/>
      <c r="D1687" s="5"/>
      <c r="E1687" s="5"/>
      <c r="F1687" s="4"/>
      <c r="G1687" s="4"/>
      <c r="H1687" s="4"/>
      <c r="I1687" s="4"/>
      <c r="J1687" s="4"/>
      <c r="K1687" s="4"/>
    </row>
    <row r="1688" spans="2:11">
      <c r="B1688" s="6"/>
      <c r="C1688" s="24"/>
      <c r="D1688" s="5"/>
      <c r="E1688" s="5"/>
      <c r="F1688" s="4"/>
      <c r="G1688" s="4"/>
      <c r="H1688" s="4"/>
      <c r="I1688" s="4"/>
      <c r="J1688" s="4"/>
      <c r="K1688" s="4"/>
    </row>
    <row r="1689" spans="2:11">
      <c r="B1689" s="6"/>
      <c r="C1689" s="24"/>
      <c r="D1689" s="5"/>
      <c r="E1689" s="5"/>
      <c r="F1689" s="4"/>
      <c r="G1689" s="4"/>
      <c r="H1689" s="4"/>
      <c r="I1689" s="4"/>
      <c r="J1689" s="4"/>
      <c r="K1689" s="4"/>
    </row>
    <row r="1690" spans="2:11">
      <c r="B1690" s="6"/>
      <c r="C1690" s="24"/>
      <c r="D1690" s="5"/>
      <c r="E1690" s="5"/>
      <c r="F1690" s="4"/>
      <c r="G1690" s="4"/>
      <c r="H1690" s="4"/>
      <c r="I1690" s="4"/>
      <c r="J1690" s="4"/>
      <c r="K1690" s="4"/>
    </row>
    <row r="1691" spans="2:11">
      <c r="B1691" s="6"/>
      <c r="C1691" s="24"/>
      <c r="D1691" s="5"/>
      <c r="E1691" s="5"/>
      <c r="F1691" s="4"/>
      <c r="G1691" s="4"/>
      <c r="H1691" s="4"/>
      <c r="I1691" s="4"/>
      <c r="J1691" s="4"/>
      <c r="K1691" s="4"/>
    </row>
    <row r="1692" spans="2:11">
      <c r="B1692" s="6"/>
      <c r="C1692" s="24"/>
      <c r="D1692" s="5"/>
      <c r="E1692" s="5"/>
      <c r="F1692" s="4"/>
      <c r="G1692" s="4"/>
      <c r="H1692" s="4"/>
      <c r="I1692" s="4"/>
      <c r="J1692" s="4"/>
      <c r="K1692" s="4"/>
    </row>
    <row r="1693" spans="2:11">
      <c r="B1693" s="6"/>
      <c r="C1693" s="24"/>
      <c r="D1693" s="5"/>
      <c r="E1693" s="5"/>
      <c r="F1693" s="4"/>
      <c r="G1693" s="4"/>
      <c r="H1693" s="4"/>
      <c r="I1693" s="4"/>
      <c r="J1693" s="4"/>
      <c r="K1693" s="4"/>
    </row>
    <row r="1694" spans="2:11">
      <c r="B1694" s="6"/>
      <c r="C1694" s="24"/>
      <c r="D1694" s="5"/>
      <c r="E1694" s="5"/>
      <c r="F1694" s="4"/>
      <c r="G1694" s="4"/>
      <c r="H1694" s="4"/>
      <c r="I1694" s="4"/>
      <c r="J1694" s="4"/>
      <c r="K1694" s="4"/>
    </row>
    <row r="1695" spans="2:11">
      <c r="B1695" s="6"/>
      <c r="C1695" s="24"/>
      <c r="D1695" s="5"/>
      <c r="E1695" s="5"/>
      <c r="F1695" s="4"/>
      <c r="G1695" s="4"/>
      <c r="H1695" s="4"/>
      <c r="I1695" s="4"/>
      <c r="J1695" s="4"/>
      <c r="K1695" s="4"/>
    </row>
    <row r="1696" spans="2:11">
      <c r="B1696" s="6"/>
      <c r="C1696" s="24"/>
      <c r="D1696" s="5"/>
      <c r="E1696" s="5"/>
      <c r="F1696" s="4"/>
      <c r="G1696" s="4"/>
      <c r="H1696" s="4"/>
      <c r="I1696" s="4"/>
      <c r="J1696" s="4"/>
      <c r="K1696" s="4"/>
    </row>
    <row r="1697" spans="2:11">
      <c r="B1697" s="6"/>
      <c r="C1697" s="24"/>
      <c r="D1697" s="5"/>
      <c r="E1697" s="5"/>
      <c r="F1697" s="4"/>
      <c r="G1697" s="4"/>
      <c r="H1697" s="4"/>
      <c r="I1697" s="4"/>
      <c r="J1697" s="4"/>
      <c r="K1697" s="4"/>
    </row>
    <row r="1698" spans="2:11">
      <c r="B1698" s="6"/>
      <c r="C1698" s="24"/>
      <c r="D1698" s="5"/>
      <c r="E1698" s="5"/>
      <c r="F1698" s="4"/>
      <c r="G1698" s="4"/>
      <c r="H1698" s="4"/>
      <c r="I1698" s="4"/>
      <c r="J1698" s="4"/>
      <c r="K1698" s="4"/>
    </row>
    <row r="1699" spans="2:11">
      <c r="B1699" s="6"/>
      <c r="C1699" s="24"/>
      <c r="D1699" s="5"/>
      <c r="E1699" s="5"/>
      <c r="F1699" s="4"/>
      <c r="G1699" s="4"/>
      <c r="H1699" s="4"/>
      <c r="I1699" s="4"/>
      <c r="J1699" s="4"/>
      <c r="K1699" s="4"/>
    </row>
    <row r="1700" spans="2:11">
      <c r="B1700" s="6"/>
      <c r="C1700" s="24"/>
      <c r="D1700" s="5"/>
      <c r="E1700" s="5"/>
      <c r="F1700" s="4"/>
      <c r="G1700" s="4"/>
      <c r="H1700" s="4"/>
      <c r="I1700" s="4"/>
      <c r="J1700" s="4"/>
      <c r="K1700" s="4"/>
    </row>
    <row r="1701" spans="2:11">
      <c r="B1701" s="6"/>
      <c r="C1701" s="24"/>
      <c r="D1701" s="5"/>
      <c r="E1701" s="5"/>
      <c r="F1701" s="4"/>
      <c r="G1701" s="4"/>
      <c r="H1701" s="4"/>
      <c r="I1701" s="4"/>
      <c r="J1701" s="4"/>
      <c r="K1701" s="4"/>
    </row>
    <row r="1702" spans="2:11">
      <c r="B1702" s="6"/>
      <c r="C1702" s="24"/>
      <c r="D1702" s="5"/>
      <c r="E1702" s="5"/>
      <c r="F1702" s="4"/>
      <c r="G1702" s="4"/>
      <c r="H1702" s="4"/>
      <c r="I1702" s="4"/>
      <c r="J1702" s="4"/>
      <c r="K1702" s="4"/>
    </row>
    <row r="1703" spans="2:11">
      <c r="B1703" s="6"/>
      <c r="C1703" s="24"/>
      <c r="D1703" s="5"/>
      <c r="E1703" s="5"/>
      <c r="F1703" s="4"/>
      <c r="G1703" s="4"/>
      <c r="H1703" s="4"/>
      <c r="I1703" s="4"/>
      <c r="J1703" s="4"/>
      <c r="K1703" s="4"/>
    </row>
    <row r="1704" spans="2:11">
      <c r="B1704" s="6"/>
      <c r="C1704" s="24"/>
      <c r="D1704" s="5"/>
      <c r="E1704" s="5"/>
      <c r="F1704" s="4"/>
      <c r="G1704" s="4"/>
      <c r="H1704" s="4"/>
      <c r="I1704" s="4"/>
      <c r="J1704" s="4"/>
      <c r="K1704" s="4"/>
    </row>
    <row r="1705" spans="2:11">
      <c r="B1705" s="6"/>
      <c r="C1705" s="24"/>
      <c r="D1705" s="5"/>
      <c r="E1705" s="5"/>
      <c r="F1705" s="4"/>
      <c r="G1705" s="4"/>
      <c r="H1705" s="4"/>
      <c r="I1705" s="4"/>
      <c r="J1705" s="4"/>
      <c r="K1705" s="4"/>
    </row>
    <row r="1706" spans="2:11">
      <c r="B1706" s="6"/>
      <c r="C1706" s="24"/>
      <c r="D1706" s="5"/>
      <c r="E1706" s="5"/>
      <c r="F1706" s="4"/>
      <c r="G1706" s="4"/>
      <c r="H1706" s="4"/>
      <c r="I1706" s="4"/>
      <c r="J1706" s="4"/>
      <c r="K1706" s="4"/>
    </row>
    <row r="1707" spans="2:11">
      <c r="B1707" s="6"/>
      <c r="C1707" s="24"/>
      <c r="D1707" s="5"/>
      <c r="E1707" s="5"/>
      <c r="F1707" s="4"/>
      <c r="G1707" s="4"/>
      <c r="H1707" s="4"/>
      <c r="I1707" s="4"/>
      <c r="J1707" s="4"/>
      <c r="K1707" s="4"/>
    </row>
    <row r="1708" spans="2:11">
      <c r="B1708" s="6"/>
      <c r="C1708" s="24"/>
      <c r="D1708" s="5"/>
      <c r="E1708" s="5"/>
      <c r="F1708" s="4"/>
      <c r="G1708" s="4"/>
      <c r="H1708" s="4"/>
      <c r="I1708" s="4"/>
      <c r="J1708" s="4"/>
      <c r="K1708" s="4"/>
    </row>
    <row r="1709" spans="2:11">
      <c r="B1709" s="6"/>
      <c r="C1709" s="24"/>
      <c r="D1709" s="5"/>
      <c r="E1709" s="5"/>
      <c r="F1709" s="4"/>
      <c r="G1709" s="4"/>
      <c r="H1709" s="4"/>
      <c r="I1709" s="4"/>
      <c r="J1709" s="4"/>
      <c r="K1709" s="4"/>
    </row>
    <row r="1710" spans="2:11">
      <c r="B1710" s="6"/>
      <c r="C1710" s="24"/>
      <c r="D1710" s="5"/>
      <c r="E1710" s="5"/>
      <c r="F1710" s="4"/>
      <c r="G1710" s="4"/>
      <c r="H1710" s="4"/>
      <c r="I1710" s="4"/>
      <c r="J1710" s="4"/>
      <c r="K1710" s="4"/>
    </row>
    <row r="1711" spans="2:11">
      <c r="B1711" s="6"/>
      <c r="C1711" s="24"/>
      <c r="D1711" s="5"/>
      <c r="E1711" s="5"/>
      <c r="F1711" s="4"/>
      <c r="G1711" s="4"/>
      <c r="H1711" s="4"/>
      <c r="I1711" s="4"/>
      <c r="J1711" s="4"/>
      <c r="K1711" s="4"/>
    </row>
    <row r="1712" spans="2:11">
      <c r="B1712" s="6"/>
      <c r="C1712" s="24"/>
      <c r="D1712" s="5"/>
      <c r="E1712" s="5"/>
      <c r="F1712" s="4"/>
      <c r="G1712" s="4"/>
      <c r="H1712" s="4"/>
      <c r="I1712" s="4"/>
      <c r="J1712" s="4"/>
      <c r="K1712" s="4"/>
    </row>
    <row r="1713" spans="2:11">
      <c r="B1713" s="6"/>
      <c r="C1713" s="24"/>
      <c r="D1713" s="5"/>
      <c r="E1713" s="5"/>
      <c r="F1713" s="4"/>
      <c r="G1713" s="4"/>
      <c r="H1713" s="4"/>
      <c r="I1713" s="4"/>
      <c r="J1713" s="4"/>
      <c r="K1713" s="4"/>
    </row>
    <row r="1714" spans="2:11">
      <c r="B1714" s="6"/>
      <c r="C1714" s="24"/>
      <c r="D1714" s="5"/>
      <c r="E1714" s="5"/>
      <c r="F1714" s="4"/>
      <c r="G1714" s="4"/>
      <c r="H1714" s="4"/>
      <c r="I1714" s="4"/>
      <c r="J1714" s="4"/>
      <c r="K1714" s="4"/>
    </row>
    <row r="1715" spans="2:11">
      <c r="B1715" s="6"/>
      <c r="C1715" s="24"/>
      <c r="D1715" s="5"/>
      <c r="E1715" s="5"/>
      <c r="F1715" s="4"/>
      <c r="G1715" s="4"/>
      <c r="H1715" s="4"/>
      <c r="I1715" s="4"/>
      <c r="J1715" s="4"/>
      <c r="K1715" s="4"/>
    </row>
    <row r="1716" spans="2:11">
      <c r="B1716" s="6"/>
      <c r="C1716" s="24"/>
      <c r="D1716" s="5"/>
      <c r="E1716" s="5"/>
      <c r="F1716" s="4"/>
      <c r="G1716" s="4"/>
      <c r="H1716" s="4"/>
      <c r="I1716" s="4"/>
      <c r="J1716" s="4"/>
      <c r="K1716" s="4"/>
    </row>
    <row r="1717" spans="2:11">
      <c r="B1717" s="6"/>
      <c r="C1717" s="24"/>
      <c r="D1717" s="5"/>
      <c r="E1717" s="5"/>
      <c r="F1717" s="4"/>
      <c r="G1717" s="4"/>
      <c r="H1717" s="4"/>
      <c r="I1717" s="4"/>
      <c r="J1717" s="4"/>
      <c r="K1717" s="4"/>
    </row>
    <row r="1718" spans="2:11">
      <c r="B1718" s="6"/>
      <c r="C1718" s="24"/>
      <c r="D1718" s="5"/>
      <c r="E1718" s="5"/>
      <c r="F1718" s="4"/>
      <c r="G1718" s="4"/>
      <c r="H1718" s="4"/>
      <c r="I1718" s="4"/>
      <c r="J1718" s="4"/>
      <c r="K1718" s="4"/>
    </row>
    <row r="1719" spans="2:11">
      <c r="B1719" s="6"/>
      <c r="C1719" s="24"/>
      <c r="D1719" s="5"/>
      <c r="E1719" s="5"/>
      <c r="F1719" s="4"/>
      <c r="G1719" s="4"/>
      <c r="H1719" s="4"/>
      <c r="I1719" s="4"/>
      <c r="J1719" s="4"/>
      <c r="K1719" s="4"/>
    </row>
    <row r="1720" spans="2:11">
      <c r="B1720" s="6"/>
      <c r="C1720" s="24"/>
      <c r="D1720" s="5"/>
      <c r="E1720" s="5"/>
      <c r="F1720" s="4"/>
      <c r="G1720" s="4"/>
      <c r="H1720" s="4"/>
      <c r="I1720" s="4"/>
      <c r="J1720" s="4"/>
      <c r="K1720" s="4"/>
    </row>
    <row r="1721" spans="2:11">
      <c r="B1721" s="6"/>
      <c r="C1721" s="24"/>
      <c r="D1721" s="5"/>
      <c r="E1721" s="5"/>
      <c r="F1721" s="4"/>
      <c r="G1721" s="4"/>
      <c r="H1721" s="4"/>
      <c r="I1721" s="4"/>
      <c r="J1721" s="4"/>
      <c r="K1721" s="4"/>
    </row>
    <row r="1722" spans="2:11">
      <c r="B1722" s="6"/>
      <c r="C1722" s="24"/>
      <c r="D1722" s="5"/>
      <c r="E1722" s="5"/>
      <c r="F1722" s="4"/>
      <c r="G1722" s="4"/>
      <c r="H1722" s="4"/>
      <c r="I1722" s="4"/>
      <c r="J1722" s="4"/>
      <c r="K1722" s="4"/>
    </row>
    <row r="1723" spans="2:11">
      <c r="B1723" s="6"/>
      <c r="C1723" s="24"/>
      <c r="D1723" s="5"/>
      <c r="E1723" s="5"/>
      <c r="F1723" s="4"/>
      <c r="G1723" s="4"/>
      <c r="H1723" s="4"/>
      <c r="I1723" s="4"/>
      <c r="J1723" s="4"/>
      <c r="K1723" s="4"/>
    </row>
    <row r="1724" spans="2:11">
      <c r="B1724" s="6"/>
      <c r="C1724" s="24"/>
      <c r="D1724" s="5"/>
      <c r="E1724" s="5"/>
      <c r="F1724" s="4"/>
      <c r="G1724" s="4"/>
      <c r="H1724" s="4"/>
      <c r="I1724" s="4"/>
      <c r="J1724" s="4"/>
      <c r="K1724" s="4"/>
    </row>
    <row r="1725" spans="2:11">
      <c r="B1725" s="6"/>
      <c r="C1725" s="24"/>
      <c r="D1725" s="5"/>
      <c r="E1725" s="5"/>
      <c r="F1725" s="4"/>
      <c r="G1725" s="4"/>
      <c r="H1725" s="4"/>
      <c r="I1725" s="4"/>
      <c r="J1725" s="4"/>
      <c r="K1725" s="4"/>
    </row>
    <row r="1726" spans="2:11">
      <c r="B1726" s="6"/>
      <c r="C1726" s="24"/>
      <c r="D1726" s="5"/>
      <c r="E1726" s="5"/>
      <c r="F1726" s="4"/>
      <c r="G1726" s="4"/>
      <c r="H1726" s="4"/>
      <c r="I1726" s="4"/>
      <c r="J1726" s="4"/>
      <c r="K1726" s="4"/>
    </row>
    <row r="1727" spans="2:11">
      <c r="B1727" s="6"/>
      <c r="C1727" s="24"/>
      <c r="D1727" s="5"/>
      <c r="E1727" s="5"/>
      <c r="F1727" s="4"/>
      <c r="G1727" s="4"/>
      <c r="H1727" s="4"/>
      <c r="I1727" s="4"/>
      <c r="J1727" s="4"/>
      <c r="K1727" s="4"/>
    </row>
    <row r="1728" spans="2:11">
      <c r="B1728" s="6"/>
      <c r="C1728" s="24"/>
      <c r="D1728" s="5"/>
      <c r="E1728" s="5"/>
      <c r="F1728" s="4"/>
      <c r="G1728" s="4"/>
      <c r="H1728" s="4"/>
      <c r="I1728" s="4"/>
      <c r="J1728" s="4"/>
      <c r="K1728" s="4"/>
    </row>
    <row r="1729" spans="2:11">
      <c r="B1729" s="6"/>
      <c r="C1729" s="24"/>
      <c r="D1729" s="5"/>
      <c r="E1729" s="5"/>
      <c r="F1729" s="4"/>
      <c r="G1729" s="4"/>
      <c r="H1729" s="4"/>
      <c r="I1729" s="4"/>
      <c r="J1729" s="4"/>
      <c r="K1729" s="4"/>
    </row>
    <row r="1730" spans="2:11">
      <c r="B1730" s="6"/>
      <c r="C1730" s="24"/>
      <c r="D1730" s="5"/>
      <c r="E1730" s="5"/>
      <c r="F1730" s="4"/>
      <c r="G1730" s="4"/>
      <c r="H1730" s="4"/>
      <c r="I1730" s="4"/>
      <c r="J1730" s="4"/>
      <c r="K1730" s="4"/>
    </row>
    <row r="1731" spans="2:11">
      <c r="B1731" s="6"/>
      <c r="C1731" s="24"/>
      <c r="D1731" s="5"/>
      <c r="E1731" s="5"/>
      <c r="F1731" s="4"/>
      <c r="G1731" s="4"/>
      <c r="H1731" s="4"/>
      <c r="I1731" s="4"/>
      <c r="J1731" s="4"/>
      <c r="K1731" s="4"/>
    </row>
    <row r="1732" spans="2:11">
      <c r="B1732" s="6"/>
      <c r="C1732" s="24"/>
      <c r="D1732" s="5"/>
      <c r="E1732" s="5"/>
      <c r="F1732" s="4"/>
      <c r="G1732" s="4"/>
      <c r="H1732" s="4"/>
      <c r="I1732" s="4"/>
      <c r="J1732" s="4"/>
      <c r="K1732" s="4"/>
    </row>
    <row r="1733" spans="2:11">
      <c r="B1733" s="6"/>
      <c r="C1733" s="24"/>
      <c r="D1733" s="5"/>
      <c r="E1733" s="5"/>
      <c r="F1733" s="4"/>
      <c r="G1733" s="4"/>
      <c r="H1733" s="4"/>
      <c r="I1733" s="4"/>
      <c r="J1733" s="4"/>
      <c r="K1733" s="4"/>
    </row>
    <row r="1734" spans="2:11">
      <c r="B1734" s="6"/>
      <c r="C1734" s="24"/>
      <c r="D1734" s="5"/>
      <c r="E1734" s="5"/>
      <c r="F1734" s="4"/>
      <c r="G1734" s="4"/>
      <c r="H1734" s="4"/>
      <c r="I1734" s="4"/>
      <c r="J1734" s="4"/>
      <c r="K1734" s="4"/>
    </row>
    <row r="1735" spans="2:11">
      <c r="B1735" s="6"/>
      <c r="C1735" s="24"/>
      <c r="D1735" s="5"/>
      <c r="E1735" s="5"/>
      <c r="F1735" s="4"/>
      <c r="G1735" s="4"/>
      <c r="H1735" s="4"/>
      <c r="I1735" s="4"/>
      <c r="J1735" s="4"/>
      <c r="K1735" s="4"/>
    </row>
    <row r="1736" spans="2:11">
      <c r="B1736" s="6"/>
      <c r="C1736" s="24"/>
      <c r="D1736" s="5"/>
      <c r="E1736" s="5"/>
      <c r="F1736" s="4"/>
      <c r="G1736" s="4"/>
      <c r="H1736" s="4"/>
      <c r="I1736" s="4"/>
      <c r="J1736" s="4"/>
      <c r="K1736" s="4"/>
    </row>
    <row r="1737" spans="2:11">
      <c r="B1737" s="6"/>
      <c r="C1737" s="24"/>
      <c r="D1737" s="5"/>
      <c r="E1737" s="5"/>
      <c r="F1737" s="4"/>
      <c r="G1737" s="4"/>
      <c r="H1737" s="4"/>
      <c r="I1737" s="4"/>
      <c r="J1737" s="4"/>
      <c r="K1737" s="4"/>
    </row>
    <row r="1738" spans="2:11">
      <c r="B1738" s="6"/>
      <c r="C1738" s="24"/>
      <c r="D1738" s="5"/>
      <c r="E1738" s="5"/>
      <c r="F1738" s="4"/>
      <c r="G1738" s="4"/>
      <c r="H1738" s="4"/>
      <c r="I1738" s="4"/>
      <c r="J1738" s="4"/>
      <c r="K1738" s="4"/>
    </row>
    <row r="1739" spans="2:11">
      <c r="B1739" s="6"/>
      <c r="C1739" s="24"/>
      <c r="D1739" s="5"/>
      <c r="E1739" s="5"/>
      <c r="F1739" s="4"/>
      <c r="G1739" s="4"/>
      <c r="H1739" s="4"/>
      <c r="I1739" s="4"/>
      <c r="J1739" s="4"/>
      <c r="K1739" s="4"/>
    </row>
    <row r="1740" spans="2:11">
      <c r="B1740" s="6"/>
      <c r="C1740" s="24"/>
      <c r="D1740" s="5"/>
      <c r="E1740" s="5"/>
      <c r="F1740" s="4"/>
      <c r="G1740" s="4"/>
      <c r="H1740" s="4"/>
      <c r="I1740" s="4"/>
      <c r="J1740" s="4"/>
      <c r="K1740" s="4"/>
    </row>
    <row r="1741" spans="2:11">
      <c r="B1741" s="6"/>
      <c r="C1741" s="24"/>
      <c r="D1741" s="5"/>
      <c r="E1741" s="5"/>
      <c r="F1741" s="4"/>
      <c r="G1741" s="4"/>
      <c r="H1741" s="4"/>
      <c r="I1741" s="4"/>
      <c r="J1741" s="4"/>
      <c r="K1741" s="4"/>
    </row>
    <row r="1742" spans="2:11">
      <c r="B1742" s="6"/>
      <c r="C1742" s="24"/>
      <c r="D1742" s="5"/>
      <c r="E1742" s="5"/>
      <c r="F1742" s="4"/>
      <c r="G1742" s="4"/>
      <c r="H1742" s="4"/>
      <c r="I1742" s="4"/>
      <c r="J1742" s="4"/>
      <c r="K1742" s="4"/>
    </row>
    <row r="1743" spans="2:11">
      <c r="B1743" s="6"/>
      <c r="C1743" s="24"/>
      <c r="D1743" s="5"/>
      <c r="E1743" s="5"/>
      <c r="F1743" s="4"/>
      <c r="G1743" s="4"/>
      <c r="H1743" s="4"/>
      <c r="I1743" s="4"/>
      <c r="J1743" s="4"/>
      <c r="K1743" s="4"/>
    </row>
    <row r="1744" spans="2:11">
      <c r="B1744" s="6"/>
      <c r="C1744" s="24"/>
      <c r="D1744" s="5"/>
      <c r="E1744" s="5"/>
      <c r="F1744" s="4"/>
      <c r="G1744" s="4"/>
      <c r="H1744" s="4"/>
      <c r="I1744" s="4"/>
      <c r="J1744" s="4"/>
      <c r="K1744" s="4"/>
    </row>
    <row r="1745" spans="2:11">
      <c r="B1745" s="6"/>
      <c r="C1745" s="24"/>
      <c r="D1745" s="5"/>
      <c r="E1745" s="5"/>
      <c r="F1745" s="4"/>
      <c r="G1745" s="4"/>
      <c r="H1745" s="4"/>
      <c r="I1745" s="4"/>
      <c r="J1745" s="4"/>
      <c r="K1745" s="4"/>
    </row>
    <row r="1746" spans="2:11">
      <c r="B1746" s="6"/>
      <c r="C1746" s="24"/>
      <c r="D1746" s="5"/>
      <c r="E1746" s="5"/>
      <c r="F1746" s="4"/>
      <c r="G1746" s="4"/>
      <c r="H1746" s="4"/>
      <c r="I1746" s="4"/>
      <c r="J1746" s="4"/>
      <c r="K1746" s="4"/>
    </row>
    <row r="1747" spans="2:11">
      <c r="B1747" s="6"/>
      <c r="C1747" s="24"/>
      <c r="D1747" s="5"/>
      <c r="E1747" s="5"/>
      <c r="F1747" s="4"/>
      <c r="G1747" s="4"/>
      <c r="H1747" s="4"/>
      <c r="I1747" s="4"/>
      <c r="J1747" s="4"/>
      <c r="K1747" s="4"/>
    </row>
    <row r="1748" spans="2:11">
      <c r="B1748" s="6"/>
      <c r="C1748" s="24"/>
      <c r="D1748" s="5"/>
      <c r="E1748" s="5"/>
      <c r="F1748" s="4"/>
      <c r="G1748" s="4"/>
      <c r="H1748" s="4"/>
      <c r="I1748" s="4"/>
      <c r="J1748" s="4"/>
      <c r="K1748" s="4"/>
    </row>
    <row r="1749" spans="2:11">
      <c r="B1749" s="6"/>
      <c r="C1749" s="24"/>
      <c r="D1749" s="5"/>
      <c r="E1749" s="5"/>
      <c r="F1749" s="4"/>
      <c r="G1749" s="4"/>
      <c r="H1749" s="4"/>
      <c r="I1749" s="4"/>
      <c r="J1749" s="4"/>
      <c r="K1749" s="4"/>
    </row>
    <row r="1750" spans="2:11">
      <c r="B1750" s="6"/>
      <c r="C1750" s="24"/>
      <c r="D1750" s="5"/>
      <c r="E1750" s="5"/>
      <c r="F1750" s="4"/>
      <c r="G1750" s="4"/>
      <c r="H1750" s="4"/>
      <c r="I1750" s="4"/>
      <c r="J1750" s="4"/>
      <c r="K1750" s="4"/>
    </row>
    <row r="1751" spans="2:11">
      <c r="B1751" s="6"/>
      <c r="C1751" s="24"/>
      <c r="D1751" s="5"/>
      <c r="E1751" s="5"/>
      <c r="F1751" s="4"/>
      <c r="G1751" s="4"/>
      <c r="H1751" s="4"/>
      <c r="I1751" s="4"/>
      <c r="J1751" s="4"/>
      <c r="K1751" s="4"/>
    </row>
    <row r="1752" spans="2:11">
      <c r="B1752" s="6"/>
      <c r="C1752" s="24"/>
      <c r="D1752" s="5"/>
      <c r="E1752" s="5"/>
      <c r="F1752" s="4"/>
      <c r="G1752" s="4"/>
      <c r="H1752" s="4"/>
      <c r="I1752" s="4"/>
      <c r="J1752" s="4"/>
      <c r="K1752" s="4"/>
    </row>
    <row r="1753" spans="2:11">
      <c r="B1753" s="6"/>
      <c r="C1753" s="24"/>
      <c r="D1753" s="5"/>
      <c r="E1753" s="5"/>
      <c r="F1753" s="4"/>
      <c r="G1753" s="4"/>
      <c r="H1753" s="4"/>
      <c r="I1753" s="4"/>
      <c r="J1753" s="4"/>
      <c r="K1753" s="4"/>
    </row>
    <row r="1754" spans="2:11">
      <c r="B1754" s="6"/>
      <c r="C1754" s="24"/>
      <c r="D1754" s="5"/>
      <c r="E1754" s="5"/>
      <c r="F1754" s="4"/>
      <c r="G1754" s="4"/>
      <c r="H1754" s="4"/>
      <c r="I1754" s="4"/>
      <c r="J1754" s="4"/>
      <c r="K1754" s="4"/>
    </row>
    <row r="1755" spans="2:11">
      <c r="B1755" s="6"/>
      <c r="C1755" s="24"/>
      <c r="D1755" s="5"/>
      <c r="E1755" s="5"/>
      <c r="F1755" s="4"/>
      <c r="G1755" s="4"/>
      <c r="H1755" s="4"/>
      <c r="I1755" s="4"/>
      <c r="J1755" s="4"/>
      <c r="K1755" s="4"/>
    </row>
    <row r="1756" spans="2:11">
      <c r="B1756" s="6"/>
      <c r="C1756" s="24"/>
      <c r="D1756" s="5"/>
      <c r="E1756" s="5"/>
      <c r="F1756" s="4"/>
      <c r="G1756" s="4"/>
      <c r="H1756" s="4"/>
      <c r="I1756" s="4"/>
      <c r="J1756" s="4"/>
      <c r="K1756" s="4"/>
    </row>
    <row r="1757" spans="2:11">
      <c r="B1757" s="6"/>
      <c r="C1757" s="24"/>
      <c r="D1757" s="5"/>
      <c r="E1757" s="5"/>
      <c r="F1757" s="4"/>
      <c r="G1757" s="4"/>
      <c r="H1757" s="4"/>
      <c r="I1757" s="4"/>
      <c r="J1757" s="4"/>
      <c r="K1757" s="4"/>
    </row>
    <row r="1758" spans="2:11">
      <c r="B1758" s="6"/>
      <c r="C1758" s="24"/>
      <c r="D1758" s="5"/>
      <c r="E1758" s="5"/>
      <c r="F1758" s="4"/>
      <c r="G1758" s="4"/>
      <c r="H1758" s="4"/>
      <c r="I1758" s="4"/>
      <c r="J1758" s="4"/>
      <c r="K1758" s="4"/>
    </row>
    <row r="1759" spans="2:11">
      <c r="B1759" s="6"/>
      <c r="C1759" s="24"/>
      <c r="D1759" s="5"/>
      <c r="E1759" s="5"/>
      <c r="F1759" s="4"/>
      <c r="G1759" s="4"/>
      <c r="H1759" s="4"/>
      <c r="I1759" s="4"/>
      <c r="J1759" s="4"/>
      <c r="K1759" s="4"/>
    </row>
    <row r="1760" spans="2:11">
      <c r="B1760" s="6"/>
      <c r="C1760" s="24"/>
      <c r="D1760" s="5"/>
      <c r="E1760" s="5"/>
      <c r="F1760" s="4"/>
      <c r="G1760" s="4"/>
      <c r="H1760" s="4"/>
      <c r="I1760" s="4"/>
      <c r="J1760" s="4"/>
      <c r="K1760" s="4"/>
    </row>
    <row r="1761" spans="2:11">
      <c r="B1761" s="6"/>
      <c r="C1761" s="24"/>
      <c r="D1761" s="5"/>
      <c r="E1761" s="5"/>
      <c r="F1761" s="4"/>
      <c r="G1761" s="4"/>
      <c r="H1761" s="4"/>
      <c r="I1761" s="4"/>
      <c r="J1761" s="4"/>
      <c r="K1761" s="4"/>
    </row>
    <row r="1762" spans="2:11">
      <c r="B1762" s="6"/>
      <c r="C1762" s="24"/>
      <c r="D1762" s="5"/>
      <c r="E1762" s="5"/>
      <c r="F1762" s="4"/>
      <c r="G1762" s="4"/>
      <c r="H1762" s="4"/>
      <c r="I1762" s="4"/>
      <c r="J1762" s="4"/>
      <c r="K1762" s="4"/>
    </row>
    <row r="1763" spans="2:11">
      <c r="B1763" s="6"/>
      <c r="C1763" s="24"/>
      <c r="D1763" s="5"/>
      <c r="E1763" s="5"/>
      <c r="F1763" s="4"/>
      <c r="G1763" s="4"/>
      <c r="H1763" s="4"/>
      <c r="I1763" s="4"/>
      <c r="J1763" s="4"/>
      <c r="K1763" s="4"/>
    </row>
    <row r="1764" spans="2:11">
      <c r="B1764" s="6"/>
      <c r="C1764" s="24"/>
      <c r="D1764" s="5"/>
      <c r="E1764" s="5"/>
      <c r="F1764" s="4"/>
      <c r="G1764" s="4"/>
      <c r="H1764" s="4"/>
      <c r="I1764" s="4"/>
      <c r="J1764" s="4"/>
      <c r="K1764" s="4"/>
    </row>
    <row r="1765" spans="2:11">
      <c r="B1765" s="6"/>
      <c r="C1765" s="24"/>
      <c r="D1765" s="5"/>
      <c r="E1765" s="5"/>
      <c r="F1765" s="4"/>
      <c r="G1765" s="4"/>
      <c r="H1765" s="4"/>
      <c r="I1765" s="4"/>
      <c r="J1765" s="4"/>
      <c r="K1765" s="4"/>
    </row>
    <row r="1766" spans="2:11">
      <c r="B1766" s="6"/>
      <c r="C1766" s="24"/>
      <c r="D1766" s="5"/>
      <c r="E1766" s="5"/>
      <c r="F1766" s="4"/>
      <c r="G1766" s="4"/>
      <c r="H1766" s="4"/>
      <c r="I1766" s="4"/>
      <c r="J1766" s="4"/>
      <c r="K1766" s="4"/>
    </row>
    <row r="1767" spans="2:11">
      <c r="B1767" s="6"/>
      <c r="C1767" s="24"/>
      <c r="D1767" s="5"/>
      <c r="E1767" s="5"/>
      <c r="F1767" s="4"/>
      <c r="G1767" s="4"/>
      <c r="H1767" s="4"/>
      <c r="I1767" s="4"/>
      <c r="J1767" s="4"/>
      <c r="K1767" s="4"/>
    </row>
    <row r="1768" spans="2:11">
      <c r="B1768" s="6"/>
      <c r="C1768" s="24"/>
      <c r="D1768" s="5"/>
      <c r="E1768" s="5"/>
      <c r="F1768" s="4"/>
      <c r="G1768" s="4"/>
      <c r="H1768" s="4"/>
      <c r="I1768" s="4"/>
      <c r="J1768" s="4"/>
      <c r="K1768" s="4"/>
    </row>
    <row r="1769" spans="2:11">
      <c r="B1769" s="6"/>
      <c r="C1769" s="24"/>
      <c r="D1769" s="5"/>
      <c r="E1769" s="5"/>
      <c r="F1769" s="4"/>
      <c r="G1769" s="4"/>
      <c r="H1769" s="4"/>
      <c r="I1769" s="4"/>
      <c r="J1769" s="4"/>
      <c r="K1769" s="4"/>
    </row>
    <row r="1770" spans="2:11">
      <c r="B1770" s="6"/>
      <c r="C1770" s="24"/>
      <c r="D1770" s="5"/>
      <c r="E1770" s="5"/>
      <c r="F1770" s="4"/>
      <c r="G1770" s="4"/>
      <c r="H1770" s="4"/>
      <c r="I1770" s="4"/>
      <c r="J1770" s="4"/>
      <c r="K1770" s="4"/>
    </row>
    <row r="1771" spans="2:11">
      <c r="B1771" s="6"/>
      <c r="C1771" s="24"/>
      <c r="D1771" s="5"/>
      <c r="E1771" s="5"/>
      <c r="F1771" s="4"/>
      <c r="G1771" s="4"/>
      <c r="H1771" s="4"/>
      <c r="I1771" s="4"/>
      <c r="J1771" s="4"/>
      <c r="K1771" s="4"/>
    </row>
    <row r="1772" spans="2:11">
      <c r="B1772" s="6"/>
      <c r="C1772" s="24"/>
      <c r="D1772" s="5"/>
      <c r="E1772" s="5"/>
      <c r="F1772" s="4"/>
      <c r="G1772" s="4"/>
      <c r="H1772" s="4"/>
      <c r="I1772" s="4"/>
      <c r="J1772" s="4"/>
      <c r="K1772" s="4"/>
    </row>
    <row r="1773" spans="2:11">
      <c r="B1773" s="6"/>
      <c r="C1773" s="24"/>
      <c r="D1773" s="5"/>
      <c r="E1773" s="5"/>
      <c r="F1773" s="4"/>
      <c r="G1773" s="4"/>
      <c r="H1773" s="4"/>
      <c r="I1773" s="4"/>
      <c r="J1773" s="4"/>
      <c r="K1773" s="4"/>
    </row>
    <row r="1774" spans="2:11">
      <c r="B1774" s="6"/>
      <c r="C1774" s="24"/>
      <c r="D1774" s="5"/>
      <c r="E1774" s="5"/>
      <c r="F1774" s="4"/>
      <c r="G1774" s="4"/>
      <c r="H1774" s="4"/>
      <c r="I1774" s="4"/>
      <c r="J1774" s="4"/>
      <c r="K1774" s="4"/>
    </row>
    <row r="1775" spans="2:11">
      <c r="B1775" s="6"/>
      <c r="C1775" s="24"/>
      <c r="D1775" s="5"/>
      <c r="E1775" s="5"/>
      <c r="F1775" s="4"/>
      <c r="G1775" s="4"/>
      <c r="H1775" s="4"/>
      <c r="I1775" s="4"/>
      <c r="J1775" s="4"/>
      <c r="K1775" s="4"/>
    </row>
    <row r="1776" spans="2:11">
      <c r="B1776" s="6"/>
      <c r="C1776" s="24"/>
      <c r="D1776" s="5"/>
      <c r="E1776" s="5"/>
      <c r="F1776" s="4"/>
      <c r="G1776" s="4"/>
      <c r="H1776" s="4"/>
      <c r="I1776" s="4"/>
      <c r="J1776" s="4"/>
      <c r="K1776" s="4"/>
    </row>
    <row r="1777" spans="2:11">
      <c r="B1777" s="6"/>
      <c r="C1777" s="24"/>
      <c r="D1777" s="5"/>
      <c r="E1777" s="5"/>
      <c r="F1777" s="4"/>
      <c r="G1777" s="4"/>
      <c r="H1777" s="4"/>
      <c r="I1777" s="4"/>
      <c r="J1777" s="4"/>
      <c r="K1777" s="4"/>
    </row>
    <row r="1778" spans="2:11">
      <c r="B1778" s="6"/>
      <c r="C1778" s="24"/>
      <c r="D1778" s="5"/>
      <c r="E1778" s="5"/>
      <c r="F1778" s="4"/>
      <c r="G1778" s="4"/>
      <c r="H1778" s="4"/>
      <c r="I1778" s="4"/>
      <c r="J1778" s="4"/>
      <c r="K1778" s="4"/>
    </row>
    <row r="1779" spans="2:11">
      <c r="B1779" s="6"/>
      <c r="C1779" s="24"/>
      <c r="D1779" s="5"/>
      <c r="E1779" s="5"/>
      <c r="F1779" s="4"/>
      <c r="G1779" s="4"/>
      <c r="H1779" s="4"/>
      <c r="I1779" s="4"/>
      <c r="J1779" s="4"/>
      <c r="K1779" s="4"/>
    </row>
    <row r="1780" spans="2:11">
      <c r="B1780" s="6"/>
      <c r="C1780" s="24"/>
      <c r="D1780" s="5"/>
      <c r="E1780" s="5"/>
      <c r="F1780" s="4"/>
      <c r="G1780" s="4"/>
      <c r="H1780" s="4"/>
      <c r="I1780" s="4"/>
      <c r="J1780" s="4"/>
      <c r="K1780" s="4"/>
    </row>
    <row r="1781" spans="2:11">
      <c r="B1781" s="6"/>
      <c r="C1781" s="24"/>
      <c r="D1781" s="5"/>
      <c r="E1781" s="5"/>
      <c r="F1781" s="4"/>
      <c r="G1781" s="4"/>
      <c r="H1781" s="4"/>
      <c r="I1781" s="4"/>
      <c r="J1781" s="4"/>
      <c r="K1781" s="4"/>
    </row>
    <row r="1782" spans="2:11">
      <c r="B1782" s="6"/>
      <c r="C1782" s="24"/>
      <c r="D1782" s="5"/>
      <c r="E1782" s="5"/>
      <c r="F1782" s="4"/>
      <c r="G1782" s="4"/>
      <c r="H1782" s="4"/>
      <c r="I1782" s="4"/>
      <c r="J1782" s="4"/>
      <c r="K1782" s="4"/>
    </row>
    <row r="1783" spans="2:11">
      <c r="B1783" s="6"/>
      <c r="C1783" s="24"/>
      <c r="D1783" s="5"/>
      <c r="E1783" s="5"/>
      <c r="F1783" s="4"/>
      <c r="G1783" s="4"/>
      <c r="H1783" s="4"/>
      <c r="I1783" s="4"/>
      <c r="J1783" s="4"/>
      <c r="K1783" s="4"/>
    </row>
    <row r="1784" spans="2:11">
      <c r="B1784" s="6"/>
      <c r="C1784" s="24"/>
      <c r="D1784" s="5"/>
      <c r="E1784" s="5"/>
      <c r="F1784" s="4"/>
      <c r="G1784" s="4"/>
      <c r="H1784" s="4"/>
      <c r="I1784" s="4"/>
      <c r="J1784" s="4"/>
      <c r="K1784" s="4"/>
    </row>
    <row r="1785" spans="2:11">
      <c r="B1785" s="6"/>
      <c r="C1785" s="24"/>
      <c r="D1785" s="5"/>
      <c r="E1785" s="5"/>
      <c r="F1785" s="4"/>
      <c r="G1785" s="4"/>
      <c r="H1785" s="4"/>
      <c r="I1785" s="4"/>
      <c r="J1785" s="4"/>
      <c r="K1785" s="4"/>
    </row>
    <row r="1786" spans="2:11">
      <c r="B1786" s="6"/>
      <c r="C1786" s="24"/>
      <c r="D1786" s="5"/>
      <c r="E1786" s="5"/>
      <c r="F1786" s="4"/>
      <c r="G1786" s="4"/>
      <c r="H1786" s="4"/>
      <c r="I1786" s="4"/>
      <c r="J1786" s="4"/>
      <c r="K1786" s="4"/>
    </row>
    <row r="1787" spans="2:11">
      <c r="B1787" s="6"/>
      <c r="C1787" s="24"/>
      <c r="D1787" s="5"/>
      <c r="E1787" s="5"/>
      <c r="F1787" s="4"/>
      <c r="G1787" s="4"/>
      <c r="H1787" s="4"/>
      <c r="I1787" s="4"/>
      <c r="J1787" s="4"/>
      <c r="K1787" s="4"/>
    </row>
    <row r="1788" spans="2:11">
      <c r="B1788" s="6"/>
      <c r="C1788" s="24"/>
      <c r="D1788" s="5"/>
      <c r="E1788" s="5"/>
      <c r="F1788" s="4"/>
      <c r="G1788" s="4"/>
      <c r="H1788" s="4"/>
      <c r="I1788" s="4"/>
      <c r="J1788" s="4"/>
      <c r="K1788" s="4"/>
    </row>
    <row r="1789" spans="2:11">
      <c r="B1789" s="6"/>
      <c r="C1789" s="24"/>
      <c r="D1789" s="5"/>
      <c r="E1789" s="5"/>
      <c r="F1789" s="4"/>
      <c r="G1789" s="4"/>
      <c r="H1789" s="4"/>
      <c r="I1789" s="4"/>
      <c r="J1789" s="4"/>
      <c r="K1789" s="4"/>
    </row>
    <row r="1790" spans="2:11">
      <c r="B1790" s="6"/>
      <c r="C1790" s="24"/>
      <c r="D1790" s="5"/>
      <c r="E1790" s="5"/>
      <c r="F1790" s="4"/>
      <c r="G1790" s="4"/>
      <c r="H1790" s="4"/>
      <c r="I1790" s="4"/>
      <c r="J1790" s="4"/>
      <c r="K1790" s="4"/>
    </row>
    <row r="1791" spans="2:11">
      <c r="B1791" s="6"/>
      <c r="C1791" s="24"/>
      <c r="D1791" s="5"/>
      <c r="E1791" s="5"/>
      <c r="F1791" s="4"/>
      <c r="G1791" s="4"/>
      <c r="H1791" s="4"/>
      <c r="I1791" s="4"/>
      <c r="J1791" s="4"/>
      <c r="K1791" s="4"/>
    </row>
    <row r="1792" spans="2:11">
      <c r="B1792" s="6"/>
      <c r="C1792" s="24"/>
      <c r="D1792" s="5"/>
      <c r="E1792" s="5"/>
      <c r="F1792" s="4"/>
      <c r="G1792" s="4"/>
      <c r="H1792" s="4"/>
      <c r="I1792" s="4"/>
      <c r="J1792" s="4"/>
      <c r="K1792" s="4"/>
    </row>
    <row r="1793" spans="2:11">
      <c r="B1793" s="6"/>
      <c r="C1793" s="24"/>
      <c r="D1793" s="5"/>
      <c r="E1793" s="5"/>
      <c r="F1793" s="4"/>
      <c r="G1793" s="4"/>
      <c r="H1793" s="4"/>
      <c r="I1793" s="4"/>
      <c r="J1793" s="4"/>
      <c r="K1793" s="4"/>
    </row>
    <row r="1794" spans="2:11">
      <c r="B1794" s="6"/>
      <c r="C1794" s="24"/>
      <c r="D1794" s="5"/>
      <c r="E1794" s="5"/>
      <c r="F1794" s="4"/>
      <c r="G1794" s="4"/>
      <c r="H1794" s="4"/>
      <c r="I1794" s="4"/>
      <c r="J1794" s="4"/>
      <c r="K1794" s="4"/>
    </row>
    <row r="1795" spans="2:11">
      <c r="B1795" s="6"/>
      <c r="C1795" s="24"/>
      <c r="D1795" s="5"/>
      <c r="E1795" s="5"/>
      <c r="F1795" s="4"/>
      <c r="G1795" s="4"/>
      <c r="H1795" s="4"/>
      <c r="I1795" s="4"/>
      <c r="J1795" s="4"/>
      <c r="K1795" s="4"/>
    </row>
    <row r="1796" spans="2:11">
      <c r="B1796" s="6"/>
      <c r="C1796" s="24"/>
      <c r="D1796" s="5"/>
      <c r="E1796" s="5"/>
      <c r="F1796" s="4"/>
      <c r="G1796" s="4"/>
      <c r="H1796" s="4"/>
      <c r="I1796" s="4"/>
      <c r="J1796" s="4"/>
      <c r="K1796" s="4"/>
    </row>
    <row r="1797" spans="2:11">
      <c r="B1797" s="6"/>
      <c r="C1797" s="24"/>
      <c r="D1797" s="5"/>
      <c r="E1797" s="5"/>
      <c r="F1797" s="4"/>
      <c r="G1797" s="4"/>
      <c r="H1797" s="4"/>
      <c r="I1797" s="4"/>
      <c r="J1797" s="4"/>
      <c r="K1797" s="4"/>
    </row>
    <row r="1798" spans="2:11">
      <c r="B1798" s="6"/>
      <c r="C1798" s="24"/>
      <c r="D1798" s="5"/>
      <c r="E1798" s="5"/>
      <c r="F1798" s="4"/>
      <c r="G1798" s="4"/>
      <c r="H1798" s="4"/>
      <c r="I1798" s="4"/>
      <c r="J1798" s="4"/>
      <c r="K1798" s="4"/>
    </row>
    <row r="1799" spans="2:11">
      <c r="B1799" s="6"/>
      <c r="C1799" s="24"/>
      <c r="D1799" s="5"/>
      <c r="E1799" s="5"/>
      <c r="F1799" s="4"/>
      <c r="G1799" s="4"/>
      <c r="H1799" s="4"/>
      <c r="I1799" s="4"/>
      <c r="J1799" s="4"/>
      <c r="K1799" s="4"/>
    </row>
    <row r="1800" spans="2:11">
      <c r="B1800" s="6"/>
      <c r="C1800" s="24"/>
      <c r="D1800" s="5"/>
      <c r="E1800" s="5"/>
      <c r="F1800" s="4"/>
      <c r="G1800" s="4"/>
      <c r="H1800" s="4"/>
      <c r="I1800" s="4"/>
      <c r="J1800" s="4"/>
      <c r="K1800" s="4"/>
    </row>
    <row r="1801" spans="2:11">
      <c r="B1801" s="6"/>
      <c r="C1801" s="24"/>
      <c r="D1801" s="5"/>
      <c r="E1801" s="5"/>
      <c r="F1801" s="4"/>
      <c r="G1801" s="4"/>
      <c r="H1801" s="4"/>
      <c r="I1801" s="4"/>
      <c r="J1801" s="4"/>
      <c r="K1801" s="4"/>
    </row>
    <row r="1802" spans="2:11">
      <c r="B1802" s="6"/>
      <c r="C1802" s="24"/>
      <c r="D1802" s="5"/>
      <c r="E1802" s="5"/>
      <c r="F1802" s="4"/>
      <c r="G1802" s="4"/>
      <c r="H1802" s="4"/>
      <c r="I1802" s="4"/>
      <c r="J1802" s="4"/>
      <c r="K1802" s="4"/>
    </row>
    <row r="1803" spans="2:11">
      <c r="B1803" s="6"/>
      <c r="C1803" s="24"/>
      <c r="D1803" s="5"/>
      <c r="E1803" s="5"/>
      <c r="F1803" s="4"/>
      <c r="G1803" s="4"/>
      <c r="H1803" s="4"/>
      <c r="I1803" s="4"/>
      <c r="J1803" s="4"/>
      <c r="K1803" s="4"/>
    </row>
    <row r="1804" spans="2:11">
      <c r="B1804" s="6"/>
      <c r="C1804" s="24"/>
      <c r="D1804" s="5"/>
      <c r="E1804" s="5"/>
      <c r="F1804" s="4"/>
      <c r="G1804" s="4"/>
      <c r="H1804" s="4"/>
      <c r="I1804" s="4"/>
      <c r="J1804" s="4"/>
      <c r="K1804" s="4"/>
    </row>
    <row r="1805" spans="2:11">
      <c r="B1805" s="6"/>
      <c r="C1805" s="24"/>
      <c r="D1805" s="5"/>
      <c r="E1805" s="5"/>
      <c r="F1805" s="4"/>
      <c r="G1805" s="4"/>
      <c r="H1805" s="4"/>
      <c r="I1805" s="4"/>
      <c r="J1805" s="4"/>
      <c r="K1805" s="4"/>
    </row>
    <row r="1806" spans="2:11">
      <c r="B1806" s="6"/>
      <c r="C1806" s="24"/>
      <c r="D1806" s="5"/>
      <c r="E1806" s="5"/>
      <c r="F1806" s="4"/>
      <c r="G1806" s="4"/>
      <c r="H1806" s="4"/>
      <c r="I1806" s="4"/>
      <c r="J1806" s="4"/>
      <c r="K1806" s="4"/>
    </row>
    <row r="1807" spans="2:11">
      <c r="B1807" s="6"/>
      <c r="C1807" s="24"/>
      <c r="D1807" s="5"/>
      <c r="E1807" s="5"/>
      <c r="F1807" s="4"/>
      <c r="G1807" s="4"/>
      <c r="H1807" s="4"/>
      <c r="I1807" s="4"/>
      <c r="J1807" s="4"/>
      <c r="K1807" s="4"/>
    </row>
    <row r="1808" spans="2:11">
      <c r="B1808" s="6"/>
      <c r="C1808" s="24"/>
      <c r="D1808" s="5"/>
      <c r="E1808" s="5"/>
      <c r="F1808" s="4"/>
      <c r="G1808" s="4"/>
      <c r="H1808" s="4"/>
      <c r="I1808" s="4"/>
      <c r="J1808" s="4"/>
      <c r="K1808" s="4"/>
    </row>
    <row r="1809" spans="2:11">
      <c r="B1809" s="6"/>
      <c r="C1809" s="24"/>
      <c r="D1809" s="5"/>
      <c r="E1809" s="5"/>
      <c r="F1809" s="4"/>
      <c r="G1809" s="4"/>
      <c r="H1809" s="4"/>
      <c r="I1809" s="4"/>
      <c r="J1809" s="4"/>
      <c r="K1809" s="4"/>
    </row>
    <row r="1810" spans="2:11">
      <c r="B1810" s="6"/>
      <c r="C1810" s="24"/>
      <c r="D1810" s="5"/>
      <c r="E1810" s="5"/>
      <c r="F1810" s="4"/>
      <c r="G1810" s="4"/>
      <c r="H1810" s="4"/>
      <c r="I1810" s="4"/>
      <c r="J1810" s="4"/>
      <c r="K1810" s="4"/>
    </row>
    <row r="1811" spans="2:11">
      <c r="B1811" s="6"/>
      <c r="C1811" s="24"/>
      <c r="D1811" s="5"/>
      <c r="E1811" s="5"/>
      <c r="F1811" s="4"/>
      <c r="G1811" s="4"/>
      <c r="H1811" s="4"/>
      <c r="I1811" s="4"/>
      <c r="J1811" s="4"/>
      <c r="K1811" s="4"/>
    </row>
    <row r="1812" spans="2:11">
      <c r="B1812" s="6"/>
      <c r="C1812" s="24"/>
      <c r="D1812" s="5"/>
      <c r="E1812" s="5"/>
      <c r="F1812" s="4"/>
      <c r="G1812" s="4"/>
      <c r="H1812" s="4"/>
      <c r="I1812" s="4"/>
      <c r="J1812" s="4"/>
      <c r="K1812" s="4"/>
    </row>
    <row r="1813" spans="2:11">
      <c r="B1813" s="6"/>
      <c r="C1813" s="24"/>
      <c r="D1813" s="5"/>
      <c r="E1813" s="5"/>
      <c r="F1813" s="4"/>
      <c r="G1813" s="4"/>
      <c r="H1813" s="4"/>
      <c r="I1813" s="4"/>
      <c r="J1813" s="4"/>
      <c r="K1813" s="4"/>
    </row>
    <row r="1814" spans="2:11">
      <c r="B1814" s="6"/>
      <c r="C1814" s="24"/>
      <c r="D1814" s="5"/>
      <c r="E1814" s="5"/>
      <c r="F1814" s="4"/>
      <c r="G1814" s="4"/>
      <c r="H1814" s="4"/>
      <c r="I1814" s="4"/>
      <c r="J1814" s="4"/>
      <c r="K1814" s="4"/>
    </row>
    <row r="1815" spans="2:11">
      <c r="B1815" s="6"/>
      <c r="C1815" s="24"/>
      <c r="D1815" s="5"/>
      <c r="E1815" s="5"/>
      <c r="F1815" s="4"/>
      <c r="G1815" s="4"/>
      <c r="H1815" s="4"/>
      <c r="I1815" s="4"/>
      <c r="J1815" s="4"/>
      <c r="K1815" s="4"/>
    </row>
    <row r="1816" spans="2:11">
      <c r="B1816" s="6"/>
      <c r="C1816" s="24"/>
      <c r="D1816" s="5"/>
      <c r="E1816" s="5"/>
      <c r="F1816" s="4"/>
      <c r="G1816" s="4"/>
      <c r="H1816" s="4"/>
      <c r="I1816" s="4"/>
      <c r="J1816" s="4"/>
      <c r="K1816" s="4"/>
    </row>
    <row r="1817" spans="2:11">
      <c r="B1817" s="6"/>
      <c r="C1817" s="24"/>
      <c r="D1817" s="5"/>
      <c r="E1817" s="5"/>
      <c r="F1817" s="4"/>
      <c r="G1817" s="4"/>
      <c r="H1817" s="4"/>
      <c r="I1817" s="4"/>
      <c r="J1817" s="4"/>
      <c r="K1817" s="4"/>
    </row>
    <row r="1818" spans="2:11">
      <c r="B1818" s="6"/>
      <c r="C1818" s="24"/>
      <c r="D1818" s="5"/>
      <c r="E1818" s="5"/>
      <c r="F1818" s="4"/>
      <c r="G1818" s="4"/>
      <c r="H1818" s="4"/>
      <c r="I1818" s="4"/>
      <c r="J1818" s="4"/>
      <c r="K1818" s="4"/>
    </row>
    <row r="1819" spans="2:11">
      <c r="B1819" s="6"/>
      <c r="C1819" s="24"/>
      <c r="D1819" s="5"/>
      <c r="E1819" s="5"/>
      <c r="F1819" s="4"/>
      <c r="G1819" s="4"/>
      <c r="H1819" s="4"/>
      <c r="I1819" s="4"/>
      <c r="J1819" s="4"/>
      <c r="K1819" s="4"/>
    </row>
    <row r="1820" spans="2:11">
      <c r="B1820" s="6"/>
      <c r="C1820" s="24"/>
      <c r="D1820" s="5"/>
      <c r="E1820" s="5"/>
      <c r="F1820" s="4"/>
      <c r="G1820" s="4"/>
      <c r="H1820" s="4"/>
      <c r="I1820" s="4"/>
      <c r="J1820" s="4"/>
      <c r="K1820" s="4"/>
    </row>
    <row r="1821" spans="2:11">
      <c r="B1821" s="6"/>
      <c r="C1821" s="24"/>
      <c r="D1821" s="5"/>
      <c r="E1821" s="5"/>
      <c r="F1821" s="4"/>
      <c r="G1821" s="4"/>
      <c r="H1821" s="4"/>
      <c r="I1821" s="4"/>
      <c r="J1821" s="4"/>
      <c r="K1821" s="4"/>
    </row>
    <row r="1822" spans="2:11">
      <c r="B1822" s="6"/>
      <c r="C1822" s="24"/>
      <c r="D1822" s="5"/>
      <c r="E1822" s="5"/>
      <c r="F1822" s="4"/>
      <c r="G1822" s="4"/>
      <c r="H1822" s="4"/>
      <c r="I1822" s="4"/>
      <c r="J1822" s="4"/>
      <c r="K1822" s="4"/>
    </row>
    <row r="1823" spans="2:11">
      <c r="B1823" s="6"/>
      <c r="C1823" s="24"/>
      <c r="D1823" s="5"/>
      <c r="E1823" s="5"/>
      <c r="F1823" s="4"/>
      <c r="G1823" s="4"/>
      <c r="H1823" s="4"/>
      <c r="I1823" s="4"/>
      <c r="J1823" s="4"/>
      <c r="K1823" s="4"/>
    </row>
    <row r="1824" spans="2:11">
      <c r="B1824" s="6"/>
      <c r="C1824" s="24"/>
      <c r="D1824" s="5"/>
      <c r="E1824" s="5"/>
      <c r="F1824" s="4"/>
      <c r="G1824" s="4"/>
      <c r="H1824" s="4"/>
      <c r="I1824" s="4"/>
      <c r="J1824" s="4"/>
      <c r="K1824" s="4"/>
    </row>
    <row r="1825" spans="2:11">
      <c r="B1825" s="6"/>
      <c r="C1825" s="24"/>
      <c r="D1825" s="5"/>
      <c r="E1825" s="5"/>
      <c r="F1825" s="4"/>
      <c r="G1825" s="4"/>
      <c r="H1825" s="4"/>
      <c r="I1825" s="4"/>
      <c r="J1825" s="4"/>
      <c r="K1825" s="4"/>
    </row>
    <row r="1826" spans="2:11">
      <c r="B1826" s="6"/>
      <c r="C1826" s="24"/>
      <c r="D1826" s="5"/>
      <c r="E1826" s="5"/>
      <c r="F1826" s="4"/>
      <c r="G1826" s="4"/>
      <c r="H1826" s="4"/>
      <c r="I1826" s="4"/>
      <c r="J1826" s="4"/>
      <c r="K1826" s="4"/>
    </row>
    <row r="1827" spans="2:11">
      <c r="B1827" s="6"/>
      <c r="C1827" s="24"/>
      <c r="D1827" s="5"/>
      <c r="E1827" s="5"/>
      <c r="F1827" s="4"/>
      <c r="G1827" s="4"/>
      <c r="H1827" s="4"/>
      <c r="I1827" s="4"/>
      <c r="J1827" s="4"/>
      <c r="K1827" s="4"/>
    </row>
    <row r="1828" spans="2:11">
      <c r="B1828" s="6"/>
      <c r="C1828" s="24"/>
      <c r="D1828" s="5"/>
      <c r="E1828" s="5"/>
      <c r="F1828" s="4"/>
      <c r="G1828" s="4"/>
      <c r="H1828" s="4"/>
      <c r="I1828" s="4"/>
      <c r="J1828" s="4"/>
      <c r="K1828" s="4"/>
    </row>
    <row r="1829" spans="2:11">
      <c r="B1829" s="6"/>
      <c r="C1829" s="24"/>
      <c r="D1829" s="5"/>
      <c r="E1829" s="5"/>
      <c r="F1829" s="4"/>
      <c r="G1829" s="4"/>
      <c r="H1829" s="4"/>
      <c r="I1829" s="4"/>
      <c r="J1829" s="4"/>
      <c r="K1829" s="4"/>
    </row>
    <row r="1830" spans="2:11">
      <c r="B1830" s="6"/>
      <c r="C1830" s="24"/>
      <c r="D1830" s="5"/>
      <c r="E1830" s="5"/>
      <c r="F1830" s="4"/>
      <c r="G1830" s="4"/>
      <c r="H1830" s="4"/>
      <c r="I1830" s="4"/>
      <c r="J1830" s="4"/>
      <c r="K1830" s="4"/>
    </row>
    <row r="1831" spans="2:11">
      <c r="B1831" s="6"/>
      <c r="C1831" s="24"/>
      <c r="D1831" s="5"/>
      <c r="E1831" s="5"/>
      <c r="F1831" s="4"/>
      <c r="G1831" s="4"/>
      <c r="H1831" s="4"/>
      <c r="I1831" s="4"/>
      <c r="J1831" s="4"/>
      <c r="K1831" s="4"/>
    </row>
    <row r="1832" spans="2:11">
      <c r="B1832" s="6"/>
      <c r="C1832" s="24"/>
      <c r="D1832" s="5"/>
      <c r="E1832" s="5"/>
      <c r="F1832" s="4"/>
      <c r="G1832" s="4"/>
      <c r="H1832" s="4"/>
      <c r="I1832" s="4"/>
      <c r="J1832" s="4"/>
      <c r="K1832" s="4"/>
    </row>
    <row r="1833" spans="2:11">
      <c r="B1833" s="6"/>
      <c r="C1833" s="24"/>
      <c r="D1833" s="5"/>
      <c r="E1833" s="5"/>
      <c r="F1833" s="4"/>
      <c r="G1833" s="4"/>
      <c r="H1833" s="4"/>
      <c r="I1833" s="4"/>
      <c r="J1833" s="4"/>
      <c r="K1833" s="4"/>
    </row>
    <row r="1834" spans="2:11">
      <c r="B1834" s="6"/>
      <c r="C1834" s="24"/>
      <c r="D1834" s="5"/>
      <c r="E1834" s="5"/>
      <c r="F1834" s="4"/>
      <c r="G1834" s="4"/>
      <c r="H1834" s="4"/>
      <c r="I1834" s="4"/>
      <c r="J1834" s="4"/>
      <c r="K1834" s="4"/>
    </row>
    <row r="1835" spans="2:11">
      <c r="B1835" s="6"/>
      <c r="C1835" s="24"/>
      <c r="D1835" s="5"/>
      <c r="E1835" s="5"/>
      <c r="F1835" s="4"/>
      <c r="G1835" s="4"/>
      <c r="H1835" s="4"/>
      <c r="I1835" s="4"/>
      <c r="J1835" s="4"/>
      <c r="K1835" s="4"/>
    </row>
    <row r="1836" spans="2:11">
      <c r="B1836" s="6"/>
      <c r="C1836" s="24"/>
      <c r="D1836" s="5"/>
      <c r="E1836" s="5"/>
      <c r="F1836" s="4"/>
      <c r="G1836" s="4"/>
      <c r="H1836" s="4"/>
      <c r="I1836" s="4"/>
      <c r="J1836" s="4"/>
      <c r="K1836" s="4"/>
    </row>
    <row r="1837" spans="2:11">
      <c r="B1837" s="6"/>
      <c r="C1837" s="24"/>
      <c r="D1837" s="5"/>
      <c r="E1837" s="5"/>
      <c r="F1837" s="4"/>
      <c r="G1837" s="4"/>
      <c r="H1837" s="4"/>
      <c r="I1837" s="4"/>
      <c r="J1837" s="4"/>
      <c r="K1837" s="4"/>
    </row>
    <row r="1838" spans="2:11">
      <c r="B1838" s="6"/>
      <c r="C1838" s="24"/>
      <c r="D1838" s="5"/>
      <c r="E1838" s="5"/>
      <c r="F1838" s="4"/>
      <c r="G1838" s="4"/>
      <c r="H1838" s="4"/>
      <c r="I1838" s="4"/>
      <c r="J1838" s="4"/>
      <c r="K1838" s="4"/>
    </row>
    <row r="1839" spans="2:11">
      <c r="B1839" s="6"/>
      <c r="C1839" s="24"/>
      <c r="D1839" s="5"/>
      <c r="E1839" s="5"/>
      <c r="F1839" s="4"/>
      <c r="G1839" s="4"/>
      <c r="H1839" s="4"/>
      <c r="I1839" s="4"/>
      <c r="J1839" s="4"/>
      <c r="K1839" s="4"/>
    </row>
    <row r="1840" spans="2:11">
      <c r="B1840" s="6"/>
      <c r="C1840" s="24"/>
      <c r="D1840" s="5"/>
      <c r="E1840" s="5"/>
      <c r="F1840" s="4"/>
      <c r="G1840" s="4"/>
      <c r="H1840" s="4"/>
      <c r="I1840" s="4"/>
      <c r="J1840" s="4"/>
      <c r="K1840" s="4"/>
    </row>
    <row r="1841" spans="2:11">
      <c r="B1841" s="6"/>
      <c r="C1841" s="24"/>
      <c r="D1841" s="5"/>
      <c r="E1841" s="5"/>
      <c r="F1841" s="4"/>
      <c r="G1841" s="4"/>
      <c r="H1841" s="4"/>
      <c r="I1841" s="4"/>
      <c r="J1841" s="4"/>
      <c r="K1841" s="4"/>
    </row>
    <row r="1842" spans="2:11">
      <c r="B1842" s="6"/>
      <c r="C1842" s="24"/>
      <c r="D1842" s="5"/>
      <c r="E1842" s="5"/>
      <c r="F1842" s="4"/>
      <c r="G1842" s="4"/>
      <c r="H1842" s="4"/>
      <c r="I1842" s="4"/>
      <c r="J1842" s="4"/>
      <c r="K1842" s="4"/>
    </row>
    <row r="1843" spans="2:11">
      <c r="B1843" s="6"/>
      <c r="C1843" s="24"/>
      <c r="D1843" s="5"/>
      <c r="E1843" s="5"/>
      <c r="F1843" s="4"/>
      <c r="G1843" s="4"/>
      <c r="H1843" s="4"/>
      <c r="I1843" s="4"/>
      <c r="J1843" s="4"/>
      <c r="K1843" s="4"/>
    </row>
    <row r="1844" spans="2:11">
      <c r="B1844" s="6"/>
      <c r="C1844" s="24"/>
      <c r="D1844" s="5"/>
      <c r="E1844" s="5"/>
      <c r="F1844" s="4"/>
      <c r="G1844" s="4"/>
      <c r="H1844" s="4"/>
      <c r="I1844" s="4"/>
      <c r="J1844" s="4"/>
      <c r="K1844" s="4"/>
    </row>
    <row r="1845" spans="2:11">
      <c r="B1845" s="6"/>
      <c r="C1845" s="24"/>
      <c r="D1845" s="5"/>
      <c r="E1845" s="5"/>
      <c r="F1845" s="4"/>
      <c r="G1845" s="4"/>
      <c r="H1845" s="4"/>
      <c r="I1845" s="4"/>
      <c r="J1845" s="4"/>
      <c r="K1845" s="4"/>
    </row>
    <row r="1846" spans="2:11">
      <c r="B1846" s="6"/>
      <c r="C1846" s="24"/>
      <c r="D1846" s="5"/>
      <c r="E1846" s="5"/>
      <c r="F1846" s="4"/>
      <c r="G1846" s="4"/>
      <c r="H1846" s="4"/>
      <c r="I1846" s="4"/>
      <c r="J1846" s="4"/>
      <c r="K1846" s="4"/>
    </row>
    <row r="1847" spans="2:11">
      <c r="B1847" s="6"/>
      <c r="C1847" s="24"/>
      <c r="D1847" s="5"/>
      <c r="E1847" s="5"/>
      <c r="F1847" s="4"/>
      <c r="G1847" s="4"/>
      <c r="H1847" s="4"/>
      <c r="I1847" s="4"/>
      <c r="J1847" s="4"/>
      <c r="K1847" s="4"/>
    </row>
    <row r="1848" spans="2:11">
      <c r="B1848" s="6"/>
      <c r="C1848" s="24"/>
      <c r="D1848" s="5"/>
      <c r="E1848" s="5"/>
      <c r="F1848" s="4"/>
      <c r="G1848" s="4"/>
      <c r="H1848" s="4"/>
      <c r="I1848" s="4"/>
      <c r="J1848" s="4"/>
      <c r="K1848" s="4"/>
    </row>
    <row r="1849" spans="2:11">
      <c r="B1849" s="6"/>
      <c r="C1849" s="24"/>
      <c r="D1849" s="5"/>
      <c r="E1849" s="5"/>
      <c r="F1849" s="4"/>
      <c r="G1849" s="4"/>
      <c r="H1849" s="4"/>
      <c r="I1849" s="4"/>
      <c r="J1849" s="4"/>
      <c r="K1849" s="4"/>
    </row>
    <row r="1850" spans="2:11">
      <c r="B1850" s="6"/>
      <c r="C1850" s="24"/>
      <c r="D1850" s="5"/>
      <c r="E1850" s="5"/>
      <c r="F1850" s="4"/>
      <c r="G1850" s="4"/>
      <c r="H1850" s="4"/>
      <c r="I1850" s="4"/>
      <c r="J1850" s="4"/>
      <c r="K1850" s="4"/>
    </row>
    <row r="1851" spans="2:11">
      <c r="B1851" s="6"/>
      <c r="C1851" s="24"/>
      <c r="D1851" s="5"/>
      <c r="E1851" s="5"/>
      <c r="F1851" s="4"/>
      <c r="G1851" s="4"/>
      <c r="H1851" s="4"/>
      <c r="I1851" s="4"/>
      <c r="J1851" s="4"/>
      <c r="K1851" s="4"/>
    </row>
    <row r="1852" spans="2:11">
      <c r="B1852" s="6"/>
      <c r="C1852" s="24"/>
      <c r="D1852" s="5"/>
      <c r="E1852" s="5"/>
      <c r="F1852" s="4"/>
      <c r="G1852" s="4"/>
      <c r="H1852" s="4"/>
      <c r="I1852" s="4"/>
      <c r="J1852" s="4"/>
      <c r="K1852" s="4"/>
    </row>
    <row r="1853" spans="2:11">
      <c r="B1853" s="6"/>
      <c r="C1853" s="24"/>
      <c r="D1853" s="5"/>
      <c r="E1853" s="5"/>
      <c r="F1853" s="4"/>
      <c r="G1853" s="4"/>
      <c r="H1853" s="4"/>
      <c r="I1853" s="4"/>
      <c r="J1853" s="4"/>
      <c r="K1853" s="4"/>
    </row>
    <row r="1854" spans="2:11">
      <c r="B1854" s="6"/>
      <c r="C1854" s="24"/>
      <c r="D1854" s="5"/>
      <c r="E1854" s="5"/>
      <c r="F1854" s="4"/>
      <c r="G1854" s="4"/>
      <c r="H1854" s="4"/>
      <c r="I1854" s="4"/>
      <c r="J1854" s="4"/>
      <c r="K1854" s="4"/>
    </row>
    <row r="1855" spans="2:11">
      <c r="B1855" s="6"/>
      <c r="C1855" s="24"/>
      <c r="D1855" s="5"/>
      <c r="E1855" s="5"/>
      <c r="F1855" s="4"/>
      <c r="G1855" s="4"/>
      <c r="H1855" s="4"/>
      <c r="I1855" s="4"/>
      <c r="J1855" s="4"/>
      <c r="K1855" s="4"/>
    </row>
    <row r="1856" spans="2:11">
      <c r="B1856" s="6"/>
      <c r="C1856" s="24"/>
      <c r="D1856" s="5"/>
      <c r="E1856" s="5"/>
      <c r="F1856" s="4"/>
      <c r="G1856" s="4"/>
      <c r="H1856" s="4"/>
      <c r="I1856" s="4"/>
      <c r="J1856" s="4"/>
      <c r="K1856" s="4"/>
    </row>
    <row r="1857" spans="2:11">
      <c r="B1857" s="6"/>
      <c r="C1857" s="24"/>
      <c r="D1857" s="5"/>
      <c r="E1857" s="5"/>
      <c r="F1857" s="4"/>
      <c r="G1857" s="4"/>
      <c r="H1857" s="4"/>
      <c r="I1857" s="4"/>
      <c r="J1857" s="4"/>
      <c r="K1857" s="4"/>
    </row>
    <row r="1858" spans="2:11">
      <c r="B1858" s="6"/>
      <c r="C1858" s="24"/>
      <c r="D1858" s="5"/>
      <c r="E1858" s="5"/>
      <c r="F1858" s="4"/>
      <c r="G1858" s="4"/>
      <c r="H1858" s="4"/>
      <c r="I1858" s="4"/>
      <c r="J1858" s="4"/>
      <c r="K1858" s="4"/>
    </row>
    <row r="1859" spans="2:11">
      <c r="B1859" s="6"/>
      <c r="C1859" s="24"/>
      <c r="D1859" s="5"/>
      <c r="E1859" s="5"/>
      <c r="F1859" s="4"/>
      <c r="G1859" s="4"/>
      <c r="H1859" s="4"/>
      <c r="I1859" s="4"/>
      <c r="J1859" s="4"/>
      <c r="K1859" s="4"/>
    </row>
    <row r="1860" spans="2:11">
      <c r="B1860" s="6"/>
      <c r="C1860" s="24"/>
      <c r="D1860" s="5"/>
      <c r="E1860" s="5"/>
      <c r="F1860" s="4"/>
      <c r="G1860" s="4"/>
      <c r="H1860" s="4"/>
      <c r="I1860" s="4"/>
      <c r="J1860" s="4"/>
      <c r="K1860" s="4"/>
    </row>
    <row r="1861" spans="2:11">
      <c r="B1861" s="6"/>
      <c r="C1861" s="24"/>
      <c r="D1861" s="5"/>
      <c r="E1861" s="5"/>
      <c r="F1861" s="4"/>
      <c r="G1861" s="4"/>
      <c r="H1861" s="4"/>
      <c r="I1861" s="4"/>
      <c r="J1861" s="4"/>
      <c r="K1861" s="4"/>
    </row>
    <row r="1862" spans="2:11">
      <c r="B1862" s="6"/>
      <c r="C1862" s="24"/>
      <c r="D1862" s="5"/>
      <c r="E1862" s="5"/>
      <c r="F1862" s="4"/>
      <c r="G1862" s="4"/>
      <c r="H1862" s="4"/>
      <c r="I1862" s="4"/>
      <c r="J1862" s="4"/>
      <c r="K1862" s="4"/>
    </row>
    <row r="1863" spans="2:11">
      <c r="B1863" s="6"/>
      <c r="C1863" s="24"/>
      <c r="D1863" s="5"/>
      <c r="E1863" s="5"/>
      <c r="F1863" s="4"/>
      <c r="G1863" s="4"/>
      <c r="H1863" s="4"/>
      <c r="I1863" s="4"/>
      <c r="J1863" s="4"/>
      <c r="K1863" s="4"/>
    </row>
    <row r="1864" spans="2:11">
      <c r="B1864" s="6"/>
      <c r="C1864" s="24"/>
      <c r="D1864" s="5"/>
      <c r="E1864" s="5"/>
      <c r="F1864" s="4"/>
      <c r="G1864" s="4"/>
      <c r="H1864" s="4"/>
      <c r="I1864" s="4"/>
      <c r="J1864" s="4"/>
      <c r="K1864" s="4"/>
    </row>
    <row r="1865" spans="2:11">
      <c r="B1865" s="6"/>
      <c r="C1865" s="24"/>
      <c r="D1865" s="5"/>
      <c r="E1865" s="5"/>
      <c r="F1865" s="4"/>
      <c r="G1865" s="4"/>
      <c r="H1865" s="4"/>
      <c r="I1865" s="4"/>
      <c r="J1865" s="4"/>
      <c r="K1865" s="4"/>
    </row>
    <row r="1866" spans="2:11">
      <c r="B1866" s="6"/>
      <c r="C1866" s="24"/>
      <c r="D1866" s="5"/>
      <c r="E1866" s="5"/>
      <c r="F1866" s="4"/>
      <c r="G1866" s="4"/>
      <c r="H1866" s="4"/>
      <c r="I1866" s="4"/>
      <c r="J1866" s="4"/>
      <c r="K1866" s="4"/>
    </row>
    <row r="1867" spans="2:11">
      <c r="B1867" s="6"/>
      <c r="C1867" s="24"/>
      <c r="D1867" s="5"/>
      <c r="E1867" s="5"/>
      <c r="F1867" s="4"/>
      <c r="G1867" s="4"/>
      <c r="H1867" s="4"/>
      <c r="I1867" s="4"/>
      <c r="J1867" s="4"/>
      <c r="K1867" s="4"/>
    </row>
    <row r="1868" spans="2:11">
      <c r="B1868" s="6"/>
      <c r="C1868" s="24"/>
      <c r="D1868" s="5"/>
      <c r="E1868" s="5"/>
      <c r="F1868" s="4"/>
      <c r="G1868" s="4"/>
      <c r="H1868" s="4"/>
      <c r="I1868" s="4"/>
      <c r="J1868" s="4"/>
      <c r="K1868" s="4"/>
    </row>
    <row r="1869" spans="2:11">
      <c r="B1869" s="6"/>
      <c r="C1869" s="24"/>
      <c r="D1869" s="5"/>
      <c r="E1869" s="5"/>
      <c r="F1869" s="4"/>
      <c r="G1869" s="4"/>
      <c r="H1869" s="4"/>
      <c r="I1869" s="4"/>
      <c r="J1869" s="4"/>
      <c r="K1869" s="4"/>
    </row>
    <row r="1870" spans="2:11">
      <c r="B1870" s="6"/>
      <c r="C1870" s="24"/>
      <c r="D1870" s="5"/>
      <c r="E1870" s="5"/>
      <c r="F1870" s="4"/>
      <c r="G1870" s="4"/>
      <c r="H1870" s="4"/>
      <c r="I1870" s="4"/>
      <c r="J1870" s="4"/>
      <c r="K1870" s="4"/>
    </row>
    <row r="1871" spans="2:11">
      <c r="B1871" s="6"/>
      <c r="C1871" s="24"/>
      <c r="D1871" s="5"/>
      <c r="E1871" s="5"/>
      <c r="F1871" s="4"/>
      <c r="G1871" s="4"/>
      <c r="H1871" s="4"/>
      <c r="I1871" s="4"/>
      <c r="J1871" s="4"/>
      <c r="K1871" s="4"/>
    </row>
    <row r="1872" spans="2:11">
      <c r="B1872" s="6"/>
      <c r="C1872" s="24"/>
      <c r="D1872" s="5"/>
      <c r="E1872" s="5"/>
      <c r="F1872" s="4"/>
      <c r="G1872" s="4"/>
      <c r="H1872" s="4"/>
      <c r="I1872" s="4"/>
      <c r="J1872" s="4"/>
      <c r="K1872" s="4"/>
    </row>
    <row r="1873" spans="2:11">
      <c r="B1873" s="6"/>
      <c r="C1873" s="24"/>
      <c r="D1873" s="5"/>
      <c r="E1873" s="5"/>
      <c r="F1873" s="4"/>
      <c r="G1873" s="4"/>
      <c r="H1873" s="4"/>
      <c r="I1873" s="4"/>
      <c r="J1873" s="4"/>
      <c r="K1873" s="4"/>
    </row>
    <row r="1874" spans="2:11">
      <c r="B1874" s="6"/>
      <c r="C1874" s="24"/>
      <c r="D1874" s="5"/>
      <c r="E1874" s="5"/>
      <c r="F1874" s="4"/>
      <c r="G1874" s="4"/>
      <c r="H1874" s="4"/>
      <c r="I1874" s="4"/>
      <c r="J1874" s="4"/>
      <c r="K1874" s="4"/>
    </row>
    <row r="1875" spans="2:11">
      <c r="B1875" s="6"/>
      <c r="C1875" s="24"/>
      <c r="D1875" s="5"/>
      <c r="E1875" s="5"/>
      <c r="F1875" s="4"/>
      <c r="G1875" s="4"/>
      <c r="H1875" s="4"/>
      <c r="I1875" s="4"/>
      <c r="J1875" s="4"/>
      <c r="K1875" s="4"/>
    </row>
    <row r="1876" spans="2:11">
      <c r="B1876" s="6"/>
      <c r="C1876" s="24"/>
      <c r="D1876" s="5"/>
      <c r="E1876" s="5"/>
      <c r="F1876" s="4"/>
      <c r="G1876" s="4"/>
      <c r="H1876" s="4"/>
      <c r="I1876" s="4"/>
      <c r="J1876" s="4"/>
      <c r="K1876" s="4"/>
    </row>
    <row r="1877" spans="2:11">
      <c r="B1877" s="6"/>
      <c r="C1877" s="24"/>
      <c r="D1877" s="5"/>
      <c r="E1877" s="5"/>
      <c r="F1877" s="4"/>
      <c r="G1877" s="4"/>
      <c r="H1877" s="4"/>
      <c r="I1877" s="4"/>
      <c r="J1877" s="4"/>
      <c r="K1877" s="4"/>
    </row>
    <row r="1878" spans="2:11">
      <c r="B1878" s="6"/>
      <c r="C1878" s="24"/>
      <c r="D1878" s="5"/>
      <c r="E1878" s="5"/>
      <c r="F1878" s="4"/>
      <c r="G1878" s="4"/>
      <c r="H1878" s="4"/>
      <c r="I1878" s="4"/>
      <c r="J1878" s="4"/>
      <c r="K1878" s="4"/>
    </row>
    <row r="1879" spans="2:11">
      <c r="B1879" s="6"/>
      <c r="C1879" s="24"/>
      <c r="D1879" s="5"/>
      <c r="E1879" s="5"/>
      <c r="F1879" s="4"/>
      <c r="G1879" s="4"/>
      <c r="H1879" s="4"/>
      <c r="I1879" s="4"/>
      <c r="J1879" s="4"/>
      <c r="K1879" s="4"/>
    </row>
    <row r="1880" spans="2:11">
      <c r="B1880" s="6"/>
      <c r="C1880" s="24"/>
      <c r="D1880" s="5"/>
      <c r="E1880" s="5"/>
      <c r="F1880" s="4"/>
      <c r="G1880" s="4"/>
      <c r="H1880" s="4"/>
      <c r="I1880" s="4"/>
      <c r="J1880" s="4"/>
      <c r="K1880" s="4"/>
    </row>
    <row r="1881" spans="2:11">
      <c r="B1881" s="6"/>
      <c r="C1881" s="24"/>
      <c r="D1881" s="5"/>
      <c r="E1881" s="5"/>
      <c r="F1881" s="4"/>
      <c r="G1881" s="4"/>
      <c r="H1881" s="4"/>
      <c r="I1881" s="4"/>
      <c r="J1881" s="4"/>
      <c r="K1881" s="4"/>
    </row>
    <row r="1882" spans="2:11">
      <c r="B1882" s="6"/>
      <c r="C1882" s="24"/>
      <c r="D1882" s="5"/>
      <c r="E1882" s="5"/>
      <c r="F1882" s="4"/>
      <c r="G1882" s="4"/>
      <c r="H1882" s="4"/>
      <c r="I1882" s="4"/>
      <c r="J1882" s="4"/>
      <c r="K1882" s="4"/>
    </row>
    <row r="1883" spans="2:11">
      <c r="B1883" s="6"/>
      <c r="C1883" s="24"/>
      <c r="D1883" s="5"/>
      <c r="E1883" s="5"/>
      <c r="F1883" s="4"/>
      <c r="G1883" s="4"/>
      <c r="H1883" s="4"/>
      <c r="I1883" s="4"/>
      <c r="J1883" s="4"/>
      <c r="K1883" s="4"/>
    </row>
    <row r="1884" spans="2:11">
      <c r="B1884" s="6"/>
      <c r="C1884" s="24"/>
      <c r="D1884" s="5"/>
      <c r="E1884" s="5"/>
      <c r="F1884" s="4"/>
      <c r="G1884" s="4"/>
      <c r="H1884" s="4"/>
      <c r="I1884" s="4"/>
      <c r="J1884" s="4"/>
      <c r="K1884" s="4"/>
    </row>
    <row r="1885" spans="2:11">
      <c r="B1885" s="6"/>
      <c r="C1885" s="24"/>
      <c r="D1885" s="5"/>
      <c r="E1885" s="5"/>
      <c r="F1885" s="4"/>
      <c r="G1885" s="4"/>
      <c r="H1885" s="4"/>
      <c r="I1885" s="4"/>
      <c r="J1885" s="4"/>
      <c r="K1885" s="4"/>
    </row>
    <row r="1886" spans="2:11">
      <c r="B1886" s="6"/>
      <c r="C1886" s="24"/>
      <c r="D1886" s="5"/>
      <c r="E1886" s="5"/>
      <c r="F1886" s="4"/>
      <c r="G1886" s="4"/>
      <c r="H1886" s="4"/>
      <c r="I1886" s="4"/>
      <c r="J1886" s="4"/>
      <c r="K1886" s="4"/>
    </row>
    <row r="1887" spans="2:11">
      <c r="B1887" s="6"/>
      <c r="C1887" s="24"/>
      <c r="D1887" s="5"/>
      <c r="E1887" s="5"/>
      <c r="F1887" s="4"/>
      <c r="G1887" s="4"/>
      <c r="H1887" s="4"/>
      <c r="I1887" s="4"/>
      <c r="J1887" s="4"/>
      <c r="K1887" s="4"/>
    </row>
    <row r="1888" spans="2:11">
      <c r="B1888" s="6"/>
      <c r="C1888" s="24"/>
      <c r="D1888" s="5"/>
      <c r="E1888" s="5"/>
      <c r="F1888" s="4"/>
      <c r="G1888" s="4"/>
      <c r="H1888" s="4"/>
      <c r="I1888" s="4"/>
      <c r="J1888" s="4"/>
      <c r="K1888" s="4"/>
    </row>
    <row r="1889" spans="2:11">
      <c r="B1889" s="6"/>
      <c r="C1889" s="24"/>
      <c r="D1889" s="5"/>
      <c r="E1889" s="5"/>
      <c r="F1889" s="4"/>
      <c r="G1889" s="4"/>
      <c r="H1889" s="4"/>
      <c r="I1889" s="4"/>
      <c r="J1889" s="4"/>
      <c r="K1889" s="4"/>
    </row>
    <row r="1890" spans="2:11">
      <c r="B1890" s="6"/>
      <c r="C1890" s="24"/>
      <c r="D1890" s="5"/>
      <c r="E1890" s="5"/>
      <c r="F1890" s="4"/>
      <c r="G1890" s="4"/>
      <c r="H1890" s="4"/>
      <c r="I1890" s="4"/>
      <c r="J1890" s="4"/>
      <c r="K1890" s="4"/>
    </row>
    <row r="1891" spans="2:11">
      <c r="B1891" s="6"/>
      <c r="C1891" s="24"/>
      <c r="D1891" s="5"/>
      <c r="E1891" s="5"/>
      <c r="F1891" s="4"/>
      <c r="G1891" s="4"/>
      <c r="H1891" s="4"/>
      <c r="I1891" s="4"/>
      <c r="J1891" s="4"/>
      <c r="K1891" s="4"/>
    </row>
    <row r="1892" spans="2:11">
      <c r="B1892" s="6"/>
      <c r="C1892" s="24"/>
      <c r="D1892" s="5"/>
      <c r="E1892" s="5"/>
      <c r="F1892" s="4"/>
      <c r="G1892" s="4"/>
      <c r="H1892" s="4"/>
      <c r="I1892" s="4"/>
      <c r="J1892" s="4"/>
      <c r="K1892" s="4"/>
    </row>
    <row r="1893" spans="2:11">
      <c r="B1893" s="6"/>
      <c r="C1893" s="24"/>
      <c r="D1893" s="5"/>
      <c r="E1893" s="5"/>
      <c r="F1893" s="4"/>
      <c r="G1893" s="4"/>
      <c r="H1893" s="4"/>
      <c r="I1893" s="4"/>
      <c r="J1893" s="4"/>
      <c r="K1893" s="4"/>
    </row>
    <row r="1894" spans="2:11">
      <c r="B1894" s="6"/>
      <c r="C1894" s="24"/>
      <c r="D1894" s="5"/>
      <c r="E1894" s="5"/>
      <c r="F1894" s="4"/>
      <c r="G1894" s="4"/>
      <c r="H1894" s="4"/>
      <c r="I1894" s="4"/>
      <c r="J1894" s="4"/>
      <c r="K1894" s="4"/>
    </row>
    <row r="1895" spans="2:11">
      <c r="B1895" s="6"/>
      <c r="C1895" s="24"/>
      <c r="D1895" s="5"/>
      <c r="E1895" s="5"/>
      <c r="F1895" s="4"/>
      <c r="G1895" s="4"/>
      <c r="H1895" s="4"/>
      <c r="I1895" s="4"/>
      <c r="J1895" s="4"/>
      <c r="K1895" s="4"/>
    </row>
    <row r="1896" spans="2:11">
      <c r="B1896" s="6"/>
      <c r="C1896" s="24"/>
      <c r="D1896" s="5"/>
      <c r="E1896" s="5"/>
      <c r="F1896" s="4"/>
      <c r="G1896" s="4"/>
      <c r="H1896" s="4"/>
      <c r="I1896" s="4"/>
      <c r="J1896" s="4"/>
      <c r="K1896" s="4"/>
    </row>
    <row r="1897" spans="2:11">
      <c r="B1897" s="6"/>
      <c r="C1897" s="24"/>
      <c r="D1897" s="5"/>
      <c r="E1897" s="5"/>
      <c r="F1897" s="4"/>
      <c r="G1897" s="4"/>
      <c r="H1897" s="4"/>
      <c r="I1897" s="4"/>
      <c r="J1897" s="4"/>
      <c r="K1897" s="4"/>
    </row>
    <row r="1898" spans="2:11">
      <c r="B1898" s="6"/>
      <c r="C1898" s="24"/>
      <c r="D1898" s="5"/>
      <c r="E1898" s="5"/>
      <c r="F1898" s="4"/>
      <c r="G1898" s="4"/>
      <c r="H1898" s="4"/>
      <c r="I1898" s="4"/>
      <c r="J1898" s="4"/>
      <c r="K1898" s="4"/>
    </row>
    <row r="1899" spans="2:11">
      <c r="B1899" s="6"/>
      <c r="C1899" s="24"/>
      <c r="D1899" s="5"/>
      <c r="E1899" s="5"/>
      <c r="F1899" s="4"/>
      <c r="G1899" s="4"/>
      <c r="H1899" s="4"/>
      <c r="I1899" s="4"/>
      <c r="J1899" s="4"/>
      <c r="K1899" s="4"/>
    </row>
    <row r="1900" spans="2:11">
      <c r="B1900" s="6"/>
      <c r="C1900" s="24"/>
      <c r="D1900" s="5"/>
      <c r="E1900" s="5"/>
      <c r="F1900" s="4"/>
      <c r="G1900" s="4"/>
      <c r="H1900" s="4"/>
      <c r="I1900" s="4"/>
      <c r="J1900" s="4"/>
      <c r="K1900" s="4"/>
    </row>
    <row r="1901" spans="2:11">
      <c r="B1901" s="6"/>
      <c r="C1901" s="24"/>
      <c r="D1901" s="5"/>
      <c r="E1901" s="5"/>
      <c r="F1901" s="4"/>
      <c r="G1901" s="4"/>
      <c r="H1901" s="4"/>
      <c r="I1901" s="4"/>
      <c r="J1901" s="4"/>
      <c r="K1901" s="4"/>
    </row>
    <row r="1902" spans="2:11">
      <c r="B1902" s="6"/>
      <c r="C1902" s="24"/>
      <c r="D1902" s="5"/>
      <c r="E1902" s="5"/>
      <c r="F1902" s="4"/>
      <c r="G1902" s="4"/>
      <c r="H1902" s="4"/>
      <c r="I1902" s="4"/>
      <c r="J1902" s="4"/>
      <c r="K1902" s="4"/>
    </row>
    <row r="1903" spans="2:11">
      <c r="B1903" s="6"/>
      <c r="C1903" s="24"/>
      <c r="D1903" s="5"/>
      <c r="E1903" s="5"/>
      <c r="F1903" s="4"/>
      <c r="G1903" s="4"/>
      <c r="H1903" s="4"/>
      <c r="I1903" s="4"/>
      <c r="J1903" s="4"/>
      <c r="K1903" s="4"/>
    </row>
    <row r="1904" spans="2:11">
      <c r="B1904" s="6"/>
      <c r="C1904" s="24"/>
      <c r="D1904" s="5"/>
      <c r="E1904" s="5"/>
      <c r="F1904" s="4"/>
      <c r="G1904" s="4"/>
      <c r="H1904" s="4"/>
      <c r="I1904" s="4"/>
      <c r="J1904" s="4"/>
      <c r="K1904" s="4"/>
    </row>
    <row r="1905" spans="2:11">
      <c r="B1905" s="6"/>
      <c r="C1905" s="24"/>
      <c r="D1905" s="5"/>
      <c r="E1905" s="5"/>
      <c r="F1905" s="4"/>
      <c r="G1905" s="4"/>
      <c r="H1905" s="4"/>
      <c r="I1905" s="4"/>
      <c r="J1905" s="4"/>
      <c r="K1905" s="4"/>
    </row>
    <row r="1906" spans="2:11">
      <c r="B1906" s="6"/>
      <c r="C1906" s="24"/>
      <c r="D1906" s="5"/>
      <c r="E1906" s="5"/>
      <c r="F1906" s="4"/>
      <c r="G1906" s="4"/>
      <c r="H1906" s="4"/>
      <c r="I1906" s="4"/>
      <c r="J1906" s="4"/>
      <c r="K1906" s="4"/>
    </row>
    <row r="1907" spans="2:11">
      <c r="B1907" s="6"/>
      <c r="C1907" s="24"/>
      <c r="D1907" s="5"/>
      <c r="E1907" s="5"/>
      <c r="F1907" s="4"/>
      <c r="G1907" s="4"/>
      <c r="H1907" s="4"/>
      <c r="I1907" s="4"/>
      <c r="J1907" s="4"/>
      <c r="K1907" s="4"/>
    </row>
    <row r="1908" spans="2:11">
      <c r="B1908" s="6"/>
      <c r="C1908" s="24"/>
      <c r="D1908" s="5"/>
      <c r="E1908" s="5"/>
      <c r="F1908" s="4"/>
      <c r="G1908" s="4"/>
      <c r="H1908" s="4"/>
      <c r="I1908" s="4"/>
      <c r="J1908" s="4"/>
      <c r="K1908" s="4"/>
    </row>
    <row r="1909" spans="2:11">
      <c r="B1909" s="6"/>
      <c r="C1909" s="24"/>
      <c r="D1909" s="5"/>
      <c r="E1909" s="5"/>
      <c r="F1909" s="4"/>
      <c r="G1909" s="4"/>
      <c r="H1909" s="4"/>
      <c r="I1909" s="4"/>
      <c r="J1909" s="4"/>
      <c r="K1909" s="4"/>
    </row>
    <row r="1910" spans="2:11">
      <c r="B1910" s="6"/>
      <c r="C1910" s="24"/>
      <c r="D1910" s="5"/>
      <c r="E1910" s="5"/>
      <c r="F1910" s="4"/>
      <c r="G1910" s="4"/>
      <c r="H1910" s="4"/>
      <c r="I1910" s="4"/>
      <c r="J1910" s="4"/>
      <c r="K1910" s="4"/>
    </row>
    <row r="1911" spans="2:11">
      <c r="B1911" s="6"/>
      <c r="C1911" s="24"/>
      <c r="D1911" s="5"/>
      <c r="E1911" s="5"/>
      <c r="F1911" s="4"/>
      <c r="G1911" s="4"/>
      <c r="H1911" s="4"/>
      <c r="I1911" s="4"/>
      <c r="J1911" s="4"/>
      <c r="K1911" s="4"/>
    </row>
    <row r="1912" spans="2:11">
      <c r="B1912" s="6"/>
      <c r="C1912" s="24"/>
      <c r="D1912" s="5"/>
      <c r="E1912" s="5"/>
      <c r="F1912" s="4"/>
      <c r="G1912" s="4"/>
      <c r="H1912" s="4"/>
      <c r="I1912" s="4"/>
      <c r="J1912" s="4"/>
      <c r="K1912" s="4"/>
    </row>
    <row r="1913" spans="2:11">
      <c r="B1913" s="6"/>
      <c r="C1913" s="24"/>
      <c r="D1913" s="5"/>
      <c r="E1913" s="5"/>
      <c r="F1913" s="4"/>
      <c r="G1913" s="4"/>
      <c r="H1913" s="4"/>
      <c r="I1913" s="4"/>
      <c r="J1913" s="4"/>
      <c r="K1913" s="4"/>
    </row>
    <row r="1914" spans="2:11">
      <c r="B1914" s="6"/>
      <c r="C1914" s="24"/>
      <c r="D1914" s="5"/>
      <c r="E1914" s="5"/>
      <c r="F1914" s="4"/>
      <c r="G1914" s="4"/>
      <c r="H1914" s="4"/>
      <c r="I1914" s="4"/>
      <c r="J1914" s="4"/>
      <c r="K1914" s="4"/>
    </row>
    <row r="1915" spans="2:11">
      <c r="B1915" s="6"/>
      <c r="C1915" s="24"/>
      <c r="D1915" s="5"/>
      <c r="E1915" s="5"/>
      <c r="F1915" s="4"/>
      <c r="G1915" s="4"/>
      <c r="H1915" s="4"/>
      <c r="I1915" s="4"/>
      <c r="J1915" s="4"/>
      <c r="K1915" s="4"/>
    </row>
    <row r="1916" spans="2:11">
      <c r="B1916" s="6"/>
      <c r="C1916" s="24"/>
      <c r="D1916" s="5"/>
      <c r="E1916" s="5"/>
      <c r="F1916" s="4"/>
      <c r="G1916" s="4"/>
      <c r="H1916" s="4"/>
      <c r="I1916" s="4"/>
      <c r="J1916" s="4"/>
      <c r="K1916" s="4"/>
    </row>
    <row r="1917" spans="2:11">
      <c r="B1917" s="6"/>
      <c r="C1917" s="24"/>
      <c r="D1917" s="5"/>
      <c r="E1917" s="5"/>
      <c r="F1917" s="4"/>
      <c r="G1917" s="4"/>
      <c r="H1917" s="4"/>
      <c r="I1917" s="4"/>
      <c r="J1917" s="4"/>
      <c r="K1917" s="4"/>
    </row>
    <row r="1918" spans="2:11">
      <c r="B1918" s="6"/>
      <c r="C1918" s="24"/>
      <c r="D1918" s="5"/>
      <c r="E1918" s="5"/>
      <c r="F1918" s="4"/>
      <c r="G1918" s="4"/>
      <c r="H1918" s="4"/>
      <c r="I1918" s="4"/>
      <c r="J1918" s="4"/>
      <c r="K1918" s="4"/>
    </row>
    <row r="1919" spans="2:11">
      <c r="B1919" s="6"/>
      <c r="C1919" s="24"/>
      <c r="D1919" s="5"/>
      <c r="E1919" s="5"/>
      <c r="F1919" s="4"/>
      <c r="G1919" s="4"/>
      <c r="H1919" s="4"/>
      <c r="I1919" s="4"/>
      <c r="J1919" s="4"/>
      <c r="K1919" s="4"/>
    </row>
    <row r="1920" spans="2:11">
      <c r="B1920" s="6"/>
      <c r="C1920" s="24"/>
      <c r="D1920" s="5"/>
      <c r="E1920" s="5"/>
      <c r="F1920" s="4"/>
      <c r="G1920" s="4"/>
      <c r="H1920" s="4"/>
      <c r="I1920" s="4"/>
      <c r="J1920" s="4"/>
      <c r="K1920" s="4"/>
    </row>
    <row r="1921" spans="2:11">
      <c r="B1921" s="6"/>
      <c r="C1921" s="24"/>
      <c r="D1921" s="5"/>
      <c r="E1921" s="5"/>
      <c r="F1921" s="4"/>
      <c r="G1921" s="4"/>
      <c r="H1921" s="4"/>
      <c r="I1921" s="4"/>
      <c r="J1921" s="4"/>
      <c r="K1921" s="4"/>
    </row>
    <row r="1922" spans="2:11">
      <c r="B1922" s="6"/>
      <c r="C1922" s="24"/>
      <c r="D1922" s="5"/>
      <c r="E1922" s="5"/>
      <c r="F1922" s="4"/>
      <c r="G1922" s="4"/>
      <c r="H1922" s="4"/>
      <c r="I1922" s="4"/>
      <c r="J1922" s="4"/>
      <c r="K1922" s="4"/>
    </row>
    <row r="1923" spans="2:11">
      <c r="B1923" s="6"/>
      <c r="C1923" s="24"/>
      <c r="D1923" s="5"/>
      <c r="E1923" s="5"/>
      <c r="F1923" s="4"/>
      <c r="G1923" s="4"/>
      <c r="H1923" s="4"/>
      <c r="I1923" s="4"/>
      <c r="J1923" s="4"/>
      <c r="K1923" s="4"/>
    </row>
    <row r="1924" spans="2:11">
      <c r="B1924" s="6"/>
      <c r="C1924" s="24"/>
      <c r="D1924" s="5"/>
      <c r="E1924" s="5"/>
      <c r="F1924" s="4"/>
      <c r="G1924" s="4"/>
      <c r="H1924" s="4"/>
      <c r="I1924" s="4"/>
      <c r="J1924" s="4"/>
      <c r="K1924" s="4"/>
    </row>
    <row r="1925" spans="2:11">
      <c r="B1925" s="6"/>
      <c r="C1925" s="24"/>
      <c r="D1925" s="5"/>
      <c r="E1925" s="5"/>
      <c r="F1925" s="4"/>
      <c r="G1925" s="4"/>
      <c r="H1925" s="4"/>
      <c r="I1925" s="4"/>
      <c r="J1925" s="4"/>
      <c r="K1925" s="4"/>
    </row>
    <row r="1926" spans="2:11">
      <c r="B1926" s="6"/>
      <c r="C1926" s="24"/>
      <c r="D1926" s="5"/>
      <c r="E1926" s="5"/>
      <c r="F1926" s="4"/>
      <c r="G1926" s="4"/>
      <c r="H1926" s="4"/>
      <c r="I1926" s="4"/>
      <c r="J1926" s="4"/>
      <c r="K1926" s="4"/>
    </row>
    <row r="1927" spans="2:11">
      <c r="B1927" s="6"/>
      <c r="C1927" s="24"/>
      <c r="D1927" s="5"/>
      <c r="E1927" s="5"/>
      <c r="F1927" s="4"/>
      <c r="G1927" s="4"/>
      <c r="H1927" s="4"/>
      <c r="I1927" s="4"/>
      <c r="J1927" s="4"/>
      <c r="K1927" s="4"/>
    </row>
    <row r="1928" spans="2:11">
      <c r="B1928" s="6"/>
      <c r="C1928" s="24"/>
      <c r="D1928" s="5"/>
      <c r="E1928" s="5"/>
      <c r="F1928" s="4"/>
      <c r="G1928" s="4"/>
      <c r="H1928" s="4"/>
      <c r="I1928" s="4"/>
      <c r="J1928" s="4"/>
      <c r="K1928" s="4"/>
    </row>
    <row r="1929" spans="2:11">
      <c r="B1929" s="6"/>
      <c r="C1929" s="24"/>
      <c r="D1929" s="5"/>
      <c r="E1929" s="5"/>
      <c r="F1929" s="4"/>
      <c r="G1929" s="4"/>
      <c r="H1929" s="4"/>
      <c r="I1929" s="4"/>
      <c r="J1929" s="4"/>
      <c r="K1929" s="4"/>
    </row>
    <row r="1930" spans="2:11">
      <c r="B1930" s="6"/>
      <c r="C1930" s="24"/>
      <c r="D1930" s="5"/>
      <c r="E1930" s="5"/>
      <c r="F1930" s="4"/>
      <c r="G1930" s="4"/>
      <c r="H1930" s="4"/>
      <c r="I1930" s="4"/>
      <c r="J1930" s="4"/>
      <c r="K1930" s="4"/>
    </row>
    <row r="1931" spans="2:11">
      <c r="B1931" s="6"/>
      <c r="C1931" s="24"/>
      <c r="D1931" s="5"/>
      <c r="E1931" s="5"/>
      <c r="F1931" s="4"/>
      <c r="G1931" s="4"/>
      <c r="H1931" s="4"/>
      <c r="I1931" s="4"/>
      <c r="J1931" s="4"/>
      <c r="K1931" s="4"/>
    </row>
    <row r="1932" spans="2:11">
      <c r="B1932" s="6"/>
      <c r="C1932" s="24"/>
      <c r="D1932" s="5"/>
      <c r="E1932" s="5"/>
      <c r="F1932" s="4"/>
      <c r="G1932" s="4"/>
      <c r="H1932" s="4"/>
      <c r="I1932" s="4"/>
      <c r="J1932" s="4"/>
      <c r="K1932" s="4"/>
    </row>
    <row r="1933" spans="2:11">
      <c r="B1933" s="6"/>
      <c r="C1933" s="24"/>
      <c r="D1933" s="5"/>
      <c r="E1933" s="5"/>
      <c r="F1933" s="4"/>
      <c r="G1933" s="4"/>
      <c r="H1933" s="4"/>
      <c r="I1933" s="4"/>
      <c r="J1933" s="4"/>
      <c r="K1933" s="4"/>
    </row>
    <row r="1934" spans="2:11">
      <c r="B1934" s="6"/>
      <c r="C1934" s="24"/>
      <c r="D1934" s="5"/>
      <c r="E1934" s="5"/>
      <c r="F1934" s="4"/>
      <c r="G1934" s="4"/>
      <c r="H1934" s="4"/>
      <c r="I1934" s="4"/>
      <c r="J1934" s="4"/>
      <c r="K1934" s="4"/>
    </row>
    <row r="1935" spans="2:11">
      <c r="B1935" s="6"/>
      <c r="C1935" s="24"/>
      <c r="D1935" s="5"/>
      <c r="E1935" s="5"/>
      <c r="F1935" s="4"/>
      <c r="G1935" s="4"/>
      <c r="H1935" s="4"/>
      <c r="I1935" s="4"/>
      <c r="J1935" s="4"/>
      <c r="K1935" s="4"/>
    </row>
    <row r="1936" spans="2:11">
      <c r="B1936" s="6"/>
      <c r="C1936" s="24"/>
      <c r="D1936" s="5"/>
      <c r="E1936" s="5"/>
      <c r="F1936" s="4"/>
      <c r="G1936" s="4"/>
      <c r="H1936" s="4"/>
      <c r="I1936" s="4"/>
      <c r="J1936" s="4"/>
      <c r="K1936" s="4"/>
    </row>
    <row r="1937" spans="2:11">
      <c r="B1937" s="6"/>
      <c r="C1937" s="24"/>
      <c r="D1937" s="5"/>
      <c r="E1937" s="5"/>
      <c r="F1937" s="4"/>
      <c r="G1937" s="4"/>
      <c r="H1937" s="4"/>
      <c r="I1937" s="4"/>
      <c r="J1937" s="4"/>
      <c r="K1937" s="4"/>
    </row>
    <row r="1938" spans="2:11">
      <c r="B1938" s="6"/>
      <c r="C1938" s="24"/>
      <c r="D1938" s="5"/>
      <c r="E1938" s="5"/>
      <c r="F1938" s="4"/>
      <c r="G1938" s="4"/>
      <c r="H1938" s="4"/>
      <c r="I1938" s="4"/>
      <c r="J1938" s="4"/>
      <c r="K1938" s="4"/>
    </row>
    <row r="1939" spans="2:11">
      <c r="B1939" s="6"/>
      <c r="C1939" s="24"/>
      <c r="D1939" s="5"/>
      <c r="E1939" s="5"/>
      <c r="F1939" s="4"/>
      <c r="G1939" s="4"/>
      <c r="H1939" s="4"/>
      <c r="I1939" s="4"/>
      <c r="J1939" s="4"/>
      <c r="K1939" s="4"/>
    </row>
    <row r="1940" spans="2:11">
      <c r="B1940" s="6"/>
      <c r="C1940" s="24"/>
      <c r="D1940" s="5"/>
      <c r="E1940" s="5"/>
      <c r="F1940" s="4"/>
      <c r="G1940" s="4"/>
      <c r="H1940" s="4"/>
      <c r="I1940" s="4"/>
      <c r="J1940" s="4"/>
      <c r="K1940" s="4"/>
    </row>
    <row r="1941" spans="2:11">
      <c r="B1941" s="6"/>
      <c r="C1941" s="24"/>
      <c r="D1941" s="5"/>
      <c r="E1941" s="5"/>
      <c r="F1941" s="4"/>
      <c r="G1941" s="4"/>
      <c r="H1941" s="4"/>
      <c r="I1941" s="4"/>
      <c r="J1941" s="4"/>
      <c r="K1941" s="4"/>
    </row>
    <row r="1942" spans="2:11">
      <c r="B1942" s="6"/>
      <c r="C1942" s="24"/>
      <c r="D1942" s="5"/>
      <c r="E1942" s="5"/>
      <c r="F1942" s="4"/>
      <c r="G1942" s="4"/>
      <c r="H1942" s="4"/>
      <c r="I1942" s="4"/>
      <c r="J1942" s="4"/>
      <c r="K1942" s="4"/>
    </row>
    <row r="1943" spans="2:11">
      <c r="B1943" s="6"/>
      <c r="C1943" s="24"/>
      <c r="D1943" s="5"/>
      <c r="E1943" s="5"/>
      <c r="F1943" s="4"/>
      <c r="G1943" s="4"/>
      <c r="H1943" s="4"/>
      <c r="I1943" s="4"/>
      <c r="J1943" s="4"/>
      <c r="K1943" s="4"/>
    </row>
    <row r="1944" spans="2:11">
      <c r="B1944" s="6"/>
      <c r="C1944" s="24"/>
      <c r="D1944" s="5"/>
      <c r="E1944" s="5"/>
      <c r="F1944" s="4"/>
      <c r="G1944" s="4"/>
      <c r="H1944" s="4"/>
      <c r="I1944" s="4"/>
      <c r="J1944" s="4"/>
      <c r="K1944" s="4"/>
    </row>
    <row r="1945" spans="2:11">
      <c r="B1945" s="6"/>
      <c r="C1945" s="24"/>
      <c r="D1945" s="5"/>
      <c r="E1945" s="5"/>
      <c r="F1945" s="4"/>
      <c r="G1945" s="4"/>
      <c r="H1945" s="4"/>
      <c r="I1945" s="4"/>
      <c r="J1945" s="4"/>
      <c r="K1945" s="4"/>
    </row>
    <row r="1946" spans="2:11">
      <c r="B1946" s="6"/>
      <c r="C1946" s="24"/>
      <c r="D1946" s="5"/>
      <c r="E1946" s="5"/>
      <c r="F1946" s="4"/>
      <c r="G1946" s="4"/>
      <c r="H1946" s="4"/>
      <c r="I1946" s="4"/>
      <c r="J1946" s="4"/>
      <c r="K1946" s="4"/>
    </row>
    <row r="1947" spans="2:11">
      <c r="B1947" s="6"/>
      <c r="C1947" s="24"/>
      <c r="D1947" s="5"/>
      <c r="E1947" s="5"/>
      <c r="F1947" s="4"/>
      <c r="G1947" s="4"/>
      <c r="H1947" s="4"/>
      <c r="I1947" s="4"/>
      <c r="J1947" s="4"/>
      <c r="K1947" s="4"/>
    </row>
    <row r="1948" spans="2:11">
      <c r="B1948" s="6"/>
      <c r="C1948" s="24"/>
      <c r="D1948" s="5"/>
      <c r="E1948" s="5"/>
      <c r="F1948" s="4"/>
      <c r="G1948" s="4"/>
      <c r="H1948" s="4"/>
      <c r="I1948" s="4"/>
      <c r="J1948" s="4"/>
      <c r="K1948" s="4"/>
    </row>
    <row r="1949" spans="2:11">
      <c r="B1949" s="6"/>
      <c r="C1949" s="24"/>
      <c r="D1949" s="5"/>
      <c r="E1949" s="5"/>
      <c r="F1949" s="4"/>
      <c r="G1949" s="4"/>
      <c r="H1949" s="4"/>
      <c r="I1949" s="4"/>
      <c r="J1949" s="4"/>
      <c r="K1949" s="4"/>
    </row>
    <row r="1950" spans="2:11">
      <c r="B1950" s="6"/>
      <c r="C1950" s="24"/>
      <c r="D1950" s="5"/>
      <c r="E1950" s="5"/>
      <c r="F1950" s="4"/>
      <c r="G1950" s="4"/>
      <c r="H1950" s="4"/>
      <c r="I1950" s="4"/>
      <c r="J1950" s="4"/>
      <c r="K1950" s="4"/>
    </row>
    <row r="1951" spans="2:11">
      <c r="B1951" s="6"/>
      <c r="C1951" s="24"/>
      <c r="D1951" s="5"/>
      <c r="E1951" s="5"/>
      <c r="F1951" s="4"/>
      <c r="G1951" s="4"/>
      <c r="H1951" s="4"/>
      <c r="I1951" s="4"/>
      <c r="J1951" s="4"/>
      <c r="K1951" s="4"/>
    </row>
    <row r="1952" spans="2:11">
      <c r="B1952" s="6"/>
      <c r="C1952" s="24"/>
      <c r="D1952" s="5"/>
      <c r="E1952" s="5"/>
      <c r="F1952" s="4"/>
      <c r="G1952" s="4"/>
      <c r="H1952" s="4"/>
      <c r="I1952" s="4"/>
      <c r="J1952" s="4"/>
      <c r="K1952" s="4"/>
    </row>
    <row r="1953" spans="2:11">
      <c r="B1953" s="6"/>
      <c r="C1953" s="24"/>
      <c r="D1953" s="5"/>
      <c r="E1953" s="5"/>
      <c r="F1953" s="4"/>
      <c r="G1953" s="4"/>
      <c r="H1953" s="4"/>
      <c r="I1953" s="4"/>
      <c r="J1953" s="4"/>
      <c r="K1953" s="4"/>
    </row>
    <row r="1954" spans="2:11">
      <c r="B1954" s="6"/>
      <c r="C1954" s="24"/>
      <c r="D1954" s="5"/>
      <c r="E1954" s="5"/>
      <c r="F1954" s="4"/>
      <c r="G1954" s="4"/>
      <c r="H1954" s="4"/>
      <c r="I1954" s="4"/>
      <c r="J1954" s="4"/>
      <c r="K1954" s="4"/>
    </row>
    <row r="1955" spans="2:11">
      <c r="B1955" s="6"/>
      <c r="C1955" s="24"/>
      <c r="D1955" s="5"/>
      <c r="E1955" s="5"/>
      <c r="F1955" s="4"/>
      <c r="G1955" s="4"/>
      <c r="H1955" s="4"/>
      <c r="I1955" s="4"/>
      <c r="J1955" s="4"/>
      <c r="K1955" s="4"/>
    </row>
    <row r="1956" spans="2:11">
      <c r="B1956" s="6"/>
      <c r="C1956" s="24"/>
      <c r="D1956" s="5"/>
      <c r="E1956" s="5"/>
      <c r="F1956" s="4"/>
      <c r="G1956" s="4"/>
      <c r="H1956" s="4"/>
      <c r="I1956" s="4"/>
      <c r="J1956" s="4"/>
      <c r="K1956" s="4"/>
    </row>
    <row r="1957" spans="2:11">
      <c r="B1957" s="6"/>
      <c r="C1957" s="24"/>
      <c r="D1957" s="5"/>
      <c r="E1957" s="5"/>
      <c r="F1957" s="4"/>
      <c r="G1957" s="4"/>
      <c r="H1957" s="4"/>
      <c r="I1957" s="4"/>
      <c r="J1957" s="4"/>
      <c r="K1957" s="4"/>
    </row>
    <row r="1958" spans="2:11">
      <c r="B1958" s="6"/>
      <c r="C1958" s="24"/>
      <c r="D1958" s="5"/>
      <c r="E1958" s="5"/>
      <c r="F1958" s="4"/>
      <c r="G1958" s="4"/>
      <c r="H1958" s="4"/>
      <c r="I1958" s="4"/>
      <c r="J1958" s="4"/>
      <c r="K1958" s="4"/>
    </row>
    <row r="1959" spans="2:11">
      <c r="B1959" s="6"/>
      <c r="C1959" s="24"/>
      <c r="D1959" s="5"/>
      <c r="E1959" s="5"/>
      <c r="F1959" s="4"/>
      <c r="G1959" s="4"/>
      <c r="H1959" s="4"/>
      <c r="I1959" s="4"/>
      <c r="J1959" s="4"/>
      <c r="K1959" s="4"/>
    </row>
    <row r="1960" spans="2:11">
      <c r="B1960" s="6"/>
      <c r="C1960" s="24"/>
      <c r="D1960" s="5"/>
      <c r="E1960" s="5"/>
      <c r="F1960" s="4"/>
      <c r="G1960" s="4"/>
      <c r="H1960" s="4"/>
      <c r="I1960" s="4"/>
      <c r="J1960" s="4"/>
      <c r="K1960" s="4"/>
    </row>
    <row r="1961" spans="2:11">
      <c r="B1961" s="6"/>
      <c r="C1961" s="24"/>
      <c r="D1961" s="5"/>
      <c r="E1961" s="5"/>
      <c r="F1961" s="4"/>
      <c r="G1961" s="4"/>
      <c r="H1961" s="4"/>
      <c r="I1961" s="4"/>
      <c r="J1961" s="4"/>
      <c r="K1961" s="4"/>
    </row>
    <row r="1962" spans="2:11">
      <c r="B1962" s="6"/>
      <c r="C1962" s="24"/>
      <c r="D1962" s="5"/>
      <c r="E1962" s="5"/>
      <c r="F1962" s="4"/>
      <c r="G1962" s="4"/>
      <c r="H1962" s="4"/>
      <c r="I1962" s="4"/>
      <c r="J1962" s="4"/>
      <c r="K1962" s="4"/>
    </row>
    <row r="1963" spans="2:11">
      <c r="B1963" s="6"/>
      <c r="C1963" s="24"/>
      <c r="D1963" s="5"/>
      <c r="E1963" s="5"/>
      <c r="F1963" s="4"/>
      <c r="G1963" s="4"/>
      <c r="H1963" s="4"/>
      <c r="I1963" s="4"/>
      <c r="J1963" s="4"/>
      <c r="K1963" s="4"/>
    </row>
    <row r="1964" spans="2:11">
      <c r="B1964" s="6"/>
      <c r="C1964" s="24"/>
      <c r="D1964" s="5"/>
      <c r="E1964" s="5"/>
      <c r="F1964" s="4"/>
      <c r="G1964" s="4"/>
      <c r="H1964" s="4"/>
      <c r="I1964" s="4"/>
      <c r="J1964" s="4"/>
      <c r="K1964" s="4"/>
    </row>
    <row r="1965" spans="2:11">
      <c r="B1965" s="6"/>
      <c r="C1965" s="24"/>
      <c r="D1965" s="5"/>
      <c r="E1965" s="5"/>
      <c r="F1965" s="4"/>
      <c r="G1965" s="4"/>
      <c r="H1965" s="4"/>
      <c r="I1965" s="4"/>
      <c r="J1965" s="4"/>
      <c r="K1965" s="4"/>
    </row>
    <row r="1966" spans="2:11">
      <c r="B1966" s="6"/>
      <c r="C1966" s="24"/>
      <c r="D1966" s="5"/>
      <c r="E1966" s="5"/>
      <c r="F1966" s="4"/>
      <c r="G1966" s="4"/>
      <c r="H1966" s="4"/>
      <c r="I1966" s="4"/>
      <c r="J1966" s="4"/>
      <c r="K1966" s="4"/>
    </row>
    <row r="1967" spans="2:11">
      <c r="B1967" s="6"/>
      <c r="C1967" s="24"/>
      <c r="D1967" s="5"/>
      <c r="E1967" s="5"/>
      <c r="F1967" s="4"/>
      <c r="G1967" s="4"/>
      <c r="H1967" s="4"/>
      <c r="I1967" s="4"/>
      <c r="J1967" s="4"/>
      <c r="K1967" s="4"/>
    </row>
    <row r="1968" spans="2:11">
      <c r="B1968" s="6"/>
      <c r="C1968" s="24"/>
      <c r="D1968" s="5"/>
      <c r="E1968" s="5"/>
      <c r="F1968" s="4"/>
      <c r="G1968" s="4"/>
      <c r="H1968" s="4"/>
      <c r="I1968" s="4"/>
      <c r="J1968" s="4"/>
      <c r="K1968" s="4"/>
    </row>
    <row r="1969" spans="2:11">
      <c r="B1969" s="6"/>
      <c r="C1969" s="24"/>
      <c r="D1969" s="5"/>
      <c r="E1969" s="5"/>
      <c r="F1969" s="4"/>
      <c r="G1969" s="4"/>
      <c r="H1969" s="4"/>
      <c r="I1969" s="4"/>
      <c r="J1969" s="4"/>
      <c r="K1969" s="4"/>
    </row>
    <row r="1970" spans="2:11">
      <c r="B1970" s="6"/>
      <c r="C1970" s="24"/>
      <c r="D1970" s="5"/>
      <c r="E1970" s="5"/>
      <c r="F1970" s="4"/>
      <c r="G1970" s="4"/>
      <c r="H1970" s="4"/>
      <c r="I1970" s="4"/>
      <c r="J1970" s="4"/>
      <c r="K1970" s="4"/>
    </row>
    <row r="1971" spans="2:11">
      <c r="B1971" s="6"/>
      <c r="C1971" s="24"/>
      <c r="D1971" s="5"/>
      <c r="E1971" s="5"/>
      <c r="F1971" s="4"/>
      <c r="G1971" s="4"/>
      <c r="H1971" s="4"/>
      <c r="I1971" s="4"/>
      <c r="J1971" s="4"/>
      <c r="K1971" s="4"/>
    </row>
    <row r="1972" spans="2:11">
      <c r="B1972" s="6"/>
      <c r="C1972" s="24"/>
      <c r="D1972" s="5"/>
      <c r="E1972" s="5"/>
      <c r="F1972" s="4"/>
      <c r="G1972" s="4"/>
      <c r="H1972" s="4"/>
      <c r="I1972" s="4"/>
      <c r="J1972" s="4"/>
      <c r="K1972" s="4"/>
    </row>
    <row r="1973" spans="2:11">
      <c r="B1973" s="6"/>
      <c r="C1973" s="24"/>
      <c r="D1973" s="5"/>
      <c r="E1973" s="5"/>
      <c r="F1973" s="4"/>
      <c r="G1973" s="4"/>
      <c r="H1973" s="4"/>
      <c r="I1973" s="4"/>
      <c r="J1973" s="4"/>
      <c r="K1973" s="4"/>
    </row>
    <row r="1974" spans="2:11">
      <c r="B1974" s="6"/>
      <c r="C1974" s="24"/>
      <c r="D1974" s="5"/>
      <c r="E1974" s="5"/>
      <c r="F1974" s="4"/>
      <c r="G1974" s="4"/>
      <c r="H1974" s="4"/>
      <c r="I1974" s="4"/>
      <c r="J1974" s="4"/>
      <c r="K1974" s="4"/>
    </row>
    <row r="1975" spans="2:11">
      <c r="B1975" s="6"/>
      <c r="C1975" s="24"/>
      <c r="D1975" s="5"/>
      <c r="E1975" s="5"/>
      <c r="F1975" s="4"/>
      <c r="G1975" s="4"/>
      <c r="H1975" s="4"/>
      <c r="I1975" s="4"/>
      <c r="J1975" s="4"/>
      <c r="K1975" s="4"/>
    </row>
    <row r="1976" spans="2:11">
      <c r="B1976" s="6"/>
      <c r="C1976" s="24"/>
      <c r="D1976" s="5"/>
      <c r="E1976" s="5"/>
      <c r="F1976" s="4"/>
      <c r="G1976" s="4"/>
      <c r="H1976" s="4"/>
      <c r="I1976" s="4"/>
      <c r="J1976" s="4"/>
      <c r="K1976" s="4"/>
    </row>
    <row r="1977" spans="2:11">
      <c r="B1977" s="6"/>
      <c r="C1977" s="24"/>
      <c r="D1977" s="5"/>
      <c r="E1977" s="5"/>
      <c r="F1977" s="4"/>
      <c r="G1977" s="4"/>
      <c r="H1977" s="4"/>
      <c r="I1977" s="4"/>
      <c r="J1977" s="4"/>
      <c r="K1977" s="4"/>
    </row>
    <row r="1978" spans="2:11">
      <c r="B1978" s="6"/>
      <c r="C1978" s="24"/>
      <c r="D1978" s="5"/>
      <c r="E1978" s="5"/>
      <c r="F1978" s="4"/>
      <c r="G1978" s="4"/>
      <c r="H1978" s="4"/>
      <c r="I1978" s="4"/>
      <c r="J1978" s="4"/>
      <c r="K1978" s="4"/>
    </row>
    <row r="1979" spans="2:11">
      <c r="B1979" s="6"/>
      <c r="C1979" s="24"/>
      <c r="D1979" s="5"/>
      <c r="E1979" s="5"/>
      <c r="F1979" s="4"/>
      <c r="G1979" s="4"/>
      <c r="H1979" s="4"/>
      <c r="I1979" s="4"/>
      <c r="J1979" s="4"/>
      <c r="K1979" s="4"/>
    </row>
    <row r="1980" spans="2:11">
      <c r="B1980" s="6"/>
      <c r="C1980" s="24"/>
      <c r="D1980" s="5"/>
      <c r="E1980" s="5"/>
      <c r="F1980" s="4"/>
      <c r="G1980" s="4"/>
      <c r="H1980" s="4"/>
      <c r="I1980" s="4"/>
      <c r="J1980" s="4"/>
      <c r="K1980" s="4"/>
    </row>
    <row r="1981" spans="2:11">
      <c r="B1981" s="6"/>
      <c r="C1981" s="24"/>
      <c r="D1981" s="5"/>
      <c r="E1981" s="5"/>
      <c r="F1981" s="4"/>
      <c r="G1981" s="4"/>
      <c r="H1981" s="4"/>
      <c r="I1981" s="4"/>
      <c r="J1981" s="4"/>
      <c r="K1981" s="4"/>
    </row>
    <row r="1982" spans="2:11">
      <c r="B1982" s="6"/>
      <c r="C1982" s="24"/>
      <c r="D1982" s="5"/>
      <c r="E1982" s="5"/>
      <c r="F1982" s="4"/>
      <c r="G1982" s="4"/>
      <c r="H1982" s="4"/>
      <c r="I1982" s="4"/>
      <c r="J1982" s="4"/>
      <c r="K1982" s="4"/>
    </row>
    <row r="1983" spans="2:11">
      <c r="B1983" s="6"/>
      <c r="C1983" s="24"/>
      <c r="D1983" s="5"/>
      <c r="E1983" s="5"/>
      <c r="F1983" s="4"/>
      <c r="G1983" s="4"/>
      <c r="H1983" s="4"/>
      <c r="I1983" s="4"/>
      <c r="J1983" s="4"/>
      <c r="K1983" s="4"/>
    </row>
    <row r="1984" spans="2:11">
      <c r="B1984" s="6"/>
      <c r="C1984" s="24"/>
      <c r="D1984" s="5"/>
      <c r="E1984" s="5"/>
      <c r="F1984" s="4"/>
      <c r="G1984" s="4"/>
      <c r="H1984" s="4"/>
      <c r="I1984" s="4"/>
      <c r="J1984" s="4"/>
      <c r="K1984" s="4"/>
    </row>
    <row r="1985" spans="2:11">
      <c r="B1985" s="6"/>
      <c r="C1985" s="24"/>
      <c r="D1985" s="5"/>
      <c r="E1985" s="5"/>
      <c r="F1985" s="4"/>
      <c r="G1985" s="4"/>
      <c r="H1985" s="4"/>
      <c r="I1985" s="4"/>
      <c r="J1985" s="4"/>
      <c r="K1985" s="4"/>
    </row>
    <row r="1986" spans="2:11">
      <c r="B1986" s="6"/>
      <c r="C1986" s="24"/>
      <c r="D1986" s="5"/>
      <c r="E1986" s="5"/>
      <c r="F1986" s="4"/>
      <c r="G1986" s="4"/>
      <c r="H1986" s="4"/>
      <c r="I1986" s="4"/>
      <c r="J1986" s="4"/>
      <c r="K1986" s="4"/>
    </row>
    <row r="1987" spans="2:11">
      <c r="B1987" s="6"/>
      <c r="C1987" s="24"/>
      <c r="D1987" s="5"/>
      <c r="E1987" s="5"/>
      <c r="F1987" s="4"/>
      <c r="G1987" s="4"/>
      <c r="H1987" s="4"/>
      <c r="I1987" s="4"/>
      <c r="J1987" s="4"/>
      <c r="K1987" s="4"/>
    </row>
    <row r="1988" spans="2:11">
      <c r="B1988" s="6"/>
      <c r="C1988" s="24"/>
      <c r="D1988" s="5"/>
      <c r="E1988" s="5"/>
      <c r="F1988" s="4"/>
      <c r="G1988" s="4"/>
      <c r="H1988" s="4"/>
      <c r="I1988" s="4"/>
      <c r="J1988" s="4"/>
      <c r="K1988" s="4"/>
    </row>
    <row r="1989" spans="2:11">
      <c r="B1989" s="6"/>
      <c r="C1989" s="24"/>
      <c r="D1989" s="5"/>
      <c r="E1989" s="5"/>
      <c r="F1989" s="4"/>
      <c r="G1989" s="4"/>
      <c r="H1989" s="4"/>
      <c r="I1989" s="4"/>
      <c r="J1989" s="4"/>
      <c r="K1989" s="4"/>
    </row>
    <row r="1990" spans="2:11">
      <c r="B1990" s="6"/>
      <c r="C1990" s="24"/>
      <c r="D1990" s="5"/>
      <c r="E1990" s="5"/>
      <c r="F1990" s="4"/>
      <c r="G1990" s="4"/>
      <c r="H1990" s="4"/>
      <c r="I1990" s="4"/>
      <c r="J1990" s="4"/>
      <c r="K1990" s="4"/>
    </row>
    <row r="1991" spans="2:11">
      <c r="B1991" s="6"/>
      <c r="C1991" s="24"/>
      <c r="D1991" s="5"/>
      <c r="E1991" s="5"/>
      <c r="F1991" s="4"/>
      <c r="G1991" s="4"/>
      <c r="H1991" s="4"/>
      <c r="I1991" s="4"/>
      <c r="J1991" s="4"/>
      <c r="K1991" s="4"/>
    </row>
    <row r="1992" spans="2:11">
      <c r="B1992" s="6"/>
      <c r="C1992" s="24"/>
      <c r="D1992" s="5"/>
      <c r="E1992" s="5"/>
      <c r="F1992" s="4"/>
      <c r="G1992" s="4"/>
      <c r="H1992" s="4"/>
      <c r="I1992" s="4"/>
      <c r="J1992" s="4"/>
      <c r="K1992" s="4"/>
    </row>
    <row r="1993" spans="2:11">
      <c r="B1993" s="6"/>
      <c r="C1993" s="24"/>
      <c r="D1993" s="5"/>
      <c r="E1993" s="5"/>
      <c r="F1993" s="4"/>
      <c r="G1993" s="4"/>
      <c r="H1993" s="4"/>
      <c r="I1993" s="4"/>
      <c r="J1993" s="4"/>
      <c r="K1993" s="4"/>
    </row>
    <row r="1994" spans="2:11">
      <c r="B1994" s="6"/>
      <c r="C1994" s="24"/>
      <c r="D1994" s="5"/>
      <c r="E1994" s="5"/>
      <c r="F1994" s="4"/>
      <c r="G1994" s="4"/>
      <c r="H1994" s="4"/>
      <c r="I1994" s="4"/>
      <c r="J1994" s="4"/>
      <c r="K1994" s="4"/>
    </row>
    <row r="1995" spans="2:11">
      <c r="B1995" s="6"/>
      <c r="C1995" s="24"/>
      <c r="D1995" s="5"/>
      <c r="E1995" s="5"/>
      <c r="F1995" s="4"/>
      <c r="G1995" s="4"/>
      <c r="H1995" s="4"/>
      <c r="I1995" s="4"/>
      <c r="J1995" s="4"/>
      <c r="K1995" s="4"/>
    </row>
    <row r="1996" spans="2:11">
      <c r="B1996" s="6"/>
      <c r="C1996" s="24"/>
      <c r="D1996" s="5"/>
      <c r="E1996" s="5"/>
      <c r="F1996" s="4"/>
      <c r="G1996" s="4"/>
      <c r="H1996" s="4"/>
      <c r="I1996" s="4"/>
      <c r="J1996" s="4"/>
      <c r="K1996" s="4"/>
    </row>
    <row r="1997" spans="2:11">
      <c r="B1997" s="6"/>
      <c r="C1997" s="24"/>
      <c r="D1997" s="5"/>
      <c r="E1997" s="5"/>
      <c r="F1997" s="4"/>
      <c r="G1997" s="4"/>
      <c r="H1997" s="4"/>
      <c r="I1997" s="4"/>
      <c r="J1997" s="4"/>
      <c r="K1997" s="4"/>
    </row>
    <row r="1998" spans="2:11">
      <c r="B1998" s="6"/>
      <c r="C1998" s="24"/>
      <c r="D1998" s="5"/>
      <c r="E1998" s="5"/>
      <c r="F1998" s="4"/>
      <c r="G1998" s="4"/>
      <c r="H1998" s="4"/>
      <c r="I1998" s="4"/>
      <c r="J1998" s="4"/>
      <c r="K1998" s="4"/>
    </row>
    <row r="1999" spans="2:11">
      <c r="B1999" s="6"/>
      <c r="C1999" s="24"/>
      <c r="D1999" s="5"/>
      <c r="E1999" s="5"/>
      <c r="F1999" s="4"/>
      <c r="G1999" s="4"/>
      <c r="H1999" s="4"/>
      <c r="I1999" s="4"/>
      <c r="J1999" s="4"/>
      <c r="K1999" s="4"/>
    </row>
    <row r="2000" spans="2:11">
      <c r="B2000" s="6"/>
      <c r="C2000" s="24"/>
      <c r="D2000" s="5"/>
      <c r="E2000" s="5"/>
      <c r="F2000" s="4"/>
      <c r="G2000" s="4"/>
      <c r="H2000" s="4"/>
      <c r="I2000" s="4"/>
      <c r="J2000" s="4"/>
      <c r="K2000" s="4"/>
    </row>
    <row r="2001" spans="2:11">
      <c r="B2001" s="6"/>
      <c r="C2001" s="24"/>
      <c r="D2001" s="5"/>
      <c r="E2001" s="5"/>
      <c r="F2001" s="4"/>
      <c r="G2001" s="4"/>
      <c r="H2001" s="4"/>
      <c r="I2001" s="4"/>
      <c r="J2001" s="4"/>
      <c r="K2001" s="4"/>
    </row>
    <row r="2002" spans="2:11">
      <c r="B2002" s="6"/>
      <c r="C2002" s="24"/>
      <c r="D2002" s="5"/>
      <c r="E2002" s="5"/>
      <c r="F2002" s="4"/>
      <c r="G2002" s="4"/>
      <c r="H2002" s="4"/>
      <c r="I2002" s="4"/>
      <c r="J2002" s="4"/>
      <c r="K2002" s="4"/>
    </row>
    <row r="2003" spans="2:11">
      <c r="B2003" s="6"/>
      <c r="C2003" s="24"/>
      <c r="D2003" s="5"/>
      <c r="E2003" s="5"/>
      <c r="F2003" s="4"/>
      <c r="G2003" s="4"/>
      <c r="H2003" s="4"/>
      <c r="I2003" s="4"/>
      <c r="J2003" s="4"/>
      <c r="K2003" s="4"/>
    </row>
    <row r="2004" spans="2:11">
      <c r="B2004" s="6"/>
      <c r="C2004" s="24"/>
      <c r="D2004" s="5"/>
      <c r="E2004" s="5"/>
      <c r="F2004" s="4"/>
      <c r="G2004" s="4"/>
      <c r="H2004" s="4"/>
      <c r="I2004" s="4"/>
      <c r="J2004" s="4"/>
      <c r="K2004" s="4"/>
    </row>
    <row r="2005" spans="2:11">
      <c r="B2005" s="6"/>
      <c r="C2005" s="24"/>
      <c r="D2005" s="5"/>
      <c r="E2005" s="5"/>
      <c r="F2005" s="4"/>
      <c r="G2005" s="4"/>
      <c r="H2005" s="4"/>
      <c r="I2005" s="4"/>
      <c r="J2005" s="4"/>
      <c r="K2005" s="4"/>
    </row>
    <row r="2006" spans="2:11">
      <c r="B2006" s="6"/>
      <c r="C2006" s="24"/>
      <c r="D2006" s="5"/>
      <c r="E2006" s="5"/>
      <c r="F2006" s="4"/>
      <c r="G2006" s="4"/>
      <c r="H2006" s="4"/>
      <c r="I2006" s="4"/>
      <c r="J2006" s="4"/>
      <c r="K2006" s="4"/>
    </row>
    <row r="2007" spans="2:11">
      <c r="B2007" s="6"/>
      <c r="C2007" s="24"/>
      <c r="D2007" s="5"/>
      <c r="E2007" s="5"/>
      <c r="F2007" s="4"/>
      <c r="G2007" s="4"/>
      <c r="H2007" s="4"/>
      <c r="I2007" s="4"/>
      <c r="J2007" s="4"/>
      <c r="K2007" s="4"/>
    </row>
    <row r="2008" spans="2:11">
      <c r="B2008" s="6"/>
      <c r="C2008" s="24"/>
      <c r="D2008" s="5"/>
      <c r="E2008" s="5"/>
      <c r="F2008" s="4"/>
      <c r="G2008" s="4"/>
      <c r="H2008" s="4"/>
      <c r="I2008" s="4"/>
      <c r="J2008" s="4"/>
      <c r="K2008" s="4"/>
    </row>
    <row r="2009" spans="2:11">
      <c r="B2009" s="6"/>
      <c r="C2009" s="24"/>
      <c r="D2009" s="5"/>
      <c r="E2009" s="5"/>
      <c r="F2009" s="4"/>
      <c r="G2009" s="4"/>
      <c r="H2009" s="4"/>
      <c r="I2009" s="4"/>
      <c r="J2009" s="4"/>
      <c r="K2009" s="4"/>
    </row>
    <row r="2010" spans="2:11">
      <c r="B2010" s="6"/>
      <c r="C2010" s="24"/>
      <c r="D2010" s="5"/>
      <c r="E2010" s="5"/>
      <c r="F2010" s="4"/>
      <c r="G2010" s="4"/>
      <c r="H2010" s="4"/>
      <c r="I2010" s="4"/>
      <c r="J2010" s="4"/>
      <c r="K2010" s="4"/>
    </row>
    <row r="2011" spans="2:11">
      <c r="B2011" s="6"/>
      <c r="C2011" s="24"/>
      <c r="D2011" s="5"/>
      <c r="E2011" s="5"/>
      <c r="F2011" s="4"/>
      <c r="G2011" s="4"/>
      <c r="H2011" s="4"/>
      <c r="I2011" s="4"/>
      <c r="J2011" s="4"/>
      <c r="K2011" s="4"/>
    </row>
    <row r="2012" spans="2:11">
      <c r="B2012" s="6"/>
      <c r="C2012" s="24"/>
      <c r="D2012" s="5"/>
      <c r="E2012" s="5"/>
      <c r="F2012" s="4"/>
      <c r="G2012" s="4"/>
      <c r="H2012" s="4"/>
      <c r="I2012" s="4"/>
      <c r="J2012" s="4"/>
      <c r="K2012" s="4"/>
    </row>
    <row r="2013" spans="2:11">
      <c r="B2013" s="6"/>
      <c r="C2013" s="24"/>
      <c r="D2013" s="5"/>
      <c r="E2013" s="5"/>
      <c r="F2013" s="4"/>
      <c r="G2013" s="4"/>
      <c r="H2013" s="4"/>
      <c r="I2013" s="4"/>
      <c r="J2013" s="4"/>
      <c r="K2013" s="4"/>
    </row>
    <row r="2014" spans="2:11">
      <c r="B2014" s="6"/>
      <c r="C2014" s="24"/>
      <c r="D2014" s="5"/>
      <c r="E2014" s="5"/>
      <c r="F2014" s="4"/>
      <c r="G2014" s="4"/>
      <c r="H2014" s="4"/>
      <c r="I2014" s="4"/>
      <c r="J2014" s="4"/>
      <c r="K2014" s="4"/>
    </row>
    <row r="2015" spans="2:11">
      <c r="B2015" s="6"/>
      <c r="C2015" s="24"/>
      <c r="D2015" s="5"/>
      <c r="E2015" s="5"/>
      <c r="F2015" s="4"/>
      <c r="G2015" s="4"/>
      <c r="H2015" s="4"/>
      <c r="I2015" s="4"/>
      <c r="J2015" s="4"/>
      <c r="K2015" s="4"/>
    </row>
    <row r="2016" spans="2:11">
      <c r="B2016" s="6"/>
      <c r="C2016" s="24"/>
      <c r="D2016" s="5"/>
      <c r="E2016" s="5"/>
      <c r="F2016" s="4"/>
      <c r="G2016" s="4"/>
      <c r="H2016" s="4"/>
      <c r="I2016" s="4"/>
      <c r="J2016" s="4"/>
      <c r="K2016" s="4"/>
    </row>
    <row r="2017" spans="2:11">
      <c r="B2017" s="6"/>
      <c r="C2017" s="24"/>
      <c r="D2017" s="5"/>
      <c r="E2017" s="5"/>
      <c r="F2017" s="4"/>
      <c r="G2017" s="4"/>
      <c r="H2017" s="4"/>
      <c r="I2017" s="4"/>
      <c r="J2017" s="4"/>
      <c r="K2017" s="4"/>
    </row>
    <row r="2018" spans="2:11">
      <c r="B2018" s="6"/>
      <c r="C2018" s="24"/>
      <c r="D2018" s="5"/>
      <c r="E2018" s="5"/>
      <c r="F2018" s="4"/>
      <c r="G2018" s="4"/>
      <c r="H2018" s="4"/>
      <c r="I2018" s="4"/>
      <c r="J2018" s="4"/>
      <c r="K2018" s="4"/>
    </row>
    <row r="2019" spans="2:11">
      <c r="B2019" s="6"/>
      <c r="C2019" s="24"/>
      <c r="D2019" s="5"/>
      <c r="E2019" s="5"/>
      <c r="F2019" s="4"/>
      <c r="G2019" s="4"/>
      <c r="H2019" s="4"/>
      <c r="I2019" s="4"/>
      <c r="J2019" s="4"/>
      <c r="K2019" s="4"/>
    </row>
    <row r="2020" spans="2:11">
      <c r="B2020" s="6"/>
      <c r="C2020" s="24"/>
      <c r="D2020" s="5"/>
      <c r="E2020" s="5"/>
      <c r="F2020" s="4"/>
      <c r="G2020" s="4"/>
      <c r="H2020" s="4"/>
      <c r="I2020" s="4"/>
      <c r="J2020" s="4"/>
      <c r="K2020" s="4"/>
    </row>
    <row r="2021" spans="2:11">
      <c r="B2021" s="6"/>
      <c r="C2021" s="24"/>
      <c r="D2021" s="5"/>
      <c r="E2021" s="5"/>
      <c r="F2021" s="4"/>
      <c r="G2021" s="4"/>
      <c r="H2021" s="4"/>
      <c r="I2021" s="4"/>
      <c r="J2021" s="4"/>
      <c r="K2021" s="4"/>
    </row>
    <row r="2022" spans="2:11">
      <c r="B2022" s="6"/>
      <c r="C2022" s="24"/>
      <c r="D2022" s="5"/>
      <c r="E2022" s="5"/>
      <c r="F2022" s="4"/>
      <c r="G2022" s="4"/>
      <c r="H2022" s="4"/>
      <c r="I2022" s="4"/>
      <c r="J2022" s="4"/>
      <c r="K2022" s="4"/>
    </row>
    <row r="2023" spans="2:11">
      <c r="B2023" s="6"/>
      <c r="C2023" s="24"/>
      <c r="D2023" s="5"/>
      <c r="E2023" s="5"/>
      <c r="F2023" s="4"/>
      <c r="G2023" s="4"/>
      <c r="H2023" s="4"/>
      <c r="I2023" s="4"/>
      <c r="J2023" s="4"/>
      <c r="K2023" s="4"/>
    </row>
    <row r="2024" spans="2:11">
      <c r="B2024" s="6"/>
      <c r="C2024" s="24"/>
      <c r="D2024" s="5"/>
      <c r="E2024" s="5"/>
      <c r="F2024" s="4"/>
      <c r="G2024" s="4"/>
      <c r="H2024" s="4"/>
      <c r="I2024" s="4"/>
      <c r="J2024" s="4"/>
      <c r="K2024" s="4"/>
    </row>
    <row r="2025" spans="2:11">
      <c r="B2025" s="6"/>
      <c r="C2025" s="24"/>
      <c r="D2025" s="5"/>
      <c r="E2025" s="5"/>
      <c r="F2025" s="4"/>
      <c r="G2025" s="4"/>
      <c r="H2025" s="4"/>
      <c r="I2025" s="4"/>
      <c r="J2025" s="4"/>
      <c r="K2025" s="4"/>
    </row>
    <row r="2026" spans="2:11">
      <c r="B2026" s="6"/>
      <c r="C2026" s="24"/>
      <c r="D2026" s="5"/>
      <c r="E2026" s="5"/>
      <c r="F2026" s="4"/>
      <c r="G2026" s="4"/>
      <c r="H2026" s="4"/>
      <c r="I2026" s="4"/>
      <c r="J2026" s="4"/>
      <c r="K2026" s="4"/>
    </row>
    <row r="2027" spans="2:11">
      <c r="B2027" s="6"/>
      <c r="C2027" s="24"/>
      <c r="D2027" s="5"/>
      <c r="E2027" s="5"/>
      <c r="F2027" s="4"/>
      <c r="G2027" s="4"/>
      <c r="H2027" s="4"/>
      <c r="I2027" s="4"/>
      <c r="J2027" s="4"/>
      <c r="K2027" s="4"/>
    </row>
    <row r="2028" spans="2:11">
      <c r="B2028" s="6"/>
      <c r="C2028" s="24"/>
      <c r="D2028" s="5"/>
      <c r="E2028" s="5"/>
      <c r="F2028" s="4"/>
      <c r="G2028" s="4"/>
      <c r="H2028" s="4"/>
      <c r="I2028" s="4"/>
      <c r="J2028" s="4"/>
      <c r="K2028" s="4"/>
    </row>
    <row r="2029" spans="2:11">
      <c r="B2029" s="6"/>
      <c r="C2029" s="24"/>
      <c r="D2029" s="5"/>
      <c r="E2029" s="5"/>
      <c r="F2029" s="4"/>
      <c r="G2029" s="4"/>
      <c r="H2029" s="4"/>
      <c r="I2029" s="4"/>
      <c r="J2029" s="4"/>
      <c r="K2029" s="4"/>
    </row>
    <row r="2030" spans="2:11">
      <c r="B2030" s="6"/>
      <c r="C2030" s="24"/>
      <c r="D2030" s="5"/>
      <c r="E2030" s="5"/>
      <c r="F2030" s="4"/>
      <c r="G2030" s="4"/>
      <c r="H2030" s="4"/>
      <c r="I2030" s="4"/>
      <c r="J2030" s="4"/>
      <c r="K2030" s="4"/>
    </row>
    <row r="2031" spans="2:11">
      <c r="B2031" s="6"/>
      <c r="C2031" s="24"/>
      <c r="D2031" s="5"/>
      <c r="E2031" s="5"/>
      <c r="F2031" s="4"/>
      <c r="G2031" s="4"/>
      <c r="H2031" s="4"/>
      <c r="I2031" s="4"/>
      <c r="J2031" s="4"/>
      <c r="K2031" s="4"/>
    </row>
    <row r="2032" spans="2:11">
      <c r="B2032" s="6"/>
      <c r="C2032" s="24"/>
      <c r="D2032" s="5"/>
      <c r="E2032" s="5"/>
      <c r="F2032" s="4"/>
      <c r="G2032" s="4"/>
      <c r="H2032" s="4"/>
      <c r="I2032" s="4"/>
      <c r="J2032" s="4"/>
      <c r="K2032" s="4"/>
    </row>
    <row r="2033" spans="2:11">
      <c r="B2033" s="6"/>
      <c r="C2033" s="24"/>
      <c r="D2033" s="5"/>
      <c r="E2033" s="5"/>
      <c r="F2033" s="4"/>
      <c r="G2033" s="4"/>
      <c r="H2033" s="4"/>
      <c r="I2033" s="4"/>
      <c r="J2033" s="4"/>
      <c r="K2033" s="4"/>
    </row>
    <row r="2034" spans="2:11">
      <c r="B2034" s="6"/>
      <c r="C2034" s="24"/>
      <c r="D2034" s="5"/>
      <c r="E2034" s="5"/>
      <c r="F2034" s="4"/>
      <c r="G2034" s="4"/>
      <c r="H2034" s="4"/>
      <c r="I2034" s="4"/>
      <c r="J2034" s="4"/>
      <c r="K2034" s="4"/>
    </row>
    <row r="2035" spans="2:11">
      <c r="B2035" s="6"/>
      <c r="C2035" s="24"/>
      <c r="D2035" s="5"/>
      <c r="E2035" s="5"/>
      <c r="F2035" s="4"/>
      <c r="G2035" s="4"/>
      <c r="H2035" s="4"/>
      <c r="I2035" s="4"/>
      <c r="J2035" s="4"/>
      <c r="K2035" s="4"/>
    </row>
    <row r="2036" spans="2:11">
      <c r="B2036" s="6"/>
      <c r="C2036" s="24"/>
      <c r="D2036" s="5"/>
      <c r="E2036" s="5"/>
      <c r="F2036" s="4"/>
      <c r="G2036" s="4"/>
      <c r="H2036" s="4"/>
      <c r="I2036" s="4"/>
      <c r="J2036" s="4"/>
      <c r="K2036" s="4"/>
    </row>
    <row r="2037" spans="2:11">
      <c r="B2037" s="6"/>
      <c r="C2037" s="24"/>
      <c r="D2037" s="5"/>
      <c r="E2037" s="5"/>
      <c r="F2037" s="4"/>
      <c r="G2037" s="4"/>
      <c r="H2037" s="4"/>
      <c r="I2037" s="4"/>
      <c r="J2037" s="4"/>
      <c r="K2037" s="4"/>
    </row>
    <row r="2038" spans="2:11">
      <c r="B2038" s="6"/>
      <c r="C2038" s="24"/>
      <c r="D2038" s="5"/>
      <c r="E2038" s="5"/>
      <c r="F2038" s="4"/>
      <c r="G2038" s="4"/>
      <c r="H2038" s="4"/>
      <c r="I2038" s="4"/>
      <c r="J2038" s="4"/>
      <c r="K2038" s="4"/>
    </row>
    <row r="2039" spans="2:11">
      <c r="B2039" s="6"/>
      <c r="C2039" s="24"/>
      <c r="D2039" s="5"/>
      <c r="E2039" s="5"/>
      <c r="F2039" s="4"/>
      <c r="G2039" s="4"/>
      <c r="H2039" s="4"/>
      <c r="I2039" s="4"/>
      <c r="J2039" s="4"/>
      <c r="K2039" s="4"/>
    </row>
    <row r="2040" spans="2:11">
      <c r="B2040" s="6"/>
      <c r="C2040" s="24"/>
      <c r="D2040" s="5"/>
      <c r="E2040" s="5"/>
      <c r="F2040" s="4"/>
      <c r="G2040" s="4"/>
      <c r="H2040" s="4"/>
      <c r="I2040" s="4"/>
      <c r="J2040" s="4"/>
      <c r="K2040" s="4"/>
    </row>
    <row r="2041" spans="2:11">
      <c r="B2041" s="6"/>
      <c r="C2041" s="24"/>
      <c r="D2041" s="5"/>
      <c r="E2041" s="5"/>
      <c r="F2041" s="4"/>
      <c r="G2041" s="4"/>
      <c r="H2041" s="4"/>
      <c r="I2041" s="4"/>
      <c r="J2041" s="4"/>
      <c r="K2041" s="4"/>
    </row>
    <row r="2042" spans="2:11">
      <c r="B2042" s="6"/>
      <c r="C2042" s="24"/>
      <c r="D2042" s="5"/>
      <c r="E2042" s="5"/>
      <c r="F2042" s="4"/>
      <c r="G2042" s="4"/>
      <c r="H2042" s="4"/>
      <c r="I2042" s="4"/>
      <c r="J2042" s="4"/>
      <c r="K2042" s="4"/>
    </row>
    <row r="2043" spans="2:11">
      <c r="B2043" s="6"/>
      <c r="C2043" s="24"/>
      <c r="D2043" s="5"/>
      <c r="E2043" s="5"/>
      <c r="F2043" s="4"/>
      <c r="G2043" s="4"/>
      <c r="H2043" s="4"/>
      <c r="I2043" s="4"/>
      <c r="J2043" s="4"/>
      <c r="K2043" s="4"/>
    </row>
    <row r="2044" spans="2:11">
      <c r="B2044" s="6"/>
      <c r="C2044" s="24"/>
      <c r="D2044" s="5"/>
      <c r="E2044" s="5"/>
      <c r="F2044" s="4"/>
      <c r="G2044" s="4"/>
      <c r="H2044" s="4"/>
      <c r="I2044" s="4"/>
      <c r="J2044" s="4"/>
      <c r="K2044" s="4"/>
    </row>
    <row r="2045" spans="2:11">
      <c r="B2045" s="6"/>
      <c r="C2045" s="24"/>
      <c r="D2045" s="5"/>
      <c r="E2045" s="5"/>
      <c r="F2045" s="4"/>
      <c r="G2045" s="4"/>
      <c r="H2045" s="4"/>
      <c r="I2045" s="4"/>
      <c r="J2045" s="4"/>
      <c r="K2045" s="4"/>
    </row>
    <row r="2046" spans="2:11">
      <c r="B2046" s="6"/>
      <c r="C2046" s="24"/>
      <c r="D2046" s="5"/>
      <c r="E2046" s="5"/>
      <c r="F2046" s="4"/>
      <c r="G2046" s="4"/>
      <c r="H2046" s="4"/>
      <c r="I2046" s="4"/>
      <c r="J2046" s="4"/>
      <c r="K2046" s="4"/>
    </row>
    <row r="2047" spans="2:11">
      <c r="B2047" s="6"/>
      <c r="C2047" s="24"/>
      <c r="D2047" s="5"/>
      <c r="E2047" s="5"/>
      <c r="F2047" s="4"/>
      <c r="G2047" s="4"/>
      <c r="H2047" s="4"/>
      <c r="I2047" s="4"/>
      <c r="J2047" s="4"/>
      <c r="K2047" s="4"/>
    </row>
    <row r="2048" spans="2:11">
      <c r="B2048" s="6"/>
      <c r="C2048" s="24"/>
      <c r="D2048" s="5"/>
      <c r="E2048" s="5"/>
      <c r="F2048" s="4"/>
      <c r="G2048" s="4"/>
      <c r="H2048" s="4"/>
      <c r="I2048" s="4"/>
      <c r="J2048" s="4"/>
      <c r="K2048" s="4"/>
    </row>
    <row r="2049" spans="2:11">
      <c r="B2049" s="6"/>
      <c r="C2049" s="24"/>
      <c r="D2049" s="5"/>
      <c r="E2049" s="5"/>
      <c r="F2049" s="4"/>
      <c r="G2049" s="4"/>
      <c r="H2049" s="4"/>
      <c r="I2049" s="4"/>
      <c r="J2049" s="4"/>
      <c r="K2049" s="4"/>
    </row>
    <row r="2050" spans="2:11">
      <c r="B2050" s="6"/>
      <c r="C2050" s="24"/>
      <c r="D2050" s="5"/>
      <c r="E2050" s="5"/>
      <c r="F2050" s="4"/>
      <c r="G2050" s="4"/>
      <c r="H2050" s="4"/>
      <c r="I2050" s="4"/>
      <c r="J2050" s="4"/>
      <c r="K2050" s="4"/>
    </row>
    <row r="2051" spans="2:11">
      <c r="B2051" s="6"/>
      <c r="C2051" s="24"/>
      <c r="D2051" s="5"/>
      <c r="E2051" s="5"/>
      <c r="F2051" s="4"/>
      <c r="G2051" s="4"/>
      <c r="H2051" s="4"/>
      <c r="I2051" s="4"/>
      <c r="J2051" s="4"/>
      <c r="K2051" s="4"/>
    </row>
    <row r="2052" spans="2:11">
      <c r="B2052" s="6"/>
      <c r="C2052" s="24"/>
      <c r="D2052" s="5"/>
      <c r="E2052" s="5"/>
      <c r="F2052" s="4"/>
      <c r="G2052" s="4"/>
      <c r="H2052" s="4"/>
      <c r="I2052" s="4"/>
      <c r="J2052" s="4"/>
      <c r="K2052" s="4"/>
    </row>
    <row r="2053" spans="2:11">
      <c r="B2053" s="6"/>
      <c r="C2053" s="24"/>
      <c r="D2053" s="5"/>
      <c r="E2053" s="5"/>
      <c r="F2053" s="4"/>
      <c r="G2053" s="4"/>
      <c r="H2053" s="4"/>
      <c r="I2053" s="4"/>
      <c r="J2053" s="4"/>
      <c r="K2053" s="4"/>
    </row>
    <row r="2054" spans="2:11">
      <c r="B2054" s="6"/>
      <c r="C2054" s="24"/>
      <c r="D2054" s="5"/>
      <c r="E2054" s="5"/>
      <c r="F2054" s="4"/>
      <c r="G2054" s="4"/>
      <c r="H2054" s="4"/>
      <c r="I2054" s="4"/>
      <c r="J2054" s="4"/>
      <c r="K2054" s="4"/>
    </row>
    <row r="2055" spans="2:11">
      <c r="B2055" s="6"/>
      <c r="C2055" s="24"/>
      <c r="D2055" s="5"/>
      <c r="E2055" s="5"/>
      <c r="F2055" s="4"/>
      <c r="G2055" s="4"/>
      <c r="H2055" s="4"/>
      <c r="I2055" s="4"/>
      <c r="J2055" s="4"/>
      <c r="K2055" s="4"/>
    </row>
    <row r="2056" spans="2:11">
      <c r="B2056" s="6"/>
      <c r="C2056" s="24"/>
      <c r="D2056" s="5"/>
      <c r="E2056" s="5"/>
      <c r="F2056" s="4"/>
      <c r="G2056" s="4"/>
      <c r="H2056" s="4"/>
      <c r="I2056" s="4"/>
      <c r="J2056" s="4"/>
      <c r="K2056" s="4"/>
    </row>
    <row r="2057" spans="2:11">
      <c r="B2057" s="6"/>
      <c r="C2057" s="24"/>
      <c r="D2057" s="5"/>
      <c r="E2057" s="5"/>
      <c r="F2057" s="4"/>
      <c r="G2057" s="4"/>
      <c r="H2057" s="4"/>
      <c r="I2057" s="4"/>
      <c r="J2057" s="4"/>
      <c r="K2057" s="4"/>
    </row>
    <row r="2058" spans="2:11">
      <c r="B2058" s="6"/>
      <c r="C2058" s="24"/>
      <c r="D2058" s="5"/>
      <c r="E2058" s="5"/>
      <c r="F2058" s="4"/>
      <c r="G2058" s="4"/>
      <c r="H2058" s="4"/>
      <c r="I2058" s="4"/>
      <c r="J2058" s="4"/>
      <c r="K2058" s="4"/>
    </row>
    <row r="2059" spans="2:11">
      <c r="B2059" s="6"/>
      <c r="C2059" s="24"/>
      <c r="D2059" s="5"/>
      <c r="E2059" s="5"/>
      <c r="F2059" s="4"/>
      <c r="G2059" s="4"/>
      <c r="H2059" s="4"/>
      <c r="I2059" s="4"/>
      <c r="J2059" s="4"/>
      <c r="K2059" s="4"/>
    </row>
    <row r="2060" spans="2:11">
      <c r="B2060" s="6"/>
      <c r="C2060" s="24"/>
      <c r="D2060" s="5"/>
      <c r="E2060" s="5"/>
      <c r="F2060" s="4"/>
      <c r="G2060" s="4"/>
      <c r="H2060" s="4"/>
      <c r="I2060" s="4"/>
      <c r="J2060" s="4"/>
      <c r="K2060" s="4"/>
    </row>
    <row r="2061" spans="2:11">
      <c r="B2061" s="6"/>
      <c r="C2061" s="24"/>
      <c r="D2061" s="5"/>
      <c r="E2061" s="5"/>
      <c r="F2061" s="4"/>
      <c r="G2061" s="4"/>
      <c r="H2061" s="4"/>
      <c r="I2061" s="4"/>
      <c r="J2061" s="4"/>
      <c r="K2061" s="4"/>
    </row>
    <row r="2062" spans="2:11">
      <c r="B2062" s="6"/>
      <c r="C2062" s="24"/>
      <c r="D2062" s="5"/>
      <c r="E2062" s="5"/>
      <c r="F2062" s="4"/>
      <c r="G2062" s="4"/>
      <c r="H2062" s="4"/>
      <c r="I2062" s="4"/>
      <c r="J2062" s="4"/>
      <c r="K2062" s="4"/>
    </row>
    <row r="2063" spans="2:11">
      <c r="B2063" s="6"/>
      <c r="C2063" s="24"/>
      <c r="D2063" s="5"/>
      <c r="E2063" s="5"/>
      <c r="F2063" s="4"/>
      <c r="G2063" s="4"/>
      <c r="H2063" s="4"/>
      <c r="I2063" s="4"/>
      <c r="J2063" s="4"/>
      <c r="K2063" s="4"/>
    </row>
    <row r="2064" spans="2:11">
      <c r="B2064" s="6"/>
      <c r="C2064" s="24"/>
      <c r="D2064" s="5"/>
      <c r="E2064" s="5"/>
      <c r="F2064" s="4"/>
      <c r="G2064" s="4"/>
      <c r="H2064" s="4"/>
      <c r="I2064" s="4"/>
      <c r="J2064" s="4"/>
      <c r="K2064" s="4"/>
    </row>
    <row r="2065" spans="2:11">
      <c r="B2065" s="6"/>
      <c r="C2065" s="24"/>
      <c r="D2065" s="5"/>
      <c r="E2065" s="5"/>
      <c r="F2065" s="4"/>
      <c r="G2065" s="4"/>
      <c r="H2065" s="4"/>
      <c r="I2065" s="4"/>
      <c r="J2065" s="4"/>
      <c r="K2065" s="4"/>
    </row>
    <row r="2066" spans="2:11">
      <c r="B2066" s="6"/>
      <c r="C2066" s="24"/>
      <c r="D2066" s="5"/>
      <c r="E2066" s="5"/>
      <c r="F2066" s="4"/>
      <c r="G2066" s="4"/>
      <c r="H2066" s="4"/>
      <c r="I2066" s="4"/>
      <c r="J2066" s="4"/>
      <c r="K2066" s="4"/>
    </row>
    <row r="2067" spans="2:11">
      <c r="B2067" s="6"/>
      <c r="C2067" s="24"/>
      <c r="D2067" s="5"/>
      <c r="E2067" s="5"/>
      <c r="F2067" s="4"/>
      <c r="G2067" s="4"/>
      <c r="H2067" s="4"/>
      <c r="I2067" s="4"/>
      <c r="J2067" s="4"/>
      <c r="K2067" s="4"/>
    </row>
    <row r="2068" spans="2:11">
      <c r="B2068" s="6"/>
      <c r="C2068" s="24"/>
      <c r="D2068" s="5"/>
      <c r="E2068" s="5"/>
      <c r="F2068" s="4"/>
      <c r="G2068" s="4"/>
      <c r="H2068" s="4"/>
      <c r="I2068" s="4"/>
      <c r="J2068" s="4"/>
      <c r="K2068" s="4"/>
    </row>
    <row r="2069" spans="2:11">
      <c r="B2069" s="6"/>
      <c r="C2069" s="24"/>
      <c r="D2069" s="5"/>
      <c r="E2069" s="5"/>
      <c r="F2069" s="4"/>
      <c r="G2069" s="4"/>
      <c r="H2069" s="4"/>
      <c r="I2069" s="4"/>
      <c r="J2069" s="4"/>
      <c r="K2069" s="4"/>
    </row>
    <row r="2070" spans="2:11">
      <c r="B2070" s="6"/>
      <c r="C2070" s="24"/>
      <c r="D2070" s="5"/>
      <c r="E2070" s="5"/>
      <c r="F2070" s="4"/>
      <c r="G2070" s="4"/>
      <c r="H2070" s="4"/>
      <c r="I2070" s="4"/>
      <c r="J2070" s="4"/>
      <c r="K2070" s="4"/>
    </row>
    <row r="2071" spans="2:11">
      <c r="B2071" s="6"/>
      <c r="C2071" s="24"/>
      <c r="D2071" s="5"/>
      <c r="E2071" s="5"/>
      <c r="F2071" s="4"/>
      <c r="G2071" s="4"/>
      <c r="H2071" s="4"/>
      <c r="I2071" s="4"/>
      <c r="J2071" s="4"/>
      <c r="K2071" s="4"/>
    </row>
    <row r="2072" spans="2:11">
      <c r="B2072" s="6"/>
      <c r="C2072" s="24"/>
      <c r="D2072" s="5"/>
      <c r="E2072" s="5"/>
      <c r="F2072" s="4"/>
      <c r="G2072" s="4"/>
      <c r="H2072" s="4"/>
      <c r="I2072" s="4"/>
      <c r="J2072" s="4"/>
      <c r="K2072" s="4"/>
    </row>
    <row r="2073" spans="2:11">
      <c r="B2073" s="6"/>
      <c r="C2073" s="24"/>
      <c r="D2073" s="5"/>
      <c r="E2073" s="5"/>
      <c r="F2073" s="4"/>
      <c r="G2073" s="4"/>
      <c r="H2073" s="4"/>
      <c r="I2073" s="4"/>
      <c r="J2073" s="4"/>
      <c r="K2073" s="4"/>
    </row>
    <row r="2074" spans="2:11">
      <c r="B2074" s="6"/>
      <c r="C2074" s="24"/>
      <c r="D2074" s="5"/>
      <c r="E2074" s="5"/>
      <c r="F2074" s="4"/>
      <c r="G2074" s="4"/>
      <c r="H2074" s="4"/>
      <c r="I2074" s="4"/>
      <c r="J2074" s="4"/>
      <c r="K2074" s="4"/>
    </row>
    <row r="2075" spans="2:11">
      <c r="B2075" s="6"/>
      <c r="C2075" s="24"/>
      <c r="D2075" s="5"/>
      <c r="E2075" s="5"/>
      <c r="F2075" s="4"/>
      <c r="G2075" s="4"/>
      <c r="H2075" s="4"/>
      <c r="I2075" s="4"/>
      <c r="J2075" s="4"/>
      <c r="K2075" s="4"/>
    </row>
    <row r="2076" spans="2:11">
      <c r="B2076" s="6"/>
      <c r="C2076" s="24"/>
      <c r="D2076" s="5"/>
      <c r="E2076" s="5"/>
      <c r="F2076" s="4"/>
      <c r="G2076" s="4"/>
      <c r="H2076" s="4"/>
      <c r="I2076" s="4"/>
      <c r="J2076" s="4"/>
      <c r="K2076" s="4"/>
    </row>
    <row r="2077" spans="2:11">
      <c r="B2077" s="6"/>
      <c r="C2077" s="24"/>
      <c r="D2077" s="5"/>
      <c r="E2077" s="5"/>
      <c r="F2077" s="4"/>
      <c r="G2077" s="4"/>
      <c r="H2077" s="4"/>
      <c r="I2077" s="4"/>
      <c r="J2077" s="4"/>
      <c r="K2077" s="4"/>
    </row>
    <row r="2078" spans="2:11">
      <c r="B2078" s="6"/>
      <c r="C2078" s="24"/>
      <c r="D2078" s="5"/>
      <c r="E2078" s="5"/>
      <c r="F2078" s="4"/>
      <c r="G2078" s="4"/>
      <c r="H2078" s="4"/>
      <c r="I2078" s="4"/>
      <c r="J2078" s="4"/>
      <c r="K2078" s="4"/>
    </row>
    <row r="2079" spans="2:11">
      <c r="B2079" s="6"/>
      <c r="C2079" s="24"/>
      <c r="D2079" s="5"/>
      <c r="E2079" s="5"/>
      <c r="F2079" s="4"/>
      <c r="G2079" s="4"/>
      <c r="H2079" s="4"/>
      <c r="I2079" s="4"/>
      <c r="J2079" s="4"/>
      <c r="K2079" s="4"/>
    </row>
    <row r="2080" spans="2:11">
      <c r="B2080" s="6"/>
      <c r="C2080" s="24"/>
      <c r="D2080" s="5"/>
      <c r="E2080" s="5"/>
      <c r="F2080" s="4"/>
      <c r="G2080" s="4"/>
      <c r="H2080" s="4"/>
      <c r="I2080" s="4"/>
      <c r="J2080" s="4"/>
      <c r="K2080" s="4"/>
    </row>
    <row r="2081" spans="2:11">
      <c r="B2081" s="6"/>
      <c r="C2081" s="24"/>
      <c r="D2081" s="5"/>
      <c r="E2081" s="5"/>
      <c r="F2081" s="4"/>
      <c r="G2081" s="4"/>
      <c r="H2081" s="4"/>
      <c r="I2081" s="4"/>
      <c r="J2081" s="4"/>
      <c r="K2081" s="4"/>
    </row>
    <row r="2082" spans="2:11">
      <c r="B2082" s="6"/>
      <c r="C2082" s="24"/>
      <c r="D2082" s="5"/>
      <c r="E2082" s="5"/>
      <c r="F2082" s="4"/>
      <c r="G2082" s="4"/>
      <c r="H2082" s="4"/>
      <c r="I2082" s="4"/>
      <c r="J2082" s="4"/>
      <c r="K2082" s="4"/>
    </row>
    <row r="2083" spans="2:11">
      <c r="B2083" s="6"/>
      <c r="C2083" s="24"/>
      <c r="D2083" s="5"/>
      <c r="E2083" s="5"/>
      <c r="F2083" s="4"/>
      <c r="G2083" s="4"/>
      <c r="H2083" s="4"/>
      <c r="I2083" s="4"/>
      <c r="J2083" s="4"/>
      <c r="K2083" s="4"/>
    </row>
    <row r="2084" spans="2:11">
      <c r="B2084" s="6"/>
      <c r="C2084" s="24"/>
      <c r="D2084" s="5"/>
      <c r="E2084" s="5"/>
      <c r="F2084" s="4"/>
      <c r="G2084" s="4"/>
      <c r="H2084" s="4"/>
      <c r="I2084" s="4"/>
      <c r="J2084" s="4"/>
      <c r="K2084" s="4"/>
    </row>
    <row r="2085" spans="2:11">
      <c r="B2085" s="6"/>
      <c r="C2085" s="24"/>
      <c r="D2085" s="5"/>
      <c r="E2085" s="5"/>
      <c r="F2085" s="4"/>
      <c r="G2085" s="4"/>
      <c r="H2085" s="4"/>
      <c r="I2085" s="4"/>
      <c r="J2085" s="4"/>
      <c r="K2085" s="4"/>
    </row>
    <row r="2086" spans="2:11">
      <c r="B2086" s="6"/>
      <c r="C2086" s="24"/>
      <c r="D2086" s="5"/>
      <c r="E2086" s="5"/>
      <c r="F2086" s="4"/>
      <c r="G2086" s="4"/>
      <c r="H2086" s="4"/>
      <c r="I2086" s="4"/>
      <c r="J2086" s="4"/>
      <c r="K2086" s="4"/>
    </row>
    <row r="2087" spans="2:11">
      <c r="B2087" s="6"/>
      <c r="C2087" s="24"/>
      <c r="D2087" s="5"/>
      <c r="E2087" s="5"/>
      <c r="F2087" s="4"/>
      <c r="G2087" s="4"/>
      <c r="H2087" s="4"/>
      <c r="I2087" s="4"/>
      <c r="J2087" s="4"/>
      <c r="K2087" s="4"/>
    </row>
    <row r="2088" spans="2:11">
      <c r="B2088" s="6"/>
      <c r="C2088" s="24"/>
      <c r="D2088" s="5"/>
      <c r="E2088" s="5"/>
      <c r="F2088" s="4"/>
      <c r="G2088" s="4"/>
      <c r="H2088" s="4"/>
      <c r="I2088" s="4"/>
      <c r="J2088" s="4"/>
      <c r="K2088" s="4"/>
    </row>
    <row r="2089" spans="2:11">
      <c r="B2089" s="6"/>
      <c r="C2089" s="24"/>
      <c r="D2089" s="5"/>
      <c r="E2089" s="5"/>
      <c r="F2089" s="4"/>
      <c r="G2089" s="4"/>
      <c r="H2089" s="4"/>
      <c r="I2089" s="4"/>
      <c r="J2089" s="4"/>
      <c r="K2089" s="4"/>
    </row>
    <row r="2090" spans="2:11">
      <c r="B2090" s="6"/>
      <c r="C2090" s="24"/>
      <c r="D2090" s="5"/>
      <c r="E2090" s="5"/>
      <c r="F2090" s="4"/>
      <c r="G2090" s="4"/>
      <c r="H2090" s="4"/>
      <c r="I2090" s="4"/>
      <c r="J2090" s="4"/>
      <c r="K2090" s="4"/>
    </row>
    <row r="2091" spans="2:11">
      <c r="B2091" s="6"/>
      <c r="C2091" s="24"/>
      <c r="D2091" s="5"/>
      <c r="E2091" s="5"/>
      <c r="F2091" s="4"/>
      <c r="G2091" s="4"/>
      <c r="H2091" s="4"/>
      <c r="I2091" s="4"/>
      <c r="J2091" s="4"/>
      <c r="K2091" s="4"/>
    </row>
    <row r="2092" spans="2:11">
      <c r="B2092" s="6"/>
      <c r="C2092" s="24"/>
      <c r="D2092" s="5"/>
      <c r="E2092" s="5"/>
      <c r="F2092" s="4"/>
      <c r="G2092" s="4"/>
      <c r="H2092" s="4"/>
      <c r="I2092" s="4"/>
      <c r="J2092" s="4"/>
      <c r="K2092" s="4"/>
    </row>
    <row r="2093" spans="2:11">
      <c r="B2093" s="6"/>
      <c r="C2093" s="24"/>
      <c r="D2093" s="5"/>
      <c r="E2093" s="5"/>
      <c r="F2093" s="4"/>
      <c r="G2093" s="4"/>
      <c r="H2093" s="4"/>
      <c r="I2093" s="4"/>
      <c r="J2093" s="4"/>
      <c r="K2093" s="4"/>
    </row>
    <row r="2094" spans="2:11">
      <c r="B2094" s="6"/>
      <c r="C2094" s="24"/>
      <c r="D2094" s="5"/>
      <c r="E2094" s="5"/>
      <c r="F2094" s="4"/>
      <c r="G2094" s="4"/>
      <c r="H2094" s="4"/>
      <c r="I2094" s="4"/>
      <c r="J2094" s="4"/>
      <c r="K2094" s="4"/>
    </row>
    <row r="2095" spans="2:11">
      <c r="B2095" s="6"/>
      <c r="C2095" s="24"/>
      <c r="D2095" s="5"/>
      <c r="E2095" s="5"/>
      <c r="F2095" s="4"/>
      <c r="G2095" s="4"/>
      <c r="H2095" s="4"/>
      <c r="I2095" s="4"/>
      <c r="J2095" s="4"/>
      <c r="K2095" s="4"/>
    </row>
    <row r="2096" spans="2:11">
      <c r="B2096" s="6"/>
      <c r="C2096" s="24"/>
      <c r="D2096" s="5"/>
      <c r="E2096" s="5"/>
      <c r="F2096" s="4"/>
      <c r="G2096" s="4"/>
      <c r="H2096" s="4"/>
      <c r="I2096" s="4"/>
      <c r="J2096" s="4"/>
      <c r="K2096" s="4"/>
    </row>
    <row r="2097" spans="2:11">
      <c r="B2097" s="6"/>
      <c r="C2097" s="24"/>
      <c r="D2097" s="5"/>
      <c r="E2097" s="5"/>
      <c r="F2097" s="4"/>
      <c r="G2097" s="4"/>
      <c r="H2097" s="4"/>
      <c r="I2097" s="4"/>
      <c r="J2097" s="4"/>
      <c r="K2097" s="4"/>
    </row>
    <row r="2098" spans="2:11">
      <c r="B2098" s="6"/>
      <c r="C2098" s="24"/>
      <c r="D2098" s="5"/>
      <c r="E2098" s="5"/>
      <c r="F2098" s="4"/>
      <c r="G2098" s="4"/>
      <c r="H2098" s="4"/>
      <c r="I2098" s="4"/>
      <c r="J2098" s="4"/>
      <c r="K2098" s="4"/>
    </row>
    <row r="2099" spans="2:11">
      <c r="B2099" s="6"/>
      <c r="C2099" s="24"/>
      <c r="D2099" s="5"/>
      <c r="E2099" s="5"/>
      <c r="F2099" s="4"/>
      <c r="G2099" s="4"/>
      <c r="H2099" s="4"/>
      <c r="I2099" s="4"/>
      <c r="J2099" s="4"/>
      <c r="K2099" s="4"/>
    </row>
    <row r="2100" spans="2:11">
      <c r="B2100" s="6"/>
      <c r="C2100" s="24"/>
      <c r="D2100" s="5"/>
      <c r="E2100" s="5"/>
      <c r="F2100" s="4"/>
      <c r="G2100" s="4"/>
      <c r="H2100" s="4"/>
      <c r="I2100" s="4"/>
      <c r="J2100" s="4"/>
      <c r="K2100" s="4"/>
    </row>
    <row r="2101" spans="2:11">
      <c r="B2101" s="6"/>
      <c r="C2101" s="24"/>
      <c r="D2101" s="5"/>
      <c r="E2101" s="5"/>
      <c r="F2101" s="4"/>
      <c r="G2101" s="4"/>
      <c r="H2101" s="4"/>
      <c r="I2101" s="4"/>
      <c r="J2101" s="4"/>
      <c r="K2101" s="4"/>
    </row>
    <row r="2102" spans="2:11">
      <c r="B2102" s="6"/>
      <c r="C2102" s="24"/>
      <c r="D2102" s="5"/>
      <c r="E2102" s="5"/>
      <c r="F2102" s="4"/>
      <c r="G2102" s="4"/>
      <c r="H2102" s="4"/>
      <c r="I2102" s="4"/>
      <c r="J2102" s="4"/>
      <c r="K2102" s="4"/>
    </row>
    <row r="2103" spans="2:11">
      <c r="B2103" s="6"/>
      <c r="C2103" s="24"/>
      <c r="D2103" s="5"/>
      <c r="E2103" s="5"/>
      <c r="F2103" s="4"/>
      <c r="G2103" s="4"/>
      <c r="H2103" s="4"/>
      <c r="I2103" s="4"/>
      <c r="J2103" s="4"/>
      <c r="K2103" s="4"/>
    </row>
    <row r="2104" spans="2:11">
      <c r="B2104" s="6"/>
      <c r="C2104" s="24"/>
      <c r="D2104" s="5"/>
      <c r="E2104" s="5"/>
      <c r="F2104" s="4"/>
      <c r="G2104" s="4"/>
      <c r="H2104" s="4"/>
      <c r="I2104" s="4"/>
      <c r="J2104" s="4"/>
      <c r="K2104" s="4"/>
    </row>
    <row r="2105" spans="2:11">
      <c r="B2105" s="6"/>
      <c r="C2105" s="24"/>
      <c r="D2105" s="5"/>
      <c r="E2105" s="5"/>
      <c r="F2105" s="4"/>
      <c r="G2105" s="4"/>
      <c r="H2105" s="4"/>
      <c r="I2105" s="4"/>
      <c r="J2105" s="4"/>
      <c r="K2105" s="4"/>
    </row>
    <row r="2106" spans="2:11">
      <c r="B2106" s="6"/>
      <c r="C2106" s="24"/>
      <c r="D2106" s="5"/>
      <c r="E2106" s="5"/>
      <c r="F2106" s="4"/>
      <c r="G2106" s="4"/>
      <c r="H2106" s="4"/>
      <c r="I2106" s="4"/>
      <c r="J2106" s="4"/>
      <c r="K2106" s="4"/>
    </row>
    <row r="2107" spans="2:11">
      <c r="B2107" s="6"/>
      <c r="C2107" s="24"/>
      <c r="D2107" s="5"/>
      <c r="E2107" s="5"/>
      <c r="F2107" s="4"/>
      <c r="G2107" s="4"/>
      <c r="H2107" s="4"/>
      <c r="I2107" s="4"/>
      <c r="J2107" s="4"/>
      <c r="K2107" s="4"/>
    </row>
    <row r="2108" spans="2:11">
      <c r="B2108" s="6"/>
      <c r="C2108" s="24"/>
      <c r="D2108" s="5"/>
      <c r="E2108" s="5"/>
      <c r="F2108" s="4"/>
      <c r="G2108" s="4"/>
      <c r="H2108" s="4"/>
      <c r="I2108" s="4"/>
      <c r="J2108" s="4"/>
      <c r="K2108" s="4"/>
    </row>
    <row r="2109" spans="2:11">
      <c r="B2109" s="6"/>
      <c r="C2109" s="24"/>
      <c r="D2109" s="5"/>
      <c r="E2109" s="5"/>
      <c r="F2109" s="4"/>
      <c r="G2109" s="4"/>
      <c r="H2109" s="4"/>
      <c r="I2109" s="4"/>
      <c r="J2109" s="4"/>
      <c r="K2109" s="4"/>
    </row>
    <row r="2110" spans="2:11">
      <c r="B2110" s="6"/>
      <c r="C2110" s="24"/>
      <c r="D2110" s="5"/>
      <c r="E2110" s="5"/>
      <c r="F2110" s="4"/>
      <c r="G2110" s="4"/>
      <c r="H2110" s="4"/>
      <c r="I2110" s="4"/>
      <c r="J2110" s="4"/>
      <c r="K2110" s="4"/>
    </row>
    <row r="2111" spans="2:11">
      <c r="B2111" s="6"/>
      <c r="C2111" s="24"/>
      <c r="D2111" s="5"/>
      <c r="E2111" s="5"/>
      <c r="F2111" s="4"/>
      <c r="G2111" s="4"/>
      <c r="H2111" s="4"/>
      <c r="I2111" s="4"/>
      <c r="J2111" s="4"/>
      <c r="K2111" s="4"/>
    </row>
    <row r="2112" spans="2:11">
      <c r="B2112" s="6"/>
      <c r="C2112" s="24"/>
      <c r="D2112" s="5"/>
      <c r="E2112" s="5"/>
      <c r="F2112" s="4"/>
      <c r="G2112" s="4"/>
      <c r="H2112" s="4"/>
      <c r="I2112" s="4"/>
      <c r="J2112" s="4"/>
      <c r="K2112" s="4"/>
    </row>
    <row r="2113" spans="2:11">
      <c r="B2113" s="6"/>
      <c r="C2113" s="24"/>
      <c r="D2113" s="5"/>
      <c r="E2113" s="5"/>
      <c r="F2113" s="4"/>
      <c r="G2113" s="4"/>
      <c r="H2113" s="4"/>
      <c r="I2113" s="4"/>
      <c r="J2113" s="4"/>
      <c r="K2113" s="4"/>
    </row>
    <row r="2114" spans="2:11">
      <c r="B2114" s="6"/>
      <c r="C2114" s="24"/>
      <c r="D2114" s="5"/>
      <c r="E2114" s="5"/>
      <c r="F2114" s="4"/>
      <c r="G2114" s="4"/>
      <c r="H2114" s="4"/>
      <c r="I2114" s="4"/>
      <c r="J2114" s="4"/>
      <c r="K2114" s="4"/>
    </row>
    <row r="2115" spans="2:11">
      <c r="B2115" s="6"/>
      <c r="C2115" s="24"/>
      <c r="D2115" s="5"/>
      <c r="E2115" s="5"/>
      <c r="F2115" s="4"/>
      <c r="G2115" s="4"/>
      <c r="H2115" s="4"/>
      <c r="I2115" s="4"/>
      <c r="J2115" s="4"/>
      <c r="K2115" s="4"/>
    </row>
    <row r="2116" spans="2:11">
      <c r="B2116" s="6"/>
      <c r="C2116" s="24"/>
      <c r="D2116" s="5"/>
      <c r="E2116" s="5"/>
      <c r="F2116" s="4"/>
      <c r="G2116" s="4"/>
      <c r="H2116" s="4"/>
      <c r="I2116" s="4"/>
      <c r="J2116" s="4"/>
      <c r="K2116" s="4"/>
    </row>
    <row r="2117" spans="2:11">
      <c r="B2117" s="6"/>
      <c r="C2117" s="24"/>
      <c r="D2117" s="5"/>
      <c r="E2117" s="5"/>
      <c r="F2117" s="4"/>
      <c r="G2117" s="4"/>
      <c r="H2117" s="4"/>
      <c r="I2117" s="4"/>
      <c r="J2117" s="4"/>
      <c r="K2117" s="4"/>
    </row>
    <row r="2118" spans="2:11">
      <c r="B2118" s="6"/>
      <c r="C2118" s="24"/>
      <c r="D2118" s="5"/>
      <c r="E2118" s="5"/>
      <c r="F2118" s="4"/>
      <c r="G2118" s="4"/>
      <c r="H2118" s="4"/>
      <c r="I2118" s="4"/>
      <c r="J2118" s="4"/>
      <c r="K2118" s="4"/>
    </row>
    <row r="2119" spans="2:11">
      <c r="B2119" s="6"/>
      <c r="C2119" s="24"/>
      <c r="D2119" s="5"/>
      <c r="E2119" s="5"/>
      <c r="F2119" s="4"/>
      <c r="G2119" s="4"/>
      <c r="H2119" s="4"/>
      <c r="I2119" s="4"/>
      <c r="J2119" s="4"/>
      <c r="K2119" s="4"/>
    </row>
    <row r="2120" spans="2:11">
      <c r="B2120" s="6"/>
      <c r="C2120" s="24"/>
      <c r="D2120" s="5"/>
      <c r="E2120" s="5"/>
      <c r="F2120" s="4"/>
      <c r="G2120" s="4"/>
      <c r="H2120" s="4"/>
      <c r="I2120" s="4"/>
      <c r="J2120" s="4"/>
      <c r="K2120" s="4"/>
    </row>
    <row r="2121" spans="2:11">
      <c r="B2121" s="6"/>
      <c r="C2121" s="24"/>
      <c r="D2121" s="5"/>
      <c r="E2121" s="5"/>
      <c r="F2121" s="4"/>
      <c r="G2121" s="4"/>
      <c r="H2121" s="4"/>
      <c r="I2121" s="4"/>
      <c r="J2121" s="4"/>
      <c r="K2121" s="4"/>
    </row>
    <row r="2122" spans="2:11">
      <c r="B2122" s="6"/>
      <c r="C2122" s="24"/>
      <c r="D2122" s="5"/>
      <c r="E2122" s="5"/>
      <c r="F2122" s="4"/>
      <c r="G2122" s="4"/>
      <c r="H2122" s="4"/>
      <c r="I2122" s="4"/>
      <c r="J2122" s="4"/>
      <c r="K2122" s="4"/>
    </row>
    <row r="2123" spans="2:11">
      <c r="B2123" s="6"/>
      <c r="C2123" s="24"/>
      <c r="D2123" s="5"/>
      <c r="E2123" s="5"/>
      <c r="F2123" s="4"/>
      <c r="G2123" s="4"/>
      <c r="H2123" s="4"/>
      <c r="I2123" s="4"/>
      <c r="J2123" s="4"/>
      <c r="K2123" s="4"/>
    </row>
    <row r="2124" spans="2:11">
      <c r="B2124" s="6"/>
      <c r="C2124" s="24"/>
      <c r="D2124" s="5"/>
      <c r="E2124" s="5"/>
      <c r="F2124" s="4"/>
      <c r="G2124" s="4"/>
      <c r="H2124" s="4"/>
      <c r="I2124" s="4"/>
      <c r="J2124" s="4"/>
      <c r="K2124" s="4"/>
    </row>
    <row r="2125" spans="2:11">
      <c r="B2125" s="6"/>
      <c r="C2125" s="24"/>
      <c r="D2125" s="5"/>
      <c r="E2125" s="5"/>
      <c r="F2125" s="4"/>
      <c r="G2125" s="4"/>
      <c r="H2125" s="4"/>
      <c r="I2125" s="4"/>
      <c r="J2125" s="4"/>
      <c r="K2125" s="4"/>
    </row>
    <row r="2126" spans="2:11">
      <c r="B2126" s="6"/>
      <c r="C2126" s="24"/>
      <c r="D2126" s="5"/>
      <c r="E2126" s="5"/>
      <c r="F2126" s="4"/>
      <c r="G2126" s="4"/>
      <c r="H2126" s="4"/>
      <c r="I2126" s="4"/>
      <c r="J2126" s="4"/>
      <c r="K2126" s="4"/>
    </row>
    <row r="2127" spans="2:11">
      <c r="B2127" s="6"/>
      <c r="C2127" s="24"/>
      <c r="D2127" s="5"/>
      <c r="E2127" s="5"/>
      <c r="F2127" s="4"/>
      <c r="G2127" s="4"/>
      <c r="H2127" s="4"/>
      <c r="I2127" s="4"/>
      <c r="J2127" s="4"/>
      <c r="K2127" s="4"/>
    </row>
    <row r="2128" spans="2:11">
      <c r="B2128" s="6"/>
      <c r="C2128" s="24"/>
      <c r="D2128" s="5"/>
      <c r="E2128" s="5"/>
      <c r="F2128" s="4"/>
      <c r="G2128" s="4"/>
      <c r="H2128" s="4"/>
      <c r="I2128" s="4"/>
      <c r="J2128" s="4"/>
      <c r="K2128" s="4"/>
    </row>
    <row r="2129" spans="2:11">
      <c r="B2129" s="6"/>
      <c r="C2129" s="24"/>
      <c r="D2129" s="5"/>
      <c r="E2129" s="5"/>
      <c r="F2129" s="4"/>
      <c r="G2129" s="4"/>
      <c r="H2129" s="4"/>
      <c r="I2129" s="4"/>
      <c r="J2129" s="4"/>
      <c r="K2129" s="4"/>
    </row>
    <row r="2130" spans="2:11">
      <c r="B2130" s="6"/>
      <c r="C2130" s="24"/>
      <c r="D2130" s="5"/>
      <c r="E2130" s="5"/>
      <c r="F2130" s="4"/>
      <c r="G2130" s="4"/>
      <c r="H2130" s="4"/>
      <c r="I2130" s="4"/>
      <c r="J2130" s="4"/>
      <c r="K2130" s="4"/>
    </row>
    <row r="2131" spans="2:11">
      <c r="B2131" s="6"/>
      <c r="C2131" s="24"/>
      <c r="D2131" s="5"/>
      <c r="E2131" s="5"/>
      <c r="F2131" s="4"/>
      <c r="G2131" s="4"/>
      <c r="H2131" s="4"/>
      <c r="I2131" s="4"/>
      <c r="J2131" s="4"/>
      <c r="K2131" s="4"/>
    </row>
    <row r="2132" spans="2:11">
      <c r="B2132" s="6"/>
      <c r="C2132" s="24"/>
      <c r="D2132" s="5"/>
      <c r="E2132" s="5"/>
      <c r="F2132" s="4"/>
      <c r="G2132" s="4"/>
      <c r="H2132" s="4"/>
      <c r="I2132" s="4"/>
      <c r="J2132" s="4"/>
      <c r="K2132" s="4"/>
    </row>
    <row r="2133" spans="2:11">
      <c r="B2133" s="6"/>
      <c r="C2133" s="24"/>
      <c r="D2133" s="5"/>
      <c r="E2133" s="5"/>
      <c r="F2133" s="4"/>
      <c r="G2133" s="4"/>
      <c r="H2133" s="4"/>
      <c r="I2133" s="4"/>
      <c r="J2133" s="4"/>
      <c r="K2133" s="4"/>
    </row>
    <row r="2134" spans="2:11">
      <c r="B2134" s="6"/>
      <c r="C2134" s="24"/>
      <c r="D2134" s="5"/>
      <c r="E2134" s="5"/>
      <c r="F2134" s="4"/>
      <c r="G2134" s="4"/>
      <c r="H2134" s="4"/>
      <c r="I2134" s="4"/>
      <c r="J2134" s="4"/>
      <c r="K2134" s="4"/>
    </row>
    <row r="2135" spans="2:11">
      <c r="B2135" s="6"/>
      <c r="C2135" s="24"/>
      <c r="D2135" s="5"/>
      <c r="E2135" s="5"/>
      <c r="F2135" s="4"/>
      <c r="G2135" s="4"/>
      <c r="H2135" s="4"/>
      <c r="I2135" s="4"/>
      <c r="J2135" s="4"/>
      <c r="K2135" s="4"/>
    </row>
    <row r="2136" spans="2:11">
      <c r="B2136" s="6"/>
      <c r="C2136" s="24"/>
      <c r="D2136" s="5"/>
      <c r="E2136" s="5"/>
      <c r="F2136" s="4"/>
      <c r="G2136" s="4"/>
      <c r="H2136" s="4"/>
      <c r="I2136" s="4"/>
      <c r="J2136" s="4"/>
      <c r="K2136" s="4"/>
    </row>
    <row r="2137" spans="2:11">
      <c r="B2137" s="6"/>
      <c r="C2137" s="24"/>
      <c r="D2137" s="5"/>
      <c r="E2137" s="5"/>
      <c r="F2137" s="4"/>
      <c r="G2137" s="4"/>
      <c r="H2137" s="4"/>
      <c r="I2137" s="4"/>
      <c r="J2137" s="4"/>
      <c r="K2137" s="4"/>
    </row>
    <row r="2138" spans="2:11">
      <c r="B2138" s="6"/>
      <c r="C2138" s="24"/>
      <c r="D2138" s="5"/>
      <c r="E2138" s="5"/>
      <c r="F2138" s="4"/>
      <c r="G2138" s="4"/>
      <c r="H2138" s="4"/>
      <c r="I2138" s="4"/>
      <c r="J2138" s="4"/>
      <c r="K2138" s="4"/>
    </row>
    <row r="2139" spans="2:11">
      <c r="B2139" s="6"/>
      <c r="C2139" s="24"/>
      <c r="D2139" s="5"/>
      <c r="E2139" s="5"/>
      <c r="F2139" s="4"/>
      <c r="G2139" s="4"/>
      <c r="H2139" s="4"/>
      <c r="I2139" s="4"/>
      <c r="J2139" s="4"/>
      <c r="K2139" s="4"/>
    </row>
    <row r="2140" spans="2:11">
      <c r="B2140" s="6"/>
      <c r="C2140" s="24"/>
      <c r="D2140" s="5"/>
      <c r="E2140" s="5"/>
      <c r="F2140" s="4"/>
      <c r="G2140" s="4"/>
      <c r="H2140" s="4"/>
      <c r="I2140" s="4"/>
      <c r="J2140" s="4"/>
      <c r="K2140" s="4"/>
    </row>
    <row r="2141" spans="2:11">
      <c r="B2141" s="6"/>
      <c r="C2141" s="24"/>
      <c r="D2141" s="5"/>
      <c r="E2141" s="5"/>
      <c r="F2141" s="4"/>
      <c r="G2141" s="4"/>
      <c r="H2141" s="4"/>
      <c r="I2141" s="4"/>
      <c r="J2141" s="4"/>
      <c r="K2141" s="4"/>
    </row>
    <row r="2142" spans="2:11">
      <c r="B2142" s="6"/>
      <c r="C2142" s="24"/>
      <c r="D2142" s="5"/>
      <c r="E2142" s="5"/>
      <c r="F2142" s="4"/>
      <c r="G2142" s="4"/>
      <c r="H2142" s="4"/>
      <c r="I2142" s="4"/>
      <c r="J2142" s="4"/>
      <c r="K2142" s="4"/>
    </row>
    <row r="2143" spans="2:11">
      <c r="B2143" s="6"/>
      <c r="C2143" s="24"/>
      <c r="D2143" s="5"/>
      <c r="E2143" s="5"/>
      <c r="F2143" s="4"/>
      <c r="G2143" s="4"/>
      <c r="H2143" s="4"/>
      <c r="I2143" s="4"/>
      <c r="J2143" s="4"/>
      <c r="K2143" s="4"/>
    </row>
    <row r="2144" spans="2:11">
      <c r="B2144" s="6"/>
      <c r="C2144" s="24"/>
      <c r="D2144" s="5"/>
      <c r="E2144" s="5"/>
      <c r="F2144" s="4"/>
      <c r="G2144" s="4"/>
      <c r="H2144" s="4"/>
      <c r="I2144" s="4"/>
      <c r="J2144" s="4"/>
      <c r="K2144" s="4"/>
    </row>
    <row r="2145" spans="2:11">
      <c r="B2145" s="6"/>
      <c r="C2145" s="24"/>
      <c r="D2145" s="5"/>
      <c r="E2145" s="5"/>
      <c r="F2145" s="4"/>
      <c r="G2145" s="4"/>
      <c r="H2145" s="4"/>
      <c r="I2145" s="4"/>
      <c r="J2145" s="4"/>
      <c r="K2145" s="4"/>
    </row>
    <row r="2146" spans="2:11">
      <c r="B2146" s="6"/>
      <c r="C2146" s="24"/>
      <c r="D2146" s="5"/>
      <c r="E2146" s="5"/>
      <c r="F2146" s="4"/>
      <c r="G2146" s="4"/>
      <c r="H2146" s="4"/>
      <c r="I2146" s="4"/>
      <c r="J2146" s="4"/>
      <c r="K2146" s="4"/>
    </row>
    <row r="2147" spans="2:11">
      <c r="B2147" s="6"/>
      <c r="C2147" s="24"/>
      <c r="D2147" s="5"/>
      <c r="E2147" s="5"/>
      <c r="F2147" s="4"/>
      <c r="G2147" s="4"/>
      <c r="H2147" s="4"/>
      <c r="I2147" s="4"/>
      <c r="J2147" s="4"/>
      <c r="K2147" s="4"/>
    </row>
    <row r="2148" spans="2:11">
      <c r="B2148" s="6"/>
      <c r="C2148" s="24"/>
      <c r="D2148" s="5"/>
      <c r="E2148" s="5"/>
      <c r="F2148" s="4"/>
      <c r="G2148" s="4"/>
      <c r="H2148" s="4"/>
      <c r="I2148" s="4"/>
      <c r="J2148" s="4"/>
      <c r="K2148" s="4"/>
    </row>
    <row r="2149" spans="2:11">
      <c r="B2149" s="6"/>
      <c r="C2149" s="24"/>
      <c r="D2149" s="5"/>
      <c r="E2149" s="5"/>
      <c r="F2149" s="4"/>
      <c r="G2149" s="4"/>
      <c r="H2149" s="4"/>
      <c r="I2149" s="4"/>
      <c r="J2149" s="4"/>
      <c r="K2149" s="4"/>
    </row>
    <row r="2150" spans="2:11">
      <c r="B2150" s="6"/>
      <c r="C2150" s="24"/>
      <c r="D2150" s="5"/>
      <c r="E2150" s="5"/>
      <c r="F2150" s="4"/>
      <c r="G2150" s="4"/>
      <c r="H2150" s="4"/>
      <c r="I2150" s="4"/>
      <c r="J2150" s="4"/>
      <c r="K2150" s="4"/>
    </row>
    <row r="2151" spans="2:11">
      <c r="B2151" s="6"/>
      <c r="C2151" s="24"/>
      <c r="D2151" s="5"/>
      <c r="E2151" s="5"/>
      <c r="F2151" s="4"/>
      <c r="G2151" s="4"/>
      <c r="H2151" s="4"/>
      <c r="I2151" s="4"/>
      <c r="J2151" s="4"/>
      <c r="K2151" s="4"/>
    </row>
    <row r="2152" spans="2:11">
      <c r="B2152" s="6"/>
      <c r="C2152" s="24"/>
      <c r="D2152" s="5"/>
      <c r="E2152" s="5"/>
      <c r="F2152" s="4"/>
      <c r="G2152" s="4"/>
      <c r="H2152" s="4"/>
      <c r="I2152" s="4"/>
      <c r="J2152" s="4"/>
      <c r="K2152" s="4"/>
    </row>
    <row r="2153" spans="2:11">
      <c r="B2153" s="6"/>
      <c r="C2153" s="24"/>
      <c r="D2153" s="5"/>
      <c r="E2153" s="5"/>
      <c r="F2153" s="4"/>
      <c r="G2153" s="4"/>
      <c r="H2153" s="4"/>
      <c r="I2153" s="4"/>
      <c r="J2153" s="4"/>
      <c r="K2153" s="4"/>
    </row>
    <row r="2154" spans="2:11">
      <c r="B2154" s="6"/>
      <c r="C2154" s="24"/>
      <c r="D2154" s="5"/>
      <c r="E2154" s="5"/>
      <c r="F2154" s="4"/>
      <c r="G2154" s="4"/>
      <c r="H2154" s="4"/>
      <c r="I2154" s="4"/>
      <c r="J2154" s="4"/>
      <c r="K2154" s="4"/>
    </row>
    <row r="2155" spans="2:11">
      <c r="B2155" s="6"/>
      <c r="C2155" s="24"/>
      <c r="D2155" s="5"/>
      <c r="E2155" s="5"/>
      <c r="F2155" s="4"/>
      <c r="G2155" s="4"/>
      <c r="H2155" s="4"/>
      <c r="I2155" s="4"/>
      <c r="J2155" s="4"/>
      <c r="K2155" s="4"/>
    </row>
    <row r="2156" spans="2:11">
      <c r="B2156" s="6"/>
      <c r="C2156" s="24"/>
      <c r="D2156" s="5"/>
      <c r="E2156" s="5"/>
      <c r="F2156" s="4"/>
      <c r="G2156" s="4"/>
      <c r="H2156" s="4"/>
      <c r="I2156" s="4"/>
      <c r="J2156" s="4"/>
      <c r="K2156" s="4"/>
    </row>
    <row r="2157" spans="2:11">
      <c r="B2157" s="6"/>
      <c r="C2157" s="24"/>
      <c r="D2157" s="5"/>
      <c r="E2157" s="5"/>
      <c r="F2157" s="4"/>
      <c r="G2157" s="4"/>
      <c r="H2157" s="4"/>
      <c r="I2157" s="4"/>
      <c r="J2157" s="4"/>
      <c r="K2157" s="4"/>
    </row>
    <row r="2158" spans="2:11">
      <c r="B2158" s="6"/>
      <c r="C2158" s="24"/>
      <c r="D2158" s="5"/>
      <c r="E2158" s="5"/>
      <c r="F2158" s="4"/>
      <c r="G2158" s="4"/>
      <c r="H2158" s="4"/>
      <c r="I2158" s="4"/>
      <c r="J2158" s="4"/>
      <c r="K2158" s="4"/>
    </row>
    <row r="2159" spans="2:11">
      <c r="B2159" s="6"/>
      <c r="C2159" s="24"/>
      <c r="D2159" s="5"/>
      <c r="E2159" s="5"/>
      <c r="F2159" s="4"/>
      <c r="G2159" s="4"/>
      <c r="H2159" s="4"/>
      <c r="I2159" s="4"/>
      <c r="J2159" s="4"/>
      <c r="K2159" s="4"/>
    </row>
    <row r="2160" spans="2:11">
      <c r="B2160" s="6"/>
      <c r="C2160" s="24"/>
      <c r="D2160" s="5"/>
      <c r="E2160" s="5"/>
      <c r="F2160" s="4"/>
      <c r="G2160" s="4"/>
      <c r="H2160" s="4"/>
      <c r="I2160" s="4"/>
      <c r="J2160" s="4"/>
      <c r="K2160" s="4"/>
    </row>
    <row r="2161" spans="2:11">
      <c r="B2161" s="6"/>
      <c r="C2161" s="24"/>
      <c r="D2161" s="5"/>
      <c r="E2161" s="5"/>
      <c r="F2161" s="4"/>
      <c r="G2161" s="4"/>
      <c r="H2161" s="4"/>
      <c r="I2161" s="4"/>
      <c r="J2161" s="4"/>
      <c r="K2161" s="4"/>
    </row>
    <row r="2162" spans="2:11">
      <c r="B2162" s="6"/>
      <c r="C2162" s="24"/>
      <c r="D2162" s="5"/>
      <c r="E2162" s="5"/>
      <c r="F2162" s="4"/>
      <c r="G2162" s="4"/>
      <c r="H2162" s="4"/>
      <c r="I2162" s="4"/>
      <c r="J2162" s="4"/>
      <c r="K2162" s="4"/>
    </row>
    <row r="2163" spans="2:11">
      <c r="B2163" s="6"/>
      <c r="C2163" s="24"/>
      <c r="D2163" s="5"/>
      <c r="E2163" s="5"/>
      <c r="F2163" s="4"/>
      <c r="G2163" s="4"/>
      <c r="H2163" s="4"/>
      <c r="I2163" s="4"/>
      <c r="J2163" s="4"/>
      <c r="K2163" s="4"/>
    </row>
    <row r="2164" spans="2:11">
      <c r="B2164" s="6"/>
      <c r="C2164" s="24"/>
      <c r="D2164" s="5"/>
      <c r="E2164" s="5"/>
      <c r="F2164" s="4"/>
      <c r="G2164" s="4"/>
      <c r="H2164" s="4"/>
      <c r="I2164" s="4"/>
      <c r="J2164" s="4"/>
      <c r="K2164" s="4"/>
    </row>
    <row r="2165" spans="2:11">
      <c r="B2165" s="6"/>
      <c r="C2165" s="24"/>
      <c r="D2165" s="5"/>
      <c r="E2165" s="5"/>
      <c r="F2165" s="4"/>
      <c r="G2165" s="4"/>
      <c r="H2165" s="4"/>
      <c r="I2165" s="4"/>
      <c r="J2165" s="4"/>
      <c r="K2165" s="4"/>
    </row>
    <row r="2166" spans="2:11">
      <c r="B2166" s="6"/>
      <c r="C2166" s="24"/>
      <c r="D2166" s="5"/>
      <c r="E2166" s="5"/>
      <c r="F2166" s="4"/>
      <c r="G2166" s="4"/>
      <c r="H2166" s="4"/>
      <c r="I2166" s="4"/>
      <c r="J2166" s="4"/>
      <c r="K2166" s="4"/>
    </row>
    <row r="2167" spans="2:11">
      <c r="B2167" s="6"/>
      <c r="C2167" s="24"/>
      <c r="D2167" s="5"/>
      <c r="E2167" s="5"/>
      <c r="F2167" s="4"/>
      <c r="G2167" s="4"/>
      <c r="H2167" s="4"/>
      <c r="I2167" s="4"/>
      <c r="J2167" s="4"/>
      <c r="K2167" s="4"/>
    </row>
    <row r="2168" spans="2:11">
      <c r="B2168" s="6"/>
      <c r="C2168" s="24"/>
      <c r="D2168" s="5"/>
      <c r="E2168" s="5"/>
      <c r="F2168" s="4"/>
      <c r="G2168" s="4"/>
      <c r="H2168" s="4"/>
      <c r="I2168" s="4"/>
      <c r="J2168" s="4"/>
      <c r="K2168" s="4"/>
    </row>
    <row r="2169" spans="2:11">
      <c r="B2169" s="6"/>
      <c r="C2169" s="24"/>
      <c r="D2169" s="5"/>
      <c r="E2169" s="5"/>
      <c r="F2169" s="4"/>
      <c r="G2169" s="4"/>
      <c r="H2169" s="4"/>
      <c r="I2169" s="4"/>
      <c r="J2169" s="4"/>
      <c r="K2169" s="4"/>
    </row>
    <row r="2170" spans="2:11">
      <c r="B2170" s="6"/>
      <c r="C2170" s="24"/>
      <c r="D2170" s="5"/>
      <c r="E2170" s="5"/>
      <c r="F2170" s="4"/>
      <c r="G2170" s="4"/>
      <c r="H2170" s="4"/>
      <c r="I2170" s="4"/>
      <c r="J2170" s="4"/>
      <c r="K2170" s="4"/>
    </row>
    <row r="2171" spans="2:11">
      <c r="B2171" s="6"/>
      <c r="C2171" s="24"/>
      <c r="D2171" s="5"/>
      <c r="E2171" s="5"/>
      <c r="F2171" s="4"/>
      <c r="G2171" s="4"/>
      <c r="H2171" s="4"/>
      <c r="I2171" s="4"/>
      <c r="J2171" s="4"/>
      <c r="K2171" s="4"/>
    </row>
    <row r="2172" spans="2:11">
      <c r="B2172" s="6"/>
      <c r="C2172" s="24"/>
      <c r="D2172" s="5"/>
      <c r="E2172" s="5"/>
      <c r="F2172" s="4"/>
      <c r="G2172" s="4"/>
      <c r="H2172" s="4"/>
      <c r="I2172" s="4"/>
      <c r="J2172" s="4"/>
      <c r="K2172" s="4"/>
    </row>
    <row r="2173" spans="2:11">
      <c r="B2173" s="6"/>
      <c r="C2173" s="24"/>
      <c r="D2173" s="5"/>
      <c r="E2173" s="5"/>
      <c r="F2173" s="4"/>
      <c r="G2173" s="4"/>
      <c r="H2173" s="4"/>
      <c r="I2173" s="4"/>
      <c r="J2173" s="4"/>
      <c r="K2173" s="4"/>
    </row>
    <row r="2174" spans="2:11">
      <c r="B2174" s="6"/>
      <c r="C2174" s="24"/>
      <c r="D2174" s="5"/>
      <c r="E2174" s="5"/>
      <c r="F2174" s="4"/>
      <c r="G2174" s="4"/>
      <c r="H2174" s="4"/>
      <c r="I2174" s="4"/>
      <c r="J2174" s="4"/>
      <c r="K2174" s="4"/>
    </row>
    <row r="2175" spans="2:11">
      <c r="B2175" s="6"/>
      <c r="C2175" s="24"/>
      <c r="D2175" s="5"/>
      <c r="E2175" s="5"/>
      <c r="F2175" s="4"/>
      <c r="G2175" s="4"/>
      <c r="H2175" s="4"/>
      <c r="I2175" s="4"/>
      <c r="J2175" s="4"/>
      <c r="K2175" s="4"/>
    </row>
    <row r="2176" spans="2:11">
      <c r="B2176" s="6"/>
      <c r="C2176" s="24"/>
      <c r="D2176" s="5"/>
      <c r="E2176" s="5"/>
      <c r="F2176" s="4"/>
      <c r="G2176" s="4"/>
      <c r="H2176" s="4"/>
      <c r="I2176" s="4"/>
      <c r="J2176" s="4"/>
      <c r="K2176" s="4"/>
    </row>
    <row r="2177" spans="2:11">
      <c r="B2177" s="6"/>
      <c r="C2177" s="24"/>
      <c r="D2177" s="5"/>
      <c r="E2177" s="5"/>
      <c r="F2177" s="4"/>
      <c r="G2177" s="4"/>
      <c r="H2177" s="4"/>
      <c r="I2177" s="4"/>
      <c r="J2177" s="4"/>
      <c r="K2177" s="4"/>
    </row>
    <row r="2178" spans="2:11">
      <c r="B2178" s="6"/>
      <c r="C2178" s="24"/>
      <c r="D2178" s="5"/>
      <c r="E2178" s="5"/>
      <c r="F2178" s="4"/>
      <c r="G2178" s="4"/>
      <c r="H2178" s="4"/>
      <c r="I2178" s="4"/>
      <c r="J2178" s="4"/>
      <c r="K2178" s="4"/>
    </row>
    <row r="2179" spans="2:11">
      <c r="B2179" s="6"/>
      <c r="C2179" s="24"/>
      <c r="D2179" s="5"/>
      <c r="E2179" s="5"/>
      <c r="F2179" s="4"/>
      <c r="G2179" s="4"/>
      <c r="H2179" s="4"/>
      <c r="I2179" s="4"/>
      <c r="J2179" s="4"/>
      <c r="K2179" s="4"/>
    </row>
    <row r="2180" spans="2:11">
      <c r="B2180" s="6"/>
      <c r="C2180" s="24"/>
      <c r="D2180" s="5"/>
      <c r="E2180" s="5"/>
      <c r="F2180" s="4"/>
      <c r="G2180" s="4"/>
      <c r="H2180" s="4"/>
      <c r="I2180" s="4"/>
      <c r="J2180" s="4"/>
      <c r="K2180" s="4"/>
    </row>
    <row r="2181" spans="2:11">
      <c r="B2181" s="6"/>
      <c r="C2181" s="24"/>
      <c r="D2181" s="5"/>
      <c r="E2181" s="5"/>
      <c r="F2181" s="4"/>
      <c r="G2181" s="4"/>
      <c r="H2181" s="4"/>
      <c r="I2181" s="4"/>
      <c r="J2181" s="4"/>
      <c r="K2181" s="4"/>
    </row>
    <row r="2182" spans="2:11">
      <c r="B2182" s="6"/>
      <c r="C2182" s="24"/>
      <c r="D2182" s="5"/>
      <c r="E2182" s="5"/>
      <c r="F2182" s="4"/>
      <c r="G2182" s="4"/>
      <c r="H2182" s="4"/>
      <c r="I2182" s="4"/>
      <c r="J2182" s="4"/>
      <c r="K2182" s="4"/>
    </row>
    <row r="2183" spans="2:11">
      <c r="B2183" s="6"/>
      <c r="C2183" s="24"/>
      <c r="D2183" s="5"/>
      <c r="E2183" s="5"/>
      <c r="F2183" s="4"/>
      <c r="G2183" s="4"/>
      <c r="H2183" s="4"/>
      <c r="I2183" s="4"/>
      <c r="J2183" s="4"/>
      <c r="K2183" s="4"/>
    </row>
    <row r="2184" spans="2:11">
      <c r="B2184" s="6"/>
      <c r="C2184" s="24"/>
      <c r="D2184" s="5"/>
      <c r="E2184" s="5"/>
      <c r="F2184" s="4"/>
      <c r="G2184" s="4"/>
      <c r="H2184" s="4"/>
      <c r="I2184" s="4"/>
      <c r="J2184" s="4"/>
      <c r="K2184" s="4"/>
    </row>
    <row r="2185" spans="2:11">
      <c r="B2185" s="6"/>
      <c r="C2185" s="24"/>
      <c r="D2185" s="5"/>
      <c r="E2185" s="5"/>
      <c r="F2185" s="4"/>
      <c r="G2185" s="4"/>
      <c r="H2185" s="4"/>
      <c r="I2185" s="4"/>
      <c r="J2185" s="4"/>
      <c r="K2185" s="4"/>
    </row>
    <row r="2186" spans="2:11">
      <c r="B2186" s="6"/>
      <c r="C2186" s="24"/>
      <c r="D2186" s="5"/>
      <c r="E2186" s="5"/>
      <c r="F2186" s="4"/>
      <c r="G2186" s="4"/>
      <c r="H2186" s="4"/>
      <c r="I2186" s="4"/>
      <c r="J2186" s="4"/>
      <c r="K2186" s="4"/>
    </row>
    <row r="2187" spans="2:11">
      <c r="B2187" s="6"/>
      <c r="C2187" s="24"/>
      <c r="D2187" s="5"/>
      <c r="E2187" s="5"/>
      <c r="F2187" s="4"/>
      <c r="G2187" s="4"/>
      <c r="H2187" s="4"/>
      <c r="I2187" s="4"/>
      <c r="J2187" s="4"/>
      <c r="K2187" s="4"/>
    </row>
    <row r="2188" spans="2:11">
      <c r="B2188" s="6"/>
      <c r="C2188" s="24"/>
      <c r="D2188" s="5"/>
      <c r="E2188" s="5"/>
      <c r="F2188" s="4"/>
      <c r="G2188" s="4"/>
      <c r="H2188" s="4"/>
      <c r="I2188" s="4"/>
      <c r="J2188" s="4"/>
      <c r="K2188" s="4"/>
    </row>
    <row r="2189" spans="2:11">
      <c r="B2189" s="6"/>
      <c r="C2189" s="24"/>
      <c r="D2189" s="5"/>
      <c r="E2189" s="5"/>
      <c r="F2189" s="4"/>
      <c r="G2189" s="4"/>
      <c r="H2189" s="4"/>
      <c r="I2189" s="4"/>
      <c r="J2189" s="4"/>
      <c r="K2189" s="4"/>
    </row>
    <row r="2190" spans="2:11">
      <c r="B2190" s="6"/>
      <c r="C2190" s="24"/>
      <c r="D2190" s="5"/>
      <c r="E2190" s="5"/>
      <c r="F2190" s="4"/>
      <c r="G2190" s="4"/>
      <c r="H2190" s="4"/>
      <c r="I2190" s="4"/>
      <c r="J2190" s="4"/>
      <c r="K2190" s="4"/>
    </row>
    <row r="2191" spans="2:11">
      <c r="B2191" s="6"/>
      <c r="C2191" s="24"/>
      <c r="D2191" s="5"/>
      <c r="E2191" s="5"/>
      <c r="F2191" s="4"/>
      <c r="G2191" s="4"/>
      <c r="H2191" s="4"/>
      <c r="I2191" s="4"/>
      <c r="J2191" s="4"/>
      <c r="K2191" s="4"/>
    </row>
    <row r="2192" spans="2:11">
      <c r="B2192" s="6"/>
      <c r="C2192" s="24"/>
      <c r="D2192" s="5"/>
      <c r="E2192" s="5"/>
      <c r="F2192" s="4"/>
      <c r="G2192" s="4"/>
      <c r="H2192" s="4"/>
      <c r="I2192" s="4"/>
      <c r="J2192" s="4"/>
      <c r="K2192" s="4"/>
    </row>
    <row r="2193" spans="2:11">
      <c r="B2193" s="6"/>
      <c r="C2193" s="24"/>
      <c r="D2193" s="5"/>
      <c r="E2193" s="5"/>
      <c r="F2193" s="4"/>
      <c r="G2193" s="4"/>
      <c r="H2193" s="4"/>
      <c r="I2193" s="4"/>
      <c r="J2193" s="4"/>
      <c r="K2193" s="4"/>
    </row>
    <row r="2194" spans="2:11">
      <c r="B2194" s="6"/>
      <c r="C2194" s="24"/>
      <c r="D2194" s="5"/>
      <c r="E2194" s="5"/>
      <c r="F2194" s="4"/>
      <c r="G2194" s="4"/>
      <c r="H2194" s="4"/>
      <c r="I2194" s="4"/>
      <c r="J2194" s="4"/>
      <c r="K2194" s="4"/>
    </row>
    <row r="2195" spans="2:11">
      <c r="B2195" s="6"/>
      <c r="C2195" s="24"/>
      <c r="D2195" s="5"/>
      <c r="E2195" s="5"/>
      <c r="F2195" s="4"/>
      <c r="G2195" s="4"/>
      <c r="H2195" s="4"/>
      <c r="I2195" s="4"/>
      <c r="J2195" s="4"/>
      <c r="K2195" s="4"/>
    </row>
    <row r="2196" spans="2:11">
      <c r="B2196" s="6"/>
      <c r="C2196" s="24"/>
      <c r="D2196" s="5"/>
      <c r="E2196" s="5"/>
      <c r="F2196" s="4"/>
      <c r="G2196" s="4"/>
      <c r="H2196" s="4"/>
      <c r="I2196" s="4"/>
      <c r="J2196" s="4"/>
      <c r="K2196" s="4"/>
    </row>
    <row r="2197" spans="2:11">
      <c r="B2197" s="6"/>
      <c r="C2197" s="24"/>
      <c r="D2197" s="5"/>
      <c r="E2197" s="5"/>
      <c r="F2197" s="4"/>
      <c r="G2197" s="4"/>
      <c r="H2197" s="4"/>
      <c r="I2197" s="4"/>
      <c r="J2197" s="4"/>
      <c r="K2197" s="4"/>
    </row>
    <row r="2198" spans="2:11">
      <c r="B2198" s="6"/>
      <c r="C2198" s="24"/>
      <c r="D2198" s="5"/>
      <c r="E2198" s="5"/>
      <c r="F2198" s="4"/>
      <c r="G2198" s="4"/>
      <c r="H2198" s="4"/>
      <c r="I2198" s="4"/>
      <c r="J2198" s="4"/>
      <c r="K2198" s="4"/>
    </row>
    <row r="2199" spans="2:11">
      <c r="B2199" s="6"/>
      <c r="C2199" s="24"/>
      <c r="D2199" s="5"/>
      <c r="E2199" s="5"/>
      <c r="F2199" s="4"/>
      <c r="G2199" s="4"/>
      <c r="H2199" s="4"/>
      <c r="I2199" s="4"/>
      <c r="J2199" s="4"/>
      <c r="K2199" s="4"/>
    </row>
    <row r="2200" spans="2:11">
      <c r="B2200" s="6"/>
      <c r="C2200" s="24"/>
      <c r="D2200" s="5"/>
      <c r="E2200" s="5"/>
      <c r="F2200" s="4"/>
      <c r="G2200" s="4"/>
      <c r="H2200" s="4"/>
      <c r="I2200" s="4"/>
      <c r="J2200" s="4"/>
      <c r="K2200" s="4"/>
    </row>
    <row r="2201" spans="2:11">
      <c r="B2201" s="6"/>
      <c r="C2201" s="24"/>
      <c r="D2201" s="5"/>
      <c r="E2201" s="5"/>
      <c r="F2201" s="4"/>
      <c r="G2201" s="4"/>
      <c r="H2201" s="4"/>
      <c r="I2201" s="4"/>
      <c r="J2201" s="4"/>
      <c r="K2201" s="4"/>
    </row>
    <row r="2202" spans="2:11">
      <c r="B2202" s="6"/>
      <c r="C2202" s="24"/>
      <c r="D2202" s="5"/>
      <c r="E2202" s="5"/>
      <c r="F2202" s="4"/>
      <c r="G2202" s="4"/>
      <c r="H2202" s="4"/>
      <c r="I2202" s="4"/>
      <c r="J2202" s="4"/>
      <c r="K2202" s="4"/>
    </row>
    <row r="2203" spans="2:11">
      <c r="B2203" s="6"/>
      <c r="C2203" s="24"/>
      <c r="D2203" s="5"/>
      <c r="E2203" s="5"/>
      <c r="F2203" s="4"/>
      <c r="G2203" s="4"/>
      <c r="H2203" s="4"/>
      <c r="I2203" s="4"/>
      <c r="J2203" s="4"/>
      <c r="K2203" s="4"/>
    </row>
    <row r="2204" spans="2:11">
      <c r="B2204" s="6"/>
      <c r="C2204" s="24"/>
      <c r="D2204" s="5"/>
      <c r="E2204" s="5"/>
      <c r="F2204" s="4"/>
      <c r="G2204" s="4"/>
      <c r="H2204" s="4"/>
      <c r="I2204" s="4"/>
      <c r="J2204" s="4"/>
      <c r="K2204" s="4"/>
    </row>
    <row r="2205" spans="2:11">
      <c r="B2205" s="6"/>
      <c r="C2205" s="24"/>
      <c r="D2205" s="5"/>
      <c r="E2205" s="5"/>
      <c r="F2205" s="4"/>
      <c r="G2205" s="4"/>
      <c r="H2205" s="4"/>
      <c r="I2205" s="4"/>
      <c r="J2205" s="4"/>
      <c r="K2205" s="4"/>
    </row>
    <row r="2206" spans="2:11">
      <c r="B2206" s="6"/>
      <c r="C2206" s="24"/>
      <c r="D2206" s="5"/>
      <c r="E2206" s="5"/>
      <c r="F2206" s="4"/>
      <c r="G2206" s="4"/>
      <c r="H2206" s="4"/>
      <c r="I2206" s="4"/>
      <c r="J2206" s="4"/>
      <c r="K2206" s="4"/>
    </row>
    <row r="2207" spans="2:11">
      <c r="B2207" s="6"/>
      <c r="C2207" s="24"/>
      <c r="D2207" s="5"/>
      <c r="E2207" s="5"/>
      <c r="F2207" s="4"/>
      <c r="G2207" s="4"/>
      <c r="H2207" s="4"/>
      <c r="I2207" s="4"/>
      <c r="J2207" s="4"/>
      <c r="K2207" s="4"/>
    </row>
    <row r="2208" spans="2:11">
      <c r="B2208" s="6"/>
      <c r="C2208" s="24"/>
      <c r="D2208" s="5"/>
      <c r="E2208" s="5"/>
      <c r="F2208" s="4"/>
      <c r="G2208" s="4"/>
      <c r="H2208" s="4"/>
      <c r="I2208" s="4"/>
      <c r="J2208" s="4"/>
      <c r="K2208" s="4"/>
    </row>
    <row r="2209" spans="2:11">
      <c r="B2209" s="6"/>
      <c r="C2209" s="24"/>
      <c r="D2209" s="5"/>
      <c r="E2209" s="5"/>
      <c r="F2209" s="4"/>
      <c r="G2209" s="4"/>
      <c r="H2209" s="4"/>
      <c r="I2209" s="4"/>
      <c r="J2209" s="4"/>
      <c r="K2209" s="4"/>
    </row>
    <row r="2210" spans="2:11">
      <c r="B2210" s="6"/>
      <c r="C2210" s="24"/>
      <c r="D2210" s="5"/>
      <c r="E2210" s="5"/>
      <c r="F2210" s="4"/>
      <c r="G2210" s="4"/>
      <c r="H2210" s="4"/>
      <c r="I2210" s="4"/>
      <c r="J2210" s="4"/>
      <c r="K2210" s="4"/>
    </row>
    <row r="2211" spans="2:11">
      <c r="B2211" s="6"/>
      <c r="C2211" s="24"/>
      <c r="D2211" s="5"/>
      <c r="E2211" s="5"/>
      <c r="F2211" s="4"/>
      <c r="G2211" s="4"/>
      <c r="H2211" s="4"/>
      <c r="I2211" s="4"/>
      <c r="J2211" s="4"/>
      <c r="K2211" s="4"/>
    </row>
    <row r="2212" spans="2:11">
      <c r="B2212" s="6"/>
      <c r="C2212" s="24"/>
      <c r="D2212" s="5"/>
      <c r="E2212" s="5"/>
      <c r="F2212" s="4"/>
      <c r="G2212" s="4"/>
      <c r="H2212" s="4"/>
      <c r="I2212" s="4"/>
      <c r="J2212" s="4"/>
      <c r="K2212" s="4"/>
    </row>
    <row r="2213" spans="2:11">
      <c r="B2213" s="6"/>
      <c r="C2213" s="24"/>
      <c r="D2213" s="5"/>
      <c r="E2213" s="5"/>
      <c r="F2213" s="4"/>
      <c r="G2213" s="4"/>
      <c r="H2213" s="4"/>
      <c r="I2213" s="4"/>
      <c r="J2213" s="4"/>
      <c r="K2213" s="4"/>
    </row>
    <row r="2214" spans="2:11">
      <c r="B2214" s="6"/>
      <c r="C2214" s="24"/>
      <c r="D2214" s="5"/>
      <c r="E2214" s="5"/>
      <c r="F2214" s="4"/>
      <c r="G2214" s="4"/>
      <c r="H2214" s="4"/>
      <c r="I2214" s="4"/>
      <c r="J2214" s="4"/>
      <c r="K2214" s="4"/>
    </row>
    <row r="2215" spans="2:11">
      <c r="B2215" s="6"/>
      <c r="C2215" s="24"/>
      <c r="D2215" s="5"/>
      <c r="E2215" s="5"/>
      <c r="F2215" s="4"/>
      <c r="G2215" s="4"/>
      <c r="H2215" s="4"/>
      <c r="I2215" s="4"/>
      <c r="J2215" s="4"/>
      <c r="K2215" s="4"/>
    </row>
    <row r="2216" spans="2:11">
      <c r="B2216" s="6"/>
      <c r="C2216" s="24"/>
      <c r="D2216" s="5"/>
      <c r="E2216" s="5"/>
      <c r="F2216" s="4"/>
      <c r="G2216" s="4"/>
      <c r="H2216" s="4"/>
      <c r="I2216" s="4"/>
      <c r="J2216" s="4"/>
      <c r="K2216" s="4"/>
    </row>
    <row r="2217" spans="2:11">
      <c r="B2217" s="6"/>
      <c r="C2217" s="24"/>
      <c r="D2217" s="5"/>
      <c r="E2217" s="5"/>
      <c r="F2217" s="4"/>
      <c r="G2217" s="4"/>
      <c r="H2217" s="4"/>
      <c r="I2217" s="4"/>
      <c r="J2217" s="4"/>
      <c r="K2217" s="4"/>
    </row>
    <row r="2218" spans="2:11">
      <c r="B2218" s="6"/>
      <c r="C2218" s="24"/>
      <c r="D2218" s="5"/>
      <c r="E2218" s="5"/>
      <c r="F2218" s="4"/>
      <c r="G2218" s="4"/>
      <c r="H2218" s="4"/>
      <c r="I2218" s="4"/>
      <c r="J2218" s="4"/>
      <c r="K2218" s="4"/>
    </row>
    <row r="2219" spans="2:11">
      <c r="B2219" s="6"/>
      <c r="C2219" s="24"/>
      <c r="D2219" s="5"/>
      <c r="E2219" s="5"/>
      <c r="F2219" s="4"/>
      <c r="G2219" s="4"/>
      <c r="H2219" s="4"/>
      <c r="I2219" s="4"/>
      <c r="J2219" s="4"/>
      <c r="K2219" s="4"/>
    </row>
    <row r="2220" spans="2:11">
      <c r="B2220" s="6"/>
      <c r="C2220" s="24"/>
      <c r="D2220" s="5"/>
      <c r="E2220" s="5"/>
      <c r="F2220" s="4"/>
      <c r="G2220" s="4"/>
      <c r="H2220" s="4"/>
      <c r="I2220" s="4"/>
      <c r="J2220" s="4"/>
      <c r="K2220" s="4"/>
    </row>
    <row r="2221" spans="2:11">
      <c r="B2221" s="6"/>
      <c r="C2221" s="24"/>
      <c r="D2221" s="5"/>
      <c r="E2221" s="5"/>
      <c r="F2221" s="4"/>
      <c r="G2221" s="4"/>
      <c r="H2221" s="4"/>
      <c r="I2221" s="4"/>
      <c r="J2221" s="4"/>
      <c r="K2221" s="4"/>
    </row>
    <row r="2222" spans="2:11">
      <c r="B2222" s="6"/>
      <c r="C2222" s="24"/>
      <c r="D2222" s="5"/>
      <c r="E2222" s="5"/>
      <c r="F2222" s="4"/>
      <c r="G2222" s="4"/>
      <c r="H2222" s="4"/>
      <c r="I2222" s="4"/>
      <c r="J2222" s="4"/>
      <c r="K2222" s="4"/>
    </row>
    <row r="2223" spans="2:11">
      <c r="B2223" s="6"/>
      <c r="C2223" s="24"/>
      <c r="D2223" s="5"/>
      <c r="E2223" s="5"/>
      <c r="F2223" s="4"/>
      <c r="G2223" s="4"/>
      <c r="H2223" s="4"/>
      <c r="I2223" s="4"/>
      <c r="J2223" s="4"/>
      <c r="K2223" s="4"/>
    </row>
    <row r="2224" spans="2:11">
      <c r="B2224" s="6"/>
      <c r="C2224" s="24"/>
      <c r="D2224" s="5"/>
      <c r="E2224" s="5"/>
      <c r="F2224" s="4"/>
      <c r="G2224" s="4"/>
      <c r="H2224" s="4"/>
      <c r="I2224" s="4"/>
      <c r="J2224" s="4"/>
      <c r="K2224" s="4"/>
    </row>
    <row r="2225" spans="2:11">
      <c r="B2225" s="6"/>
      <c r="C2225" s="24"/>
      <c r="D2225" s="5"/>
      <c r="E2225" s="5"/>
      <c r="F2225" s="4"/>
      <c r="G2225" s="4"/>
      <c r="H2225" s="4"/>
      <c r="I2225" s="4"/>
      <c r="J2225" s="4"/>
      <c r="K2225" s="4"/>
    </row>
    <row r="2226" spans="2:11">
      <c r="B2226" s="6"/>
      <c r="C2226" s="24"/>
      <c r="D2226" s="5"/>
      <c r="E2226" s="5"/>
      <c r="F2226" s="4"/>
      <c r="G2226" s="4"/>
      <c r="H2226" s="4"/>
      <c r="I2226" s="4"/>
      <c r="J2226" s="4"/>
      <c r="K2226" s="4"/>
    </row>
    <row r="2227" spans="2:11">
      <c r="B2227" s="6"/>
      <c r="C2227" s="24"/>
      <c r="D2227" s="5"/>
      <c r="E2227" s="5"/>
      <c r="F2227" s="4"/>
      <c r="G2227" s="4"/>
      <c r="H2227" s="4"/>
      <c r="I2227" s="4"/>
      <c r="J2227" s="4"/>
      <c r="K2227" s="4"/>
    </row>
    <row r="2228" spans="2:11">
      <c r="B2228" s="6"/>
      <c r="C2228" s="24"/>
      <c r="D2228" s="5"/>
      <c r="E2228" s="5"/>
      <c r="F2228" s="4"/>
      <c r="G2228" s="4"/>
      <c r="H2228" s="4"/>
      <c r="I2228" s="4"/>
      <c r="J2228" s="4"/>
      <c r="K2228" s="4"/>
    </row>
    <row r="2229" spans="2:11">
      <c r="B2229" s="6"/>
      <c r="C2229" s="24"/>
      <c r="D2229" s="5"/>
      <c r="E2229" s="5"/>
      <c r="F2229" s="4"/>
      <c r="G2229" s="4"/>
      <c r="H2229" s="4"/>
      <c r="I2229" s="4"/>
      <c r="J2229" s="4"/>
      <c r="K2229" s="4"/>
    </row>
    <row r="2230" spans="2:11">
      <c r="B2230" s="6"/>
      <c r="C2230" s="24"/>
      <c r="D2230" s="5"/>
      <c r="E2230" s="5"/>
      <c r="F2230" s="4"/>
      <c r="G2230" s="4"/>
      <c r="H2230" s="4"/>
      <c r="I2230" s="4"/>
      <c r="J2230" s="4"/>
      <c r="K2230" s="4"/>
    </row>
    <row r="2231" spans="2:11">
      <c r="B2231" s="6"/>
      <c r="C2231" s="24"/>
      <c r="D2231" s="5"/>
      <c r="E2231" s="5"/>
      <c r="F2231" s="4"/>
      <c r="G2231" s="4"/>
      <c r="H2231" s="4"/>
      <c r="I2231" s="4"/>
      <c r="J2231" s="4"/>
      <c r="K2231" s="4"/>
    </row>
    <row r="2232" spans="2:11">
      <c r="B2232" s="6"/>
      <c r="C2232" s="24"/>
      <c r="D2232" s="5"/>
      <c r="E2232" s="5"/>
      <c r="F2232" s="4"/>
      <c r="G2232" s="4"/>
      <c r="H2232" s="4"/>
      <c r="I2232" s="4"/>
      <c r="J2232" s="4"/>
      <c r="K2232" s="4"/>
    </row>
    <row r="2233" spans="2:11">
      <c r="B2233" s="6"/>
      <c r="C2233" s="24"/>
      <c r="D2233" s="5"/>
      <c r="E2233" s="5"/>
      <c r="F2233" s="4"/>
      <c r="G2233" s="4"/>
      <c r="H2233" s="4"/>
      <c r="I2233" s="4"/>
      <c r="J2233" s="4"/>
      <c r="K2233" s="4"/>
    </row>
    <row r="2234" spans="2:11">
      <c r="B2234" s="6"/>
      <c r="C2234" s="24"/>
      <c r="D2234" s="5"/>
      <c r="E2234" s="5"/>
      <c r="F2234" s="4"/>
      <c r="G2234" s="4"/>
      <c r="H2234" s="4"/>
      <c r="I2234" s="4"/>
      <c r="J2234" s="4"/>
      <c r="K2234" s="4"/>
    </row>
    <row r="2235" spans="2:11">
      <c r="B2235" s="6"/>
      <c r="C2235" s="24"/>
      <c r="D2235" s="5"/>
      <c r="E2235" s="5"/>
      <c r="F2235" s="4"/>
      <c r="G2235" s="4"/>
      <c r="H2235" s="4"/>
      <c r="I2235" s="4"/>
      <c r="J2235" s="4"/>
      <c r="K2235" s="4"/>
    </row>
    <row r="2236" spans="2:11">
      <c r="B2236" s="6"/>
      <c r="C2236" s="24"/>
      <c r="D2236" s="5"/>
      <c r="E2236" s="5"/>
      <c r="F2236" s="4"/>
      <c r="G2236" s="4"/>
      <c r="H2236" s="4"/>
      <c r="I2236" s="4"/>
      <c r="J2236" s="4"/>
      <c r="K2236" s="4"/>
    </row>
    <row r="2237" spans="2:11">
      <c r="B2237" s="6"/>
      <c r="C2237" s="24"/>
      <c r="D2237" s="5"/>
      <c r="E2237" s="5"/>
      <c r="F2237" s="4"/>
      <c r="G2237" s="4"/>
      <c r="H2237" s="4"/>
      <c r="I2237" s="4"/>
      <c r="J2237" s="4"/>
      <c r="K2237" s="4"/>
    </row>
    <row r="2238" spans="2:11">
      <c r="B2238" s="6"/>
      <c r="C2238" s="24"/>
      <c r="D2238" s="5"/>
      <c r="E2238" s="5"/>
      <c r="F2238" s="4"/>
      <c r="G2238" s="4"/>
      <c r="H2238" s="4"/>
      <c r="I2238" s="4"/>
      <c r="J2238" s="4"/>
      <c r="K2238" s="4"/>
    </row>
    <row r="2239" spans="2:11">
      <c r="B2239" s="6"/>
      <c r="C2239" s="24"/>
      <c r="D2239" s="5"/>
      <c r="E2239" s="5"/>
      <c r="F2239" s="4"/>
      <c r="G2239" s="4"/>
      <c r="H2239" s="4"/>
      <c r="I2239" s="4"/>
      <c r="J2239" s="4"/>
      <c r="K2239" s="4"/>
    </row>
    <row r="2240" spans="2:11">
      <c r="B2240" s="6"/>
      <c r="C2240" s="24"/>
      <c r="D2240" s="5"/>
      <c r="E2240" s="5"/>
      <c r="F2240" s="4"/>
      <c r="G2240" s="4"/>
      <c r="H2240" s="4"/>
      <c r="I2240" s="4"/>
      <c r="J2240" s="4"/>
      <c r="K2240" s="4"/>
    </row>
    <row r="2241" spans="2:11">
      <c r="B2241" s="6"/>
      <c r="C2241" s="24"/>
      <c r="D2241" s="5"/>
      <c r="E2241" s="5"/>
      <c r="F2241" s="4"/>
      <c r="G2241" s="4"/>
      <c r="H2241" s="4"/>
      <c r="I2241" s="4"/>
      <c r="J2241" s="4"/>
      <c r="K2241" s="4"/>
    </row>
    <row r="2242" spans="2:11">
      <c r="B2242" s="6"/>
      <c r="C2242" s="24"/>
      <c r="D2242" s="5"/>
      <c r="E2242" s="5"/>
      <c r="F2242" s="4"/>
      <c r="G2242" s="4"/>
      <c r="H2242" s="4"/>
      <c r="I2242" s="4"/>
      <c r="J2242" s="4"/>
      <c r="K2242" s="4"/>
    </row>
    <row r="2243" spans="2:11">
      <c r="B2243" s="6"/>
      <c r="C2243" s="24"/>
      <c r="D2243" s="5"/>
      <c r="E2243" s="5"/>
      <c r="F2243" s="4"/>
      <c r="G2243" s="4"/>
      <c r="H2243" s="4"/>
      <c r="I2243" s="4"/>
      <c r="J2243" s="4"/>
      <c r="K2243" s="4"/>
    </row>
    <row r="2244" spans="2:11">
      <c r="B2244" s="6"/>
      <c r="C2244" s="24"/>
      <c r="D2244" s="5"/>
      <c r="E2244" s="5"/>
      <c r="F2244" s="4"/>
      <c r="G2244" s="4"/>
      <c r="H2244" s="4"/>
      <c r="I2244" s="4"/>
      <c r="J2244" s="4"/>
      <c r="K2244" s="4"/>
    </row>
    <row r="2245" spans="2:11">
      <c r="B2245" s="6"/>
      <c r="C2245" s="24"/>
      <c r="D2245" s="5"/>
      <c r="E2245" s="5"/>
      <c r="F2245" s="4"/>
      <c r="G2245" s="4"/>
      <c r="H2245" s="4"/>
      <c r="I2245" s="4"/>
      <c r="J2245" s="4"/>
      <c r="K2245" s="4"/>
    </row>
    <row r="2246" spans="2:11">
      <c r="B2246" s="6"/>
      <c r="C2246" s="24"/>
      <c r="D2246" s="5"/>
      <c r="E2246" s="5"/>
      <c r="F2246" s="4"/>
      <c r="G2246" s="4"/>
      <c r="H2246" s="4"/>
      <c r="I2246" s="4"/>
      <c r="J2246" s="4"/>
      <c r="K2246" s="4"/>
    </row>
    <row r="2247" spans="2:11">
      <c r="B2247" s="6"/>
      <c r="C2247" s="24"/>
      <c r="D2247" s="5"/>
      <c r="E2247" s="5"/>
      <c r="F2247" s="4"/>
      <c r="G2247" s="4"/>
      <c r="H2247" s="4"/>
      <c r="I2247" s="4"/>
      <c r="J2247" s="4"/>
      <c r="K2247" s="4"/>
    </row>
    <row r="2248" spans="2:11">
      <c r="B2248" s="6"/>
      <c r="C2248" s="24"/>
      <c r="D2248" s="5"/>
      <c r="E2248" s="5"/>
      <c r="F2248" s="4"/>
      <c r="G2248" s="4"/>
      <c r="H2248" s="4"/>
      <c r="I2248" s="4"/>
      <c r="J2248" s="4"/>
      <c r="K2248" s="4"/>
    </row>
    <row r="2249" spans="2:11">
      <c r="B2249" s="6"/>
      <c r="C2249" s="24"/>
      <c r="D2249" s="5"/>
      <c r="E2249" s="5"/>
      <c r="F2249" s="4"/>
      <c r="G2249" s="4"/>
      <c r="H2249" s="4"/>
      <c r="I2249" s="4"/>
      <c r="J2249" s="4"/>
      <c r="K2249" s="4"/>
    </row>
    <row r="2250" spans="2:11">
      <c r="B2250" s="6"/>
      <c r="C2250" s="24"/>
      <c r="D2250" s="5"/>
      <c r="E2250" s="5"/>
      <c r="F2250" s="4"/>
      <c r="G2250" s="4"/>
      <c r="H2250" s="4"/>
      <c r="I2250" s="4"/>
      <c r="J2250" s="4"/>
      <c r="K2250" s="4"/>
    </row>
    <row r="2251" spans="2:11">
      <c r="B2251" s="6"/>
      <c r="C2251" s="24"/>
      <c r="D2251" s="5"/>
      <c r="E2251" s="5"/>
      <c r="F2251" s="4"/>
      <c r="G2251" s="4"/>
      <c r="H2251" s="4"/>
      <c r="I2251" s="4"/>
      <c r="J2251" s="4"/>
      <c r="K2251" s="4"/>
    </row>
    <row r="2252" spans="2:11">
      <c r="B2252" s="6"/>
      <c r="C2252" s="24"/>
      <c r="D2252" s="5"/>
      <c r="E2252" s="5"/>
      <c r="F2252" s="4"/>
      <c r="G2252" s="4"/>
      <c r="H2252" s="4"/>
      <c r="I2252" s="4"/>
      <c r="J2252" s="4"/>
      <c r="K2252" s="4"/>
    </row>
    <row r="2253" spans="2:11">
      <c r="B2253" s="6"/>
      <c r="C2253" s="24"/>
      <c r="D2253" s="5"/>
      <c r="E2253" s="5"/>
      <c r="F2253" s="4"/>
      <c r="G2253" s="4"/>
      <c r="H2253" s="4"/>
      <c r="I2253" s="4"/>
      <c r="J2253" s="4"/>
      <c r="K2253" s="4"/>
    </row>
    <row r="2254" spans="2:11">
      <c r="B2254" s="6"/>
      <c r="C2254" s="24"/>
      <c r="D2254" s="5"/>
      <c r="E2254" s="5"/>
      <c r="F2254" s="4"/>
      <c r="G2254" s="4"/>
      <c r="H2254" s="4"/>
      <c r="I2254" s="4"/>
      <c r="J2254" s="4"/>
      <c r="K2254" s="4"/>
    </row>
    <row r="2255" spans="2:11">
      <c r="B2255" s="6"/>
      <c r="C2255" s="24"/>
      <c r="D2255" s="5"/>
      <c r="E2255" s="5"/>
      <c r="F2255" s="4"/>
      <c r="G2255" s="4"/>
      <c r="H2255" s="4"/>
      <c r="I2255" s="4"/>
      <c r="J2255" s="4"/>
      <c r="K2255" s="4"/>
    </row>
    <row r="2256" spans="2:11">
      <c r="B2256" s="6"/>
      <c r="C2256" s="24"/>
      <c r="D2256" s="5"/>
      <c r="E2256" s="5"/>
      <c r="F2256" s="4"/>
      <c r="G2256" s="4"/>
      <c r="H2256" s="4"/>
      <c r="I2256" s="4"/>
      <c r="J2256" s="4"/>
      <c r="K2256" s="4"/>
    </row>
    <row r="2257" spans="2:11">
      <c r="B2257" s="6"/>
      <c r="C2257" s="24"/>
      <c r="D2257" s="5"/>
      <c r="E2257" s="5"/>
      <c r="F2257" s="4"/>
      <c r="G2257" s="4"/>
      <c r="H2257" s="4"/>
      <c r="I2257" s="4"/>
      <c r="J2257" s="4"/>
      <c r="K2257" s="4"/>
    </row>
    <row r="2258" spans="2:11">
      <c r="B2258" s="6"/>
      <c r="C2258" s="24"/>
      <c r="D2258" s="5"/>
      <c r="E2258" s="5"/>
      <c r="F2258" s="4"/>
      <c r="G2258" s="4"/>
      <c r="H2258" s="4"/>
      <c r="I2258" s="4"/>
      <c r="J2258" s="4"/>
      <c r="K2258" s="4"/>
    </row>
    <row r="2259" spans="2:11">
      <c r="B2259" s="6"/>
      <c r="C2259" s="24"/>
      <c r="D2259" s="5"/>
      <c r="E2259" s="5"/>
      <c r="F2259" s="4"/>
      <c r="G2259" s="4"/>
      <c r="H2259" s="4"/>
      <c r="I2259" s="4"/>
      <c r="J2259" s="4"/>
      <c r="K2259" s="4"/>
    </row>
    <row r="2260" spans="2:11">
      <c r="B2260" s="6"/>
      <c r="C2260" s="24"/>
      <c r="D2260" s="5"/>
      <c r="E2260" s="5"/>
      <c r="F2260" s="4"/>
      <c r="G2260" s="4"/>
      <c r="H2260" s="4"/>
      <c r="I2260" s="4"/>
      <c r="J2260" s="4"/>
      <c r="K2260" s="4"/>
    </row>
    <row r="2261" spans="2:11">
      <c r="B2261" s="6"/>
      <c r="C2261" s="24"/>
      <c r="D2261" s="5"/>
      <c r="E2261" s="5"/>
      <c r="F2261" s="4"/>
      <c r="G2261" s="4"/>
      <c r="H2261" s="4"/>
      <c r="I2261" s="4"/>
      <c r="J2261" s="4"/>
      <c r="K2261" s="4"/>
    </row>
    <row r="2262" spans="2:11">
      <c r="B2262" s="6"/>
      <c r="C2262" s="24"/>
      <c r="D2262" s="5"/>
      <c r="E2262" s="5"/>
      <c r="F2262" s="4"/>
      <c r="G2262" s="4"/>
      <c r="H2262" s="4"/>
      <c r="I2262" s="4"/>
      <c r="J2262" s="4"/>
      <c r="K2262" s="4"/>
    </row>
    <row r="2263" spans="2:11">
      <c r="B2263" s="6"/>
      <c r="C2263" s="24"/>
      <c r="D2263" s="5"/>
      <c r="E2263" s="5"/>
      <c r="F2263" s="4"/>
      <c r="G2263" s="4"/>
      <c r="H2263" s="4"/>
      <c r="I2263" s="4"/>
      <c r="J2263" s="4"/>
      <c r="K2263" s="4"/>
    </row>
    <row r="2264" spans="2:11">
      <c r="B2264" s="6"/>
      <c r="C2264" s="24"/>
      <c r="D2264" s="5"/>
      <c r="E2264" s="5"/>
      <c r="F2264" s="4"/>
      <c r="G2264" s="4"/>
      <c r="H2264" s="4"/>
      <c r="I2264" s="4"/>
      <c r="J2264" s="4"/>
      <c r="K2264" s="4"/>
    </row>
    <row r="2265" spans="2:11">
      <c r="B2265" s="6"/>
      <c r="C2265" s="24"/>
      <c r="D2265" s="5"/>
      <c r="E2265" s="5"/>
      <c r="F2265" s="4"/>
      <c r="G2265" s="4"/>
      <c r="H2265" s="4"/>
      <c r="I2265" s="4"/>
      <c r="J2265" s="4"/>
      <c r="K2265" s="4"/>
    </row>
    <row r="2266" spans="2:11">
      <c r="B2266" s="6"/>
      <c r="C2266" s="24"/>
      <c r="D2266" s="5"/>
      <c r="E2266" s="5"/>
      <c r="F2266" s="4"/>
      <c r="G2266" s="4"/>
      <c r="H2266" s="4"/>
      <c r="I2266" s="4"/>
      <c r="J2266" s="4"/>
      <c r="K2266" s="4"/>
    </row>
    <row r="2267" spans="2:11">
      <c r="B2267" s="6"/>
      <c r="C2267" s="24"/>
      <c r="D2267" s="5"/>
      <c r="E2267" s="5"/>
      <c r="F2267" s="4"/>
      <c r="G2267" s="4"/>
      <c r="H2267" s="4"/>
      <c r="I2267" s="4"/>
      <c r="J2267" s="4"/>
      <c r="K2267" s="4"/>
    </row>
    <row r="2268" spans="2:11">
      <c r="B2268" s="6"/>
      <c r="C2268" s="24"/>
      <c r="D2268" s="5"/>
      <c r="E2268" s="5"/>
      <c r="F2268" s="4"/>
      <c r="G2268" s="4"/>
      <c r="H2268" s="4"/>
      <c r="I2268" s="4"/>
      <c r="J2268" s="4"/>
      <c r="K2268" s="4"/>
    </row>
    <row r="2269" spans="2:11">
      <c r="B2269" s="6"/>
      <c r="C2269" s="24"/>
      <c r="D2269" s="5"/>
      <c r="E2269" s="5"/>
      <c r="F2269" s="4"/>
      <c r="G2269" s="4"/>
      <c r="H2269" s="4"/>
      <c r="I2269" s="4"/>
      <c r="J2269" s="4"/>
      <c r="K2269" s="4"/>
    </row>
    <row r="2270" spans="2:11">
      <c r="B2270" s="6"/>
      <c r="C2270" s="24"/>
      <c r="D2270" s="5"/>
      <c r="E2270" s="5"/>
      <c r="F2270" s="4"/>
      <c r="G2270" s="4"/>
      <c r="H2270" s="4"/>
      <c r="I2270" s="4"/>
      <c r="J2270" s="4"/>
      <c r="K2270" s="4"/>
    </row>
    <row r="2271" spans="2:11">
      <c r="B2271" s="6"/>
      <c r="C2271" s="24"/>
      <c r="D2271" s="5"/>
      <c r="E2271" s="5"/>
      <c r="F2271" s="4"/>
      <c r="G2271" s="4"/>
      <c r="H2271" s="4"/>
      <c r="I2271" s="4"/>
      <c r="J2271" s="4"/>
      <c r="K2271" s="4"/>
    </row>
    <row r="2272" spans="2:11">
      <c r="B2272" s="6"/>
      <c r="C2272" s="24"/>
      <c r="D2272" s="5"/>
      <c r="E2272" s="5"/>
      <c r="F2272" s="4"/>
      <c r="G2272" s="4"/>
      <c r="H2272" s="4"/>
      <c r="I2272" s="4"/>
      <c r="J2272" s="4"/>
      <c r="K2272" s="4"/>
    </row>
    <row r="2273" spans="2:11">
      <c r="B2273" s="6"/>
      <c r="C2273" s="24"/>
      <c r="D2273" s="5"/>
      <c r="E2273" s="5"/>
      <c r="F2273" s="4"/>
      <c r="G2273" s="4"/>
      <c r="H2273" s="4"/>
      <c r="I2273" s="4"/>
      <c r="J2273" s="4"/>
      <c r="K2273" s="4"/>
    </row>
    <row r="2274" spans="2:11">
      <c r="B2274" s="6"/>
      <c r="C2274" s="24"/>
      <c r="D2274" s="5"/>
      <c r="E2274" s="5"/>
      <c r="F2274" s="4"/>
      <c r="G2274" s="4"/>
      <c r="H2274" s="4"/>
      <c r="I2274" s="4"/>
      <c r="J2274" s="4"/>
      <c r="K2274" s="4"/>
    </row>
    <row r="2275" spans="2:11">
      <c r="B2275" s="6"/>
      <c r="C2275" s="24"/>
      <c r="D2275" s="5"/>
      <c r="E2275" s="5"/>
      <c r="F2275" s="4"/>
      <c r="G2275" s="4"/>
      <c r="H2275" s="4"/>
      <c r="I2275" s="4"/>
      <c r="J2275" s="4"/>
      <c r="K2275" s="4"/>
    </row>
    <row r="2276" spans="2:11">
      <c r="B2276" s="6"/>
      <c r="C2276" s="24"/>
      <c r="D2276" s="5"/>
      <c r="E2276" s="5"/>
      <c r="F2276" s="4"/>
      <c r="G2276" s="4"/>
      <c r="H2276" s="4"/>
      <c r="I2276" s="4"/>
      <c r="J2276" s="4"/>
      <c r="K2276" s="4"/>
    </row>
    <row r="2277" spans="2:11">
      <c r="B2277" s="6"/>
      <c r="C2277" s="24"/>
      <c r="D2277" s="5"/>
      <c r="E2277" s="5"/>
      <c r="F2277" s="4"/>
      <c r="G2277" s="4"/>
      <c r="H2277" s="4"/>
      <c r="I2277" s="4"/>
      <c r="J2277" s="4"/>
      <c r="K2277" s="4"/>
    </row>
    <row r="2278" spans="2:11">
      <c r="B2278" s="6"/>
      <c r="C2278" s="24"/>
      <c r="D2278" s="5"/>
      <c r="E2278" s="5"/>
      <c r="F2278" s="4"/>
      <c r="G2278" s="4"/>
      <c r="H2278" s="4"/>
      <c r="I2278" s="4"/>
      <c r="J2278" s="4"/>
      <c r="K2278" s="4"/>
    </row>
    <row r="2279" spans="2:11">
      <c r="B2279" s="6"/>
      <c r="C2279" s="24"/>
      <c r="D2279" s="5"/>
      <c r="E2279" s="5"/>
      <c r="F2279" s="4"/>
      <c r="G2279" s="4"/>
      <c r="H2279" s="4"/>
      <c r="I2279" s="4"/>
      <c r="J2279" s="4"/>
      <c r="K2279" s="4"/>
    </row>
    <row r="2280" spans="2:11">
      <c r="B2280" s="6"/>
      <c r="C2280" s="24"/>
      <c r="D2280" s="5"/>
      <c r="E2280" s="5"/>
      <c r="F2280" s="4"/>
      <c r="G2280" s="4"/>
      <c r="H2280" s="4"/>
      <c r="I2280" s="4"/>
      <c r="J2280" s="4"/>
      <c r="K2280" s="4"/>
    </row>
    <row r="2281" spans="2:11">
      <c r="B2281" s="6"/>
      <c r="C2281" s="24"/>
      <c r="D2281" s="5"/>
      <c r="E2281" s="5"/>
      <c r="F2281" s="4"/>
      <c r="G2281" s="4"/>
      <c r="H2281" s="4"/>
      <c r="I2281" s="4"/>
      <c r="J2281" s="4"/>
      <c r="K2281" s="4"/>
    </row>
    <row r="2282" spans="2:11">
      <c r="B2282" s="6"/>
      <c r="C2282" s="24"/>
      <c r="D2282" s="5"/>
      <c r="E2282" s="5"/>
      <c r="F2282" s="4"/>
      <c r="G2282" s="4"/>
      <c r="H2282" s="4"/>
      <c r="I2282" s="4"/>
      <c r="J2282" s="4"/>
      <c r="K2282" s="4"/>
    </row>
    <row r="2283" spans="2:11">
      <c r="B2283" s="6"/>
      <c r="C2283" s="24"/>
      <c r="D2283" s="5"/>
      <c r="E2283" s="5"/>
      <c r="F2283" s="4"/>
      <c r="G2283" s="4"/>
      <c r="H2283" s="4"/>
      <c r="I2283" s="4"/>
      <c r="J2283" s="4"/>
      <c r="K2283" s="4"/>
    </row>
    <row r="2284" spans="2:11">
      <c r="B2284" s="6"/>
      <c r="C2284" s="24"/>
      <c r="D2284" s="5"/>
      <c r="E2284" s="5"/>
      <c r="F2284" s="4"/>
      <c r="G2284" s="4"/>
      <c r="H2284" s="4"/>
      <c r="I2284" s="4"/>
      <c r="J2284" s="4"/>
      <c r="K2284" s="4"/>
    </row>
    <row r="2285" spans="2:11">
      <c r="B2285" s="6"/>
      <c r="C2285" s="24"/>
      <c r="D2285" s="5"/>
      <c r="E2285" s="5"/>
      <c r="F2285" s="4"/>
      <c r="G2285" s="4"/>
      <c r="H2285" s="4"/>
      <c r="I2285" s="4"/>
      <c r="J2285" s="4"/>
      <c r="K2285" s="4"/>
    </row>
    <row r="2286" spans="2:11">
      <c r="B2286" s="6"/>
      <c r="C2286" s="24"/>
      <c r="D2286" s="5"/>
      <c r="E2286" s="5"/>
      <c r="F2286" s="4"/>
      <c r="G2286" s="4"/>
      <c r="H2286" s="4"/>
      <c r="I2286" s="4"/>
      <c r="J2286" s="4"/>
      <c r="K2286" s="4"/>
    </row>
    <row r="2287" spans="2:11">
      <c r="B2287" s="6"/>
      <c r="C2287" s="24"/>
      <c r="D2287" s="5"/>
      <c r="E2287" s="5"/>
      <c r="F2287" s="4"/>
      <c r="G2287" s="4"/>
      <c r="H2287" s="4"/>
      <c r="I2287" s="4"/>
      <c r="J2287" s="4"/>
      <c r="K2287" s="4"/>
    </row>
    <row r="2288" spans="2:11">
      <c r="B2288" s="6"/>
      <c r="C2288" s="24"/>
      <c r="D2288" s="5"/>
      <c r="E2288" s="5"/>
      <c r="F2288" s="4"/>
      <c r="G2288" s="4"/>
      <c r="H2288" s="4"/>
      <c r="I2288" s="4"/>
      <c r="J2288" s="4"/>
      <c r="K2288" s="4"/>
    </row>
    <row r="2289" spans="2:11">
      <c r="B2289" s="6"/>
      <c r="C2289" s="24"/>
      <c r="D2289" s="5"/>
      <c r="E2289" s="5"/>
      <c r="F2289" s="4"/>
      <c r="G2289" s="4"/>
      <c r="H2289" s="4"/>
      <c r="I2289" s="4"/>
      <c r="J2289" s="4"/>
      <c r="K2289" s="4"/>
    </row>
    <row r="2290" spans="2:11">
      <c r="B2290" s="6"/>
      <c r="C2290" s="24"/>
      <c r="D2290" s="5"/>
      <c r="E2290" s="5"/>
      <c r="F2290" s="4"/>
      <c r="G2290" s="4"/>
      <c r="H2290" s="4"/>
      <c r="I2290" s="4"/>
      <c r="J2290" s="4"/>
      <c r="K2290" s="4"/>
    </row>
    <row r="2291" spans="2:11">
      <c r="B2291" s="6"/>
      <c r="C2291" s="24"/>
      <c r="D2291" s="5"/>
      <c r="E2291" s="5"/>
      <c r="F2291" s="4"/>
      <c r="G2291" s="4"/>
      <c r="H2291" s="4"/>
      <c r="I2291" s="4"/>
      <c r="J2291" s="4"/>
      <c r="K2291" s="4"/>
    </row>
    <row r="2292" spans="2:11">
      <c r="B2292" s="6"/>
      <c r="C2292" s="24"/>
      <c r="D2292" s="5"/>
      <c r="E2292" s="5"/>
      <c r="F2292" s="4"/>
      <c r="G2292" s="4"/>
      <c r="H2292" s="4"/>
      <c r="I2292" s="4"/>
      <c r="J2292" s="4"/>
      <c r="K2292" s="4"/>
    </row>
    <row r="2293" spans="2:11">
      <c r="B2293" s="6"/>
      <c r="C2293" s="24"/>
      <c r="D2293" s="5"/>
      <c r="E2293" s="5"/>
      <c r="F2293" s="4"/>
      <c r="G2293" s="4"/>
      <c r="H2293" s="4"/>
      <c r="I2293" s="4"/>
      <c r="J2293" s="4"/>
      <c r="K2293" s="4"/>
    </row>
    <row r="2294" spans="2:11">
      <c r="B2294" s="6"/>
      <c r="C2294" s="24"/>
      <c r="D2294" s="5"/>
      <c r="E2294" s="5"/>
      <c r="F2294" s="4"/>
      <c r="G2294" s="4"/>
      <c r="H2294" s="4"/>
      <c r="I2294" s="4"/>
      <c r="J2294" s="4"/>
      <c r="K2294" s="4"/>
    </row>
    <row r="2295" spans="2:11">
      <c r="B2295" s="6"/>
      <c r="C2295" s="24"/>
      <c r="D2295" s="5"/>
      <c r="E2295" s="5"/>
      <c r="F2295" s="4"/>
      <c r="G2295" s="4"/>
      <c r="H2295" s="4"/>
      <c r="I2295" s="4"/>
      <c r="J2295" s="4"/>
      <c r="K2295" s="4"/>
    </row>
    <row r="2296" spans="2:11">
      <c r="B2296" s="6"/>
      <c r="C2296" s="24"/>
      <c r="D2296" s="5"/>
      <c r="E2296" s="5"/>
      <c r="F2296" s="4"/>
      <c r="G2296" s="4"/>
      <c r="H2296" s="4"/>
      <c r="I2296" s="4"/>
      <c r="J2296" s="4"/>
      <c r="K2296" s="4"/>
    </row>
    <row r="2297" spans="2:11">
      <c r="B2297" s="6"/>
      <c r="C2297" s="24"/>
      <c r="D2297" s="5"/>
      <c r="E2297" s="5"/>
      <c r="F2297" s="4"/>
      <c r="G2297" s="4"/>
      <c r="H2297" s="4"/>
      <c r="I2297" s="4"/>
      <c r="J2297" s="4"/>
      <c r="K2297" s="4"/>
    </row>
    <row r="2298" spans="2:11">
      <c r="B2298" s="6"/>
      <c r="C2298" s="24"/>
      <c r="D2298" s="5"/>
      <c r="E2298" s="5"/>
      <c r="F2298" s="4"/>
      <c r="G2298" s="4"/>
      <c r="H2298" s="4"/>
      <c r="I2298" s="4"/>
      <c r="J2298" s="4"/>
      <c r="K2298" s="4"/>
    </row>
    <row r="2299" spans="2:11">
      <c r="B2299" s="6"/>
      <c r="C2299" s="24"/>
      <c r="D2299" s="5"/>
      <c r="E2299" s="5"/>
      <c r="F2299" s="4"/>
      <c r="G2299" s="4"/>
      <c r="H2299" s="4"/>
      <c r="I2299" s="4"/>
      <c r="J2299" s="4"/>
      <c r="K2299" s="4"/>
    </row>
    <row r="2300" spans="2:11">
      <c r="B2300" s="6"/>
      <c r="C2300" s="24"/>
      <c r="D2300" s="5"/>
      <c r="E2300" s="5"/>
      <c r="F2300" s="4"/>
      <c r="G2300" s="4"/>
      <c r="H2300" s="4"/>
      <c r="I2300" s="4"/>
      <c r="J2300" s="4"/>
      <c r="K2300" s="4"/>
    </row>
    <row r="2301" spans="2:11">
      <c r="B2301" s="6"/>
      <c r="C2301" s="24"/>
      <c r="D2301" s="5"/>
      <c r="E2301" s="5"/>
      <c r="F2301" s="4"/>
      <c r="G2301" s="4"/>
      <c r="H2301" s="4"/>
      <c r="I2301" s="4"/>
      <c r="J2301" s="4"/>
      <c r="K2301" s="4"/>
    </row>
    <row r="2302" spans="2:11">
      <c r="B2302" s="6"/>
      <c r="C2302" s="24"/>
      <c r="D2302" s="5"/>
      <c r="E2302" s="5"/>
      <c r="F2302" s="4"/>
      <c r="G2302" s="4"/>
      <c r="H2302" s="4"/>
      <c r="I2302" s="4"/>
      <c r="J2302" s="4"/>
      <c r="K2302" s="4"/>
    </row>
    <row r="2303" spans="2:11">
      <c r="B2303" s="6"/>
      <c r="C2303" s="24"/>
      <c r="D2303" s="5"/>
      <c r="E2303" s="5"/>
      <c r="F2303" s="4"/>
      <c r="G2303" s="4"/>
      <c r="H2303" s="4"/>
      <c r="I2303" s="4"/>
      <c r="J2303" s="4"/>
      <c r="K2303" s="4"/>
    </row>
    <row r="2304" spans="2:11">
      <c r="B2304" s="6"/>
      <c r="C2304" s="24"/>
      <c r="D2304" s="5"/>
      <c r="E2304" s="5"/>
      <c r="F2304" s="4"/>
      <c r="G2304" s="4"/>
      <c r="H2304" s="4"/>
      <c r="I2304" s="4"/>
      <c r="J2304" s="4"/>
      <c r="K2304" s="4"/>
    </row>
    <row r="2305" spans="2:11">
      <c r="B2305" s="6"/>
      <c r="C2305" s="24"/>
      <c r="D2305" s="5"/>
      <c r="E2305" s="5"/>
      <c r="F2305" s="4"/>
      <c r="G2305" s="4"/>
      <c r="H2305" s="4"/>
      <c r="I2305" s="4"/>
      <c r="J2305" s="4"/>
      <c r="K2305" s="4"/>
    </row>
    <row r="2306" spans="2:11">
      <c r="B2306" s="6"/>
      <c r="C2306" s="24"/>
      <c r="D2306" s="5"/>
      <c r="E2306" s="5"/>
      <c r="F2306" s="4"/>
      <c r="G2306" s="4"/>
      <c r="H2306" s="4"/>
      <c r="I2306" s="4"/>
      <c r="J2306" s="4"/>
      <c r="K2306" s="4"/>
    </row>
    <row r="2307" spans="2:11">
      <c r="B2307" s="6"/>
      <c r="C2307" s="24"/>
      <c r="D2307" s="5"/>
      <c r="E2307" s="5"/>
      <c r="F2307" s="4"/>
      <c r="G2307" s="4"/>
      <c r="H2307" s="4"/>
      <c r="I2307" s="4"/>
      <c r="J2307" s="4"/>
      <c r="K2307" s="4"/>
    </row>
    <row r="2308" spans="2:11">
      <c r="B2308" s="6"/>
      <c r="C2308" s="24"/>
      <c r="D2308" s="5"/>
      <c r="E2308" s="5"/>
      <c r="F2308" s="4"/>
      <c r="G2308" s="4"/>
      <c r="H2308" s="4"/>
      <c r="I2308" s="4"/>
      <c r="J2308" s="4"/>
      <c r="K2308" s="4"/>
    </row>
    <row r="2309" spans="2:11">
      <c r="B2309" s="6"/>
      <c r="C2309" s="24"/>
      <c r="D2309" s="5"/>
      <c r="E2309" s="5"/>
      <c r="F2309" s="4"/>
      <c r="G2309" s="4"/>
      <c r="H2309" s="4"/>
      <c r="I2309" s="4"/>
      <c r="J2309" s="4"/>
      <c r="K2309" s="4"/>
    </row>
    <row r="2310" spans="2:11">
      <c r="B2310" s="6"/>
      <c r="C2310" s="24"/>
      <c r="D2310" s="5"/>
      <c r="E2310" s="5"/>
      <c r="F2310" s="4"/>
      <c r="G2310" s="4"/>
      <c r="H2310" s="4"/>
      <c r="I2310" s="4"/>
      <c r="J2310" s="4"/>
      <c r="K2310" s="4"/>
    </row>
    <row r="2311" spans="2:11">
      <c r="B2311" s="6"/>
      <c r="C2311" s="24"/>
      <c r="D2311" s="5"/>
      <c r="E2311" s="5"/>
      <c r="F2311" s="4"/>
      <c r="G2311" s="4"/>
      <c r="H2311" s="4"/>
      <c r="I2311" s="4"/>
      <c r="J2311" s="4"/>
      <c r="K2311" s="4"/>
    </row>
    <row r="2312" spans="2:11">
      <c r="B2312" s="6"/>
      <c r="C2312" s="24"/>
      <c r="D2312" s="5"/>
      <c r="E2312" s="5"/>
      <c r="F2312" s="4"/>
      <c r="G2312" s="4"/>
      <c r="H2312" s="4"/>
      <c r="I2312" s="4"/>
      <c r="J2312" s="4"/>
      <c r="K2312" s="4"/>
    </row>
    <row r="2313" spans="2:11">
      <c r="B2313" s="6"/>
      <c r="C2313" s="24"/>
      <c r="D2313" s="5"/>
      <c r="E2313" s="5"/>
      <c r="F2313" s="4"/>
      <c r="G2313" s="4"/>
      <c r="H2313" s="4"/>
      <c r="I2313" s="4"/>
      <c r="J2313" s="4"/>
      <c r="K2313" s="4"/>
    </row>
    <row r="2314" spans="2:11">
      <c r="B2314" s="6"/>
      <c r="C2314" s="24"/>
      <c r="D2314" s="5"/>
      <c r="E2314" s="5"/>
      <c r="F2314" s="4"/>
      <c r="G2314" s="4"/>
      <c r="H2314" s="4"/>
      <c r="I2314" s="4"/>
      <c r="J2314" s="4"/>
      <c r="K2314" s="4"/>
    </row>
    <row r="2315" spans="2:11">
      <c r="B2315" s="6"/>
      <c r="C2315" s="24"/>
      <c r="D2315" s="5"/>
      <c r="E2315" s="5"/>
      <c r="F2315" s="4"/>
      <c r="G2315" s="4"/>
      <c r="H2315" s="4"/>
      <c r="I2315" s="4"/>
      <c r="J2315" s="4"/>
      <c r="K2315" s="4"/>
    </row>
    <row r="2316" spans="2:11">
      <c r="B2316" s="6"/>
      <c r="C2316" s="24"/>
      <c r="D2316" s="5"/>
      <c r="E2316" s="5"/>
      <c r="F2316" s="4"/>
      <c r="G2316" s="4"/>
      <c r="H2316" s="4"/>
      <c r="I2316" s="4"/>
      <c r="J2316" s="4"/>
      <c r="K2316" s="4"/>
    </row>
    <row r="2317" spans="2:11">
      <c r="B2317" s="6"/>
      <c r="C2317" s="24"/>
      <c r="D2317" s="5"/>
      <c r="E2317" s="5"/>
      <c r="F2317" s="4"/>
      <c r="G2317" s="4"/>
      <c r="H2317" s="4"/>
      <c r="I2317" s="4"/>
      <c r="J2317" s="4"/>
      <c r="K2317" s="4"/>
    </row>
    <row r="2318" spans="2:11">
      <c r="B2318" s="6"/>
      <c r="C2318" s="24"/>
      <c r="D2318" s="5"/>
      <c r="E2318" s="5"/>
      <c r="F2318" s="4"/>
      <c r="G2318" s="4"/>
      <c r="H2318" s="4"/>
      <c r="I2318" s="4"/>
      <c r="J2318" s="4"/>
      <c r="K2318" s="4"/>
    </row>
    <row r="2319" spans="2:11">
      <c r="B2319" s="6"/>
      <c r="C2319" s="24"/>
      <c r="D2319" s="5"/>
      <c r="E2319" s="5"/>
      <c r="F2319" s="4"/>
      <c r="G2319" s="4"/>
      <c r="H2319" s="4"/>
      <c r="I2319" s="4"/>
      <c r="J2319" s="4"/>
      <c r="K2319" s="4"/>
    </row>
    <row r="2320" spans="2:11">
      <c r="B2320" s="6"/>
      <c r="C2320" s="24"/>
      <c r="D2320" s="5"/>
      <c r="E2320" s="5"/>
      <c r="F2320" s="4"/>
      <c r="G2320" s="4"/>
      <c r="H2320" s="4"/>
      <c r="I2320" s="4"/>
      <c r="J2320" s="4"/>
      <c r="K2320" s="4"/>
    </row>
    <row r="2321" spans="2:11">
      <c r="B2321" s="6"/>
      <c r="C2321" s="24"/>
      <c r="D2321" s="5"/>
      <c r="E2321" s="5"/>
      <c r="F2321" s="4"/>
      <c r="G2321" s="4"/>
      <c r="H2321" s="4"/>
      <c r="I2321" s="4"/>
      <c r="J2321" s="4"/>
      <c r="K2321" s="4"/>
    </row>
    <row r="2322" spans="2:11">
      <c r="B2322" s="6"/>
      <c r="C2322" s="24"/>
      <c r="D2322" s="5"/>
      <c r="E2322" s="5"/>
      <c r="F2322" s="4"/>
      <c r="G2322" s="4"/>
      <c r="H2322" s="4"/>
      <c r="I2322" s="4"/>
      <c r="J2322" s="4"/>
      <c r="K2322" s="4"/>
    </row>
    <row r="2323" spans="2:11">
      <c r="B2323" s="6"/>
      <c r="C2323" s="24"/>
      <c r="D2323" s="5"/>
      <c r="E2323" s="5"/>
      <c r="F2323" s="4"/>
      <c r="G2323" s="4"/>
      <c r="H2323" s="4"/>
      <c r="I2323" s="4"/>
      <c r="J2323" s="4"/>
      <c r="K2323" s="4"/>
    </row>
    <row r="2324" spans="2:11">
      <c r="B2324" s="6"/>
      <c r="C2324" s="24"/>
      <c r="D2324" s="5"/>
      <c r="E2324" s="5"/>
      <c r="F2324" s="4"/>
      <c r="G2324" s="4"/>
      <c r="H2324" s="4"/>
      <c r="I2324" s="4"/>
      <c r="J2324" s="4"/>
      <c r="K2324" s="4"/>
    </row>
    <row r="2325" spans="2:11">
      <c r="B2325" s="6"/>
      <c r="C2325" s="24"/>
      <c r="D2325" s="5"/>
      <c r="E2325" s="5"/>
      <c r="F2325" s="4"/>
      <c r="G2325" s="4"/>
      <c r="H2325" s="4"/>
      <c r="I2325" s="4"/>
      <c r="J2325" s="4"/>
      <c r="K2325" s="4"/>
    </row>
    <row r="2326" spans="2:11">
      <c r="B2326" s="6"/>
      <c r="C2326" s="24"/>
      <c r="D2326" s="5"/>
      <c r="E2326" s="5"/>
      <c r="F2326" s="4"/>
      <c r="G2326" s="4"/>
      <c r="H2326" s="4"/>
      <c r="I2326" s="4"/>
      <c r="J2326" s="4"/>
      <c r="K2326" s="4"/>
    </row>
    <row r="2327" spans="2:11">
      <c r="B2327" s="6"/>
      <c r="C2327" s="24"/>
      <c r="D2327" s="5"/>
      <c r="E2327" s="5"/>
      <c r="F2327" s="4"/>
      <c r="G2327" s="4"/>
      <c r="H2327" s="4"/>
      <c r="I2327" s="4"/>
      <c r="J2327" s="4"/>
      <c r="K2327" s="4"/>
    </row>
    <row r="2328" spans="2:11">
      <c r="B2328" s="6"/>
      <c r="C2328" s="24"/>
      <c r="D2328" s="5"/>
      <c r="E2328" s="5"/>
      <c r="F2328" s="4"/>
      <c r="G2328" s="4"/>
      <c r="H2328" s="4"/>
      <c r="I2328" s="4"/>
      <c r="J2328" s="4"/>
      <c r="K2328" s="4"/>
    </row>
    <row r="2329" spans="2:11">
      <c r="B2329" s="6"/>
      <c r="C2329" s="24"/>
      <c r="D2329" s="5"/>
      <c r="E2329" s="5"/>
      <c r="F2329" s="4"/>
      <c r="G2329" s="4"/>
      <c r="H2329" s="4"/>
      <c r="I2329" s="4"/>
      <c r="J2329" s="4"/>
      <c r="K2329" s="4"/>
    </row>
    <row r="2330" spans="2:11">
      <c r="B2330" s="6"/>
      <c r="C2330" s="24"/>
      <c r="D2330" s="5"/>
      <c r="E2330" s="5"/>
      <c r="F2330" s="4"/>
      <c r="G2330" s="4"/>
      <c r="H2330" s="4"/>
      <c r="I2330" s="4"/>
      <c r="J2330" s="4"/>
      <c r="K2330" s="4"/>
    </row>
    <row r="2331" spans="2:11">
      <c r="B2331" s="6"/>
      <c r="C2331" s="24"/>
      <c r="D2331" s="5"/>
      <c r="E2331" s="5"/>
      <c r="F2331" s="4"/>
      <c r="G2331" s="4"/>
      <c r="H2331" s="4"/>
      <c r="I2331" s="4"/>
      <c r="J2331" s="4"/>
      <c r="K2331" s="4"/>
    </row>
    <row r="2332" spans="2:11">
      <c r="B2332" s="6"/>
      <c r="C2332" s="24"/>
      <c r="D2332" s="5"/>
      <c r="E2332" s="5"/>
      <c r="F2332" s="4"/>
      <c r="G2332" s="4"/>
      <c r="H2332" s="4"/>
      <c r="I2332" s="4"/>
      <c r="J2332" s="4"/>
      <c r="K2332" s="4"/>
    </row>
    <row r="2333" spans="2:11">
      <c r="B2333" s="6"/>
      <c r="C2333" s="24"/>
      <c r="D2333" s="5"/>
      <c r="E2333" s="5"/>
      <c r="F2333" s="4"/>
      <c r="G2333" s="4"/>
      <c r="H2333" s="4"/>
      <c r="I2333" s="4"/>
      <c r="J2333" s="4"/>
      <c r="K2333" s="4"/>
    </row>
    <row r="2334" spans="2:11">
      <c r="B2334" s="6"/>
      <c r="C2334" s="24"/>
      <c r="D2334" s="5"/>
      <c r="E2334" s="5"/>
      <c r="F2334" s="4"/>
      <c r="G2334" s="4"/>
      <c r="H2334" s="4"/>
      <c r="I2334" s="4"/>
      <c r="J2334" s="4"/>
      <c r="K2334" s="4"/>
    </row>
    <row r="2335" spans="2:11">
      <c r="B2335" s="6"/>
      <c r="C2335" s="24"/>
      <c r="D2335" s="5"/>
      <c r="E2335" s="5"/>
      <c r="F2335" s="4"/>
      <c r="G2335" s="4"/>
      <c r="H2335" s="4"/>
      <c r="I2335" s="4"/>
      <c r="J2335" s="4"/>
      <c r="K2335" s="4"/>
    </row>
    <row r="2336" spans="2:11">
      <c r="B2336" s="6"/>
      <c r="C2336" s="24"/>
      <c r="D2336" s="5"/>
      <c r="E2336" s="5"/>
      <c r="F2336" s="4"/>
      <c r="G2336" s="4"/>
      <c r="H2336" s="4"/>
      <c r="I2336" s="4"/>
      <c r="J2336" s="4"/>
      <c r="K2336" s="4"/>
    </row>
    <row r="2337" spans="2:11">
      <c r="B2337" s="6"/>
      <c r="C2337" s="24"/>
      <c r="D2337" s="5"/>
      <c r="E2337" s="5"/>
      <c r="F2337" s="4"/>
      <c r="G2337" s="4"/>
      <c r="H2337" s="4"/>
      <c r="I2337" s="4"/>
      <c r="J2337" s="4"/>
      <c r="K2337" s="4"/>
    </row>
    <row r="2338" spans="2:11">
      <c r="B2338" s="6"/>
      <c r="C2338" s="24"/>
      <c r="D2338" s="5"/>
      <c r="E2338" s="5"/>
      <c r="F2338" s="4"/>
      <c r="G2338" s="4"/>
      <c r="H2338" s="4"/>
      <c r="I2338" s="4"/>
      <c r="J2338" s="4"/>
      <c r="K2338" s="4"/>
    </row>
    <row r="2339" spans="2:11">
      <c r="B2339" s="6"/>
      <c r="C2339" s="24"/>
      <c r="D2339" s="5"/>
      <c r="E2339" s="5"/>
      <c r="F2339" s="4"/>
      <c r="G2339" s="4"/>
      <c r="H2339" s="4"/>
      <c r="I2339" s="4"/>
      <c r="J2339" s="4"/>
      <c r="K2339" s="4"/>
    </row>
    <row r="2340" spans="2:11">
      <c r="B2340" s="6"/>
      <c r="C2340" s="24"/>
      <c r="D2340" s="5"/>
      <c r="E2340" s="5"/>
      <c r="F2340" s="4"/>
      <c r="G2340" s="4"/>
      <c r="H2340" s="4"/>
      <c r="I2340" s="4"/>
      <c r="J2340" s="4"/>
      <c r="K2340" s="4"/>
    </row>
    <row r="2341" spans="2:11">
      <c r="B2341" s="6"/>
      <c r="C2341" s="24"/>
      <c r="D2341" s="5"/>
      <c r="E2341" s="5"/>
      <c r="F2341" s="4"/>
      <c r="G2341" s="4"/>
      <c r="H2341" s="4"/>
      <c r="I2341" s="4"/>
      <c r="J2341" s="4"/>
      <c r="K2341" s="4"/>
    </row>
    <row r="2342" spans="2:11">
      <c r="B2342" s="6"/>
      <c r="C2342" s="24"/>
      <c r="D2342" s="5"/>
      <c r="E2342" s="5"/>
      <c r="F2342" s="4"/>
      <c r="G2342" s="4"/>
      <c r="H2342" s="4"/>
      <c r="I2342" s="4"/>
      <c r="J2342" s="4"/>
      <c r="K2342" s="4"/>
    </row>
    <row r="2343" spans="2:11">
      <c r="B2343" s="6"/>
      <c r="C2343" s="24"/>
      <c r="D2343" s="5"/>
      <c r="E2343" s="5"/>
      <c r="F2343" s="4"/>
      <c r="G2343" s="4"/>
      <c r="H2343" s="4"/>
      <c r="I2343" s="4"/>
      <c r="J2343" s="4"/>
      <c r="K2343" s="4"/>
    </row>
    <row r="2344" spans="2:11">
      <c r="B2344" s="6"/>
      <c r="C2344" s="24"/>
      <c r="D2344" s="5"/>
      <c r="E2344" s="5"/>
      <c r="F2344" s="4"/>
      <c r="G2344" s="4"/>
      <c r="H2344" s="4"/>
      <c r="I2344" s="4"/>
      <c r="J2344" s="4"/>
      <c r="K2344" s="4"/>
    </row>
    <row r="2345" spans="2:11">
      <c r="B2345" s="6"/>
      <c r="C2345" s="24"/>
      <c r="D2345" s="5"/>
      <c r="E2345" s="5"/>
      <c r="F2345" s="4"/>
      <c r="G2345" s="4"/>
      <c r="H2345" s="4"/>
      <c r="I2345" s="4"/>
      <c r="J2345" s="4"/>
      <c r="K2345" s="4"/>
    </row>
    <row r="2346" spans="2:11">
      <c r="B2346" s="6"/>
      <c r="C2346" s="24"/>
      <c r="D2346" s="5"/>
      <c r="E2346" s="5"/>
      <c r="F2346" s="4"/>
      <c r="G2346" s="4"/>
      <c r="H2346" s="4"/>
      <c r="I2346" s="4"/>
      <c r="J2346" s="4"/>
      <c r="K2346" s="4"/>
    </row>
    <row r="2347" spans="2:11">
      <c r="B2347" s="6"/>
      <c r="C2347" s="24"/>
      <c r="D2347" s="5"/>
      <c r="E2347" s="5"/>
      <c r="F2347" s="4"/>
      <c r="G2347" s="4"/>
      <c r="H2347" s="4"/>
      <c r="I2347" s="4"/>
      <c r="J2347" s="4"/>
      <c r="K2347" s="4"/>
    </row>
    <row r="2348" spans="2:11">
      <c r="B2348" s="6"/>
      <c r="C2348" s="24"/>
      <c r="D2348" s="5"/>
      <c r="E2348" s="5"/>
      <c r="F2348" s="4"/>
      <c r="G2348" s="4"/>
      <c r="H2348" s="4"/>
      <c r="I2348" s="4"/>
      <c r="J2348" s="4"/>
      <c r="K2348" s="4"/>
    </row>
    <row r="2349" spans="2:11">
      <c r="B2349" s="6"/>
      <c r="C2349" s="24"/>
      <c r="D2349" s="5"/>
      <c r="E2349" s="5"/>
      <c r="F2349" s="4"/>
      <c r="G2349" s="4"/>
      <c r="H2349" s="4"/>
      <c r="I2349" s="4"/>
      <c r="J2349" s="4"/>
      <c r="K2349" s="4"/>
    </row>
    <row r="2350" spans="2:11">
      <c r="B2350" s="6"/>
      <c r="C2350" s="24"/>
      <c r="D2350" s="5"/>
      <c r="E2350" s="5"/>
      <c r="F2350" s="4"/>
      <c r="G2350" s="4"/>
      <c r="H2350" s="4"/>
      <c r="I2350" s="4"/>
      <c r="J2350" s="4"/>
      <c r="K2350" s="4"/>
    </row>
    <row r="2351" spans="2:11">
      <c r="B2351" s="6"/>
      <c r="C2351" s="24"/>
      <c r="D2351" s="5"/>
      <c r="E2351" s="5"/>
      <c r="F2351" s="4"/>
      <c r="G2351" s="4"/>
      <c r="H2351" s="4"/>
      <c r="I2351" s="4"/>
      <c r="J2351" s="4"/>
      <c r="K2351" s="4"/>
    </row>
    <row r="2352" spans="2:11">
      <c r="B2352" s="6"/>
      <c r="C2352" s="24"/>
      <c r="D2352" s="5"/>
      <c r="E2352" s="5"/>
      <c r="F2352" s="4"/>
      <c r="G2352" s="4"/>
      <c r="H2352" s="4"/>
      <c r="I2352" s="4"/>
      <c r="J2352" s="4"/>
      <c r="K2352" s="4"/>
    </row>
    <row r="2353" spans="2:11">
      <c r="B2353" s="6"/>
      <c r="C2353" s="24"/>
      <c r="D2353" s="5"/>
      <c r="E2353" s="5"/>
      <c r="F2353" s="4"/>
      <c r="G2353" s="4"/>
      <c r="H2353" s="4"/>
      <c r="I2353" s="4"/>
      <c r="J2353" s="4"/>
      <c r="K2353" s="4"/>
    </row>
    <row r="2354" spans="2:11">
      <c r="B2354" s="6"/>
      <c r="C2354" s="24"/>
      <c r="D2354" s="5"/>
      <c r="E2354" s="5"/>
      <c r="F2354" s="4"/>
      <c r="G2354" s="4"/>
      <c r="H2354" s="4"/>
      <c r="I2354" s="4"/>
      <c r="J2354" s="4"/>
      <c r="K2354" s="4"/>
    </row>
    <row r="2355" spans="2:11">
      <c r="B2355" s="6"/>
      <c r="C2355" s="24"/>
      <c r="D2355" s="5"/>
      <c r="E2355" s="5"/>
      <c r="F2355" s="4"/>
      <c r="G2355" s="4"/>
      <c r="H2355" s="4"/>
      <c r="I2355" s="4"/>
      <c r="J2355" s="4"/>
      <c r="K2355" s="4"/>
    </row>
    <row r="2356" spans="2:11">
      <c r="B2356" s="6"/>
      <c r="C2356" s="24"/>
      <c r="D2356" s="5"/>
      <c r="E2356" s="5"/>
      <c r="F2356" s="4"/>
      <c r="G2356" s="4"/>
      <c r="H2356" s="4"/>
      <c r="I2356" s="4"/>
      <c r="J2356" s="4"/>
      <c r="K2356" s="4"/>
    </row>
    <row r="2357" spans="2:11">
      <c r="B2357" s="6"/>
      <c r="C2357" s="24"/>
      <c r="D2357" s="5"/>
      <c r="E2357" s="5"/>
      <c r="F2357" s="4"/>
      <c r="G2357" s="4"/>
      <c r="H2357" s="4"/>
      <c r="I2357" s="4"/>
      <c r="J2357" s="4"/>
      <c r="K2357" s="4"/>
    </row>
    <row r="2358" spans="2:11">
      <c r="B2358" s="6"/>
      <c r="C2358" s="24"/>
      <c r="D2358" s="5"/>
      <c r="E2358" s="5"/>
      <c r="F2358" s="4"/>
      <c r="G2358" s="4"/>
      <c r="H2358" s="4"/>
      <c r="I2358" s="4"/>
      <c r="J2358" s="4"/>
      <c r="K2358" s="4"/>
    </row>
    <row r="2359" spans="2:11">
      <c r="B2359" s="6"/>
      <c r="C2359" s="24"/>
      <c r="D2359" s="5"/>
      <c r="E2359" s="5"/>
      <c r="F2359" s="4"/>
      <c r="G2359" s="4"/>
      <c r="H2359" s="4"/>
      <c r="I2359" s="4"/>
      <c r="J2359" s="4"/>
      <c r="K2359" s="4"/>
    </row>
    <row r="2360" spans="2:11">
      <c r="B2360" s="6"/>
      <c r="C2360" s="24"/>
      <c r="D2360" s="5"/>
      <c r="E2360" s="5"/>
      <c r="F2360" s="4"/>
      <c r="G2360" s="4"/>
      <c r="H2360" s="4"/>
      <c r="I2360" s="4"/>
      <c r="J2360" s="4"/>
      <c r="K2360" s="4"/>
    </row>
    <row r="2361" spans="2:11">
      <c r="B2361" s="6"/>
      <c r="C2361" s="24"/>
      <c r="D2361" s="5"/>
      <c r="E2361" s="5"/>
      <c r="F2361" s="4"/>
      <c r="G2361" s="4"/>
      <c r="H2361" s="4"/>
      <c r="I2361" s="4"/>
      <c r="J2361" s="4"/>
      <c r="K2361" s="4"/>
    </row>
    <row r="2362" spans="2:11">
      <c r="B2362" s="6"/>
      <c r="C2362" s="24"/>
      <c r="D2362" s="5"/>
      <c r="E2362" s="5"/>
      <c r="F2362" s="4"/>
      <c r="G2362" s="4"/>
      <c r="H2362" s="4"/>
      <c r="I2362" s="4"/>
      <c r="J2362" s="4"/>
      <c r="K2362" s="4"/>
    </row>
    <row r="2363" spans="2:11">
      <c r="B2363" s="6"/>
      <c r="C2363" s="24"/>
      <c r="D2363" s="5"/>
      <c r="E2363" s="5"/>
      <c r="F2363" s="4"/>
      <c r="G2363" s="4"/>
      <c r="H2363" s="4"/>
      <c r="I2363" s="4"/>
      <c r="J2363" s="4"/>
      <c r="K2363" s="4"/>
    </row>
    <row r="2364" spans="2:11">
      <c r="B2364" s="6"/>
      <c r="C2364" s="24"/>
      <c r="D2364" s="5"/>
      <c r="E2364" s="5"/>
      <c r="F2364" s="4"/>
      <c r="G2364" s="4"/>
      <c r="H2364" s="4"/>
      <c r="I2364" s="4"/>
      <c r="J2364" s="4"/>
      <c r="K2364" s="4"/>
    </row>
    <row r="2365" spans="2:11">
      <c r="B2365" s="6"/>
      <c r="C2365" s="24"/>
      <c r="D2365" s="5"/>
      <c r="E2365" s="5"/>
      <c r="F2365" s="4"/>
      <c r="G2365" s="4"/>
      <c r="H2365" s="4"/>
      <c r="I2365" s="4"/>
      <c r="J2365" s="4"/>
      <c r="K2365" s="4"/>
    </row>
    <row r="2366" spans="2:11">
      <c r="B2366" s="6"/>
      <c r="C2366" s="24"/>
      <c r="D2366" s="5"/>
      <c r="E2366" s="5"/>
      <c r="F2366" s="4"/>
      <c r="G2366" s="4"/>
      <c r="H2366" s="4"/>
      <c r="I2366" s="4"/>
      <c r="J2366" s="4"/>
      <c r="K2366" s="4"/>
    </row>
    <row r="2367" spans="2:11">
      <c r="B2367" s="6"/>
      <c r="C2367" s="24"/>
      <c r="D2367" s="5"/>
      <c r="E2367" s="5"/>
      <c r="F2367" s="4"/>
      <c r="G2367" s="4"/>
      <c r="H2367" s="4"/>
      <c r="I2367" s="4"/>
      <c r="J2367" s="4"/>
      <c r="K2367" s="4"/>
    </row>
    <row r="2368" spans="2:11">
      <c r="B2368" s="6"/>
      <c r="C2368" s="24"/>
      <c r="D2368" s="5"/>
      <c r="E2368" s="5"/>
      <c r="F2368" s="4"/>
      <c r="G2368" s="4"/>
      <c r="H2368" s="4"/>
      <c r="I2368" s="4"/>
      <c r="J2368" s="4"/>
      <c r="K2368" s="4"/>
    </row>
    <row r="2369" spans="2:11">
      <c r="B2369" s="6"/>
      <c r="C2369" s="24"/>
      <c r="D2369" s="5"/>
      <c r="E2369" s="5"/>
      <c r="F2369" s="4"/>
      <c r="G2369" s="4"/>
      <c r="H2369" s="4"/>
      <c r="I2369" s="4"/>
      <c r="J2369" s="4"/>
      <c r="K2369" s="4"/>
    </row>
    <row r="2370" spans="2:11">
      <c r="B2370" s="6"/>
      <c r="C2370" s="24"/>
      <c r="D2370" s="5"/>
      <c r="E2370" s="5"/>
      <c r="F2370" s="4"/>
      <c r="G2370" s="4"/>
      <c r="H2370" s="4"/>
      <c r="I2370" s="4"/>
      <c r="J2370" s="4"/>
      <c r="K2370" s="4"/>
    </row>
    <row r="2371" spans="2:11">
      <c r="B2371" s="6"/>
      <c r="C2371" s="24"/>
      <c r="D2371" s="5"/>
      <c r="E2371" s="5"/>
      <c r="F2371" s="4"/>
      <c r="G2371" s="4"/>
      <c r="H2371" s="4"/>
      <c r="I2371" s="4"/>
      <c r="J2371" s="4"/>
      <c r="K2371" s="4"/>
    </row>
    <row r="2372" spans="2:11">
      <c r="B2372" s="6"/>
      <c r="C2372" s="24"/>
      <c r="D2372" s="5"/>
      <c r="E2372" s="5"/>
      <c r="F2372" s="4"/>
      <c r="G2372" s="4"/>
      <c r="H2372" s="4"/>
      <c r="I2372" s="4"/>
      <c r="J2372" s="4"/>
      <c r="K2372" s="4"/>
    </row>
    <row r="2373" spans="2:11">
      <c r="B2373" s="6"/>
      <c r="C2373" s="24"/>
      <c r="D2373" s="5"/>
      <c r="E2373" s="5"/>
      <c r="F2373" s="4"/>
      <c r="G2373" s="4"/>
      <c r="H2373" s="4"/>
      <c r="I2373" s="4"/>
      <c r="J2373" s="4"/>
      <c r="K2373" s="4"/>
    </row>
    <row r="2374" spans="2:11">
      <c r="B2374" s="6"/>
      <c r="C2374" s="24"/>
      <c r="D2374" s="5"/>
      <c r="E2374" s="5"/>
      <c r="F2374" s="4"/>
      <c r="G2374" s="4"/>
      <c r="H2374" s="4"/>
      <c r="I2374" s="4"/>
      <c r="J2374" s="4"/>
      <c r="K2374" s="4"/>
    </row>
    <row r="2375" spans="2:11">
      <c r="B2375" s="6"/>
      <c r="C2375" s="24"/>
      <c r="D2375" s="5"/>
      <c r="E2375" s="5"/>
      <c r="F2375" s="4"/>
      <c r="G2375" s="4"/>
      <c r="H2375" s="4"/>
      <c r="I2375" s="4"/>
      <c r="J2375" s="4"/>
      <c r="K2375" s="4"/>
    </row>
    <row r="2376" spans="2:11">
      <c r="B2376" s="6"/>
      <c r="C2376" s="24"/>
      <c r="D2376" s="5"/>
      <c r="E2376" s="5"/>
      <c r="F2376" s="4"/>
      <c r="G2376" s="4"/>
      <c r="H2376" s="4"/>
      <c r="I2376" s="4"/>
      <c r="J2376" s="4"/>
      <c r="K2376" s="4"/>
    </row>
    <row r="2377" spans="2:11">
      <c r="B2377" s="6"/>
      <c r="C2377" s="24"/>
      <c r="D2377" s="5"/>
      <c r="E2377" s="5"/>
      <c r="F2377" s="4"/>
      <c r="G2377" s="4"/>
      <c r="H2377" s="4"/>
      <c r="I2377" s="4"/>
      <c r="J2377" s="4"/>
      <c r="K2377" s="4"/>
    </row>
    <row r="2378" spans="2:11">
      <c r="B2378" s="6"/>
      <c r="C2378" s="24"/>
      <c r="D2378" s="5"/>
      <c r="E2378" s="5"/>
      <c r="F2378" s="4"/>
      <c r="G2378" s="4"/>
      <c r="H2378" s="4"/>
      <c r="I2378" s="4"/>
      <c r="J2378" s="4"/>
      <c r="K2378" s="4"/>
    </row>
    <row r="2379" spans="2:11">
      <c r="B2379" s="6"/>
      <c r="C2379" s="24"/>
      <c r="D2379" s="5"/>
      <c r="E2379" s="5"/>
      <c r="F2379" s="4"/>
      <c r="G2379" s="4"/>
      <c r="H2379" s="4"/>
      <c r="I2379" s="4"/>
      <c r="J2379" s="4"/>
      <c r="K2379" s="4"/>
    </row>
    <row r="2380" spans="2:11">
      <c r="B2380" s="6"/>
      <c r="C2380" s="24"/>
      <c r="D2380" s="5"/>
      <c r="E2380" s="5"/>
      <c r="F2380" s="4"/>
      <c r="G2380" s="4"/>
      <c r="H2380" s="4"/>
      <c r="I2380" s="4"/>
      <c r="J2380" s="4"/>
      <c r="K2380" s="4"/>
    </row>
    <row r="2381" spans="2:11">
      <c r="B2381" s="6"/>
      <c r="C2381" s="24"/>
      <c r="D2381" s="5"/>
      <c r="E2381" s="5"/>
      <c r="F2381" s="4"/>
      <c r="G2381" s="4"/>
      <c r="H2381" s="4"/>
      <c r="I2381" s="4"/>
      <c r="J2381" s="4"/>
      <c r="K2381" s="4"/>
    </row>
    <row r="2382" spans="2:11">
      <c r="B2382" s="6"/>
      <c r="C2382" s="24"/>
      <c r="D2382" s="5"/>
      <c r="E2382" s="5"/>
      <c r="F2382" s="4"/>
      <c r="G2382" s="4"/>
      <c r="H2382" s="4"/>
      <c r="I2382" s="4"/>
      <c r="J2382" s="4"/>
      <c r="K2382" s="4"/>
    </row>
    <row r="2383" spans="2:11">
      <c r="B2383" s="6"/>
      <c r="C2383" s="24"/>
      <c r="D2383" s="5"/>
      <c r="E2383" s="5"/>
      <c r="F2383" s="4"/>
      <c r="G2383" s="4"/>
      <c r="H2383" s="4"/>
      <c r="I2383" s="4"/>
      <c r="J2383" s="4"/>
      <c r="K2383" s="4"/>
    </row>
    <row r="2384" spans="2:11">
      <c r="B2384" s="6"/>
      <c r="C2384" s="24"/>
      <c r="D2384" s="5"/>
      <c r="E2384" s="5"/>
      <c r="F2384" s="4"/>
      <c r="G2384" s="4"/>
      <c r="H2384" s="4"/>
      <c r="I2384" s="4"/>
      <c r="J2384" s="4"/>
      <c r="K2384" s="4"/>
    </row>
    <row r="2385" spans="2:11">
      <c r="B2385" s="6"/>
      <c r="C2385" s="24"/>
      <c r="D2385" s="5"/>
      <c r="E2385" s="5"/>
      <c r="F2385" s="4"/>
      <c r="G2385" s="4"/>
      <c r="H2385" s="4"/>
      <c r="I2385" s="4"/>
      <c r="J2385" s="4"/>
      <c r="K2385" s="4"/>
    </row>
    <row r="2386" spans="2:11">
      <c r="B2386" s="6"/>
      <c r="C2386" s="24"/>
      <c r="D2386" s="5"/>
      <c r="E2386" s="5"/>
      <c r="F2386" s="4"/>
      <c r="G2386" s="4"/>
      <c r="H2386" s="4"/>
      <c r="I2386" s="4"/>
      <c r="J2386" s="4"/>
      <c r="K2386" s="4"/>
    </row>
    <row r="2387" spans="2:11">
      <c r="B2387" s="6"/>
      <c r="C2387" s="24"/>
      <c r="D2387" s="5"/>
      <c r="E2387" s="5"/>
      <c r="F2387" s="4"/>
      <c r="G2387" s="4"/>
      <c r="H2387" s="4"/>
      <c r="I2387" s="4"/>
      <c r="J2387" s="4"/>
      <c r="K2387" s="4"/>
    </row>
    <row r="2388" spans="2:11">
      <c r="B2388" s="6"/>
      <c r="C2388" s="24"/>
      <c r="D2388" s="5"/>
      <c r="E2388" s="5"/>
      <c r="F2388" s="4"/>
      <c r="G2388" s="4"/>
      <c r="H2388" s="4"/>
      <c r="I2388" s="4"/>
      <c r="J2388" s="4"/>
      <c r="K2388" s="4"/>
    </row>
    <row r="2389" spans="2:11">
      <c r="B2389" s="6"/>
      <c r="C2389" s="24"/>
      <c r="D2389" s="5"/>
      <c r="E2389" s="5"/>
      <c r="F2389" s="4"/>
      <c r="G2389" s="4"/>
      <c r="H2389" s="4"/>
      <c r="I2389" s="4"/>
      <c r="J2389" s="4"/>
      <c r="K2389" s="4"/>
    </row>
    <row r="2390" spans="2:11">
      <c r="B2390" s="6"/>
      <c r="C2390" s="24"/>
      <c r="D2390" s="5"/>
      <c r="E2390" s="5"/>
      <c r="F2390" s="4"/>
      <c r="G2390" s="4"/>
      <c r="H2390" s="4"/>
      <c r="I2390" s="4"/>
      <c r="J2390" s="4"/>
      <c r="K2390" s="4"/>
    </row>
    <row r="2391" spans="2:11">
      <c r="B2391" s="6"/>
      <c r="C2391" s="24"/>
      <c r="D2391" s="5"/>
      <c r="E2391" s="5"/>
      <c r="F2391" s="4"/>
      <c r="G2391" s="4"/>
      <c r="H2391" s="4"/>
      <c r="I2391" s="4"/>
      <c r="J2391" s="4"/>
      <c r="K2391" s="4"/>
    </row>
    <row r="2392" spans="2:11">
      <c r="B2392" s="6"/>
      <c r="C2392" s="24"/>
      <c r="D2392" s="5"/>
      <c r="E2392" s="5"/>
      <c r="F2392" s="4"/>
      <c r="G2392" s="4"/>
      <c r="H2392" s="4"/>
      <c r="I2392" s="4"/>
      <c r="J2392" s="4"/>
      <c r="K2392" s="4"/>
    </row>
    <row r="2393" spans="2:11">
      <c r="B2393" s="6"/>
      <c r="C2393" s="24"/>
      <c r="D2393" s="5"/>
      <c r="E2393" s="5"/>
      <c r="F2393" s="4"/>
      <c r="G2393" s="4"/>
      <c r="H2393" s="4"/>
      <c r="I2393" s="4"/>
      <c r="J2393" s="4"/>
      <c r="K2393" s="4"/>
    </row>
    <row r="2394" spans="2:11">
      <c r="B2394" s="6"/>
      <c r="C2394" s="24"/>
      <c r="D2394" s="5"/>
      <c r="E2394" s="5"/>
      <c r="F2394" s="4"/>
      <c r="G2394" s="4"/>
      <c r="H2394" s="4"/>
      <c r="I2394" s="4"/>
      <c r="J2394" s="4"/>
      <c r="K2394" s="4"/>
    </row>
    <row r="2395" spans="2:11">
      <c r="B2395" s="6"/>
      <c r="C2395" s="24"/>
      <c r="D2395" s="5"/>
      <c r="E2395" s="5"/>
      <c r="F2395" s="4"/>
      <c r="G2395" s="4"/>
      <c r="H2395" s="4"/>
      <c r="I2395" s="4"/>
      <c r="J2395" s="4"/>
      <c r="K2395" s="4"/>
    </row>
    <row r="2396" spans="2:11">
      <c r="B2396" s="6"/>
      <c r="C2396" s="24"/>
      <c r="D2396" s="5"/>
      <c r="E2396" s="5"/>
      <c r="F2396" s="4"/>
      <c r="G2396" s="4"/>
      <c r="H2396" s="4"/>
      <c r="I2396" s="4"/>
      <c r="J2396" s="4"/>
      <c r="K2396" s="4"/>
    </row>
    <row r="2397" spans="2:11">
      <c r="B2397" s="6"/>
      <c r="C2397" s="24"/>
      <c r="D2397" s="5"/>
      <c r="E2397" s="5"/>
      <c r="F2397" s="4"/>
      <c r="G2397" s="4"/>
      <c r="H2397" s="4"/>
      <c r="I2397" s="4"/>
      <c r="J2397" s="4"/>
      <c r="K2397" s="4"/>
    </row>
    <row r="2398" spans="2:11">
      <c r="B2398" s="6"/>
      <c r="C2398" s="24"/>
      <c r="D2398" s="5"/>
      <c r="E2398" s="5"/>
      <c r="F2398" s="4"/>
      <c r="G2398" s="4"/>
      <c r="H2398" s="4"/>
      <c r="I2398" s="4"/>
      <c r="J2398" s="4"/>
      <c r="K2398" s="4"/>
    </row>
    <row r="2399" spans="2:11">
      <c r="B2399" s="6"/>
      <c r="C2399" s="24"/>
      <c r="D2399" s="5"/>
      <c r="E2399" s="5"/>
      <c r="F2399" s="4"/>
      <c r="G2399" s="4"/>
      <c r="H2399" s="4"/>
      <c r="I2399" s="4"/>
      <c r="J2399" s="4"/>
      <c r="K2399" s="4"/>
    </row>
    <row r="2400" spans="2:11">
      <c r="B2400" s="6"/>
      <c r="C2400" s="24"/>
      <c r="D2400" s="5"/>
      <c r="E2400" s="5"/>
      <c r="F2400" s="4"/>
      <c r="G2400" s="4"/>
      <c r="H2400" s="4"/>
      <c r="I2400" s="4"/>
      <c r="J2400" s="4"/>
      <c r="K2400" s="4"/>
    </row>
    <row r="2401" spans="2:11">
      <c r="B2401" s="6"/>
      <c r="C2401" s="24"/>
      <c r="D2401" s="5"/>
      <c r="E2401" s="5"/>
      <c r="F2401" s="4"/>
      <c r="G2401" s="4"/>
      <c r="H2401" s="4"/>
      <c r="I2401" s="4"/>
      <c r="J2401" s="4"/>
      <c r="K2401" s="4"/>
    </row>
    <row r="2402" spans="2:11">
      <c r="B2402" s="6"/>
      <c r="C2402" s="24"/>
      <c r="D2402" s="5"/>
      <c r="E2402" s="5"/>
      <c r="F2402" s="4"/>
      <c r="G2402" s="4"/>
      <c r="H2402" s="4"/>
      <c r="I2402" s="4"/>
      <c r="J2402" s="4"/>
      <c r="K2402" s="4"/>
    </row>
    <row r="2403" spans="2:11">
      <c r="B2403" s="6"/>
      <c r="C2403" s="24"/>
      <c r="D2403" s="5"/>
      <c r="E2403" s="5"/>
      <c r="F2403" s="4"/>
      <c r="G2403" s="4"/>
      <c r="H2403" s="4"/>
      <c r="I2403" s="4"/>
      <c r="J2403" s="4"/>
      <c r="K2403" s="4"/>
    </row>
    <row r="2404" spans="2:11">
      <c r="B2404" s="6"/>
      <c r="C2404" s="24"/>
      <c r="D2404" s="5"/>
      <c r="E2404" s="5"/>
      <c r="F2404" s="4"/>
      <c r="G2404" s="4"/>
      <c r="H2404" s="4"/>
      <c r="I2404" s="4"/>
      <c r="J2404" s="4"/>
      <c r="K2404" s="4"/>
    </row>
    <row r="2405" spans="2:11">
      <c r="B2405" s="6"/>
      <c r="C2405" s="24"/>
      <c r="D2405" s="5"/>
      <c r="E2405" s="5"/>
      <c r="F2405" s="4"/>
      <c r="G2405" s="4"/>
      <c r="H2405" s="4"/>
      <c r="I2405" s="4"/>
      <c r="J2405" s="4"/>
      <c r="K2405" s="4"/>
    </row>
    <row r="2406" spans="2:11">
      <c r="B2406" s="6"/>
      <c r="C2406" s="24"/>
      <c r="D2406" s="5"/>
      <c r="E2406" s="5"/>
      <c r="F2406" s="4"/>
      <c r="G2406" s="4"/>
      <c r="H2406" s="4"/>
      <c r="I2406" s="4"/>
      <c r="J2406" s="4"/>
      <c r="K2406" s="4"/>
    </row>
    <row r="2407" spans="2:11">
      <c r="B2407" s="6"/>
      <c r="C2407" s="24"/>
      <c r="D2407" s="5"/>
      <c r="E2407" s="5"/>
      <c r="F2407" s="4"/>
      <c r="G2407" s="4"/>
      <c r="H2407" s="4"/>
      <c r="I2407" s="4"/>
      <c r="J2407" s="4"/>
      <c r="K2407" s="4"/>
    </row>
    <row r="2408" spans="2:11">
      <c r="B2408" s="6"/>
      <c r="C2408" s="24"/>
      <c r="D2408" s="5"/>
      <c r="E2408" s="5"/>
      <c r="F2408" s="4"/>
      <c r="G2408" s="4"/>
      <c r="H2408" s="4"/>
      <c r="I2408" s="4"/>
      <c r="J2408" s="4"/>
      <c r="K2408" s="4"/>
    </row>
    <row r="2409" spans="2:11">
      <c r="B2409" s="6"/>
      <c r="C2409" s="24"/>
      <c r="D2409" s="5"/>
      <c r="E2409" s="5"/>
      <c r="F2409" s="4"/>
      <c r="G2409" s="4"/>
      <c r="H2409" s="4"/>
      <c r="I2409" s="4"/>
      <c r="J2409" s="4"/>
      <c r="K2409" s="4"/>
    </row>
    <row r="2410" spans="2:11">
      <c r="B2410" s="6"/>
      <c r="C2410" s="24"/>
      <c r="D2410" s="5"/>
      <c r="E2410" s="5"/>
      <c r="F2410" s="4"/>
      <c r="G2410" s="4"/>
      <c r="H2410" s="4"/>
      <c r="I2410" s="4"/>
      <c r="J2410" s="4"/>
      <c r="K2410" s="4"/>
    </row>
    <row r="2411" spans="2:11">
      <c r="B2411" s="6"/>
      <c r="C2411" s="24"/>
      <c r="D2411" s="5"/>
      <c r="E2411" s="5"/>
      <c r="F2411" s="4"/>
      <c r="G2411" s="4"/>
      <c r="H2411" s="4"/>
      <c r="I2411" s="4"/>
      <c r="J2411" s="4"/>
      <c r="K2411" s="4"/>
    </row>
    <row r="2412" spans="2:11">
      <c r="B2412" s="6"/>
      <c r="C2412" s="24"/>
      <c r="D2412" s="5"/>
      <c r="E2412" s="5"/>
      <c r="F2412" s="4"/>
      <c r="G2412" s="4"/>
      <c r="H2412" s="4"/>
      <c r="I2412" s="4"/>
      <c r="J2412" s="4"/>
      <c r="K2412" s="4"/>
    </row>
    <row r="2413" spans="2:11">
      <c r="B2413" s="6"/>
      <c r="C2413" s="24"/>
      <c r="D2413" s="5"/>
      <c r="E2413" s="5"/>
      <c r="F2413" s="4"/>
      <c r="G2413" s="4"/>
      <c r="H2413" s="4"/>
      <c r="I2413" s="4"/>
      <c r="J2413" s="4"/>
      <c r="K2413" s="4"/>
    </row>
    <row r="2414" spans="2:11">
      <c r="B2414" s="6"/>
      <c r="C2414" s="24"/>
      <c r="D2414" s="5"/>
      <c r="E2414" s="5"/>
      <c r="F2414" s="4"/>
      <c r="G2414" s="4"/>
      <c r="H2414" s="4"/>
      <c r="I2414" s="4"/>
      <c r="J2414" s="4"/>
      <c r="K2414" s="4"/>
    </row>
    <row r="2415" spans="2:11">
      <c r="B2415" s="6"/>
      <c r="C2415" s="24"/>
      <c r="D2415" s="5"/>
      <c r="E2415" s="5"/>
      <c r="F2415" s="4"/>
      <c r="G2415" s="4"/>
      <c r="H2415" s="4"/>
      <c r="I2415" s="4"/>
      <c r="J2415" s="4"/>
      <c r="K2415" s="4"/>
    </row>
    <row r="2416" spans="2:11">
      <c r="B2416" s="6"/>
      <c r="C2416" s="24"/>
      <c r="D2416" s="5"/>
      <c r="E2416" s="5"/>
      <c r="F2416" s="4"/>
      <c r="G2416" s="4"/>
      <c r="H2416" s="4"/>
      <c r="I2416" s="4"/>
      <c r="J2416" s="4"/>
      <c r="K2416" s="4"/>
    </row>
    <row r="2417" spans="2:11">
      <c r="B2417" s="6"/>
      <c r="C2417" s="24"/>
      <c r="D2417" s="5"/>
      <c r="E2417" s="5"/>
      <c r="F2417" s="4"/>
      <c r="G2417" s="4"/>
      <c r="H2417" s="4"/>
      <c r="I2417" s="4"/>
      <c r="J2417" s="4"/>
      <c r="K2417" s="4"/>
    </row>
    <row r="2418" spans="2:11">
      <c r="B2418" s="6"/>
      <c r="C2418" s="24"/>
      <c r="D2418" s="5"/>
      <c r="E2418" s="5"/>
      <c r="F2418" s="4"/>
      <c r="G2418" s="4"/>
      <c r="H2418" s="4"/>
      <c r="I2418" s="4"/>
      <c r="J2418" s="4"/>
      <c r="K2418" s="4"/>
    </row>
    <row r="2419" spans="2:11">
      <c r="B2419" s="6"/>
      <c r="C2419" s="24"/>
      <c r="D2419" s="5"/>
      <c r="E2419" s="5"/>
      <c r="F2419" s="4"/>
      <c r="G2419" s="4"/>
      <c r="H2419" s="4"/>
      <c r="I2419" s="4"/>
      <c r="J2419" s="4"/>
      <c r="K2419" s="4"/>
    </row>
    <row r="2420" spans="2:11">
      <c r="B2420" s="6"/>
      <c r="C2420" s="24"/>
      <c r="D2420" s="5"/>
      <c r="E2420" s="5"/>
      <c r="F2420" s="4"/>
      <c r="G2420" s="4"/>
      <c r="H2420" s="4"/>
      <c r="I2420" s="4"/>
      <c r="J2420" s="4"/>
      <c r="K2420" s="4"/>
    </row>
    <row r="2421" spans="2:11">
      <c r="B2421" s="6"/>
      <c r="C2421" s="24"/>
      <c r="D2421" s="5"/>
      <c r="E2421" s="5"/>
      <c r="F2421" s="4"/>
      <c r="G2421" s="4"/>
      <c r="H2421" s="4"/>
      <c r="I2421" s="4"/>
      <c r="J2421" s="4"/>
      <c r="K2421" s="4"/>
    </row>
    <row r="2422" spans="2:11">
      <c r="B2422" s="6"/>
      <c r="C2422" s="24"/>
      <c r="D2422" s="5"/>
      <c r="E2422" s="5"/>
      <c r="F2422" s="4"/>
      <c r="G2422" s="4"/>
      <c r="H2422" s="4"/>
      <c r="I2422" s="4"/>
      <c r="J2422" s="4"/>
      <c r="K2422" s="4"/>
    </row>
    <row r="2423" spans="2:11">
      <c r="B2423" s="6"/>
      <c r="C2423" s="24"/>
      <c r="D2423" s="5"/>
      <c r="E2423" s="5"/>
      <c r="F2423" s="4"/>
      <c r="G2423" s="4"/>
      <c r="H2423" s="4"/>
      <c r="I2423" s="4"/>
      <c r="J2423" s="4"/>
      <c r="K2423" s="4"/>
    </row>
    <row r="2424" spans="2:11">
      <c r="B2424" s="6"/>
      <c r="C2424" s="24"/>
      <c r="D2424" s="5"/>
      <c r="E2424" s="5"/>
      <c r="F2424" s="4"/>
      <c r="G2424" s="4"/>
      <c r="H2424" s="4"/>
      <c r="I2424" s="4"/>
      <c r="J2424" s="4"/>
      <c r="K2424" s="4"/>
    </row>
    <row r="2425" spans="2:11">
      <c r="B2425" s="6"/>
      <c r="C2425" s="24"/>
      <c r="D2425" s="5"/>
      <c r="E2425" s="5"/>
      <c r="F2425" s="4"/>
      <c r="G2425" s="4"/>
      <c r="H2425" s="4"/>
      <c r="I2425" s="4"/>
      <c r="J2425" s="4"/>
      <c r="K2425" s="4"/>
    </row>
    <row r="2426" spans="2:11">
      <c r="B2426" s="6"/>
      <c r="C2426" s="24"/>
      <c r="D2426" s="5"/>
      <c r="E2426" s="5"/>
      <c r="F2426" s="4"/>
      <c r="G2426" s="4"/>
      <c r="H2426" s="4"/>
      <c r="I2426" s="4"/>
      <c r="J2426" s="4"/>
      <c r="K2426" s="4"/>
    </row>
    <row r="2427" spans="2:11">
      <c r="B2427" s="6"/>
      <c r="C2427" s="24"/>
      <c r="D2427" s="5"/>
      <c r="E2427" s="5"/>
      <c r="F2427" s="4"/>
      <c r="G2427" s="4"/>
      <c r="H2427" s="4"/>
      <c r="I2427" s="4"/>
      <c r="J2427" s="4"/>
      <c r="K2427" s="4"/>
    </row>
    <row r="2428" spans="2:11">
      <c r="B2428" s="6"/>
      <c r="C2428" s="24"/>
      <c r="D2428" s="5"/>
      <c r="E2428" s="5"/>
      <c r="F2428" s="4"/>
      <c r="G2428" s="4"/>
      <c r="H2428" s="4"/>
      <c r="I2428" s="4"/>
      <c r="J2428" s="4"/>
      <c r="K2428" s="4"/>
    </row>
    <row r="2429" spans="2:11">
      <c r="B2429" s="6"/>
      <c r="C2429" s="24"/>
      <c r="D2429" s="5"/>
      <c r="E2429" s="5"/>
      <c r="F2429" s="4"/>
      <c r="G2429" s="4"/>
      <c r="H2429" s="4"/>
      <c r="I2429" s="4"/>
      <c r="J2429" s="4"/>
      <c r="K2429" s="4"/>
    </row>
    <row r="2430" spans="2:11">
      <c r="B2430" s="6"/>
      <c r="C2430" s="24"/>
      <c r="D2430" s="5"/>
      <c r="E2430" s="5"/>
      <c r="F2430" s="4"/>
      <c r="G2430" s="4"/>
      <c r="H2430" s="4"/>
      <c r="I2430" s="4"/>
      <c r="J2430" s="4"/>
      <c r="K2430" s="4"/>
    </row>
    <row r="2431" spans="2:11">
      <c r="B2431" s="6"/>
      <c r="C2431" s="24"/>
      <c r="D2431" s="5"/>
      <c r="E2431" s="5"/>
      <c r="F2431" s="4"/>
      <c r="G2431" s="4"/>
      <c r="H2431" s="4"/>
      <c r="I2431" s="4"/>
      <c r="J2431" s="4"/>
      <c r="K2431" s="4"/>
    </row>
    <row r="2432" spans="2:11">
      <c r="B2432" s="6"/>
      <c r="C2432" s="24"/>
      <c r="D2432" s="5"/>
      <c r="E2432" s="5"/>
      <c r="F2432" s="4"/>
      <c r="G2432" s="4"/>
      <c r="H2432" s="4"/>
      <c r="I2432" s="4"/>
      <c r="J2432" s="4"/>
      <c r="K2432" s="4"/>
    </row>
    <row r="2433" spans="2:11">
      <c r="B2433" s="6"/>
      <c r="C2433" s="24"/>
      <c r="D2433" s="5"/>
      <c r="E2433" s="5"/>
      <c r="F2433" s="4"/>
      <c r="G2433" s="4"/>
      <c r="H2433" s="4"/>
      <c r="I2433" s="4"/>
      <c r="J2433" s="4"/>
      <c r="K2433" s="4"/>
    </row>
    <row r="2434" spans="2:11">
      <c r="B2434" s="6"/>
      <c r="C2434" s="24"/>
      <c r="D2434" s="5"/>
      <c r="E2434" s="5"/>
      <c r="F2434" s="4"/>
      <c r="G2434" s="4"/>
      <c r="H2434" s="4"/>
      <c r="I2434" s="4"/>
      <c r="J2434" s="4"/>
      <c r="K2434" s="4"/>
    </row>
    <row r="2435" spans="2:11">
      <c r="B2435" s="6"/>
      <c r="C2435" s="24"/>
      <c r="D2435" s="5"/>
      <c r="E2435" s="5"/>
      <c r="F2435" s="4"/>
      <c r="G2435" s="4"/>
      <c r="H2435" s="4"/>
      <c r="I2435" s="4"/>
      <c r="J2435" s="4"/>
      <c r="K2435" s="4"/>
    </row>
    <row r="2436" spans="2:11">
      <c r="B2436" s="6"/>
      <c r="C2436" s="24"/>
      <c r="D2436" s="5"/>
      <c r="E2436" s="5"/>
      <c r="F2436" s="4"/>
      <c r="G2436" s="4"/>
      <c r="H2436" s="4"/>
      <c r="I2436" s="4"/>
      <c r="J2436" s="4"/>
      <c r="K2436" s="4"/>
    </row>
    <row r="2437" spans="2:11">
      <c r="B2437" s="6"/>
      <c r="C2437" s="24"/>
      <c r="D2437" s="5"/>
      <c r="E2437" s="5"/>
      <c r="F2437" s="4"/>
      <c r="G2437" s="4"/>
      <c r="H2437" s="4"/>
      <c r="I2437" s="4"/>
      <c r="J2437" s="4"/>
      <c r="K2437" s="4"/>
    </row>
    <row r="2438" spans="2:11">
      <c r="B2438" s="6"/>
      <c r="C2438" s="24"/>
      <c r="D2438" s="5"/>
      <c r="E2438" s="5"/>
      <c r="F2438" s="4"/>
      <c r="G2438" s="4"/>
      <c r="H2438" s="4"/>
      <c r="I2438" s="4"/>
      <c r="J2438" s="4"/>
      <c r="K2438" s="4"/>
    </row>
    <row r="2439" spans="2:11">
      <c r="B2439" s="6"/>
      <c r="C2439" s="24"/>
      <c r="D2439" s="5"/>
      <c r="E2439" s="5"/>
      <c r="F2439" s="4"/>
      <c r="G2439" s="4"/>
      <c r="H2439" s="4"/>
      <c r="I2439" s="4"/>
      <c r="J2439" s="4"/>
      <c r="K2439" s="4"/>
    </row>
    <row r="2440" spans="2:11">
      <c r="B2440" s="6"/>
      <c r="C2440" s="24"/>
      <c r="D2440" s="5"/>
      <c r="E2440" s="5"/>
      <c r="F2440" s="4"/>
      <c r="G2440" s="4"/>
      <c r="H2440" s="4"/>
      <c r="I2440" s="4"/>
      <c r="J2440" s="4"/>
      <c r="K2440" s="4"/>
    </row>
    <row r="2441" spans="2:11">
      <c r="B2441" s="6"/>
      <c r="C2441" s="24"/>
      <c r="D2441" s="5"/>
      <c r="E2441" s="5"/>
      <c r="F2441" s="4"/>
      <c r="G2441" s="4"/>
      <c r="H2441" s="4"/>
      <c r="I2441" s="4"/>
      <c r="J2441" s="4"/>
      <c r="K2441" s="4"/>
    </row>
    <row r="2442" spans="2:11">
      <c r="B2442" s="6"/>
      <c r="C2442" s="24"/>
      <c r="D2442" s="5"/>
      <c r="E2442" s="5"/>
      <c r="F2442" s="4"/>
      <c r="G2442" s="4"/>
      <c r="H2442" s="4"/>
      <c r="I2442" s="4"/>
      <c r="J2442" s="4"/>
      <c r="K2442" s="4"/>
    </row>
    <row r="2443" spans="2:11">
      <c r="B2443" s="6"/>
      <c r="C2443" s="24"/>
      <c r="D2443" s="5"/>
      <c r="E2443" s="5"/>
      <c r="F2443" s="4"/>
      <c r="G2443" s="4"/>
      <c r="H2443" s="4"/>
      <c r="I2443" s="4"/>
      <c r="J2443" s="4"/>
      <c r="K2443" s="4"/>
    </row>
    <row r="2444" spans="2:11">
      <c r="B2444" s="6"/>
      <c r="C2444" s="24"/>
      <c r="D2444" s="5"/>
      <c r="E2444" s="5"/>
      <c r="F2444" s="4"/>
      <c r="G2444" s="4"/>
      <c r="H2444" s="4"/>
      <c r="I2444" s="4"/>
      <c r="J2444" s="4"/>
      <c r="K2444" s="4"/>
    </row>
    <row r="2445" spans="2:11">
      <c r="B2445" s="6"/>
      <c r="C2445" s="24"/>
      <c r="D2445" s="5"/>
      <c r="E2445" s="5"/>
      <c r="F2445" s="4"/>
      <c r="G2445" s="4"/>
      <c r="H2445" s="4"/>
      <c r="I2445" s="4"/>
      <c r="J2445" s="4"/>
      <c r="K2445" s="4"/>
    </row>
    <row r="2446" spans="2:11">
      <c r="B2446" s="6"/>
      <c r="C2446" s="24"/>
      <c r="D2446" s="5"/>
      <c r="E2446" s="5"/>
      <c r="F2446" s="4"/>
      <c r="G2446" s="4"/>
      <c r="H2446" s="4"/>
      <c r="I2446" s="4"/>
      <c r="J2446" s="4"/>
      <c r="K2446" s="4"/>
    </row>
    <row r="2447" spans="2:11">
      <c r="B2447" s="6"/>
      <c r="C2447" s="24"/>
      <c r="D2447" s="5"/>
      <c r="E2447" s="5"/>
      <c r="F2447" s="4"/>
      <c r="G2447" s="4"/>
      <c r="H2447" s="4"/>
      <c r="I2447" s="4"/>
      <c r="J2447" s="4"/>
      <c r="K2447" s="4"/>
    </row>
    <row r="2448" spans="2:11">
      <c r="B2448" s="6"/>
      <c r="C2448" s="24"/>
      <c r="D2448" s="5"/>
      <c r="E2448" s="5"/>
      <c r="F2448" s="4"/>
      <c r="G2448" s="4"/>
      <c r="H2448" s="4"/>
      <c r="I2448" s="4"/>
      <c r="J2448" s="4"/>
      <c r="K2448" s="4"/>
    </row>
    <row r="2449" spans="2:11">
      <c r="B2449" s="6"/>
      <c r="C2449" s="24"/>
      <c r="D2449" s="5"/>
      <c r="E2449" s="5"/>
      <c r="F2449" s="4"/>
      <c r="G2449" s="4"/>
      <c r="H2449" s="4"/>
      <c r="I2449" s="4"/>
      <c r="J2449" s="4"/>
      <c r="K2449" s="4"/>
    </row>
    <row r="2450" spans="2:11">
      <c r="B2450" s="6"/>
      <c r="C2450" s="24"/>
      <c r="D2450" s="5"/>
      <c r="E2450" s="5"/>
      <c r="F2450" s="4"/>
      <c r="G2450" s="4"/>
      <c r="H2450" s="4"/>
      <c r="I2450" s="4"/>
      <c r="J2450" s="4"/>
      <c r="K2450" s="4"/>
    </row>
    <row r="2451" spans="2:11">
      <c r="B2451" s="6"/>
      <c r="C2451" s="24"/>
      <c r="D2451" s="5"/>
      <c r="E2451" s="5"/>
      <c r="F2451" s="4"/>
      <c r="G2451" s="4"/>
      <c r="H2451" s="4"/>
      <c r="I2451" s="4"/>
      <c r="J2451" s="4"/>
      <c r="K2451" s="4"/>
    </row>
    <row r="2452" spans="2:11">
      <c r="B2452" s="6"/>
      <c r="C2452" s="24"/>
      <c r="D2452" s="5"/>
      <c r="E2452" s="5"/>
      <c r="F2452" s="4"/>
      <c r="G2452" s="4"/>
      <c r="H2452" s="4"/>
      <c r="I2452" s="4"/>
      <c r="J2452" s="4"/>
      <c r="K2452" s="4"/>
    </row>
    <row r="2453" spans="2:11">
      <c r="B2453" s="6"/>
      <c r="C2453" s="24"/>
      <c r="D2453" s="5"/>
      <c r="E2453" s="5"/>
      <c r="F2453" s="4"/>
      <c r="G2453" s="4"/>
      <c r="H2453" s="4"/>
      <c r="I2453" s="4"/>
      <c r="J2453" s="4"/>
      <c r="K2453" s="4"/>
    </row>
    <row r="2454" spans="2:11">
      <c r="B2454" s="6"/>
      <c r="C2454" s="24"/>
      <c r="D2454" s="5"/>
      <c r="E2454" s="5"/>
      <c r="F2454" s="4"/>
      <c r="G2454" s="4"/>
      <c r="H2454" s="4"/>
      <c r="I2454" s="4"/>
      <c r="J2454" s="4"/>
      <c r="K2454" s="4"/>
    </row>
    <row r="2455" spans="2:11">
      <c r="B2455" s="6"/>
      <c r="C2455" s="24"/>
      <c r="D2455" s="5"/>
      <c r="E2455" s="5"/>
      <c r="F2455" s="4"/>
      <c r="G2455" s="4"/>
      <c r="H2455" s="4"/>
      <c r="I2455" s="4"/>
      <c r="J2455" s="4"/>
      <c r="K2455" s="4"/>
    </row>
    <row r="2456" spans="2:11">
      <c r="B2456" s="6"/>
      <c r="C2456" s="24"/>
      <c r="D2456" s="5"/>
      <c r="E2456" s="5"/>
      <c r="F2456" s="4"/>
      <c r="G2456" s="4"/>
      <c r="H2456" s="4"/>
      <c r="I2456" s="4"/>
      <c r="J2456" s="4"/>
      <c r="K2456" s="4"/>
    </row>
    <row r="2457" spans="2:11">
      <c r="B2457" s="6"/>
      <c r="C2457" s="24"/>
      <c r="D2457" s="5"/>
      <c r="E2457" s="5"/>
      <c r="F2457" s="4"/>
      <c r="G2457" s="4"/>
      <c r="H2457" s="4"/>
      <c r="I2457" s="4"/>
      <c r="J2457" s="4"/>
      <c r="K2457" s="4"/>
    </row>
    <row r="2458" spans="2:11">
      <c r="B2458" s="6"/>
      <c r="C2458" s="24"/>
      <c r="D2458" s="5"/>
      <c r="E2458" s="5"/>
      <c r="F2458" s="4"/>
      <c r="G2458" s="4"/>
      <c r="H2458" s="4"/>
      <c r="I2458" s="4"/>
      <c r="J2458" s="4"/>
      <c r="K2458" s="4"/>
    </row>
    <row r="2459" spans="2:11">
      <c r="B2459" s="6"/>
      <c r="C2459" s="24"/>
      <c r="D2459" s="5"/>
      <c r="E2459" s="5"/>
      <c r="F2459" s="4"/>
      <c r="G2459" s="4"/>
      <c r="H2459" s="4"/>
      <c r="I2459" s="4"/>
      <c r="J2459" s="4"/>
      <c r="K2459" s="4"/>
    </row>
    <row r="2460" spans="2:11">
      <c r="B2460" s="6"/>
      <c r="C2460" s="24"/>
      <c r="D2460" s="5"/>
      <c r="E2460" s="5"/>
      <c r="F2460" s="4"/>
      <c r="G2460" s="4"/>
      <c r="H2460" s="4"/>
      <c r="I2460" s="4"/>
      <c r="J2460" s="4"/>
      <c r="K2460" s="4"/>
    </row>
    <row r="2461" spans="2:11">
      <c r="B2461" s="6"/>
      <c r="C2461" s="24"/>
      <c r="D2461" s="5"/>
      <c r="E2461" s="5"/>
      <c r="F2461" s="4"/>
      <c r="G2461" s="4"/>
      <c r="H2461" s="4"/>
      <c r="I2461" s="4"/>
      <c r="J2461" s="4"/>
      <c r="K2461" s="4"/>
    </row>
    <row r="2462" spans="2:11">
      <c r="B2462" s="6"/>
      <c r="C2462" s="24"/>
      <c r="D2462" s="5"/>
      <c r="E2462" s="5"/>
      <c r="F2462" s="4"/>
      <c r="G2462" s="4"/>
      <c r="H2462" s="4"/>
      <c r="I2462" s="4"/>
      <c r="J2462" s="4"/>
      <c r="K2462" s="4"/>
    </row>
    <row r="2463" spans="2:11">
      <c r="B2463" s="6"/>
      <c r="C2463" s="24"/>
      <c r="D2463" s="5"/>
      <c r="E2463" s="5"/>
      <c r="F2463" s="4"/>
      <c r="G2463" s="4"/>
      <c r="H2463" s="4"/>
      <c r="I2463" s="4"/>
      <c r="J2463" s="4"/>
      <c r="K2463" s="4"/>
    </row>
    <row r="2464" spans="2:11">
      <c r="B2464" s="6"/>
      <c r="C2464" s="24"/>
      <c r="D2464" s="5"/>
      <c r="E2464" s="5"/>
      <c r="F2464" s="4"/>
      <c r="G2464" s="4"/>
      <c r="H2464" s="4"/>
      <c r="I2464" s="4"/>
      <c r="J2464" s="4"/>
      <c r="K2464" s="4"/>
    </row>
    <row r="2465" spans="2:11">
      <c r="B2465" s="6"/>
      <c r="C2465" s="24"/>
      <c r="D2465" s="5"/>
      <c r="E2465" s="5"/>
      <c r="F2465" s="4"/>
      <c r="G2465" s="4"/>
      <c r="H2465" s="4"/>
      <c r="I2465" s="4"/>
      <c r="J2465" s="4"/>
      <c r="K2465" s="4"/>
    </row>
    <row r="2466" spans="2:11">
      <c r="B2466" s="6"/>
      <c r="C2466" s="24"/>
      <c r="D2466" s="5"/>
      <c r="E2466" s="5"/>
      <c r="F2466" s="4"/>
      <c r="G2466" s="4"/>
      <c r="H2466" s="4"/>
      <c r="I2466" s="4"/>
      <c r="J2466" s="4"/>
      <c r="K2466" s="4"/>
    </row>
    <row r="2467" spans="2:11">
      <c r="B2467" s="6"/>
      <c r="C2467" s="24"/>
      <c r="D2467" s="5"/>
      <c r="E2467" s="5"/>
      <c r="F2467" s="4"/>
      <c r="G2467" s="4"/>
      <c r="H2467" s="4"/>
      <c r="I2467" s="4"/>
      <c r="J2467" s="4"/>
      <c r="K2467" s="4"/>
    </row>
    <row r="2468" spans="2:11">
      <c r="B2468" s="6"/>
      <c r="C2468" s="24"/>
      <c r="D2468" s="5"/>
      <c r="E2468" s="5"/>
      <c r="F2468" s="4"/>
      <c r="G2468" s="4"/>
      <c r="H2468" s="4"/>
      <c r="I2468" s="4"/>
      <c r="J2468" s="4"/>
      <c r="K2468" s="4"/>
    </row>
    <row r="2469" spans="2:11">
      <c r="B2469" s="6"/>
      <c r="C2469" s="24"/>
      <c r="D2469" s="5"/>
      <c r="E2469" s="5"/>
      <c r="F2469" s="4"/>
      <c r="G2469" s="4"/>
      <c r="H2469" s="4"/>
      <c r="I2469" s="4"/>
      <c r="J2469" s="4"/>
      <c r="K2469" s="4"/>
    </row>
    <row r="2470" spans="2:11">
      <c r="B2470" s="6"/>
      <c r="C2470" s="24"/>
      <c r="D2470" s="5"/>
      <c r="E2470" s="5"/>
      <c r="F2470" s="4"/>
      <c r="G2470" s="4"/>
      <c r="H2470" s="4"/>
      <c r="I2470" s="4"/>
      <c r="J2470" s="4"/>
      <c r="K2470" s="4"/>
    </row>
    <row r="2471" spans="2:11">
      <c r="B2471" s="6"/>
      <c r="C2471" s="24"/>
      <c r="D2471" s="5"/>
      <c r="E2471" s="5"/>
      <c r="F2471" s="4"/>
      <c r="G2471" s="4"/>
      <c r="H2471" s="4"/>
      <c r="I2471" s="4"/>
      <c r="J2471" s="4"/>
      <c r="K2471" s="4"/>
    </row>
    <row r="2472" spans="2:11">
      <c r="B2472" s="6"/>
      <c r="C2472" s="24"/>
      <c r="D2472" s="5"/>
      <c r="E2472" s="5"/>
      <c r="F2472" s="4"/>
      <c r="G2472" s="4"/>
      <c r="H2472" s="4"/>
      <c r="I2472" s="4"/>
      <c r="J2472" s="4"/>
      <c r="K2472" s="4"/>
    </row>
    <row r="2473" spans="2:11">
      <c r="B2473" s="6"/>
      <c r="C2473" s="24"/>
      <c r="D2473" s="5"/>
      <c r="E2473" s="5"/>
      <c r="F2473" s="4"/>
      <c r="G2473" s="4"/>
      <c r="H2473" s="4"/>
      <c r="I2473" s="4"/>
      <c r="J2473" s="4"/>
      <c r="K2473" s="4"/>
    </row>
    <row r="2474" spans="2:11">
      <c r="B2474" s="6"/>
      <c r="C2474" s="24"/>
      <c r="D2474" s="5"/>
      <c r="E2474" s="5"/>
      <c r="F2474" s="4"/>
      <c r="G2474" s="4"/>
      <c r="H2474" s="4"/>
      <c r="I2474" s="4"/>
      <c r="J2474" s="4"/>
      <c r="K2474" s="4"/>
    </row>
    <row r="2475" spans="2:11">
      <c r="B2475" s="6"/>
      <c r="C2475" s="24"/>
      <c r="D2475" s="5"/>
      <c r="E2475" s="5"/>
      <c r="F2475" s="4"/>
      <c r="G2475" s="4"/>
      <c r="H2475" s="4"/>
      <c r="I2475" s="4"/>
      <c r="J2475" s="4"/>
      <c r="K2475" s="4"/>
    </row>
    <row r="2476" spans="2:11">
      <c r="B2476" s="6"/>
      <c r="C2476" s="24"/>
      <c r="D2476" s="5"/>
      <c r="E2476" s="5"/>
      <c r="F2476" s="4"/>
      <c r="G2476" s="4"/>
      <c r="H2476" s="4"/>
      <c r="I2476" s="4"/>
      <c r="J2476" s="4"/>
      <c r="K2476" s="4"/>
    </row>
    <row r="2477" spans="2:11">
      <c r="B2477" s="6"/>
      <c r="C2477" s="24"/>
      <c r="D2477" s="5"/>
      <c r="E2477" s="5"/>
      <c r="F2477" s="4"/>
      <c r="G2477" s="4"/>
      <c r="H2477" s="4"/>
      <c r="I2477" s="4"/>
      <c r="J2477" s="4"/>
      <c r="K2477" s="4"/>
    </row>
    <row r="2478" spans="2:11">
      <c r="B2478" s="6"/>
      <c r="C2478" s="24"/>
      <c r="D2478" s="5"/>
      <c r="E2478" s="5"/>
      <c r="F2478" s="4"/>
      <c r="G2478" s="4"/>
      <c r="H2478" s="4"/>
      <c r="I2478" s="4"/>
      <c r="J2478" s="4"/>
      <c r="K2478" s="4"/>
    </row>
    <row r="2479" spans="2:11">
      <c r="B2479" s="6"/>
      <c r="C2479" s="24"/>
      <c r="D2479" s="5"/>
      <c r="E2479" s="5"/>
      <c r="F2479" s="4"/>
      <c r="G2479" s="4"/>
      <c r="H2479" s="4"/>
      <c r="I2479" s="4"/>
      <c r="J2479" s="4"/>
      <c r="K2479" s="4"/>
    </row>
    <row r="2480" spans="2:11">
      <c r="B2480" s="6"/>
      <c r="C2480" s="24"/>
      <c r="D2480" s="5"/>
      <c r="E2480" s="5"/>
      <c r="F2480" s="4"/>
      <c r="G2480" s="4"/>
      <c r="H2480" s="4"/>
      <c r="I2480" s="4"/>
      <c r="J2480" s="4"/>
      <c r="K2480" s="4"/>
    </row>
    <row r="2481" spans="2:11">
      <c r="B2481" s="6"/>
      <c r="C2481" s="24"/>
      <c r="D2481" s="5"/>
      <c r="E2481" s="5"/>
      <c r="F2481" s="4"/>
      <c r="G2481" s="4"/>
      <c r="H2481" s="4"/>
      <c r="I2481" s="4"/>
      <c r="J2481" s="4"/>
      <c r="K2481" s="4"/>
    </row>
    <row r="2482" spans="2:11">
      <c r="B2482" s="6"/>
      <c r="C2482" s="24"/>
      <c r="D2482" s="5"/>
      <c r="E2482" s="5"/>
      <c r="F2482" s="4"/>
      <c r="G2482" s="4"/>
      <c r="H2482" s="4"/>
      <c r="I2482" s="4"/>
      <c r="J2482" s="4"/>
      <c r="K2482" s="4"/>
    </row>
    <row r="2483" spans="2:11">
      <c r="B2483" s="6"/>
      <c r="C2483" s="24"/>
      <c r="D2483" s="5"/>
      <c r="E2483" s="5"/>
      <c r="F2483" s="4"/>
      <c r="G2483" s="4"/>
      <c r="H2483" s="4"/>
      <c r="I2483" s="4"/>
      <c r="J2483" s="4"/>
      <c r="K2483" s="4"/>
    </row>
    <row r="2484" spans="2:11">
      <c r="B2484" s="6"/>
      <c r="C2484" s="24"/>
      <c r="D2484" s="5"/>
      <c r="E2484" s="5"/>
      <c r="F2484" s="4"/>
      <c r="G2484" s="4"/>
      <c r="H2484" s="4"/>
      <c r="I2484" s="4"/>
      <c r="J2484" s="4"/>
      <c r="K2484" s="4"/>
    </row>
    <row r="2485" spans="2:11">
      <c r="B2485" s="6"/>
      <c r="C2485" s="24"/>
      <c r="D2485" s="5"/>
      <c r="E2485" s="5"/>
      <c r="F2485" s="4"/>
      <c r="G2485" s="4"/>
      <c r="H2485" s="4"/>
      <c r="I2485" s="4"/>
      <c r="J2485" s="4"/>
      <c r="K2485" s="4"/>
    </row>
    <row r="2486" spans="2:11">
      <c r="B2486" s="6"/>
      <c r="C2486" s="24"/>
      <c r="D2486" s="5"/>
      <c r="E2486" s="5"/>
      <c r="F2486" s="4"/>
      <c r="G2486" s="4"/>
      <c r="H2486" s="4"/>
      <c r="I2486" s="4"/>
      <c r="J2486" s="4"/>
      <c r="K2486" s="4"/>
    </row>
    <row r="2487" spans="2:11">
      <c r="B2487" s="6"/>
      <c r="C2487" s="24"/>
      <c r="D2487" s="5"/>
      <c r="E2487" s="5"/>
      <c r="F2487" s="4"/>
      <c r="G2487" s="4"/>
      <c r="H2487" s="4"/>
      <c r="I2487" s="4"/>
      <c r="J2487" s="4"/>
      <c r="K2487" s="4"/>
    </row>
    <row r="2488" spans="2:11">
      <c r="B2488" s="6"/>
      <c r="C2488" s="24"/>
      <c r="D2488" s="5"/>
      <c r="E2488" s="5"/>
      <c r="F2488" s="4"/>
      <c r="G2488" s="4"/>
      <c r="H2488" s="4"/>
      <c r="I2488" s="4"/>
      <c r="J2488" s="4"/>
      <c r="K2488" s="4"/>
    </row>
    <row r="2489" spans="2:11">
      <c r="B2489" s="6"/>
      <c r="C2489" s="24"/>
      <c r="D2489" s="5"/>
      <c r="E2489" s="5"/>
      <c r="F2489" s="4"/>
      <c r="G2489" s="4"/>
      <c r="H2489" s="4"/>
      <c r="I2489" s="4"/>
      <c r="J2489" s="4"/>
      <c r="K2489" s="4"/>
    </row>
    <row r="2490" spans="2:11">
      <c r="B2490" s="6"/>
      <c r="C2490" s="24"/>
      <c r="D2490" s="5"/>
      <c r="E2490" s="5"/>
      <c r="F2490" s="4"/>
      <c r="G2490" s="4"/>
      <c r="H2490" s="4"/>
      <c r="I2490" s="4"/>
      <c r="J2490" s="4"/>
      <c r="K2490" s="4"/>
    </row>
    <row r="2491" spans="2:11">
      <c r="B2491" s="6"/>
      <c r="C2491" s="24"/>
      <c r="D2491" s="5"/>
      <c r="E2491" s="5"/>
      <c r="F2491" s="4"/>
      <c r="G2491" s="4"/>
      <c r="H2491" s="4"/>
      <c r="I2491" s="4"/>
      <c r="J2491" s="4"/>
      <c r="K2491" s="4"/>
    </row>
    <row r="2492" spans="2:11">
      <c r="B2492" s="6"/>
      <c r="C2492" s="24"/>
      <c r="D2492" s="5"/>
      <c r="E2492" s="5"/>
      <c r="F2492" s="4"/>
      <c r="G2492" s="4"/>
      <c r="H2492" s="4"/>
      <c r="I2492" s="4"/>
      <c r="J2492" s="4"/>
      <c r="K2492" s="4"/>
    </row>
    <row r="2493" spans="2:11">
      <c r="B2493" s="6"/>
      <c r="C2493" s="24"/>
      <c r="D2493" s="5"/>
      <c r="E2493" s="5"/>
      <c r="F2493" s="4"/>
      <c r="G2493" s="4"/>
      <c r="H2493" s="4"/>
      <c r="I2493" s="4"/>
      <c r="J2493" s="4"/>
      <c r="K2493" s="4"/>
    </row>
    <row r="2494" spans="2:11">
      <c r="B2494" s="6"/>
      <c r="C2494" s="24"/>
      <c r="D2494" s="5"/>
      <c r="E2494" s="5"/>
      <c r="F2494" s="4"/>
      <c r="G2494" s="4"/>
      <c r="H2494" s="4"/>
      <c r="I2494" s="4"/>
      <c r="J2494" s="4"/>
      <c r="K2494" s="4"/>
    </row>
    <row r="2495" spans="2:11">
      <c r="B2495" s="6"/>
      <c r="C2495" s="24"/>
      <c r="D2495" s="5"/>
      <c r="E2495" s="5"/>
      <c r="F2495" s="4"/>
      <c r="G2495" s="4"/>
      <c r="H2495" s="4"/>
      <c r="I2495" s="4"/>
      <c r="J2495" s="4"/>
      <c r="K2495" s="4"/>
    </row>
    <row r="2496" spans="2:11">
      <c r="B2496" s="6"/>
      <c r="C2496" s="24"/>
      <c r="D2496" s="5"/>
      <c r="E2496" s="5"/>
      <c r="F2496" s="4"/>
      <c r="G2496" s="4"/>
      <c r="H2496" s="4"/>
      <c r="I2496" s="4"/>
      <c r="J2496" s="4"/>
      <c r="K2496" s="4"/>
    </row>
    <row r="2497" spans="2:11">
      <c r="B2497" s="6"/>
      <c r="C2497" s="24"/>
      <c r="D2497" s="5"/>
      <c r="E2497" s="5"/>
      <c r="F2497" s="4"/>
      <c r="G2497" s="4"/>
      <c r="H2497" s="4"/>
      <c r="I2497" s="4"/>
      <c r="J2497" s="4"/>
      <c r="K2497" s="4"/>
    </row>
    <row r="2498" spans="2:11">
      <c r="B2498" s="6"/>
      <c r="C2498" s="24"/>
      <c r="D2498" s="5"/>
      <c r="E2498" s="5"/>
      <c r="F2498" s="4"/>
      <c r="G2498" s="4"/>
      <c r="H2498" s="4"/>
      <c r="I2498" s="4"/>
      <c r="J2498" s="4"/>
      <c r="K2498" s="4"/>
    </row>
    <row r="2499" spans="2:11">
      <c r="B2499" s="6"/>
      <c r="C2499" s="24"/>
      <c r="D2499" s="5"/>
      <c r="E2499" s="5"/>
      <c r="F2499" s="4"/>
      <c r="G2499" s="4"/>
      <c r="H2499" s="4"/>
      <c r="I2499" s="4"/>
      <c r="J2499" s="4"/>
      <c r="K2499" s="4"/>
    </row>
    <row r="2500" spans="2:11">
      <c r="B2500" s="6"/>
      <c r="C2500" s="24"/>
      <c r="D2500" s="5"/>
      <c r="E2500" s="5"/>
      <c r="F2500" s="4"/>
      <c r="G2500" s="4"/>
      <c r="H2500" s="4"/>
      <c r="I2500" s="4"/>
      <c r="J2500" s="4"/>
      <c r="K2500" s="4"/>
    </row>
    <row r="2501" spans="2:11">
      <c r="B2501" s="6"/>
      <c r="C2501" s="24"/>
      <c r="D2501" s="5"/>
      <c r="E2501" s="5"/>
      <c r="F2501" s="4"/>
      <c r="G2501" s="4"/>
      <c r="H2501" s="4"/>
      <c r="I2501" s="4"/>
      <c r="J2501" s="4"/>
      <c r="K2501" s="4"/>
    </row>
    <row r="2502" spans="2:11">
      <c r="B2502" s="6"/>
      <c r="C2502" s="24"/>
      <c r="D2502" s="5"/>
      <c r="E2502" s="5"/>
      <c r="F2502" s="4"/>
      <c r="G2502" s="4"/>
      <c r="H2502" s="4"/>
      <c r="I2502" s="4"/>
      <c r="J2502" s="4"/>
      <c r="K2502" s="4"/>
    </row>
    <row r="2503" spans="2:11">
      <c r="B2503" s="6"/>
      <c r="C2503" s="24"/>
      <c r="D2503" s="5"/>
      <c r="E2503" s="5"/>
      <c r="F2503" s="4"/>
      <c r="G2503" s="4"/>
      <c r="H2503" s="4"/>
      <c r="I2503" s="4"/>
      <c r="J2503" s="4"/>
      <c r="K2503" s="4"/>
    </row>
    <row r="2504" spans="2:11">
      <c r="B2504" s="6"/>
      <c r="C2504" s="24"/>
      <c r="D2504" s="5"/>
      <c r="E2504" s="5"/>
      <c r="F2504" s="4"/>
      <c r="G2504" s="4"/>
      <c r="H2504" s="4"/>
      <c r="I2504" s="4"/>
      <c r="J2504" s="4"/>
      <c r="K2504" s="4"/>
    </row>
    <row r="2505" spans="2:11">
      <c r="B2505" s="6"/>
      <c r="C2505" s="24"/>
      <c r="D2505" s="5"/>
      <c r="E2505" s="5"/>
      <c r="F2505" s="4"/>
      <c r="G2505" s="4"/>
      <c r="H2505" s="4"/>
      <c r="I2505" s="4"/>
      <c r="J2505" s="4"/>
      <c r="K2505" s="4"/>
    </row>
    <row r="2506" spans="2:11">
      <c r="B2506" s="6"/>
      <c r="C2506" s="24"/>
      <c r="D2506" s="5"/>
      <c r="E2506" s="5"/>
      <c r="F2506" s="4"/>
      <c r="G2506" s="4"/>
      <c r="H2506" s="4"/>
      <c r="I2506" s="4"/>
      <c r="J2506" s="4"/>
      <c r="K2506" s="4"/>
    </row>
    <row r="2507" spans="2:11">
      <c r="B2507" s="6"/>
      <c r="C2507" s="24"/>
      <c r="D2507" s="5"/>
      <c r="E2507" s="5"/>
      <c r="F2507" s="4"/>
      <c r="G2507" s="4"/>
      <c r="H2507" s="4"/>
      <c r="I2507" s="4"/>
      <c r="J2507" s="4"/>
      <c r="K2507" s="4"/>
    </row>
    <row r="2508" spans="2:11">
      <c r="B2508" s="6"/>
      <c r="C2508" s="24"/>
      <c r="D2508" s="5"/>
      <c r="E2508" s="5"/>
      <c r="F2508" s="4"/>
      <c r="G2508" s="4"/>
      <c r="H2508" s="4"/>
      <c r="I2508" s="4"/>
      <c r="J2508" s="4"/>
      <c r="K2508" s="4"/>
    </row>
    <row r="2509" spans="2:11">
      <c r="B2509" s="6"/>
      <c r="C2509" s="24"/>
      <c r="D2509" s="5"/>
      <c r="E2509" s="5"/>
      <c r="F2509" s="4"/>
      <c r="G2509" s="4"/>
      <c r="H2509" s="4"/>
      <c r="I2509" s="4"/>
      <c r="J2509" s="4"/>
      <c r="K2509" s="4"/>
    </row>
    <row r="2510" spans="2:11">
      <c r="B2510" s="6"/>
      <c r="C2510" s="24"/>
      <c r="D2510" s="5"/>
      <c r="E2510" s="5"/>
      <c r="F2510" s="4"/>
      <c r="G2510" s="4"/>
      <c r="H2510" s="4"/>
      <c r="I2510" s="4"/>
      <c r="J2510" s="4"/>
      <c r="K2510" s="4"/>
    </row>
    <row r="2511" spans="2:11">
      <c r="B2511" s="6"/>
      <c r="C2511" s="24"/>
      <c r="D2511" s="5"/>
      <c r="E2511" s="5"/>
      <c r="F2511" s="4"/>
      <c r="G2511" s="4"/>
      <c r="H2511" s="4"/>
      <c r="I2511" s="4"/>
      <c r="J2511" s="4"/>
      <c r="K2511" s="4"/>
    </row>
    <row r="2512" spans="2:11">
      <c r="B2512" s="6"/>
      <c r="C2512" s="24"/>
      <c r="D2512" s="5"/>
      <c r="E2512" s="5"/>
      <c r="F2512" s="4"/>
      <c r="G2512" s="4"/>
      <c r="H2512" s="4"/>
      <c r="I2512" s="4"/>
      <c r="J2512" s="4"/>
      <c r="K2512" s="4"/>
    </row>
    <row r="2513" spans="2:11">
      <c r="B2513" s="6"/>
      <c r="C2513" s="24"/>
      <c r="D2513" s="5"/>
      <c r="E2513" s="5"/>
      <c r="F2513" s="4"/>
      <c r="G2513" s="4"/>
      <c r="H2513" s="4"/>
      <c r="I2513" s="4"/>
      <c r="J2513" s="4"/>
      <c r="K2513" s="4"/>
    </row>
    <row r="2514" spans="2:11">
      <c r="B2514" s="6"/>
      <c r="C2514" s="24"/>
      <c r="D2514" s="5"/>
      <c r="E2514" s="5"/>
      <c r="F2514" s="4"/>
      <c r="G2514" s="4"/>
      <c r="H2514" s="4"/>
      <c r="I2514" s="4"/>
      <c r="J2514" s="4"/>
      <c r="K2514" s="4"/>
    </row>
    <row r="2515" spans="2:11">
      <c r="B2515" s="6"/>
      <c r="C2515" s="24"/>
      <c r="D2515" s="5"/>
      <c r="E2515" s="5"/>
      <c r="F2515" s="4"/>
      <c r="G2515" s="4"/>
      <c r="H2515" s="4"/>
      <c r="I2515" s="4"/>
      <c r="J2515" s="4"/>
      <c r="K2515" s="4"/>
    </row>
    <row r="2516" spans="2:11">
      <c r="B2516" s="6"/>
      <c r="C2516" s="24"/>
      <c r="D2516" s="5"/>
      <c r="E2516" s="5"/>
      <c r="F2516" s="4"/>
      <c r="G2516" s="4"/>
      <c r="H2516" s="4"/>
      <c r="I2516" s="4"/>
      <c r="J2516" s="4"/>
      <c r="K2516" s="4"/>
    </row>
    <row r="2517" spans="2:11">
      <c r="B2517" s="6"/>
      <c r="C2517" s="24"/>
      <c r="D2517" s="5"/>
      <c r="E2517" s="5"/>
      <c r="F2517" s="4"/>
      <c r="G2517" s="4"/>
      <c r="H2517" s="4"/>
      <c r="I2517" s="4"/>
      <c r="J2517" s="4"/>
      <c r="K2517" s="4"/>
    </row>
    <row r="2518" spans="2:11">
      <c r="B2518" s="6"/>
      <c r="C2518" s="24"/>
      <c r="D2518" s="5"/>
      <c r="E2518" s="5"/>
      <c r="F2518" s="4"/>
      <c r="G2518" s="4"/>
      <c r="H2518" s="4"/>
      <c r="I2518" s="4"/>
      <c r="J2518" s="4"/>
      <c r="K2518" s="4"/>
    </row>
    <row r="2519" spans="2:11">
      <c r="B2519" s="6"/>
      <c r="C2519" s="24"/>
      <c r="D2519" s="5"/>
      <c r="E2519" s="5"/>
      <c r="F2519" s="4"/>
      <c r="G2519" s="4"/>
      <c r="H2519" s="4"/>
      <c r="I2519" s="4"/>
      <c r="J2519" s="4"/>
      <c r="K2519" s="4"/>
    </row>
    <row r="2520" spans="2:11">
      <c r="B2520" s="6"/>
      <c r="C2520" s="24"/>
      <c r="D2520" s="5"/>
      <c r="E2520" s="5"/>
      <c r="F2520" s="4"/>
      <c r="G2520" s="4"/>
      <c r="H2520" s="4"/>
      <c r="I2520" s="4"/>
      <c r="J2520" s="4"/>
      <c r="K2520" s="4"/>
    </row>
    <row r="2521" spans="2:11">
      <c r="B2521" s="6"/>
      <c r="C2521" s="24"/>
      <c r="D2521" s="5"/>
      <c r="E2521" s="5"/>
      <c r="F2521" s="4"/>
      <c r="G2521" s="4"/>
      <c r="H2521" s="4"/>
      <c r="I2521" s="4"/>
      <c r="J2521" s="4"/>
      <c r="K2521" s="4"/>
    </row>
    <row r="2522" spans="2:11">
      <c r="B2522" s="6"/>
      <c r="C2522" s="24"/>
      <c r="D2522" s="5"/>
      <c r="E2522" s="5"/>
      <c r="F2522" s="4"/>
      <c r="G2522" s="4"/>
      <c r="H2522" s="4"/>
      <c r="I2522" s="4"/>
      <c r="J2522" s="4"/>
      <c r="K2522" s="4"/>
    </row>
    <row r="2523" spans="2:11">
      <c r="B2523" s="6"/>
      <c r="C2523" s="24"/>
      <c r="D2523" s="5"/>
      <c r="E2523" s="5"/>
      <c r="F2523" s="4"/>
      <c r="G2523" s="4"/>
      <c r="H2523" s="4"/>
      <c r="I2523" s="4"/>
      <c r="J2523" s="4"/>
      <c r="K2523" s="4"/>
    </row>
    <row r="2524" spans="2:11">
      <c r="B2524" s="6"/>
      <c r="C2524" s="24"/>
      <c r="D2524" s="5"/>
      <c r="E2524" s="5"/>
      <c r="F2524" s="4"/>
      <c r="G2524" s="4"/>
      <c r="H2524" s="4"/>
      <c r="I2524" s="4"/>
      <c r="J2524" s="4"/>
      <c r="K2524" s="4"/>
    </row>
    <row r="2525" spans="2:11">
      <c r="B2525" s="6"/>
      <c r="C2525" s="24"/>
      <c r="D2525" s="5"/>
      <c r="E2525" s="5"/>
      <c r="F2525" s="4"/>
      <c r="G2525" s="4"/>
      <c r="H2525" s="4"/>
      <c r="I2525" s="4"/>
      <c r="J2525" s="4"/>
      <c r="K2525" s="4"/>
    </row>
    <row r="2526" spans="2:11">
      <c r="B2526" s="6"/>
      <c r="C2526" s="24"/>
      <c r="D2526" s="5"/>
      <c r="E2526" s="5"/>
      <c r="F2526" s="4"/>
      <c r="G2526" s="4"/>
      <c r="H2526" s="4"/>
      <c r="I2526" s="4"/>
      <c r="J2526" s="4"/>
      <c r="K2526" s="4"/>
    </row>
    <row r="2527" spans="2:11">
      <c r="B2527" s="6"/>
      <c r="C2527" s="24"/>
      <c r="D2527" s="5"/>
      <c r="E2527" s="5"/>
      <c r="F2527" s="4"/>
      <c r="G2527" s="4"/>
      <c r="H2527" s="4"/>
      <c r="I2527" s="4"/>
      <c r="J2527" s="4"/>
      <c r="K2527" s="4"/>
    </row>
    <row r="2528" spans="2:11">
      <c r="B2528" s="6"/>
      <c r="C2528" s="24"/>
      <c r="D2528" s="5"/>
      <c r="E2528" s="5"/>
      <c r="F2528" s="4"/>
      <c r="G2528" s="4"/>
      <c r="H2528" s="4"/>
      <c r="I2528" s="4"/>
      <c r="J2528" s="4"/>
      <c r="K2528" s="4"/>
    </row>
    <row r="2529" spans="2:11">
      <c r="B2529" s="6"/>
      <c r="C2529" s="24"/>
      <c r="D2529" s="5"/>
      <c r="E2529" s="5"/>
      <c r="F2529" s="4"/>
      <c r="G2529" s="4"/>
      <c r="H2529" s="4"/>
      <c r="I2529" s="4"/>
      <c r="J2529" s="4"/>
      <c r="K2529" s="4"/>
    </row>
    <row r="2530" spans="2:11">
      <c r="B2530" s="6"/>
      <c r="C2530" s="24"/>
      <c r="D2530" s="5"/>
      <c r="E2530" s="5"/>
      <c r="F2530" s="4"/>
      <c r="G2530" s="4"/>
      <c r="H2530" s="4"/>
      <c r="I2530" s="4"/>
      <c r="J2530" s="4"/>
      <c r="K2530" s="4"/>
    </row>
    <row r="2531" spans="2:11">
      <c r="B2531" s="6"/>
      <c r="C2531" s="24"/>
      <c r="D2531" s="5"/>
      <c r="E2531" s="5"/>
      <c r="F2531" s="4"/>
      <c r="G2531" s="4"/>
      <c r="H2531" s="4"/>
      <c r="I2531" s="4"/>
      <c r="J2531" s="4"/>
      <c r="K2531" s="4"/>
    </row>
    <row r="2532" spans="2:11">
      <c r="B2532" s="6"/>
      <c r="C2532" s="24"/>
      <c r="D2532" s="5"/>
      <c r="E2532" s="5"/>
      <c r="F2532" s="4"/>
      <c r="G2532" s="4"/>
      <c r="H2532" s="4"/>
      <c r="I2532" s="4"/>
      <c r="J2532" s="4"/>
      <c r="K2532" s="4"/>
    </row>
    <row r="2533" spans="2:11">
      <c r="B2533" s="6"/>
      <c r="C2533" s="24"/>
      <c r="D2533" s="5"/>
      <c r="E2533" s="5"/>
      <c r="F2533" s="4"/>
      <c r="G2533" s="4"/>
      <c r="H2533" s="4"/>
      <c r="I2533" s="4"/>
      <c r="J2533" s="4"/>
      <c r="K2533" s="4"/>
    </row>
    <row r="2534" spans="2:11">
      <c r="B2534" s="6"/>
      <c r="C2534" s="24"/>
      <c r="D2534" s="5"/>
      <c r="E2534" s="5"/>
      <c r="F2534" s="4"/>
      <c r="G2534" s="4"/>
      <c r="H2534" s="4"/>
      <c r="I2534" s="4"/>
      <c r="J2534" s="4"/>
      <c r="K2534" s="4"/>
    </row>
    <row r="2535" spans="2:11">
      <c r="B2535" s="6"/>
      <c r="C2535" s="24"/>
      <c r="D2535" s="5"/>
      <c r="E2535" s="5"/>
      <c r="F2535" s="4"/>
      <c r="G2535" s="4"/>
      <c r="H2535" s="4"/>
      <c r="I2535" s="4"/>
      <c r="J2535" s="4"/>
      <c r="K2535" s="4"/>
    </row>
    <row r="2536" spans="2:11">
      <c r="B2536" s="6"/>
      <c r="C2536" s="24"/>
      <c r="D2536" s="5"/>
      <c r="E2536" s="5"/>
      <c r="F2536" s="4"/>
      <c r="G2536" s="4"/>
      <c r="H2536" s="4"/>
      <c r="I2536" s="4"/>
      <c r="J2536" s="4"/>
      <c r="K2536" s="4"/>
    </row>
    <row r="2537" spans="2:11">
      <c r="B2537" s="6"/>
      <c r="C2537" s="24"/>
      <c r="D2537" s="5"/>
      <c r="E2537" s="5"/>
      <c r="F2537" s="4"/>
      <c r="G2537" s="4"/>
      <c r="H2537" s="4"/>
      <c r="I2537" s="4"/>
      <c r="J2537" s="4"/>
      <c r="K2537" s="4"/>
    </row>
    <row r="2538" spans="2:11">
      <c r="B2538" s="6"/>
      <c r="C2538" s="24"/>
      <c r="D2538" s="5"/>
      <c r="E2538" s="5"/>
      <c r="F2538" s="4"/>
      <c r="G2538" s="4"/>
      <c r="H2538" s="4"/>
      <c r="I2538" s="4"/>
      <c r="J2538" s="4"/>
      <c r="K2538" s="4"/>
    </row>
    <row r="2539" spans="2:11">
      <c r="B2539" s="6"/>
      <c r="C2539" s="24"/>
      <c r="D2539" s="5"/>
      <c r="E2539" s="5"/>
      <c r="F2539" s="4"/>
      <c r="G2539" s="4"/>
      <c r="H2539" s="4"/>
      <c r="I2539" s="4"/>
      <c r="J2539" s="4"/>
      <c r="K2539" s="4"/>
    </row>
    <row r="2540" spans="2:11">
      <c r="B2540" s="6"/>
      <c r="C2540" s="24"/>
      <c r="D2540" s="5"/>
      <c r="E2540" s="5"/>
      <c r="F2540" s="4"/>
      <c r="G2540" s="4"/>
      <c r="H2540" s="4"/>
      <c r="I2540" s="4"/>
      <c r="J2540" s="4"/>
      <c r="K2540" s="4"/>
    </row>
    <row r="2541" spans="2:11">
      <c r="B2541" s="6"/>
      <c r="C2541" s="24"/>
      <c r="D2541" s="5"/>
      <c r="E2541" s="5"/>
      <c r="F2541" s="4"/>
      <c r="G2541" s="4"/>
      <c r="H2541" s="4"/>
      <c r="I2541" s="4"/>
      <c r="J2541" s="4"/>
      <c r="K2541" s="4"/>
    </row>
    <row r="2542" spans="2:11">
      <c r="B2542" s="6"/>
      <c r="C2542" s="24"/>
      <c r="D2542" s="5"/>
      <c r="E2542" s="5"/>
      <c r="F2542" s="4"/>
      <c r="G2542" s="4"/>
      <c r="H2542" s="4"/>
      <c r="I2542" s="4"/>
      <c r="J2542" s="4"/>
      <c r="K2542" s="4"/>
    </row>
    <row r="2543" spans="2:11">
      <c r="B2543" s="6"/>
      <c r="C2543" s="24"/>
      <c r="D2543" s="5"/>
      <c r="E2543" s="5"/>
      <c r="F2543" s="4"/>
      <c r="G2543" s="4"/>
      <c r="H2543" s="4"/>
      <c r="I2543" s="4"/>
      <c r="J2543" s="4"/>
      <c r="K2543" s="4"/>
    </row>
    <row r="2544" spans="2:11">
      <c r="B2544" s="6"/>
      <c r="C2544" s="24"/>
      <c r="D2544" s="5"/>
      <c r="E2544" s="5"/>
      <c r="F2544" s="4"/>
      <c r="G2544" s="4"/>
      <c r="H2544" s="4"/>
      <c r="I2544" s="4"/>
      <c r="J2544" s="4"/>
      <c r="K2544" s="4"/>
    </row>
    <row r="2545" spans="2:11">
      <c r="B2545" s="6"/>
      <c r="C2545" s="24"/>
      <c r="D2545" s="5"/>
      <c r="E2545" s="5"/>
      <c r="F2545" s="4"/>
      <c r="G2545" s="4"/>
      <c r="H2545" s="4"/>
      <c r="I2545" s="4"/>
      <c r="J2545" s="4"/>
      <c r="K2545" s="4"/>
    </row>
    <row r="2546" spans="2:11">
      <c r="B2546" s="6"/>
      <c r="C2546" s="24"/>
      <c r="D2546" s="5"/>
      <c r="E2546" s="5"/>
      <c r="F2546" s="4"/>
      <c r="G2546" s="4"/>
      <c r="H2546" s="4"/>
      <c r="I2546" s="4"/>
      <c r="J2546" s="4"/>
      <c r="K2546" s="4"/>
    </row>
    <row r="2547" spans="2:11">
      <c r="B2547" s="6"/>
      <c r="C2547" s="24"/>
      <c r="D2547" s="5"/>
      <c r="E2547" s="5"/>
      <c r="F2547" s="4"/>
      <c r="G2547" s="4"/>
      <c r="H2547" s="4"/>
      <c r="I2547" s="4"/>
      <c r="J2547" s="4"/>
      <c r="K2547" s="4"/>
    </row>
    <row r="2548" spans="2:11">
      <c r="B2548" s="6"/>
      <c r="C2548" s="24"/>
      <c r="D2548" s="5"/>
      <c r="E2548" s="5"/>
      <c r="F2548" s="4"/>
      <c r="G2548" s="4"/>
      <c r="H2548" s="4"/>
      <c r="I2548" s="4"/>
      <c r="J2548" s="4"/>
      <c r="K2548" s="4"/>
    </row>
    <row r="2549" spans="2:11">
      <c r="B2549" s="6"/>
      <c r="C2549" s="24"/>
      <c r="D2549" s="5"/>
      <c r="E2549" s="5"/>
      <c r="F2549" s="4"/>
      <c r="G2549" s="4"/>
      <c r="H2549" s="4"/>
      <c r="I2549" s="4"/>
      <c r="J2549" s="4"/>
      <c r="K2549" s="4"/>
    </row>
    <row r="2550" spans="2:11">
      <c r="B2550" s="6"/>
      <c r="C2550" s="24"/>
      <c r="D2550" s="5"/>
      <c r="E2550" s="5"/>
      <c r="F2550" s="4"/>
      <c r="G2550" s="4"/>
      <c r="H2550" s="4"/>
      <c r="I2550" s="4"/>
      <c r="J2550" s="4"/>
      <c r="K2550" s="4"/>
    </row>
    <row r="2551" spans="2:11">
      <c r="B2551" s="6"/>
      <c r="C2551" s="24"/>
      <c r="D2551" s="5"/>
      <c r="E2551" s="5"/>
      <c r="F2551" s="4"/>
      <c r="G2551" s="4"/>
      <c r="H2551" s="4"/>
      <c r="I2551" s="4"/>
      <c r="J2551" s="4"/>
      <c r="K2551" s="4"/>
    </row>
    <row r="2552" spans="2:11">
      <c r="B2552" s="6"/>
      <c r="C2552" s="24"/>
      <c r="D2552" s="5"/>
      <c r="E2552" s="5"/>
      <c r="F2552" s="4"/>
      <c r="G2552" s="4"/>
      <c r="H2552" s="4"/>
      <c r="I2552" s="4"/>
      <c r="J2552" s="4"/>
      <c r="K2552" s="4"/>
    </row>
    <row r="2553" spans="2:11">
      <c r="B2553" s="6"/>
      <c r="C2553" s="24"/>
      <c r="D2553" s="5"/>
      <c r="E2553" s="5"/>
      <c r="F2553" s="4"/>
      <c r="G2553" s="4"/>
      <c r="H2553" s="4"/>
      <c r="I2553" s="4"/>
      <c r="J2553" s="4"/>
      <c r="K2553" s="4"/>
    </row>
    <row r="2554" spans="2:11">
      <c r="B2554" s="6"/>
      <c r="C2554" s="24"/>
      <c r="D2554" s="5"/>
      <c r="E2554" s="5"/>
      <c r="F2554" s="4"/>
      <c r="G2554" s="4"/>
      <c r="H2554" s="4"/>
      <c r="I2554" s="4"/>
      <c r="J2554" s="4"/>
      <c r="K2554" s="4"/>
    </row>
    <row r="2555" spans="2:11">
      <c r="B2555" s="6"/>
      <c r="C2555" s="24"/>
      <c r="D2555" s="5"/>
      <c r="E2555" s="5"/>
      <c r="F2555" s="4"/>
      <c r="G2555" s="4"/>
      <c r="H2555" s="4"/>
      <c r="I2555" s="4"/>
      <c r="J2555" s="4"/>
      <c r="K2555" s="4"/>
    </row>
    <row r="2556" spans="2:11">
      <c r="B2556" s="6"/>
      <c r="C2556" s="24"/>
      <c r="D2556" s="5"/>
      <c r="E2556" s="5"/>
      <c r="F2556" s="4"/>
      <c r="G2556" s="4"/>
      <c r="H2556" s="4"/>
      <c r="I2556" s="4"/>
      <c r="J2556" s="4"/>
      <c r="K2556" s="4"/>
    </row>
    <row r="2557" spans="2:11">
      <c r="B2557" s="6"/>
      <c r="C2557" s="24"/>
      <c r="D2557" s="5"/>
      <c r="E2557" s="5"/>
      <c r="F2557" s="4"/>
      <c r="G2557" s="4"/>
      <c r="H2557" s="4"/>
      <c r="I2557" s="4"/>
      <c r="J2557" s="4"/>
      <c r="K2557" s="4"/>
    </row>
    <row r="2558" spans="2:11">
      <c r="B2558" s="6"/>
      <c r="C2558" s="24"/>
      <c r="D2558" s="5"/>
      <c r="E2558" s="5"/>
      <c r="F2558" s="4"/>
      <c r="G2558" s="4"/>
      <c r="H2558" s="4"/>
      <c r="I2558" s="4"/>
      <c r="J2558" s="4"/>
      <c r="K2558" s="4"/>
    </row>
    <row r="2559" spans="2:11">
      <c r="B2559" s="6"/>
      <c r="C2559" s="24"/>
      <c r="D2559" s="5"/>
      <c r="E2559" s="5"/>
      <c r="F2559" s="4"/>
      <c r="G2559" s="4"/>
      <c r="H2559" s="4"/>
      <c r="I2559" s="4"/>
      <c r="J2559" s="4"/>
      <c r="K2559" s="4"/>
    </row>
    <row r="2560" spans="2:11">
      <c r="B2560" s="6"/>
      <c r="C2560" s="24"/>
      <c r="D2560" s="5"/>
      <c r="E2560" s="5"/>
      <c r="F2560" s="4"/>
      <c r="G2560" s="4"/>
      <c r="H2560" s="4"/>
      <c r="I2560" s="4"/>
      <c r="J2560" s="4"/>
      <c r="K2560" s="4"/>
    </row>
    <row r="2561" spans="2:11">
      <c r="B2561" s="6"/>
      <c r="C2561" s="24"/>
      <c r="D2561" s="5"/>
      <c r="E2561" s="5"/>
      <c r="F2561" s="4"/>
      <c r="G2561" s="4"/>
      <c r="H2561" s="4"/>
      <c r="I2561" s="4"/>
      <c r="J2561" s="4"/>
      <c r="K2561" s="4"/>
    </row>
    <row r="2562" spans="2:11">
      <c r="B2562" s="6"/>
      <c r="C2562" s="24"/>
      <c r="D2562" s="5"/>
      <c r="E2562" s="5"/>
      <c r="F2562" s="4"/>
      <c r="G2562" s="4"/>
      <c r="H2562" s="4"/>
      <c r="I2562" s="4"/>
      <c r="J2562" s="4"/>
      <c r="K2562" s="4"/>
    </row>
    <row r="2563" spans="2:11">
      <c r="B2563" s="6"/>
      <c r="C2563" s="24"/>
      <c r="D2563" s="5"/>
      <c r="E2563" s="5"/>
      <c r="F2563" s="4"/>
      <c r="G2563" s="4"/>
      <c r="H2563" s="4"/>
      <c r="I2563" s="4"/>
      <c r="J2563" s="4"/>
      <c r="K2563" s="4"/>
    </row>
    <row r="2564" spans="2:11">
      <c r="B2564" s="6"/>
      <c r="C2564" s="24"/>
      <c r="D2564" s="5"/>
      <c r="E2564" s="5"/>
      <c r="F2564" s="4"/>
      <c r="G2564" s="4"/>
      <c r="H2564" s="4"/>
      <c r="I2564" s="4"/>
      <c r="J2564" s="4"/>
      <c r="K2564" s="4"/>
    </row>
    <row r="2565" spans="2:11">
      <c r="B2565" s="6"/>
      <c r="C2565" s="24"/>
      <c r="D2565" s="5"/>
      <c r="E2565" s="5"/>
      <c r="F2565" s="4"/>
      <c r="G2565" s="4"/>
      <c r="H2565" s="4"/>
      <c r="I2565" s="4"/>
      <c r="J2565" s="4"/>
      <c r="K2565" s="4"/>
    </row>
    <row r="2566" spans="2:11">
      <c r="B2566" s="6"/>
      <c r="C2566" s="24"/>
      <c r="D2566" s="5"/>
      <c r="E2566" s="5"/>
      <c r="F2566" s="4"/>
      <c r="G2566" s="4"/>
      <c r="H2566" s="4"/>
      <c r="I2566" s="4"/>
      <c r="J2566" s="4"/>
      <c r="K2566" s="4"/>
    </row>
    <row r="2567" spans="2:11">
      <c r="B2567" s="6"/>
      <c r="C2567" s="24"/>
      <c r="D2567" s="5"/>
      <c r="E2567" s="5"/>
      <c r="F2567" s="4"/>
      <c r="G2567" s="4"/>
      <c r="H2567" s="4"/>
      <c r="I2567" s="4"/>
      <c r="J2567" s="4"/>
      <c r="K2567" s="4"/>
    </row>
    <row r="2568" spans="2:11">
      <c r="B2568" s="6"/>
      <c r="C2568" s="24"/>
      <c r="D2568" s="5"/>
      <c r="E2568" s="5"/>
      <c r="F2568" s="4"/>
      <c r="G2568" s="4"/>
      <c r="H2568" s="4"/>
      <c r="I2568" s="4"/>
      <c r="J2568" s="4"/>
      <c r="K2568" s="4"/>
    </row>
    <row r="2569" spans="2:11">
      <c r="B2569" s="6"/>
      <c r="C2569" s="24"/>
      <c r="D2569" s="5"/>
      <c r="E2569" s="5"/>
      <c r="F2569" s="4"/>
      <c r="G2569" s="4"/>
      <c r="H2569" s="4"/>
      <c r="I2569" s="4"/>
      <c r="J2569" s="4"/>
      <c r="K2569" s="4"/>
    </row>
    <row r="2570" spans="2:11">
      <c r="B2570" s="6"/>
      <c r="C2570" s="24"/>
      <c r="D2570" s="5"/>
      <c r="E2570" s="5"/>
      <c r="F2570" s="4"/>
      <c r="G2570" s="4"/>
      <c r="H2570" s="4"/>
      <c r="I2570" s="4"/>
      <c r="J2570" s="4"/>
      <c r="K2570" s="4"/>
    </row>
    <row r="2571" spans="2:11">
      <c r="B2571" s="6"/>
      <c r="C2571" s="24"/>
      <c r="D2571" s="5"/>
      <c r="E2571" s="5"/>
      <c r="F2571" s="4"/>
      <c r="G2571" s="4"/>
      <c r="H2571" s="4"/>
      <c r="I2571" s="4"/>
      <c r="J2571" s="4"/>
      <c r="K2571" s="4"/>
    </row>
    <row r="2572" spans="2:11">
      <c r="B2572" s="6"/>
      <c r="C2572" s="24"/>
      <c r="D2572" s="5"/>
      <c r="E2572" s="5"/>
      <c r="F2572" s="4"/>
      <c r="G2572" s="4"/>
      <c r="H2572" s="4"/>
      <c r="I2572" s="4"/>
      <c r="J2572" s="4"/>
      <c r="K2572" s="4"/>
    </row>
    <row r="2573" spans="2:11">
      <c r="B2573" s="6"/>
      <c r="C2573" s="24"/>
      <c r="D2573" s="5"/>
      <c r="E2573" s="5"/>
      <c r="F2573" s="4"/>
      <c r="G2573" s="4"/>
      <c r="H2573" s="4"/>
      <c r="I2573" s="4"/>
      <c r="J2573" s="4"/>
      <c r="K2573" s="4"/>
    </row>
    <row r="2574" spans="2:11">
      <c r="B2574" s="6"/>
      <c r="C2574" s="24"/>
      <c r="D2574" s="5"/>
      <c r="E2574" s="5"/>
      <c r="F2574" s="4"/>
      <c r="G2574" s="4"/>
      <c r="H2574" s="4"/>
      <c r="I2574" s="4"/>
      <c r="J2574" s="4"/>
      <c r="K2574" s="4"/>
    </row>
    <row r="2575" spans="2:11">
      <c r="B2575" s="6"/>
      <c r="C2575" s="24"/>
      <c r="D2575" s="5"/>
      <c r="E2575" s="5"/>
      <c r="F2575" s="4"/>
      <c r="G2575" s="4"/>
      <c r="H2575" s="4"/>
      <c r="I2575" s="4"/>
      <c r="J2575" s="4"/>
      <c r="K2575" s="4"/>
    </row>
    <row r="2576" spans="2:11">
      <c r="B2576" s="6"/>
      <c r="C2576" s="24"/>
      <c r="D2576" s="5"/>
      <c r="E2576" s="5"/>
      <c r="F2576" s="4"/>
      <c r="G2576" s="4"/>
      <c r="H2576" s="4"/>
      <c r="I2576" s="4"/>
      <c r="J2576" s="4"/>
      <c r="K2576" s="4"/>
    </row>
    <row r="2577" spans="2:11">
      <c r="B2577" s="6"/>
      <c r="C2577" s="24"/>
      <c r="D2577" s="5"/>
      <c r="E2577" s="5"/>
      <c r="F2577" s="4"/>
      <c r="G2577" s="4"/>
      <c r="H2577" s="4"/>
      <c r="I2577" s="4"/>
      <c r="J2577" s="4"/>
      <c r="K2577" s="4"/>
    </row>
    <row r="2578" spans="2:11">
      <c r="B2578" s="6"/>
      <c r="C2578" s="24"/>
      <c r="D2578" s="5"/>
      <c r="E2578" s="5"/>
      <c r="F2578" s="4"/>
      <c r="G2578" s="4"/>
      <c r="H2578" s="4"/>
      <c r="I2578" s="4"/>
      <c r="J2578" s="4"/>
      <c r="K2578" s="4"/>
    </row>
    <row r="2579" spans="2:11">
      <c r="B2579" s="6"/>
      <c r="C2579" s="24"/>
      <c r="D2579" s="5"/>
      <c r="E2579" s="5"/>
      <c r="F2579" s="4"/>
      <c r="G2579" s="4"/>
      <c r="H2579" s="4"/>
      <c r="I2579" s="4"/>
      <c r="J2579" s="4"/>
      <c r="K2579" s="4"/>
    </row>
    <row r="2580" spans="2:11">
      <c r="B2580" s="6"/>
      <c r="C2580" s="24"/>
      <c r="D2580" s="5"/>
      <c r="E2580" s="5"/>
      <c r="F2580" s="4"/>
      <c r="G2580" s="4"/>
      <c r="H2580" s="4"/>
      <c r="I2580" s="4"/>
      <c r="J2580" s="4"/>
      <c r="K2580" s="4"/>
    </row>
    <row r="2581" spans="2:11">
      <c r="B2581" s="6"/>
      <c r="C2581" s="24"/>
      <c r="D2581" s="5"/>
      <c r="E2581" s="5"/>
      <c r="F2581" s="4"/>
      <c r="G2581" s="4"/>
      <c r="H2581" s="4"/>
      <c r="I2581" s="4"/>
      <c r="J2581" s="4"/>
      <c r="K2581" s="4"/>
    </row>
    <row r="2582" spans="2:11">
      <c r="B2582" s="6"/>
      <c r="C2582" s="24"/>
      <c r="D2582" s="5"/>
      <c r="E2582" s="5"/>
      <c r="F2582" s="4"/>
      <c r="G2582" s="4"/>
      <c r="H2582" s="4"/>
      <c r="I2582" s="4"/>
      <c r="J2582" s="4"/>
      <c r="K2582" s="4"/>
    </row>
    <row r="2583" spans="2:11">
      <c r="B2583" s="6"/>
      <c r="C2583" s="24"/>
      <c r="D2583" s="5"/>
      <c r="E2583" s="5"/>
      <c r="F2583" s="4"/>
      <c r="G2583" s="4"/>
      <c r="H2583" s="4"/>
      <c r="I2583" s="4"/>
      <c r="J2583" s="4"/>
      <c r="K2583" s="4"/>
    </row>
    <row r="2584" spans="2:11">
      <c r="B2584" s="6"/>
      <c r="C2584" s="24"/>
      <c r="D2584" s="5"/>
      <c r="E2584" s="5"/>
      <c r="F2584" s="4"/>
      <c r="G2584" s="4"/>
      <c r="H2584" s="4"/>
      <c r="I2584" s="4"/>
      <c r="J2584" s="4"/>
      <c r="K2584" s="4"/>
    </row>
    <row r="2585" spans="2:11">
      <c r="B2585" s="6"/>
      <c r="C2585" s="24"/>
      <c r="D2585" s="5"/>
      <c r="E2585" s="5"/>
      <c r="F2585" s="4"/>
      <c r="G2585" s="4"/>
      <c r="H2585" s="4"/>
      <c r="I2585" s="4"/>
      <c r="J2585" s="4"/>
      <c r="K2585" s="4"/>
    </row>
    <row r="2586" spans="2:11">
      <c r="B2586" s="6"/>
      <c r="C2586" s="24"/>
      <c r="D2586" s="5"/>
      <c r="E2586" s="5"/>
      <c r="F2586" s="4"/>
      <c r="G2586" s="4"/>
      <c r="H2586" s="4"/>
      <c r="I2586" s="4"/>
      <c r="J2586" s="4"/>
      <c r="K2586" s="4"/>
    </row>
    <row r="2587" spans="2:11">
      <c r="B2587" s="6"/>
      <c r="C2587" s="24"/>
      <c r="D2587" s="5"/>
      <c r="E2587" s="5"/>
      <c r="F2587" s="4"/>
      <c r="G2587" s="4"/>
      <c r="H2587" s="4"/>
      <c r="I2587" s="4"/>
      <c r="J2587" s="4"/>
      <c r="K2587" s="4"/>
    </row>
    <row r="2588" spans="2:11">
      <c r="B2588" s="6"/>
      <c r="C2588" s="24"/>
      <c r="D2588" s="5"/>
      <c r="E2588" s="5"/>
      <c r="F2588" s="4"/>
      <c r="G2588" s="4"/>
      <c r="H2588" s="4"/>
      <c r="I2588" s="4"/>
      <c r="J2588" s="4"/>
      <c r="K2588" s="4"/>
    </row>
    <row r="2589" spans="2:11">
      <c r="B2589" s="6"/>
      <c r="C2589" s="24"/>
      <c r="D2589" s="5"/>
      <c r="E2589" s="5"/>
      <c r="F2589" s="4"/>
      <c r="G2589" s="4"/>
      <c r="H2589" s="4"/>
      <c r="I2589" s="4"/>
      <c r="J2589" s="4"/>
      <c r="K2589" s="4"/>
    </row>
    <row r="2590" spans="2:11">
      <c r="B2590" s="6"/>
      <c r="C2590" s="24"/>
      <c r="D2590" s="5"/>
      <c r="E2590" s="5"/>
      <c r="F2590" s="4"/>
      <c r="G2590" s="4"/>
      <c r="H2590" s="4"/>
      <c r="I2590" s="4"/>
      <c r="J2590" s="4"/>
      <c r="K2590" s="4"/>
    </row>
    <row r="2591" spans="2:11">
      <c r="B2591" s="6"/>
      <c r="C2591" s="24"/>
      <c r="D2591" s="5"/>
      <c r="E2591" s="5"/>
      <c r="F2591" s="4"/>
      <c r="G2591" s="4"/>
      <c r="H2591" s="4"/>
      <c r="I2591" s="4"/>
      <c r="J2591" s="4"/>
      <c r="K2591" s="4"/>
    </row>
    <row r="2592" spans="2:11">
      <c r="B2592" s="6"/>
      <c r="C2592" s="24"/>
      <c r="D2592" s="5"/>
      <c r="E2592" s="5"/>
      <c r="F2592" s="4"/>
      <c r="G2592" s="4"/>
      <c r="H2592" s="4"/>
      <c r="I2592" s="4"/>
      <c r="J2592" s="4"/>
      <c r="K2592" s="4"/>
    </row>
    <row r="2593" spans="2:11">
      <c r="B2593" s="6"/>
      <c r="C2593" s="24"/>
      <c r="D2593" s="5"/>
      <c r="E2593" s="5"/>
      <c r="F2593" s="4"/>
      <c r="G2593" s="4"/>
      <c r="H2593" s="4"/>
      <c r="I2593" s="4"/>
      <c r="J2593" s="4"/>
      <c r="K2593" s="4"/>
    </row>
    <row r="2594" spans="2:11">
      <c r="B2594" s="6"/>
      <c r="C2594" s="24"/>
      <c r="D2594" s="5"/>
      <c r="E2594" s="5"/>
      <c r="F2594" s="4"/>
      <c r="G2594" s="4"/>
      <c r="H2594" s="4"/>
      <c r="I2594" s="4"/>
      <c r="J2594" s="4"/>
      <c r="K2594" s="4"/>
    </row>
    <row r="2595" spans="2:11">
      <c r="B2595" s="6"/>
      <c r="C2595" s="24"/>
      <c r="D2595" s="5"/>
      <c r="E2595" s="5"/>
      <c r="F2595" s="4"/>
      <c r="G2595" s="4"/>
      <c r="H2595" s="4"/>
      <c r="I2595" s="4"/>
      <c r="J2595" s="4"/>
      <c r="K2595" s="4"/>
    </row>
    <row r="2596" spans="2:11">
      <c r="B2596" s="6"/>
      <c r="C2596" s="24"/>
      <c r="D2596" s="5"/>
      <c r="E2596" s="5"/>
      <c r="F2596" s="4"/>
      <c r="G2596" s="4"/>
      <c r="H2596" s="4"/>
      <c r="I2596" s="4"/>
      <c r="J2596" s="4"/>
      <c r="K2596" s="4"/>
    </row>
    <row r="2597" spans="2:11">
      <c r="B2597" s="6"/>
      <c r="C2597" s="24"/>
      <c r="D2597" s="5"/>
      <c r="E2597" s="5"/>
      <c r="F2597" s="4"/>
      <c r="G2597" s="4"/>
      <c r="H2597" s="4"/>
      <c r="I2597" s="4"/>
      <c r="J2597" s="4"/>
      <c r="K2597" s="4"/>
    </row>
    <row r="2598" spans="2:11">
      <c r="B2598" s="6"/>
      <c r="C2598" s="24"/>
      <c r="D2598" s="5"/>
      <c r="E2598" s="5"/>
      <c r="F2598" s="4"/>
      <c r="G2598" s="4"/>
      <c r="H2598" s="4"/>
      <c r="I2598" s="4"/>
      <c r="J2598" s="4"/>
      <c r="K2598" s="4"/>
    </row>
    <row r="2599" spans="2:11">
      <c r="B2599" s="6"/>
      <c r="C2599" s="24"/>
      <c r="D2599" s="5"/>
      <c r="E2599" s="5"/>
      <c r="F2599" s="4"/>
      <c r="G2599" s="4"/>
      <c r="H2599" s="4"/>
      <c r="I2599" s="4"/>
      <c r="J2599" s="4"/>
      <c r="K2599" s="4"/>
    </row>
    <row r="2600" spans="2:11">
      <c r="B2600" s="6"/>
      <c r="C2600" s="24"/>
      <c r="D2600" s="5"/>
      <c r="E2600" s="5"/>
      <c r="F2600" s="4"/>
      <c r="G2600" s="4"/>
      <c r="H2600" s="4"/>
      <c r="I2600" s="4"/>
      <c r="J2600" s="4"/>
      <c r="K2600" s="4"/>
    </row>
    <row r="2601" spans="2:11">
      <c r="B2601" s="6"/>
      <c r="C2601" s="24"/>
      <c r="D2601" s="5"/>
      <c r="E2601" s="5"/>
      <c r="F2601" s="4"/>
      <c r="G2601" s="4"/>
      <c r="H2601" s="4"/>
      <c r="I2601" s="4"/>
      <c r="J2601" s="4"/>
      <c r="K2601" s="4"/>
    </row>
    <row r="2602" spans="2:11">
      <c r="B2602" s="6"/>
      <c r="C2602" s="24"/>
      <c r="D2602" s="5"/>
      <c r="E2602" s="5"/>
      <c r="F2602" s="4"/>
      <c r="G2602" s="4"/>
      <c r="H2602" s="4"/>
      <c r="I2602" s="4"/>
      <c r="J2602" s="4"/>
      <c r="K2602" s="4"/>
    </row>
    <row r="2603" spans="2:11">
      <c r="B2603" s="6"/>
      <c r="C2603" s="24"/>
      <c r="D2603" s="5"/>
      <c r="E2603" s="5"/>
      <c r="F2603" s="4"/>
      <c r="G2603" s="4"/>
      <c r="H2603" s="4"/>
      <c r="I2603" s="4"/>
      <c r="J2603" s="4"/>
      <c r="K2603" s="4"/>
    </row>
    <row r="2604" spans="2:11">
      <c r="B2604" s="6"/>
      <c r="C2604" s="24"/>
      <c r="D2604" s="5"/>
      <c r="E2604" s="5"/>
      <c r="F2604" s="4"/>
      <c r="G2604" s="4"/>
      <c r="H2604" s="4"/>
      <c r="I2604" s="4"/>
      <c r="J2604" s="4"/>
      <c r="K2604" s="4"/>
    </row>
    <row r="2605" spans="2:11">
      <c r="B2605" s="6"/>
      <c r="C2605" s="24"/>
      <c r="D2605" s="5"/>
      <c r="E2605" s="5"/>
      <c r="F2605" s="4"/>
      <c r="G2605" s="4"/>
      <c r="H2605" s="4"/>
      <c r="I2605" s="4"/>
      <c r="J2605" s="4"/>
      <c r="K2605" s="4"/>
    </row>
    <row r="2606" spans="2:11">
      <c r="B2606" s="6"/>
      <c r="C2606" s="24"/>
      <c r="D2606" s="5"/>
      <c r="E2606" s="5"/>
      <c r="F2606" s="4"/>
      <c r="G2606" s="4"/>
      <c r="H2606" s="4"/>
      <c r="I2606" s="4"/>
      <c r="J2606" s="4"/>
      <c r="K2606" s="4"/>
    </row>
    <row r="2607" spans="2:11">
      <c r="B2607" s="6"/>
      <c r="C2607" s="24"/>
      <c r="D2607" s="5"/>
      <c r="E2607" s="5"/>
      <c r="F2607" s="4"/>
      <c r="G2607" s="4"/>
      <c r="H2607" s="4"/>
      <c r="I2607" s="4"/>
      <c r="J2607" s="4"/>
      <c r="K2607" s="4"/>
    </row>
    <row r="2608" spans="2:11">
      <c r="B2608" s="6"/>
      <c r="C2608" s="24"/>
      <c r="D2608" s="5"/>
      <c r="E2608" s="5"/>
      <c r="F2608" s="4"/>
      <c r="G2608" s="4"/>
      <c r="H2608" s="4"/>
      <c r="I2608" s="4"/>
      <c r="J2608" s="4"/>
      <c r="K2608" s="4"/>
    </row>
    <row r="2609" spans="2:11">
      <c r="B2609" s="6"/>
      <c r="C2609" s="24"/>
      <c r="D2609" s="5"/>
      <c r="E2609" s="5"/>
      <c r="F2609" s="4"/>
      <c r="G2609" s="4"/>
      <c r="H2609" s="4"/>
      <c r="I2609" s="4"/>
      <c r="J2609" s="4"/>
      <c r="K2609" s="4"/>
    </row>
    <row r="2610" spans="2:11">
      <c r="B2610" s="6"/>
      <c r="C2610" s="24"/>
      <c r="D2610" s="5"/>
      <c r="E2610" s="5"/>
      <c r="F2610" s="4"/>
      <c r="G2610" s="4"/>
      <c r="H2610" s="4"/>
      <c r="I2610" s="4"/>
      <c r="J2610" s="4"/>
      <c r="K2610" s="4"/>
    </row>
    <row r="2611" spans="2:11">
      <c r="B2611" s="6"/>
      <c r="C2611" s="24"/>
      <c r="D2611" s="5"/>
      <c r="E2611" s="5"/>
      <c r="F2611" s="4"/>
      <c r="G2611" s="4"/>
      <c r="H2611" s="4"/>
      <c r="I2611" s="4"/>
      <c r="J2611" s="4"/>
      <c r="K2611" s="4"/>
    </row>
    <row r="2612" spans="2:11">
      <c r="B2612" s="6"/>
      <c r="C2612" s="24"/>
      <c r="D2612" s="5"/>
      <c r="E2612" s="5"/>
      <c r="F2612" s="4"/>
      <c r="G2612" s="4"/>
      <c r="H2612" s="4"/>
      <c r="I2612" s="4"/>
      <c r="J2612" s="4"/>
      <c r="K2612" s="4"/>
    </row>
    <row r="2613" spans="2:11">
      <c r="B2613" s="6"/>
      <c r="C2613" s="24"/>
      <c r="D2613" s="5"/>
      <c r="E2613" s="5"/>
      <c r="F2613" s="4"/>
      <c r="G2613" s="4"/>
      <c r="H2613" s="4"/>
      <c r="I2613" s="4"/>
      <c r="J2613" s="4"/>
      <c r="K2613" s="4"/>
    </row>
    <row r="2614" spans="2:11">
      <c r="B2614" s="6"/>
      <c r="C2614" s="24"/>
      <c r="D2614" s="5"/>
      <c r="E2614" s="5"/>
      <c r="F2614" s="4"/>
      <c r="G2614" s="4"/>
      <c r="H2614" s="4"/>
      <c r="I2614" s="4"/>
      <c r="J2614" s="4"/>
      <c r="K2614" s="4"/>
    </row>
    <row r="2615" spans="2:11">
      <c r="B2615" s="6"/>
      <c r="C2615" s="24"/>
      <c r="D2615" s="5"/>
      <c r="E2615" s="5"/>
      <c r="F2615" s="4"/>
      <c r="G2615" s="4"/>
      <c r="H2615" s="4"/>
      <c r="I2615" s="4"/>
      <c r="J2615" s="4"/>
      <c r="K2615" s="4"/>
    </row>
    <row r="2616" spans="2:11">
      <c r="B2616" s="6"/>
      <c r="C2616" s="24"/>
      <c r="D2616" s="5"/>
      <c r="E2616" s="5"/>
      <c r="F2616" s="4"/>
      <c r="G2616" s="4"/>
      <c r="H2616" s="4"/>
      <c r="I2616" s="4"/>
      <c r="J2616" s="4"/>
      <c r="K2616" s="4"/>
    </row>
    <row r="2617" spans="2:11">
      <c r="B2617" s="6"/>
      <c r="C2617" s="24"/>
      <c r="D2617" s="5"/>
      <c r="E2617" s="5"/>
      <c r="F2617" s="4"/>
      <c r="G2617" s="4"/>
      <c r="H2617" s="4"/>
      <c r="I2617" s="4"/>
      <c r="J2617" s="4"/>
      <c r="K2617" s="4"/>
    </row>
    <row r="2618" spans="2:11">
      <c r="B2618" s="6"/>
      <c r="C2618" s="24"/>
      <c r="D2618" s="5"/>
      <c r="E2618" s="5"/>
      <c r="F2618" s="4"/>
      <c r="G2618" s="4"/>
      <c r="H2618" s="4"/>
      <c r="I2618" s="4"/>
      <c r="J2618" s="4"/>
      <c r="K2618" s="4"/>
    </row>
    <row r="2619" spans="2:11">
      <c r="B2619" s="6"/>
      <c r="C2619" s="24"/>
      <c r="D2619" s="5"/>
      <c r="E2619" s="5"/>
      <c r="F2619" s="4"/>
      <c r="G2619" s="4"/>
      <c r="H2619" s="4"/>
      <c r="I2619" s="4"/>
      <c r="J2619" s="4"/>
      <c r="K2619" s="4"/>
    </row>
    <row r="2620" spans="2:11">
      <c r="B2620" s="6"/>
      <c r="C2620" s="24"/>
      <c r="D2620" s="5"/>
      <c r="E2620" s="5"/>
      <c r="F2620" s="4"/>
      <c r="G2620" s="4"/>
      <c r="H2620" s="4"/>
      <c r="I2620" s="4"/>
      <c r="J2620" s="4"/>
      <c r="K2620" s="4"/>
    </row>
    <row r="2621" spans="2:11">
      <c r="B2621" s="6"/>
      <c r="C2621" s="24"/>
      <c r="D2621" s="5"/>
      <c r="E2621" s="5"/>
      <c r="F2621" s="4"/>
      <c r="G2621" s="4"/>
      <c r="H2621" s="4"/>
      <c r="I2621" s="4"/>
      <c r="J2621" s="4"/>
      <c r="K2621" s="4"/>
    </row>
    <row r="2622" spans="2:11">
      <c r="B2622" s="6"/>
      <c r="C2622" s="24"/>
      <c r="D2622" s="5"/>
      <c r="E2622" s="5"/>
      <c r="F2622" s="4"/>
      <c r="G2622" s="4"/>
      <c r="H2622" s="4"/>
      <c r="I2622" s="4"/>
      <c r="J2622" s="4"/>
      <c r="K2622" s="4"/>
    </row>
    <row r="2623" spans="2:11">
      <c r="B2623" s="6"/>
      <c r="C2623" s="24"/>
      <c r="D2623" s="5"/>
      <c r="E2623" s="5"/>
      <c r="F2623" s="4"/>
      <c r="G2623" s="4"/>
      <c r="H2623" s="4"/>
      <c r="I2623" s="4"/>
      <c r="J2623" s="4"/>
      <c r="K2623" s="4"/>
    </row>
    <row r="2624" spans="2:11">
      <c r="B2624" s="6"/>
      <c r="C2624" s="24"/>
      <c r="D2624" s="5"/>
      <c r="E2624" s="5"/>
      <c r="F2624" s="4"/>
      <c r="G2624" s="4"/>
      <c r="H2624" s="4"/>
      <c r="I2624" s="4"/>
      <c r="J2624" s="4"/>
      <c r="K2624" s="4"/>
    </row>
    <row r="2625" spans="2:11">
      <c r="B2625" s="6"/>
      <c r="C2625" s="24"/>
      <c r="D2625" s="5"/>
      <c r="E2625" s="5"/>
      <c r="F2625" s="4"/>
      <c r="G2625" s="4"/>
      <c r="H2625" s="4"/>
      <c r="I2625" s="4"/>
      <c r="J2625" s="4"/>
      <c r="K2625" s="4"/>
    </row>
    <row r="2626" spans="2:11">
      <c r="B2626" s="6"/>
      <c r="C2626" s="24"/>
      <c r="D2626" s="5"/>
      <c r="E2626" s="5"/>
      <c r="F2626" s="4"/>
      <c r="G2626" s="4"/>
      <c r="H2626" s="4"/>
      <c r="I2626" s="4"/>
      <c r="J2626" s="4"/>
      <c r="K2626" s="4"/>
    </row>
    <row r="2627" spans="2:11">
      <c r="B2627" s="6"/>
      <c r="C2627" s="24"/>
      <c r="D2627" s="5"/>
      <c r="E2627" s="5"/>
      <c r="F2627" s="4"/>
      <c r="G2627" s="4"/>
      <c r="H2627" s="4"/>
      <c r="I2627" s="4"/>
      <c r="J2627" s="4"/>
      <c r="K2627" s="4"/>
    </row>
    <row r="2628" spans="2:11">
      <c r="B2628" s="6"/>
      <c r="C2628" s="24"/>
      <c r="D2628" s="5"/>
      <c r="E2628" s="5"/>
      <c r="F2628" s="4"/>
      <c r="G2628" s="4"/>
      <c r="H2628" s="4"/>
      <c r="I2628" s="4"/>
      <c r="J2628" s="4"/>
      <c r="K2628" s="4"/>
    </row>
    <row r="2629" spans="2:11">
      <c r="B2629" s="6"/>
      <c r="C2629" s="24"/>
      <c r="D2629" s="5"/>
      <c r="E2629" s="5"/>
      <c r="F2629" s="4"/>
      <c r="G2629" s="4"/>
      <c r="H2629" s="4"/>
      <c r="I2629" s="4"/>
      <c r="J2629" s="4"/>
      <c r="K2629" s="4"/>
    </row>
    <row r="2630" spans="2:11">
      <c r="B2630" s="6"/>
      <c r="C2630" s="24"/>
      <c r="D2630" s="5"/>
      <c r="E2630" s="5"/>
      <c r="F2630" s="4"/>
      <c r="G2630" s="4"/>
      <c r="H2630" s="4"/>
      <c r="I2630" s="4"/>
      <c r="J2630" s="4"/>
      <c r="K2630" s="4"/>
    </row>
    <row r="2631" spans="2:11">
      <c r="B2631" s="6"/>
      <c r="C2631" s="24"/>
      <c r="D2631" s="5"/>
      <c r="E2631" s="5"/>
      <c r="F2631" s="4"/>
      <c r="G2631" s="4"/>
      <c r="H2631" s="4"/>
      <c r="I2631" s="4"/>
      <c r="J2631" s="4"/>
      <c r="K2631" s="4"/>
    </row>
    <row r="2632" spans="2:11">
      <c r="B2632" s="6"/>
      <c r="C2632" s="24"/>
      <c r="D2632" s="5"/>
      <c r="E2632" s="5"/>
      <c r="F2632" s="4"/>
      <c r="G2632" s="4"/>
      <c r="H2632" s="4"/>
      <c r="I2632" s="4"/>
      <c r="J2632" s="4"/>
      <c r="K2632" s="4"/>
    </row>
    <row r="2633" spans="2:11">
      <c r="B2633" s="6"/>
      <c r="C2633" s="24"/>
      <c r="D2633" s="5"/>
      <c r="E2633" s="5"/>
      <c r="F2633" s="4"/>
      <c r="G2633" s="4"/>
      <c r="H2633" s="4"/>
      <c r="I2633" s="4"/>
      <c r="J2633" s="4"/>
      <c r="K2633" s="4"/>
    </row>
    <row r="2634" spans="2:11">
      <c r="B2634" s="6"/>
      <c r="C2634" s="24"/>
      <c r="D2634" s="5"/>
      <c r="E2634" s="5"/>
      <c r="F2634" s="4"/>
      <c r="G2634" s="4"/>
      <c r="H2634" s="4"/>
      <c r="I2634" s="4"/>
      <c r="J2634" s="4"/>
      <c r="K2634" s="4"/>
    </row>
    <row r="2635" spans="2:11">
      <c r="B2635" s="6"/>
      <c r="C2635" s="24"/>
      <c r="D2635" s="5"/>
      <c r="E2635" s="5"/>
      <c r="F2635" s="4"/>
      <c r="G2635" s="4"/>
      <c r="H2635" s="4"/>
      <c r="I2635" s="4"/>
      <c r="J2635" s="4"/>
      <c r="K2635" s="4"/>
    </row>
    <row r="2636" spans="2:11">
      <c r="B2636" s="6"/>
      <c r="C2636" s="24"/>
      <c r="D2636" s="5"/>
      <c r="E2636" s="5"/>
      <c r="F2636" s="4"/>
      <c r="G2636" s="4"/>
      <c r="H2636" s="4"/>
      <c r="I2636" s="4"/>
      <c r="J2636" s="4"/>
      <c r="K2636" s="4"/>
    </row>
    <row r="2637" spans="2:11">
      <c r="B2637" s="6"/>
      <c r="C2637" s="24"/>
      <c r="D2637" s="5"/>
      <c r="E2637" s="5"/>
      <c r="F2637" s="4"/>
      <c r="G2637" s="4"/>
      <c r="H2637" s="4"/>
      <c r="I2637" s="4"/>
      <c r="J2637" s="4"/>
      <c r="K2637" s="4"/>
    </row>
    <row r="2638" spans="2:11">
      <c r="B2638" s="6"/>
      <c r="C2638" s="24"/>
      <c r="D2638" s="5"/>
      <c r="E2638" s="5"/>
      <c r="F2638" s="4"/>
      <c r="G2638" s="4"/>
      <c r="H2638" s="4"/>
      <c r="I2638" s="4"/>
      <c r="J2638" s="4"/>
      <c r="K2638" s="4"/>
    </row>
    <row r="2639" spans="2:11">
      <c r="B2639" s="6"/>
      <c r="C2639" s="24"/>
      <c r="D2639" s="5"/>
      <c r="E2639" s="5"/>
      <c r="F2639" s="4"/>
      <c r="G2639" s="4"/>
      <c r="H2639" s="4"/>
      <c r="I2639" s="4"/>
      <c r="J2639" s="4"/>
      <c r="K2639" s="4"/>
    </row>
    <row r="2640" spans="2:11">
      <c r="B2640" s="6"/>
      <c r="C2640" s="24"/>
      <c r="D2640" s="5"/>
      <c r="E2640" s="5"/>
      <c r="F2640" s="4"/>
      <c r="G2640" s="4"/>
      <c r="H2640" s="4"/>
      <c r="I2640" s="4"/>
      <c r="J2640" s="4"/>
      <c r="K2640" s="4"/>
    </row>
    <row r="2641" spans="2:11">
      <c r="B2641" s="6"/>
      <c r="C2641" s="24"/>
      <c r="D2641" s="5"/>
      <c r="E2641" s="5"/>
      <c r="F2641" s="4"/>
      <c r="G2641" s="4"/>
      <c r="H2641" s="4"/>
      <c r="I2641" s="4"/>
      <c r="J2641" s="4"/>
      <c r="K2641" s="4"/>
    </row>
    <row r="2642" spans="2:11">
      <c r="B2642" s="6"/>
      <c r="C2642" s="24"/>
      <c r="D2642" s="5"/>
      <c r="E2642" s="5"/>
      <c r="F2642" s="4"/>
      <c r="G2642" s="4"/>
      <c r="H2642" s="4"/>
      <c r="I2642" s="4"/>
      <c r="J2642" s="4"/>
      <c r="K2642" s="4"/>
    </row>
    <row r="2643" spans="2:11">
      <c r="B2643" s="6"/>
      <c r="C2643" s="24"/>
      <c r="D2643" s="5"/>
      <c r="E2643" s="5"/>
      <c r="F2643" s="4"/>
      <c r="G2643" s="4"/>
      <c r="H2643" s="4"/>
      <c r="I2643" s="4"/>
      <c r="J2643" s="4"/>
      <c r="K2643" s="4"/>
    </row>
    <row r="2644" spans="2:11">
      <c r="B2644" s="6"/>
      <c r="C2644" s="24"/>
      <c r="D2644" s="5"/>
      <c r="E2644" s="5"/>
      <c r="F2644" s="4"/>
      <c r="G2644" s="4"/>
      <c r="H2644" s="4"/>
      <c r="I2644" s="4"/>
      <c r="J2644" s="4"/>
      <c r="K2644" s="4"/>
    </row>
    <row r="2645" spans="2:11">
      <c r="B2645" s="6"/>
      <c r="C2645" s="24"/>
      <c r="D2645" s="5"/>
      <c r="E2645" s="5"/>
      <c r="F2645" s="4"/>
      <c r="G2645" s="4"/>
      <c r="H2645" s="4"/>
      <c r="I2645" s="4"/>
      <c r="J2645" s="4"/>
      <c r="K2645" s="4"/>
    </row>
    <row r="2646" spans="2:11">
      <c r="B2646" s="6"/>
      <c r="C2646" s="24"/>
      <c r="D2646" s="5"/>
      <c r="E2646" s="5"/>
      <c r="F2646" s="4"/>
      <c r="G2646" s="4"/>
      <c r="H2646" s="4"/>
      <c r="I2646" s="4"/>
      <c r="J2646" s="4"/>
      <c r="K2646" s="4"/>
    </row>
    <row r="2647" spans="2:11">
      <c r="B2647" s="6"/>
      <c r="C2647" s="24"/>
      <c r="D2647" s="5"/>
      <c r="E2647" s="5"/>
      <c r="F2647" s="4"/>
      <c r="G2647" s="4"/>
      <c r="H2647" s="4"/>
      <c r="I2647" s="4"/>
      <c r="J2647" s="4"/>
      <c r="K2647" s="4"/>
    </row>
    <row r="2648" spans="2:11">
      <c r="B2648" s="6"/>
      <c r="C2648" s="24"/>
      <c r="D2648" s="5"/>
      <c r="E2648" s="5"/>
      <c r="F2648" s="4"/>
      <c r="G2648" s="4"/>
      <c r="H2648" s="4"/>
      <c r="I2648" s="4"/>
      <c r="J2648" s="4"/>
      <c r="K2648" s="4"/>
    </row>
    <row r="2649" spans="2:11">
      <c r="B2649" s="6"/>
      <c r="C2649" s="24"/>
      <c r="D2649" s="5"/>
      <c r="E2649" s="5"/>
      <c r="F2649" s="4"/>
      <c r="G2649" s="4"/>
      <c r="H2649" s="4"/>
      <c r="I2649" s="4"/>
      <c r="J2649" s="4"/>
      <c r="K2649" s="4"/>
    </row>
    <row r="2650" spans="2:11">
      <c r="B2650" s="6"/>
      <c r="C2650" s="24"/>
      <c r="D2650" s="5"/>
      <c r="E2650" s="5"/>
      <c r="F2650" s="4"/>
      <c r="G2650" s="4"/>
      <c r="H2650" s="4"/>
      <c r="I2650" s="4"/>
      <c r="J2650" s="4"/>
      <c r="K2650" s="4"/>
    </row>
    <row r="2651" spans="2:11">
      <c r="B2651" s="6"/>
      <c r="C2651" s="24"/>
      <c r="D2651" s="5"/>
      <c r="E2651" s="5"/>
      <c r="F2651" s="4"/>
      <c r="G2651" s="4"/>
      <c r="H2651" s="4"/>
      <c r="I2651" s="4"/>
      <c r="J2651" s="4"/>
      <c r="K2651" s="4"/>
    </row>
    <row r="2652" spans="2:11">
      <c r="B2652" s="6"/>
      <c r="C2652" s="24"/>
      <c r="D2652" s="5"/>
      <c r="E2652" s="5"/>
      <c r="F2652" s="4"/>
      <c r="G2652" s="4"/>
      <c r="H2652" s="4"/>
      <c r="I2652" s="4"/>
      <c r="J2652" s="4"/>
      <c r="K2652" s="4"/>
    </row>
    <row r="2653" spans="2:11">
      <c r="B2653" s="6"/>
      <c r="C2653" s="24"/>
      <c r="D2653" s="5"/>
      <c r="E2653" s="5"/>
      <c r="F2653" s="4"/>
      <c r="G2653" s="4"/>
      <c r="H2653" s="4"/>
      <c r="I2653" s="4"/>
      <c r="J2653" s="4"/>
      <c r="K2653" s="4"/>
    </row>
    <row r="2654" spans="2:11">
      <c r="B2654" s="6"/>
      <c r="C2654" s="24"/>
      <c r="D2654" s="5"/>
      <c r="E2654" s="5"/>
      <c r="F2654" s="4"/>
      <c r="G2654" s="4"/>
      <c r="H2654" s="4"/>
      <c r="I2654" s="4"/>
      <c r="J2654" s="4"/>
      <c r="K2654" s="4"/>
    </row>
    <row r="2655" spans="2:11">
      <c r="B2655" s="6"/>
      <c r="C2655" s="24"/>
      <c r="D2655" s="5"/>
      <c r="E2655" s="5"/>
      <c r="F2655" s="4"/>
      <c r="G2655" s="4"/>
      <c r="H2655" s="4"/>
      <c r="I2655" s="4"/>
      <c r="J2655" s="4"/>
      <c r="K2655" s="4"/>
    </row>
    <row r="2656" spans="2:11">
      <c r="B2656" s="6"/>
      <c r="C2656" s="24"/>
      <c r="D2656" s="5"/>
      <c r="E2656" s="5"/>
      <c r="F2656" s="4"/>
      <c r="G2656" s="4"/>
      <c r="H2656" s="4"/>
      <c r="I2656" s="4"/>
      <c r="J2656" s="4"/>
      <c r="K2656" s="4"/>
    </row>
    <row r="2657" spans="2:11">
      <c r="B2657" s="6"/>
      <c r="C2657" s="24"/>
      <c r="D2657" s="5"/>
      <c r="E2657" s="5"/>
      <c r="F2657" s="4"/>
      <c r="G2657" s="4"/>
      <c r="H2657" s="4"/>
      <c r="I2657" s="4"/>
      <c r="J2657" s="4"/>
      <c r="K2657" s="4"/>
    </row>
    <row r="2658" spans="2:11">
      <c r="B2658" s="6"/>
      <c r="C2658" s="24"/>
      <c r="D2658" s="5"/>
      <c r="E2658" s="5"/>
      <c r="F2658" s="4"/>
      <c r="G2658" s="4"/>
      <c r="H2658" s="4"/>
      <c r="I2658" s="4"/>
      <c r="J2658" s="4"/>
      <c r="K2658" s="4"/>
    </row>
    <row r="2659" spans="2:11">
      <c r="B2659" s="6"/>
      <c r="C2659" s="24"/>
      <c r="D2659" s="5"/>
      <c r="E2659" s="5"/>
      <c r="F2659" s="4"/>
      <c r="G2659" s="4"/>
      <c r="H2659" s="4"/>
      <c r="I2659" s="4"/>
      <c r="J2659" s="4"/>
      <c r="K2659" s="4"/>
    </row>
    <row r="2660" spans="2:11">
      <c r="B2660" s="6"/>
      <c r="C2660" s="24"/>
      <c r="D2660" s="5"/>
      <c r="E2660" s="5"/>
      <c r="F2660" s="4"/>
      <c r="G2660" s="4"/>
      <c r="H2660" s="4"/>
      <c r="I2660" s="4"/>
      <c r="J2660" s="4"/>
      <c r="K2660" s="4"/>
    </row>
    <row r="2661" spans="2:11">
      <c r="B2661" s="6"/>
      <c r="C2661" s="24"/>
      <c r="D2661" s="5"/>
      <c r="E2661" s="5"/>
      <c r="F2661" s="4"/>
      <c r="G2661" s="4"/>
      <c r="H2661" s="4"/>
      <c r="I2661" s="4"/>
      <c r="J2661" s="4"/>
      <c r="K2661" s="4"/>
    </row>
    <row r="2662" spans="2:11">
      <c r="B2662" s="6"/>
      <c r="C2662" s="24"/>
      <c r="D2662" s="5"/>
      <c r="E2662" s="5"/>
      <c r="F2662" s="4"/>
      <c r="G2662" s="4"/>
      <c r="H2662" s="4"/>
      <c r="I2662" s="4"/>
      <c r="J2662" s="4"/>
      <c r="K2662" s="4"/>
    </row>
    <row r="2663" spans="2:11">
      <c r="B2663" s="6"/>
      <c r="C2663" s="24"/>
      <c r="D2663" s="5"/>
      <c r="E2663" s="5"/>
      <c r="F2663" s="4"/>
      <c r="G2663" s="4"/>
      <c r="H2663" s="4"/>
      <c r="I2663" s="4"/>
      <c r="J2663" s="4"/>
      <c r="K2663" s="4"/>
    </row>
    <row r="2664" spans="2:11">
      <c r="B2664" s="6"/>
      <c r="C2664" s="24"/>
      <c r="D2664" s="5"/>
      <c r="E2664" s="5"/>
      <c r="F2664" s="4"/>
      <c r="G2664" s="4"/>
      <c r="H2664" s="4"/>
      <c r="I2664" s="4"/>
      <c r="J2664" s="4"/>
      <c r="K2664" s="4"/>
    </row>
    <row r="2665" spans="2:11">
      <c r="B2665" s="6"/>
      <c r="C2665" s="24"/>
      <c r="D2665" s="5"/>
      <c r="E2665" s="5"/>
      <c r="F2665" s="4"/>
      <c r="G2665" s="4"/>
      <c r="H2665" s="4"/>
      <c r="I2665" s="4"/>
      <c r="J2665" s="4"/>
      <c r="K2665" s="4"/>
    </row>
    <row r="2666" spans="2:11">
      <c r="B2666" s="6"/>
      <c r="C2666" s="24"/>
      <c r="D2666" s="5"/>
      <c r="E2666" s="5"/>
      <c r="F2666" s="4"/>
      <c r="G2666" s="4"/>
      <c r="H2666" s="4"/>
      <c r="I2666" s="4"/>
      <c r="J2666" s="4"/>
      <c r="K2666" s="4"/>
    </row>
    <row r="2667" spans="2:11">
      <c r="B2667" s="6"/>
      <c r="C2667" s="24"/>
      <c r="D2667" s="5"/>
      <c r="E2667" s="5"/>
      <c r="F2667" s="4"/>
      <c r="G2667" s="4"/>
      <c r="H2667" s="4"/>
      <c r="I2667" s="4"/>
      <c r="J2667" s="4"/>
      <c r="K2667" s="4"/>
    </row>
    <row r="2668" spans="2:11">
      <c r="B2668" s="6"/>
      <c r="C2668" s="24"/>
      <c r="D2668" s="5"/>
      <c r="E2668" s="5"/>
      <c r="F2668" s="4"/>
      <c r="G2668" s="4"/>
      <c r="H2668" s="4"/>
      <c r="I2668" s="4"/>
      <c r="J2668" s="4"/>
      <c r="K2668" s="4"/>
    </row>
    <row r="2669" spans="2:11">
      <c r="B2669" s="6"/>
      <c r="C2669" s="24"/>
      <c r="D2669" s="5"/>
      <c r="E2669" s="5"/>
      <c r="F2669" s="4"/>
      <c r="G2669" s="4"/>
      <c r="H2669" s="4"/>
      <c r="I2669" s="4"/>
      <c r="J2669" s="4"/>
      <c r="K2669" s="4"/>
    </row>
    <row r="2670" spans="2:11">
      <c r="B2670" s="6"/>
      <c r="C2670" s="24"/>
      <c r="D2670" s="5"/>
      <c r="E2670" s="5"/>
      <c r="F2670" s="4"/>
      <c r="G2670" s="4"/>
      <c r="H2670" s="4"/>
      <c r="I2670" s="4"/>
      <c r="J2670" s="4"/>
      <c r="K2670" s="4"/>
    </row>
    <row r="2671" spans="2:11">
      <c r="B2671" s="6"/>
      <c r="C2671" s="24"/>
      <c r="D2671" s="5"/>
      <c r="E2671" s="5"/>
      <c r="F2671" s="4"/>
      <c r="G2671" s="4"/>
      <c r="H2671" s="4"/>
      <c r="I2671" s="4"/>
      <c r="J2671" s="4"/>
      <c r="K2671" s="4"/>
    </row>
    <row r="2672" spans="2:11">
      <c r="B2672" s="6"/>
      <c r="C2672" s="24"/>
      <c r="D2672" s="5"/>
      <c r="E2672" s="5"/>
      <c r="F2672" s="4"/>
      <c r="G2672" s="4"/>
      <c r="H2672" s="4"/>
      <c r="I2672" s="4"/>
      <c r="J2672" s="4"/>
      <c r="K2672" s="4"/>
    </row>
    <row r="2673" spans="2:11">
      <c r="B2673" s="6"/>
      <c r="C2673" s="24"/>
      <c r="D2673" s="5"/>
      <c r="E2673" s="5"/>
      <c r="F2673" s="4"/>
      <c r="G2673" s="4"/>
      <c r="H2673" s="4"/>
      <c r="I2673" s="4"/>
      <c r="J2673" s="4"/>
      <c r="K2673" s="4"/>
    </row>
    <row r="2674" spans="2:11">
      <c r="B2674" s="6"/>
      <c r="C2674" s="24"/>
      <c r="D2674" s="5"/>
      <c r="E2674" s="5"/>
      <c r="F2674" s="4"/>
      <c r="G2674" s="4"/>
      <c r="H2674" s="4"/>
      <c r="I2674" s="4"/>
      <c r="J2674" s="4"/>
      <c r="K2674" s="4"/>
    </row>
    <row r="2675" spans="2:11">
      <c r="B2675" s="6"/>
      <c r="C2675" s="24"/>
      <c r="D2675" s="5"/>
      <c r="E2675" s="5"/>
      <c r="F2675" s="4"/>
      <c r="G2675" s="4"/>
      <c r="H2675" s="4"/>
      <c r="I2675" s="4"/>
      <c r="J2675" s="4"/>
      <c r="K2675" s="4"/>
    </row>
    <row r="2676" spans="2:11">
      <c r="B2676" s="6"/>
      <c r="C2676" s="24"/>
      <c r="D2676" s="5"/>
      <c r="E2676" s="5"/>
      <c r="F2676" s="4"/>
      <c r="G2676" s="4"/>
      <c r="H2676" s="4"/>
      <c r="I2676" s="4"/>
      <c r="J2676" s="4"/>
      <c r="K2676" s="4"/>
    </row>
    <row r="2677" spans="2:11">
      <c r="B2677" s="6"/>
      <c r="C2677" s="24"/>
      <c r="D2677" s="5"/>
      <c r="E2677" s="5"/>
      <c r="F2677" s="4"/>
      <c r="G2677" s="4"/>
      <c r="H2677" s="4"/>
      <c r="I2677" s="4"/>
      <c r="J2677" s="4"/>
      <c r="K2677" s="4"/>
    </row>
    <row r="2678" spans="2:11">
      <c r="B2678" s="6"/>
      <c r="C2678" s="24"/>
      <c r="D2678" s="5"/>
      <c r="E2678" s="5"/>
      <c r="F2678" s="4"/>
      <c r="G2678" s="4"/>
      <c r="H2678" s="4"/>
      <c r="I2678" s="4"/>
      <c r="J2678" s="4"/>
      <c r="K2678" s="4"/>
    </row>
    <row r="2679" spans="2:11">
      <c r="B2679" s="6"/>
      <c r="C2679" s="24"/>
      <c r="D2679" s="5"/>
      <c r="E2679" s="5"/>
      <c r="F2679" s="4"/>
      <c r="G2679" s="4"/>
      <c r="H2679" s="4"/>
      <c r="I2679" s="4"/>
      <c r="J2679" s="4"/>
      <c r="K2679" s="4"/>
    </row>
    <row r="2680" spans="2:11">
      <c r="B2680" s="6"/>
      <c r="C2680" s="24"/>
      <c r="D2680" s="5"/>
      <c r="E2680" s="5"/>
      <c r="F2680" s="4"/>
      <c r="G2680" s="4"/>
      <c r="H2680" s="4"/>
      <c r="I2680" s="4"/>
      <c r="J2680" s="4"/>
      <c r="K2680" s="4"/>
    </row>
    <row r="2681" spans="2:11">
      <c r="B2681" s="6"/>
      <c r="C2681" s="24"/>
      <c r="D2681" s="5"/>
      <c r="E2681" s="5"/>
      <c r="F2681" s="4"/>
      <c r="G2681" s="4"/>
      <c r="H2681" s="4"/>
      <c r="I2681" s="4"/>
      <c r="J2681" s="4"/>
      <c r="K2681" s="4"/>
    </row>
    <row r="2682" spans="2:11">
      <c r="B2682" s="6"/>
      <c r="C2682" s="24"/>
      <c r="D2682" s="5"/>
      <c r="E2682" s="5"/>
      <c r="F2682" s="4"/>
      <c r="G2682" s="4"/>
      <c r="H2682" s="4"/>
      <c r="I2682" s="4"/>
      <c r="J2682" s="4"/>
      <c r="K2682" s="4"/>
    </row>
    <row r="2683" spans="2:11">
      <c r="B2683" s="6"/>
      <c r="C2683" s="24"/>
      <c r="D2683" s="5"/>
      <c r="E2683" s="5"/>
      <c r="F2683" s="4"/>
      <c r="G2683" s="4"/>
      <c r="H2683" s="4"/>
      <c r="I2683" s="4"/>
      <c r="J2683" s="4"/>
      <c r="K2683" s="4"/>
    </row>
    <row r="2684" spans="2:11">
      <c r="B2684" s="6"/>
      <c r="C2684" s="24"/>
      <c r="D2684" s="5"/>
      <c r="E2684" s="5"/>
      <c r="F2684" s="4"/>
      <c r="G2684" s="4"/>
      <c r="H2684" s="4"/>
      <c r="I2684" s="4"/>
      <c r="J2684" s="4"/>
      <c r="K2684" s="4"/>
    </row>
    <row r="2685" spans="2:11">
      <c r="B2685" s="6"/>
      <c r="C2685" s="24"/>
      <c r="D2685" s="5"/>
      <c r="E2685" s="5"/>
      <c r="F2685" s="4"/>
      <c r="G2685" s="4"/>
      <c r="H2685" s="4"/>
      <c r="I2685" s="4"/>
      <c r="J2685" s="4"/>
      <c r="K2685" s="4"/>
    </row>
    <row r="2686" spans="2:11">
      <c r="B2686" s="6"/>
      <c r="C2686" s="24"/>
      <c r="D2686" s="5"/>
      <c r="E2686" s="5"/>
      <c r="F2686" s="4"/>
      <c r="G2686" s="4"/>
      <c r="H2686" s="4"/>
      <c r="I2686" s="4"/>
      <c r="J2686" s="4"/>
      <c r="K2686" s="4"/>
    </row>
    <row r="2687" spans="2:11">
      <c r="B2687" s="6"/>
      <c r="C2687" s="24"/>
      <c r="D2687" s="5"/>
      <c r="E2687" s="5"/>
      <c r="F2687" s="4"/>
      <c r="G2687" s="4"/>
      <c r="H2687" s="4"/>
      <c r="I2687" s="4"/>
      <c r="J2687" s="4"/>
      <c r="K2687" s="4"/>
    </row>
    <row r="2688" spans="2:11">
      <c r="B2688" s="6"/>
      <c r="C2688" s="24"/>
      <c r="D2688" s="5"/>
      <c r="E2688" s="5"/>
      <c r="F2688" s="4"/>
      <c r="G2688" s="4"/>
      <c r="H2688" s="4"/>
      <c r="I2688" s="4"/>
      <c r="J2688" s="4"/>
      <c r="K2688" s="4"/>
    </row>
    <row r="2689" spans="2:11">
      <c r="B2689" s="6"/>
      <c r="C2689" s="24"/>
      <c r="D2689" s="5"/>
      <c r="E2689" s="5"/>
      <c r="F2689" s="4"/>
      <c r="G2689" s="4"/>
      <c r="H2689" s="4"/>
      <c r="I2689" s="4"/>
      <c r="J2689" s="4"/>
      <c r="K2689" s="4"/>
    </row>
    <row r="2690" spans="2:11">
      <c r="B2690" s="6"/>
      <c r="C2690" s="24"/>
      <c r="D2690" s="5"/>
      <c r="E2690" s="5"/>
      <c r="F2690" s="4"/>
      <c r="G2690" s="4"/>
      <c r="H2690" s="4"/>
      <c r="I2690" s="4"/>
      <c r="J2690" s="4"/>
      <c r="K2690" s="4"/>
    </row>
    <row r="2691" spans="2:11">
      <c r="B2691" s="6"/>
      <c r="C2691" s="24"/>
      <c r="D2691" s="5"/>
      <c r="E2691" s="5"/>
      <c r="F2691" s="4"/>
      <c r="G2691" s="4"/>
      <c r="H2691" s="4"/>
      <c r="I2691" s="4"/>
      <c r="J2691" s="4"/>
      <c r="K2691" s="4"/>
    </row>
    <row r="2692" spans="2:11">
      <c r="B2692" s="6"/>
      <c r="C2692" s="24"/>
      <c r="D2692" s="5"/>
      <c r="E2692" s="5"/>
      <c r="F2692" s="4"/>
      <c r="G2692" s="4"/>
      <c r="H2692" s="4"/>
      <c r="I2692" s="4"/>
      <c r="J2692" s="4"/>
      <c r="K2692" s="4"/>
    </row>
    <row r="2693" spans="2:11">
      <c r="B2693" s="6"/>
      <c r="C2693" s="24"/>
      <c r="D2693" s="5"/>
      <c r="E2693" s="5"/>
      <c r="F2693" s="4"/>
      <c r="G2693" s="4"/>
      <c r="H2693" s="4"/>
      <c r="I2693" s="4"/>
      <c r="J2693" s="4"/>
      <c r="K2693" s="4"/>
    </row>
    <row r="2694" spans="2:11">
      <c r="B2694" s="6"/>
      <c r="C2694" s="24"/>
      <c r="D2694" s="5"/>
      <c r="E2694" s="5"/>
      <c r="F2694" s="4"/>
      <c r="G2694" s="4"/>
      <c r="H2694" s="4"/>
      <c r="I2694" s="4"/>
      <c r="J2694" s="4"/>
      <c r="K2694" s="4"/>
    </row>
    <row r="2695" spans="2:11">
      <c r="B2695" s="6"/>
      <c r="C2695" s="24"/>
      <c r="D2695" s="5"/>
      <c r="E2695" s="5"/>
      <c r="F2695" s="4"/>
      <c r="G2695" s="4"/>
      <c r="H2695" s="4"/>
      <c r="I2695" s="4"/>
      <c r="J2695" s="4"/>
      <c r="K2695" s="4"/>
    </row>
    <row r="2696" spans="2:11">
      <c r="B2696" s="6"/>
      <c r="C2696" s="24"/>
      <c r="D2696" s="5"/>
      <c r="E2696" s="5"/>
      <c r="F2696" s="4"/>
      <c r="G2696" s="4"/>
      <c r="H2696" s="4"/>
      <c r="I2696" s="4"/>
      <c r="J2696" s="4"/>
      <c r="K2696" s="4"/>
    </row>
    <row r="2697" spans="2:11">
      <c r="B2697" s="6"/>
      <c r="C2697" s="24"/>
      <c r="D2697" s="5"/>
      <c r="E2697" s="5"/>
      <c r="F2697" s="4"/>
      <c r="G2697" s="4"/>
      <c r="H2697" s="4"/>
      <c r="I2697" s="4"/>
      <c r="J2697" s="4"/>
      <c r="K2697" s="4"/>
    </row>
    <row r="2698" spans="2:11">
      <c r="B2698" s="6"/>
      <c r="C2698" s="24"/>
      <c r="D2698" s="5"/>
      <c r="E2698" s="5"/>
      <c r="F2698" s="4"/>
      <c r="G2698" s="4"/>
      <c r="H2698" s="4"/>
      <c r="I2698" s="4"/>
      <c r="J2698" s="4"/>
      <c r="K2698" s="4"/>
    </row>
    <row r="2699" spans="2:11">
      <c r="B2699" s="6"/>
      <c r="C2699" s="24"/>
      <c r="D2699" s="5"/>
      <c r="E2699" s="5"/>
      <c r="F2699" s="4"/>
      <c r="G2699" s="4"/>
      <c r="H2699" s="4"/>
      <c r="I2699" s="4"/>
      <c r="J2699" s="4"/>
      <c r="K2699" s="4"/>
    </row>
    <row r="2700" spans="2:11">
      <c r="B2700" s="6"/>
      <c r="C2700" s="24"/>
      <c r="D2700" s="5"/>
      <c r="E2700" s="5"/>
      <c r="F2700" s="4"/>
      <c r="G2700" s="4"/>
      <c r="H2700" s="4"/>
      <c r="I2700" s="4"/>
      <c r="J2700" s="4"/>
      <c r="K2700" s="4"/>
    </row>
    <row r="2701" spans="2:11">
      <c r="B2701" s="6"/>
      <c r="C2701" s="24"/>
      <c r="D2701" s="5"/>
      <c r="E2701" s="5"/>
      <c r="F2701" s="4"/>
      <c r="G2701" s="4"/>
      <c r="H2701" s="4"/>
      <c r="I2701" s="4"/>
      <c r="J2701" s="4"/>
      <c r="K2701" s="4"/>
    </row>
    <row r="2702" spans="2:11">
      <c r="B2702" s="6"/>
      <c r="C2702" s="24"/>
      <c r="D2702" s="5"/>
      <c r="E2702" s="5"/>
      <c r="F2702" s="4"/>
      <c r="G2702" s="4"/>
      <c r="H2702" s="4"/>
      <c r="I2702" s="4"/>
      <c r="J2702" s="4"/>
      <c r="K2702" s="4"/>
    </row>
    <row r="2703" spans="2:11">
      <c r="B2703" s="6"/>
      <c r="C2703" s="24"/>
      <c r="D2703" s="5"/>
      <c r="E2703" s="5"/>
      <c r="F2703" s="4"/>
      <c r="G2703" s="4"/>
      <c r="H2703" s="4"/>
      <c r="I2703" s="4"/>
      <c r="J2703" s="4"/>
      <c r="K2703" s="4"/>
    </row>
    <row r="2704" spans="2:11">
      <c r="B2704" s="6"/>
      <c r="C2704" s="24"/>
      <c r="D2704" s="5"/>
      <c r="E2704" s="5"/>
      <c r="F2704" s="4"/>
      <c r="G2704" s="4"/>
      <c r="H2704" s="4"/>
      <c r="I2704" s="4"/>
      <c r="J2704" s="4"/>
      <c r="K2704" s="4"/>
    </row>
    <row r="2705" spans="2:11">
      <c r="B2705" s="6"/>
      <c r="C2705" s="24"/>
      <c r="D2705" s="5"/>
      <c r="E2705" s="5"/>
      <c r="F2705" s="4"/>
      <c r="G2705" s="4"/>
      <c r="H2705" s="4"/>
      <c r="I2705" s="4"/>
      <c r="J2705" s="4"/>
      <c r="K2705" s="4"/>
    </row>
    <row r="2706" spans="2:11">
      <c r="B2706" s="6"/>
      <c r="C2706" s="24"/>
      <c r="D2706" s="5"/>
      <c r="E2706" s="5"/>
      <c r="F2706" s="4"/>
      <c r="G2706" s="4"/>
      <c r="H2706" s="4"/>
      <c r="I2706" s="4"/>
      <c r="J2706" s="4"/>
      <c r="K2706" s="4"/>
    </row>
    <row r="2707" spans="2:11">
      <c r="B2707" s="6"/>
      <c r="C2707" s="24"/>
      <c r="D2707" s="5"/>
      <c r="E2707" s="5"/>
      <c r="F2707" s="4"/>
      <c r="G2707" s="4"/>
      <c r="H2707" s="4"/>
      <c r="I2707" s="4"/>
      <c r="J2707" s="4"/>
      <c r="K2707" s="4"/>
    </row>
    <row r="2708" spans="2:11">
      <c r="B2708" s="6"/>
      <c r="C2708" s="24"/>
      <c r="D2708" s="5"/>
      <c r="E2708" s="5"/>
      <c r="F2708" s="4"/>
      <c r="G2708" s="4"/>
      <c r="H2708" s="4"/>
      <c r="I2708" s="4"/>
      <c r="J2708" s="4"/>
      <c r="K2708" s="4"/>
    </row>
    <row r="2709" spans="2:11">
      <c r="B2709" s="6"/>
      <c r="C2709" s="24"/>
      <c r="D2709" s="5"/>
      <c r="E2709" s="5"/>
      <c r="F2709" s="4"/>
      <c r="G2709" s="4"/>
      <c r="H2709" s="4"/>
      <c r="I2709" s="4"/>
      <c r="J2709" s="4"/>
      <c r="K2709" s="4"/>
    </row>
    <row r="2710" spans="2:11">
      <c r="B2710" s="6"/>
      <c r="C2710" s="24"/>
      <c r="D2710" s="5"/>
      <c r="E2710" s="5"/>
      <c r="F2710" s="4"/>
      <c r="G2710" s="4"/>
      <c r="H2710" s="4"/>
      <c r="I2710" s="4"/>
      <c r="J2710" s="4"/>
      <c r="K2710" s="4"/>
    </row>
    <row r="2711" spans="2:11">
      <c r="B2711" s="6"/>
      <c r="C2711" s="24"/>
      <c r="D2711" s="5"/>
      <c r="E2711" s="5"/>
      <c r="F2711" s="4"/>
      <c r="G2711" s="4"/>
      <c r="H2711" s="4"/>
      <c r="I2711" s="4"/>
      <c r="J2711" s="4"/>
      <c r="K2711" s="4"/>
    </row>
    <row r="2712" spans="2:11">
      <c r="B2712" s="6"/>
      <c r="C2712" s="24"/>
      <c r="D2712" s="5"/>
      <c r="E2712" s="5"/>
      <c r="F2712" s="4"/>
      <c r="G2712" s="4"/>
      <c r="H2712" s="4"/>
      <c r="I2712" s="4"/>
      <c r="J2712" s="4"/>
      <c r="K2712" s="4"/>
    </row>
    <row r="2713" spans="2:11">
      <c r="B2713" s="6"/>
      <c r="C2713" s="24"/>
      <c r="D2713" s="5"/>
      <c r="E2713" s="5"/>
      <c r="F2713" s="4"/>
      <c r="G2713" s="4"/>
      <c r="H2713" s="4"/>
      <c r="I2713" s="4"/>
      <c r="J2713" s="4"/>
      <c r="K2713" s="4"/>
    </row>
    <row r="2714" spans="2:11">
      <c r="B2714" s="6"/>
      <c r="C2714" s="24"/>
      <c r="D2714" s="5"/>
      <c r="E2714" s="5"/>
      <c r="F2714" s="4"/>
      <c r="G2714" s="4"/>
      <c r="H2714" s="4"/>
      <c r="I2714" s="4"/>
      <c r="J2714" s="4"/>
      <c r="K2714" s="4"/>
    </row>
    <row r="2715" spans="2:11">
      <c r="B2715" s="6"/>
      <c r="C2715" s="24"/>
      <c r="D2715" s="5"/>
      <c r="E2715" s="5"/>
      <c r="F2715" s="4"/>
      <c r="G2715" s="4"/>
      <c r="H2715" s="4"/>
      <c r="I2715" s="4"/>
      <c r="J2715" s="4"/>
      <c r="K2715" s="4"/>
    </row>
    <row r="2716" spans="2:11">
      <c r="B2716" s="6"/>
      <c r="C2716" s="24"/>
      <c r="D2716" s="5"/>
      <c r="E2716" s="5"/>
      <c r="F2716" s="4"/>
      <c r="G2716" s="4"/>
      <c r="H2716" s="4"/>
      <c r="I2716" s="4"/>
      <c r="J2716" s="4"/>
      <c r="K2716" s="4"/>
    </row>
    <row r="2717" spans="2:11">
      <c r="B2717" s="6"/>
      <c r="C2717" s="24"/>
      <c r="D2717" s="5"/>
      <c r="E2717" s="5"/>
      <c r="F2717" s="4"/>
      <c r="G2717" s="4"/>
      <c r="H2717" s="4"/>
      <c r="I2717" s="4"/>
      <c r="J2717" s="4"/>
      <c r="K2717" s="4"/>
    </row>
    <row r="2718" spans="2:11">
      <c r="B2718" s="6"/>
      <c r="C2718" s="24"/>
      <c r="D2718" s="5"/>
      <c r="E2718" s="5"/>
      <c r="F2718" s="4"/>
      <c r="G2718" s="4"/>
      <c r="H2718" s="4"/>
      <c r="I2718" s="4"/>
      <c r="J2718" s="4"/>
      <c r="K2718" s="4"/>
    </row>
    <row r="2719" spans="2:11">
      <c r="B2719" s="6"/>
      <c r="C2719" s="24"/>
      <c r="D2719" s="5"/>
      <c r="E2719" s="5"/>
      <c r="F2719" s="4"/>
      <c r="G2719" s="4"/>
      <c r="H2719" s="4"/>
      <c r="I2719" s="4"/>
      <c r="J2719" s="4"/>
      <c r="K2719" s="4"/>
    </row>
    <row r="2720" spans="2:11">
      <c r="B2720" s="6"/>
      <c r="C2720" s="24"/>
      <c r="D2720" s="5"/>
      <c r="E2720" s="5"/>
      <c r="F2720" s="4"/>
      <c r="G2720" s="4"/>
      <c r="H2720" s="4"/>
      <c r="I2720" s="4"/>
      <c r="J2720" s="4"/>
      <c r="K2720" s="4"/>
    </row>
    <row r="2721" spans="2:11">
      <c r="B2721" s="6"/>
      <c r="C2721" s="24"/>
      <c r="D2721" s="5"/>
      <c r="E2721" s="5"/>
      <c r="F2721" s="4"/>
      <c r="G2721" s="4"/>
      <c r="H2721" s="4"/>
      <c r="I2721" s="4"/>
      <c r="J2721" s="4"/>
      <c r="K2721" s="4"/>
    </row>
    <row r="2722" spans="2:11">
      <c r="B2722" s="6"/>
      <c r="C2722" s="24"/>
      <c r="D2722" s="5"/>
      <c r="E2722" s="5"/>
      <c r="F2722" s="4"/>
      <c r="G2722" s="4"/>
      <c r="H2722" s="4"/>
      <c r="I2722" s="4"/>
      <c r="J2722" s="4"/>
      <c r="K2722" s="4"/>
    </row>
    <row r="2723" spans="2:11">
      <c r="B2723" s="6"/>
      <c r="C2723" s="24"/>
      <c r="D2723" s="5"/>
      <c r="E2723" s="5"/>
      <c r="F2723" s="4"/>
      <c r="G2723" s="4"/>
      <c r="H2723" s="4"/>
      <c r="I2723" s="4"/>
      <c r="J2723" s="4"/>
      <c r="K2723" s="4"/>
    </row>
    <row r="2724" spans="2:11">
      <c r="B2724" s="6"/>
      <c r="C2724" s="24"/>
      <c r="D2724" s="5"/>
      <c r="E2724" s="5"/>
      <c r="F2724" s="4"/>
      <c r="G2724" s="4"/>
      <c r="H2724" s="4"/>
      <c r="I2724" s="4"/>
      <c r="J2724" s="4"/>
      <c r="K2724" s="4"/>
    </row>
    <row r="2725" spans="2:11">
      <c r="B2725" s="6"/>
      <c r="C2725" s="24"/>
      <c r="D2725" s="5"/>
      <c r="E2725" s="5"/>
      <c r="F2725" s="4"/>
      <c r="G2725" s="4"/>
      <c r="H2725" s="4"/>
      <c r="I2725" s="4"/>
      <c r="J2725" s="4"/>
      <c r="K2725" s="4"/>
    </row>
    <row r="2726" spans="2:11">
      <c r="B2726" s="6"/>
      <c r="C2726" s="24"/>
      <c r="D2726" s="5"/>
      <c r="E2726" s="5"/>
      <c r="F2726" s="4"/>
      <c r="G2726" s="4"/>
      <c r="H2726" s="4"/>
      <c r="I2726" s="4"/>
      <c r="J2726" s="4"/>
      <c r="K2726" s="4"/>
    </row>
    <row r="2727" spans="2:11">
      <c r="B2727" s="6"/>
      <c r="C2727" s="24"/>
      <c r="D2727" s="5"/>
      <c r="E2727" s="5"/>
      <c r="F2727" s="4"/>
      <c r="G2727" s="4"/>
      <c r="H2727" s="4"/>
      <c r="I2727" s="4"/>
      <c r="J2727" s="4"/>
      <c r="K2727" s="4"/>
    </row>
    <row r="2728" spans="2:11">
      <c r="B2728" s="6"/>
      <c r="C2728" s="24"/>
      <c r="D2728" s="5"/>
      <c r="E2728" s="5"/>
      <c r="F2728" s="4"/>
      <c r="G2728" s="4"/>
      <c r="H2728" s="4"/>
      <c r="I2728" s="4"/>
      <c r="J2728" s="4"/>
      <c r="K2728" s="4"/>
    </row>
    <row r="2729" spans="2:11">
      <c r="B2729" s="6"/>
      <c r="C2729" s="24"/>
      <c r="D2729" s="5"/>
      <c r="E2729" s="5"/>
      <c r="F2729" s="4"/>
      <c r="G2729" s="4"/>
      <c r="H2729" s="4"/>
      <c r="I2729" s="4"/>
      <c r="J2729" s="4"/>
      <c r="K2729" s="4"/>
    </row>
    <row r="2730" spans="2:11">
      <c r="B2730" s="6"/>
      <c r="C2730" s="24"/>
      <c r="D2730" s="5"/>
      <c r="E2730" s="5"/>
      <c r="F2730" s="4"/>
      <c r="G2730" s="4"/>
      <c r="H2730" s="4"/>
      <c r="I2730" s="4"/>
      <c r="J2730" s="4"/>
      <c r="K2730" s="4"/>
    </row>
    <row r="2731" spans="2:11">
      <c r="B2731" s="6"/>
      <c r="C2731" s="24"/>
      <c r="D2731" s="5"/>
      <c r="E2731" s="5"/>
      <c r="F2731" s="4"/>
      <c r="G2731" s="4"/>
      <c r="H2731" s="4"/>
      <c r="I2731" s="4"/>
      <c r="J2731" s="4"/>
      <c r="K2731" s="4"/>
    </row>
    <row r="2732" spans="2:11">
      <c r="B2732" s="6"/>
      <c r="C2732" s="24"/>
      <c r="D2732" s="5"/>
      <c r="E2732" s="5"/>
      <c r="F2732" s="4"/>
      <c r="G2732" s="4"/>
      <c r="H2732" s="4"/>
      <c r="I2732" s="4"/>
      <c r="J2732" s="4"/>
      <c r="K2732" s="4"/>
    </row>
    <row r="2733" spans="2:11">
      <c r="B2733" s="6"/>
      <c r="C2733" s="24"/>
      <c r="D2733" s="5"/>
      <c r="E2733" s="5"/>
      <c r="F2733" s="4"/>
      <c r="G2733" s="4"/>
      <c r="H2733" s="4"/>
      <c r="I2733" s="4"/>
      <c r="J2733" s="4"/>
      <c r="K2733" s="4"/>
    </row>
    <row r="2734" spans="2:11">
      <c r="B2734" s="6"/>
      <c r="C2734" s="24"/>
      <c r="D2734" s="5"/>
      <c r="E2734" s="5"/>
      <c r="F2734" s="4"/>
      <c r="G2734" s="4"/>
      <c r="H2734" s="4"/>
      <c r="I2734" s="4"/>
      <c r="J2734" s="4"/>
      <c r="K2734" s="4"/>
    </row>
    <row r="2735" spans="2:11">
      <c r="B2735" s="6"/>
      <c r="C2735" s="24"/>
      <c r="D2735" s="5"/>
      <c r="E2735" s="5"/>
      <c r="F2735" s="4"/>
      <c r="G2735" s="4"/>
      <c r="H2735" s="4"/>
      <c r="I2735" s="4"/>
      <c r="J2735" s="4"/>
      <c r="K2735" s="4"/>
    </row>
    <row r="2736" spans="2:11">
      <c r="B2736" s="6"/>
      <c r="C2736" s="24"/>
      <c r="D2736" s="5"/>
      <c r="E2736" s="5"/>
      <c r="F2736" s="4"/>
      <c r="G2736" s="4"/>
      <c r="H2736" s="4"/>
      <c r="I2736" s="4"/>
      <c r="J2736" s="4"/>
      <c r="K2736" s="4"/>
    </row>
    <row r="2737" spans="2:11">
      <c r="B2737" s="6"/>
      <c r="C2737" s="24"/>
      <c r="D2737" s="5"/>
      <c r="E2737" s="5"/>
      <c r="F2737" s="4"/>
      <c r="G2737" s="4"/>
      <c r="H2737" s="4"/>
      <c r="I2737" s="4"/>
      <c r="J2737" s="4"/>
      <c r="K2737" s="4"/>
    </row>
    <row r="2738" spans="2:11">
      <c r="B2738" s="6"/>
      <c r="C2738" s="24"/>
      <c r="D2738" s="5"/>
      <c r="E2738" s="5"/>
      <c r="F2738" s="4"/>
      <c r="G2738" s="4"/>
      <c r="H2738" s="4"/>
      <c r="I2738" s="4"/>
      <c r="J2738" s="4"/>
      <c r="K2738" s="4"/>
    </row>
    <row r="2739" spans="2:11">
      <c r="B2739" s="6"/>
      <c r="C2739" s="24"/>
      <c r="D2739" s="5"/>
      <c r="E2739" s="5"/>
      <c r="F2739" s="4"/>
      <c r="G2739" s="4"/>
      <c r="H2739" s="4"/>
      <c r="I2739" s="4"/>
      <c r="J2739" s="4"/>
      <c r="K2739" s="4"/>
    </row>
    <row r="2740" spans="2:11">
      <c r="B2740" s="6"/>
      <c r="C2740" s="24"/>
      <c r="D2740" s="5"/>
      <c r="E2740" s="5"/>
      <c r="F2740" s="4"/>
      <c r="G2740" s="4"/>
      <c r="H2740" s="4"/>
      <c r="I2740" s="4"/>
      <c r="J2740" s="4"/>
      <c r="K2740" s="4"/>
    </row>
    <row r="2741" spans="2:11">
      <c r="B2741" s="6"/>
      <c r="C2741" s="24"/>
      <c r="D2741" s="5"/>
      <c r="E2741" s="5"/>
      <c r="F2741" s="4"/>
      <c r="G2741" s="4"/>
      <c r="H2741" s="4"/>
      <c r="I2741" s="4"/>
      <c r="J2741" s="4"/>
      <c r="K2741" s="4"/>
    </row>
    <row r="2742" spans="2:11">
      <c r="B2742" s="6"/>
      <c r="C2742" s="24"/>
      <c r="D2742" s="5"/>
      <c r="E2742" s="5"/>
      <c r="F2742" s="4"/>
      <c r="G2742" s="4"/>
      <c r="H2742" s="4"/>
      <c r="I2742" s="4"/>
      <c r="J2742" s="4"/>
      <c r="K2742" s="4"/>
    </row>
    <row r="2743" spans="2:11">
      <c r="B2743" s="6"/>
      <c r="C2743" s="24"/>
      <c r="D2743" s="5"/>
      <c r="E2743" s="5"/>
      <c r="F2743" s="4"/>
      <c r="G2743" s="4"/>
      <c r="H2743" s="4"/>
      <c r="I2743" s="4"/>
      <c r="J2743" s="4"/>
      <c r="K2743" s="4"/>
    </row>
    <row r="2744" spans="2:11">
      <c r="B2744" s="6"/>
      <c r="C2744" s="24"/>
      <c r="D2744" s="5"/>
      <c r="E2744" s="5"/>
      <c r="F2744" s="4"/>
      <c r="G2744" s="4"/>
      <c r="H2744" s="4"/>
      <c r="I2744" s="4"/>
      <c r="J2744" s="4"/>
      <c r="K2744" s="4"/>
    </row>
    <row r="2745" spans="2:11">
      <c r="B2745" s="6"/>
      <c r="C2745" s="24"/>
      <c r="D2745" s="5"/>
      <c r="E2745" s="5"/>
      <c r="F2745" s="4"/>
      <c r="G2745" s="4"/>
      <c r="H2745" s="4"/>
      <c r="I2745" s="4"/>
      <c r="J2745" s="4"/>
      <c r="K2745" s="4"/>
    </row>
    <row r="2746" spans="2:11">
      <c r="B2746" s="6"/>
      <c r="C2746" s="24"/>
      <c r="D2746" s="5"/>
      <c r="E2746" s="5"/>
      <c r="F2746" s="4"/>
      <c r="G2746" s="4"/>
      <c r="H2746" s="4"/>
      <c r="I2746" s="4"/>
      <c r="J2746" s="4"/>
      <c r="K2746" s="4"/>
    </row>
    <row r="2747" spans="2:11">
      <c r="B2747" s="6"/>
      <c r="C2747" s="24"/>
      <c r="D2747" s="5"/>
      <c r="E2747" s="5"/>
      <c r="F2747" s="4"/>
      <c r="G2747" s="4"/>
      <c r="H2747" s="4"/>
      <c r="I2747" s="4"/>
      <c r="J2747" s="4"/>
      <c r="K2747" s="4"/>
    </row>
    <row r="2748" spans="2:11">
      <c r="B2748" s="6"/>
      <c r="C2748" s="24"/>
      <c r="D2748" s="5"/>
      <c r="E2748" s="5"/>
      <c r="F2748" s="4"/>
      <c r="G2748" s="4"/>
      <c r="H2748" s="4"/>
      <c r="I2748" s="4"/>
      <c r="J2748" s="4"/>
      <c r="K2748" s="4"/>
    </row>
    <row r="2749" spans="2:11">
      <c r="B2749" s="6"/>
      <c r="C2749" s="24"/>
      <c r="D2749" s="5"/>
      <c r="E2749" s="5"/>
      <c r="F2749" s="4"/>
      <c r="G2749" s="4"/>
      <c r="H2749" s="4"/>
      <c r="I2749" s="4"/>
      <c r="J2749" s="4"/>
      <c r="K2749" s="4"/>
    </row>
    <row r="2750" spans="2:11">
      <c r="B2750" s="6"/>
      <c r="C2750" s="24"/>
      <c r="D2750" s="5"/>
      <c r="E2750" s="5"/>
      <c r="F2750" s="4"/>
      <c r="G2750" s="4"/>
      <c r="H2750" s="4"/>
      <c r="I2750" s="4"/>
      <c r="J2750" s="4"/>
      <c r="K2750" s="4"/>
    </row>
    <row r="2751" spans="2:11">
      <c r="B2751" s="6"/>
      <c r="C2751" s="24"/>
      <c r="D2751" s="5"/>
      <c r="E2751" s="5"/>
      <c r="F2751" s="4"/>
      <c r="G2751" s="4"/>
      <c r="H2751" s="4"/>
      <c r="I2751" s="4"/>
      <c r="J2751" s="4"/>
      <c r="K2751" s="4"/>
    </row>
    <row r="2752" spans="2:11">
      <c r="B2752" s="6"/>
      <c r="C2752" s="24"/>
      <c r="D2752" s="5"/>
      <c r="E2752" s="5"/>
      <c r="F2752" s="4"/>
      <c r="G2752" s="4"/>
      <c r="H2752" s="4"/>
      <c r="I2752" s="4"/>
      <c r="J2752" s="4"/>
      <c r="K2752" s="4"/>
    </row>
    <row r="2753" spans="2:11">
      <c r="B2753" s="6"/>
      <c r="C2753" s="24"/>
      <c r="D2753" s="5"/>
      <c r="E2753" s="5"/>
      <c r="F2753" s="4"/>
      <c r="G2753" s="4"/>
      <c r="H2753" s="4"/>
      <c r="I2753" s="4"/>
      <c r="J2753" s="4"/>
      <c r="K2753" s="4"/>
    </row>
    <row r="2754" spans="2:11">
      <c r="B2754" s="6"/>
      <c r="C2754" s="24"/>
      <c r="D2754" s="5"/>
      <c r="E2754" s="5"/>
      <c r="F2754" s="4"/>
      <c r="G2754" s="4"/>
      <c r="H2754" s="4"/>
      <c r="I2754" s="4"/>
      <c r="J2754" s="4"/>
      <c r="K2754" s="4"/>
    </row>
    <row r="2755" spans="2:11">
      <c r="B2755" s="6"/>
      <c r="C2755" s="24"/>
      <c r="D2755" s="5"/>
      <c r="E2755" s="5"/>
      <c r="F2755" s="4"/>
      <c r="G2755" s="4"/>
      <c r="H2755" s="4"/>
      <c r="I2755" s="4"/>
      <c r="J2755" s="4"/>
      <c r="K2755" s="4"/>
    </row>
    <row r="2756" spans="2:11">
      <c r="B2756" s="6"/>
      <c r="C2756" s="24"/>
      <c r="D2756" s="5"/>
      <c r="E2756" s="5"/>
      <c r="F2756" s="4"/>
      <c r="G2756" s="4"/>
      <c r="H2756" s="4"/>
      <c r="I2756" s="4"/>
      <c r="J2756" s="4"/>
      <c r="K2756" s="4"/>
    </row>
    <row r="2757" spans="2:11">
      <c r="B2757" s="6"/>
      <c r="C2757" s="24"/>
      <c r="D2757" s="5"/>
      <c r="E2757" s="5"/>
      <c r="F2757" s="4"/>
      <c r="G2757" s="4"/>
      <c r="H2757" s="4"/>
      <c r="I2757" s="4"/>
      <c r="J2757" s="4"/>
      <c r="K2757" s="4"/>
    </row>
    <row r="2758" spans="2:11">
      <c r="B2758" s="6"/>
      <c r="C2758" s="24"/>
      <c r="D2758" s="5"/>
      <c r="E2758" s="5"/>
      <c r="F2758" s="4"/>
      <c r="G2758" s="4"/>
      <c r="H2758" s="4"/>
      <c r="I2758" s="4"/>
      <c r="J2758" s="4"/>
      <c r="K2758" s="4"/>
    </row>
    <row r="2759" spans="2:11">
      <c r="B2759" s="6"/>
      <c r="C2759" s="24"/>
      <c r="D2759" s="5"/>
      <c r="E2759" s="5"/>
      <c r="F2759" s="4"/>
      <c r="G2759" s="4"/>
      <c r="H2759" s="4"/>
      <c r="I2759" s="4"/>
      <c r="J2759" s="4"/>
      <c r="K2759" s="4"/>
    </row>
    <row r="2760" spans="2:11">
      <c r="B2760" s="6"/>
      <c r="C2760" s="24"/>
      <c r="D2760" s="5"/>
      <c r="E2760" s="5"/>
      <c r="F2760" s="4"/>
      <c r="G2760" s="4"/>
      <c r="H2760" s="4"/>
      <c r="I2760" s="4"/>
      <c r="J2760" s="4"/>
      <c r="K2760" s="4"/>
    </row>
    <row r="2761" spans="2:11">
      <c r="B2761" s="6"/>
      <c r="C2761" s="24"/>
      <c r="D2761" s="5"/>
      <c r="E2761" s="5"/>
      <c r="F2761" s="4"/>
      <c r="G2761" s="4"/>
      <c r="H2761" s="4"/>
      <c r="I2761" s="4"/>
      <c r="J2761" s="4"/>
      <c r="K2761" s="4"/>
    </row>
    <row r="2762" spans="2:11">
      <c r="B2762" s="6"/>
      <c r="C2762" s="24"/>
      <c r="D2762" s="5"/>
      <c r="E2762" s="5"/>
      <c r="F2762" s="4"/>
      <c r="G2762" s="4"/>
      <c r="H2762" s="4"/>
      <c r="I2762" s="4"/>
      <c r="J2762" s="4"/>
      <c r="K2762" s="4"/>
    </row>
    <row r="2763" spans="2:11">
      <c r="B2763" s="6"/>
      <c r="C2763" s="24"/>
      <c r="D2763" s="5"/>
      <c r="E2763" s="5"/>
      <c r="F2763" s="4"/>
      <c r="G2763" s="4"/>
      <c r="H2763" s="4"/>
      <c r="I2763" s="4"/>
      <c r="J2763" s="4"/>
      <c r="K2763" s="4"/>
    </row>
    <row r="2764" spans="2:11">
      <c r="B2764" s="6"/>
      <c r="C2764" s="24"/>
      <c r="D2764" s="5"/>
      <c r="E2764" s="5"/>
      <c r="F2764" s="4"/>
      <c r="G2764" s="4"/>
      <c r="H2764" s="4"/>
      <c r="I2764" s="4"/>
      <c r="J2764" s="4"/>
      <c r="K2764" s="4"/>
    </row>
    <row r="2765" spans="2:11">
      <c r="B2765" s="6"/>
      <c r="C2765" s="24"/>
      <c r="D2765" s="5"/>
      <c r="E2765" s="5"/>
      <c r="F2765" s="4"/>
      <c r="G2765" s="4"/>
      <c r="H2765" s="4"/>
      <c r="I2765" s="4"/>
      <c r="J2765" s="4"/>
      <c r="K2765" s="4"/>
    </row>
    <row r="2766" spans="2:11">
      <c r="B2766" s="6"/>
      <c r="C2766" s="24"/>
      <c r="D2766" s="5"/>
      <c r="E2766" s="5"/>
      <c r="F2766" s="4"/>
      <c r="G2766" s="4"/>
      <c r="H2766" s="4"/>
      <c r="I2766" s="4"/>
      <c r="J2766" s="4"/>
      <c r="K2766" s="4"/>
    </row>
    <row r="2767" spans="2:11">
      <c r="B2767" s="6"/>
      <c r="C2767" s="24"/>
      <c r="D2767" s="5"/>
      <c r="E2767" s="5"/>
      <c r="F2767" s="4"/>
      <c r="G2767" s="4"/>
      <c r="H2767" s="4"/>
      <c r="I2767" s="4"/>
      <c r="J2767" s="4"/>
      <c r="K2767" s="4"/>
    </row>
    <row r="2768" spans="2:11">
      <c r="B2768" s="6"/>
      <c r="C2768" s="24"/>
      <c r="D2768" s="5"/>
      <c r="E2768" s="5"/>
      <c r="F2768" s="4"/>
      <c r="G2768" s="4"/>
      <c r="H2768" s="4"/>
      <c r="I2768" s="4"/>
      <c r="J2768" s="4"/>
      <c r="K2768" s="4"/>
    </row>
    <row r="2769" spans="2:11">
      <c r="B2769" s="6"/>
      <c r="C2769" s="24"/>
      <c r="D2769" s="5"/>
      <c r="E2769" s="5"/>
      <c r="F2769" s="4"/>
      <c r="G2769" s="4"/>
      <c r="H2769" s="4"/>
      <c r="I2769" s="4"/>
      <c r="J2769" s="4"/>
      <c r="K2769" s="4"/>
    </row>
    <row r="2770" spans="2:11">
      <c r="B2770" s="6"/>
      <c r="C2770" s="24"/>
      <c r="D2770" s="5"/>
      <c r="E2770" s="5"/>
      <c r="F2770" s="4"/>
      <c r="G2770" s="4"/>
      <c r="H2770" s="4"/>
      <c r="I2770" s="4"/>
      <c r="J2770" s="4"/>
      <c r="K2770" s="4"/>
    </row>
    <row r="2771" spans="2:11">
      <c r="B2771" s="6"/>
      <c r="C2771" s="24"/>
      <c r="D2771" s="5"/>
      <c r="E2771" s="5"/>
      <c r="F2771" s="4"/>
      <c r="G2771" s="4"/>
      <c r="H2771" s="4"/>
      <c r="I2771" s="4"/>
      <c r="J2771" s="4"/>
      <c r="K2771" s="4"/>
    </row>
    <row r="2772" spans="2:11">
      <c r="B2772" s="6"/>
      <c r="C2772" s="24"/>
      <c r="D2772" s="5"/>
      <c r="E2772" s="5"/>
      <c r="F2772" s="4"/>
      <c r="G2772" s="4"/>
      <c r="H2772" s="4"/>
      <c r="I2772" s="4"/>
      <c r="J2772" s="4"/>
      <c r="K2772" s="4"/>
    </row>
    <row r="2773" spans="2:11">
      <c r="B2773" s="6"/>
      <c r="C2773" s="24"/>
      <c r="D2773" s="5"/>
      <c r="E2773" s="5"/>
      <c r="F2773" s="4"/>
      <c r="G2773" s="4"/>
      <c r="H2773" s="4"/>
      <c r="I2773" s="4"/>
      <c r="J2773" s="4"/>
      <c r="K2773" s="4"/>
    </row>
    <row r="2774" spans="2:11">
      <c r="B2774" s="6"/>
      <c r="C2774" s="24"/>
      <c r="D2774" s="5"/>
      <c r="E2774" s="5"/>
      <c r="F2774" s="4"/>
      <c r="G2774" s="4"/>
      <c r="H2774" s="4"/>
      <c r="I2774" s="4"/>
      <c r="J2774" s="4"/>
      <c r="K2774" s="4"/>
    </row>
    <row r="2775" spans="2:11">
      <c r="B2775" s="6"/>
      <c r="C2775" s="24"/>
      <c r="D2775" s="5"/>
      <c r="E2775" s="5"/>
      <c r="F2775" s="4"/>
      <c r="G2775" s="4"/>
      <c r="H2775" s="4"/>
      <c r="I2775" s="4"/>
      <c r="J2775" s="4"/>
      <c r="K2775" s="4"/>
    </row>
    <row r="2776" spans="2:11">
      <c r="B2776" s="6"/>
      <c r="C2776" s="24"/>
      <c r="D2776" s="5"/>
      <c r="E2776" s="5"/>
      <c r="F2776" s="4"/>
      <c r="G2776" s="4"/>
      <c r="H2776" s="4"/>
      <c r="I2776" s="4"/>
      <c r="J2776" s="4"/>
      <c r="K2776" s="4"/>
    </row>
    <row r="2777" spans="2:11">
      <c r="B2777" s="6"/>
      <c r="C2777" s="24"/>
      <c r="D2777" s="5"/>
      <c r="E2777" s="5"/>
      <c r="F2777" s="4"/>
      <c r="G2777" s="4"/>
      <c r="H2777" s="4"/>
      <c r="I2777" s="4"/>
      <c r="J2777" s="4"/>
      <c r="K2777" s="4"/>
    </row>
    <row r="2778" spans="2:11">
      <c r="B2778" s="6"/>
      <c r="C2778" s="24"/>
      <c r="D2778" s="5"/>
      <c r="E2778" s="5"/>
      <c r="F2778" s="4"/>
      <c r="G2778" s="4"/>
      <c r="H2778" s="4"/>
      <c r="I2778" s="4"/>
      <c r="J2778" s="4"/>
      <c r="K2778" s="4"/>
    </row>
    <row r="2779" spans="2:11">
      <c r="B2779" s="6"/>
      <c r="C2779" s="24"/>
      <c r="D2779" s="5"/>
      <c r="E2779" s="5"/>
      <c r="F2779" s="4"/>
      <c r="G2779" s="4"/>
      <c r="H2779" s="4"/>
      <c r="I2779" s="4"/>
      <c r="J2779" s="4"/>
      <c r="K2779" s="4"/>
    </row>
    <row r="2780" spans="2:11">
      <c r="B2780" s="6"/>
      <c r="C2780" s="24"/>
      <c r="D2780" s="5"/>
      <c r="E2780" s="5"/>
      <c r="F2780" s="4"/>
      <c r="G2780" s="4"/>
      <c r="H2780" s="4"/>
      <c r="I2780" s="4"/>
      <c r="J2780" s="4"/>
      <c r="K2780" s="4"/>
    </row>
    <row r="2781" spans="2:11">
      <c r="B2781" s="6"/>
      <c r="C2781" s="24"/>
      <c r="D2781" s="5"/>
      <c r="E2781" s="5"/>
      <c r="F2781" s="4"/>
      <c r="G2781" s="4"/>
      <c r="H2781" s="4"/>
      <c r="I2781" s="4"/>
      <c r="J2781" s="4"/>
      <c r="K2781" s="4"/>
    </row>
    <row r="2782" spans="2:11">
      <c r="B2782" s="6"/>
      <c r="C2782" s="24"/>
      <c r="D2782" s="5"/>
      <c r="E2782" s="5"/>
      <c r="F2782" s="4"/>
      <c r="G2782" s="4"/>
      <c r="H2782" s="4"/>
      <c r="I2782" s="4"/>
      <c r="J2782" s="4"/>
      <c r="K2782" s="4"/>
    </row>
    <row r="2783" spans="2:11">
      <c r="B2783" s="6"/>
      <c r="C2783" s="24"/>
      <c r="D2783" s="5"/>
      <c r="E2783" s="5"/>
      <c r="F2783" s="4"/>
      <c r="G2783" s="4"/>
      <c r="H2783" s="4"/>
      <c r="I2783" s="4"/>
      <c r="J2783" s="4"/>
      <c r="K2783" s="4"/>
    </row>
    <row r="2784" spans="2:11">
      <c r="B2784" s="6"/>
      <c r="C2784" s="24"/>
      <c r="D2784" s="5"/>
      <c r="E2784" s="5"/>
      <c r="F2784" s="4"/>
      <c r="G2784" s="4"/>
      <c r="H2784" s="4"/>
      <c r="I2784" s="4"/>
      <c r="J2784" s="4"/>
      <c r="K2784" s="4"/>
    </row>
    <row r="2785" spans="2:11">
      <c r="B2785" s="6"/>
      <c r="C2785" s="24"/>
      <c r="D2785" s="5"/>
      <c r="E2785" s="5"/>
      <c r="F2785" s="4"/>
      <c r="G2785" s="4"/>
      <c r="H2785" s="4"/>
      <c r="I2785" s="4"/>
      <c r="J2785" s="4"/>
      <c r="K2785" s="4"/>
    </row>
    <row r="2786" spans="2:11">
      <c r="B2786" s="6"/>
      <c r="C2786" s="24"/>
      <c r="D2786" s="5"/>
      <c r="E2786" s="5"/>
      <c r="F2786" s="4"/>
      <c r="G2786" s="4"/>
      <c r="H2786" s="4"/>
      <c r="I2786" s="4"/>
      <c r="J2786" s="4"/>
      <c r="K2786" s="4"/>
    </row>
    <row r="2787" spans="2:11">
      <c r="B2787" s="6"/>
      <c r="C2787" s="24"/>
      <c r="D2787" s="5"/>
      <c r="E2787" s="5"/>
      <c r="F2787" s="4"/>
      <c r="G2787" s="4"/>
      <c r="H2787" s="4"/>
      <c r="I2787" s="4"/>
      <c r="J2787" s="4"/>
      <c r="K2787" s="4"/>
    </row>
    <row r="2788" spans="2:11">
      <c r="B2788" s="6"/>
      <c r="C2788" s="24"/>
      <c r="D2788" s="5"/>
      <c r="E2788" s="5"/>
      <c r="F2788" s="4"/>
      <c r="G2788" s="4"/>
      <c r="H2788" s="4"/>
      <c r="I2788" s="4"/>
      <c r="J2788" s="4"/>
      <c r="K2788" s="4"/>
    </row>
    <row r="2789" spans="2:11">
      <c r="B2789" s="6"/>
      <c r="C2789" s="24"/>
      <c r="D2789" s="5"/>
      <c r="E2789" s="5"/>
      <c r="F2789" s="4"/>
      <c r="G2789" s="4"/>
      <c r="H2789" s="4"/>
      <c r="I2789" s="4"/>
      <c r="J2789" s="4"/>
      <c r="K2789" s="4"/>
    </row>
    <row r="2790" spans="2:11">
      <c r="B2790" s="6"/>
      <c r="C2790" s="24"/>
      <c r="D2790" s="5"/>
      <c r="E2790" s="5"/>
      <c r="F2790" s="4"/>
      <c r="G2790" s="4"/>
      <c r="H2790" s="4"/>
      <c r="I2790" s="4"/>
      <c r="J2790" s="4"/>
      <c r="K2790" s="4"/>
    </row>
    <row r="2791" spans="2:11">
      <c r="B2791" s="6"/>
      <c r="C2791" s="24"/>
      <c r="D2791" s="5"/>
      <c r="E2791" s="5"/>
      <c r="F2791" s="4"/>
      <c r="G2791" s="4"/>
      <c r="H2791" s="4"/>
      <c r="I2791" s="4"/>
      <c r="J2791" s="4"/>
      <c r="K2791" s="4"/>
    </row>
    <row r="2792" spans="2:11">
      <c r="B2792" s="6"/>
      <c r="C2792" s="24"/>
      <c r="D2792" s="5"/>
      <c r="E2792" s="5"/>
      <c r="F2792" s="4"/>
      <c r="G2792" s="4"/>
      <c r="H2792" s="4"/>
      <c r="I2792" s="4"/>
      <c r="J2792" s="4"/>
      <c r="K2792" s="4"/>
    </row>
    <row r="2793" spans="2:11">
      <c r="B2793" s="6"/>
      <c r="C2793" s="24"/>
      <c r="D2793" s="5"/>
      <c r="E2793" s="5"/>
      <c r="F2793" s="4"/>
      <c r="G2793" s="4"/>
      <c r="H2793" s="4"/>
      <c r="I2793" s="4"/>
      <c r="J2793" s="4"/>
      <c r="K2793" s="4"/>
    </row>
    <row r="2794" spans="2:11">
      <c r="B2794" s="6"/>
      <c r="C2794" s="24"/>
      <c r="D2794" s="5"/>
      <c r="E2794" s="5"/>
      <c r="F2794" s="4"/>
      <c r="G2794" s="4"/>
      <c r="H2794" s="4"/>
      <c r="I2794" s="4"/>
      <c r="J2794" s="4"/>
      <c r="K2794" s="4"/>
    </row>
    <row r="2795" spans="2:11">
      <c r="B2795" s="6"/>
      <c r="C2795" s="24"/>
      <c r="D2795" s="5"/>
      <c r="E2795" s="5"/>
      <c r="F2795" s="4"/>
      <c r="G2795" s="4"/>
      <c r="H2795" s="4"/>
      <c r="I2795" s="4"/>
      <c r="J2795" s="4"/>
      <c r="K2795" s="4"/>
    </row>
    <row r="2796" spans="2:11">
      <c r="B2796" s="6"/>
      <c r="C2796" s="24"/>
      <c r="D2796" s="5"/>
      <c r="E2796" s="5"/>
      <c r="F2796" s="4"/>
      <c r="G2796" s="4"/>
      <c r="H2796" s="4"/>
      <c r="I2796" s="4"/>
      <c r="J2796" s="4"/>
      <c r="K2796" s="4"/>
    </row>
    <row r="2797" spans="2:11">
      <c r="B2797" s="6"/>
      <c r="C2797" s="24"/>
      <c r="D2797" s="5"/>
      <c r="E2797" s="5"/>
      <c r="F2797" s="4"/>
      <c r="G2797" s="4"/>
      <c r="H2797" s="4"/>
      <c r="I2797" s="4"/>
      <c r="J2797" s="4"/>
      <c r="K2797" s="4"/>
    </row>
    <row r="2798" spans="2:11">
      <c r="B2798" s="6"/>
      <c r="C2798" s="24"/>
      <c r="D2798" s="5"/>
      <c r="E2798" s="5"/>
      <c r="F2798" s="4"/>
      <c r="G2798" s="4"/>
      <c r="H2798" s="4"/>
      <c r="I2798" s="4"/>
      <c r="J2798" s="4"/>
      <c r="K2798" s="4"/>
    </row>
    <row r="2799" spans="2:11">
      <c r="B2799" s="6"/>
      <c r="C2799" s="24"/>
      <c r="D2799" s="5"/>
      <c r="E2799" s="5"/>
      <c r="F2799" s="4"/>
      <c r="G2799" s="4"/>
      <c r="H2799" s="4"/>
      <c r="I2799" s="4"/>
      <c r="J2799" s="4"/>
      <c r="K2799" s="4"/>
    </row>
    <row r="2800" spans="2:11">
      <c r="B2800" s="6"/>
      <c r="C2800" s="24"/>
      <c r="D2800" s="5"/>
      <c r="E2800" s="5"/>
      <c r="F2800" s="4"/>
      <c r="G2800" s="4"/>
      <c r="H2800" s="4"/>
      <c r="I2800" s="4"/>
      <c r="J2800" s="4"/>
      <c r="K2800" s="4"/>
    </row>
    <row r="2801" spans="2:11">
      <c r="B2801" s="6"/>
      <c r="C2801" s="24"/>
      <c r="D2801" s="5"/>
      <c r="E2801" s="5"/>
      <c r="F2801" s="4"/>
      <c r="G2801" s="4"/>
      <c r="H2801" s="4"/>
      <c r="I2801" s="4"/>
      <c r="J2801" s="4"/>
      <c r="K2801" s="4"/>
    </row>
    <row r="2802" spans="2:11">
      <c r="B2802" s="6"/>
      <c r="C2802" s="24"/>
      <c r="D2802" s="5"/>
      <c r="E2802" s="5"/>
      <c r="F2802" s="4"/>
      <c r="G2802" s="4"/>
      <c r="H2802" s="4"/>
      <c r="I2802" s="4"/>
      <c r="J2802" s="4"/>
      <c r="K2802" s="4"/>
    </row>
    <row r="2803" spans="2:11">
      <c r="B2803" s="6"/>
      <c r="C2803" s="24"/>
      <c r="D2803" s="5"/>
      <c r="E2803" s="5"/>
      <c r="F2803" s="4"/>
      <c r="G2803" s="4"/>
      <c r="H2803" s="4"/>
      <c r="I2803" s="4"/>
      <c r="J2803" s="4"/>
      <c r="K2803" s="4"/>
    </row>
    <row r="2804" spans="2:11">
      <c r="B2804" s="6"/>
      <c r="C2804" s="24"/>
      <c r="D2804" s="5"/>
      <c r="E2804" s="5"/>
      <c r="F2804" s="4"/>
      <c r="G2804" s="4"/>
      <c r="H2804" s="4"/>
      <c r="I2804" s="4"/>
      <c r="J2804" s="4"/>
      <c r="K2804" s="4"/>
    </row>
    <row r="2805" spans="2:11">
      <c r="B2805" s="6"/>
      <c r="C2805" s="24"/>
      <c r="D2805" s="5"/>
      <c r="E2805" s="5"/>
      <c r="F2805" s="4"/>
      <c r="G2805" s="4"/>
      <c r="H2805" s="4"/>
      <c r="I2805" s="4"/>
      <c r="J2805" s="4"/>
      <c r="K2805" s="4"/>
    </row>
    <row r="2806" spans="2:11">
      <c r="B2806" s="6"/>
      <c r="C2806" s="24"/>
      <c r="D2806" s="5"/>
      <c r="E2806" s="5"/>
      <c r="F2806" s="4"/>
      <c r="G2806" s="4"/>
      <c r="H2806" s="4"/>
      <c r="I2806" s="4"/>
      <c r="J2806" s="4"/>
      <c r="K2806" s="4"/>
    </row>
    <row r="2807" spans="2:11">
      <c r="B2807" s="6"/>
      <c r="C2807" s="24"/>
      <c r="D2807" s="5"/>
      <c r="E2807" s="5"/>
      <c r="F2807" s="4"/>
      <c r="G2807" s="4"/>
      <c r="H2807" s="4"/>
      <c r="I2807" s="4"/>
      <c r="J2807" s="4"/>
      <c r="K2807" s="4"/>
    </row>
    <row r="2808" spans="2:11">
      <c r="B2808" s="6"/>
      <c r="C2808" s="24"/>
      <c r="D2808" s="5"/>
      <c r="E2808" s="5"/>
      <c r="F2808" s="4"/>
      <c r="G2808" s="4"/>
      <c r="H2808" s="4"/>
      <c r="I2808" s="4"/>
      <c r="J2808" s="4"/>
      <c r="K2808" s="4"/>
    </row>
    <row r="2809" spans="2:11">
      <c r="B2809" s="6"/>
      <c r="C2809" s="24"/>
      <c r="D2809" s="5"/>
      <c r="E2809" s="5"/>
      <c r="F2809" s="4"/>
      <c r="G2809" s="4"/>
      <c r="H2809" s="4"/>
      <c r="I2809" s="4"/>
      <c r="J2809" s="4"/>
      <c r="K2809" s="4"/>
    </row>
    <row r="2810" spans="2:11">
      <c r="B2810" s="6"/>
      <c r="C2810" s="24"/>
      <c r="D2810" s="5"/>
      <c r="E2810" s="5"/>
      <c r="F2810" s="4"/>
      <c r="G2810" s="4"/>
      <c r="H2810" s="4"/>
      <c r="I2810" s="4"/>
      <c r="J2810" s="4"/>
      <c r="K2810" s="4"/>
    </row>
    <row r="2811" spans="2:11">
      <c r="B2811" s="6"/>
      <c r="C2811" s="24"/>
      <c r="D2811" s="5"/>
      <c r="E2811" s="5"/>
      <c r="F2811" s="4"/>
      <c r="G2811" s="4"/>
      <c r="H2811" s="4"/>
      <c r="I2811" s="4"/>
      <c r="J2811" s="4"/>
      <c r="K2811" s="4"/>
    </row>
    <row r="2812" spans="2:11">
      <c r="B2812" s="6"/>
      <c r="C2812" s="24"/>
      <c r="D2812" s="5"/>
      <c r="E2812" s="5"/>
      <c r="F2812" s="4"/>
      <c r="G2812" s="4"/>
      <c r="H2812" s="4"/>
      <c r="I2812" s="4"/>
      <c r="J2812" s="4"/>
      <c r="K2812" s="4"/>
    </row>
    <row r="2813" spans="2:11">
      <c r="B2813" s="6"/>
      <c r="C2813" s="24"/>
      <c r="D2813" s="5"/>
      <c r="E2813" s="5"/>
      <c r="F2813" s="4"/>
      <c r="G2813" s="4"/>
      <c r="H2813" s="4"/>
      <c r="I2813" s="4"/>
      <c r="J2813" s="4"/>
      <c r="K2813" s="4"/>
    </row>
    <row r="2814" spans="2:11">
      <c r="B2814" s="6"/>
      <c r="C2814" s="24"/>
      <c r="D2814" s="5"/>
      <c r="E2814" s="5"/>
      <c r="F2814" s="4"/>
      <c r="G2814" s="4"/>
      <c r="H2814" s="4"/>
      <c r="I2814" s="4"/>
      <c r="J2814" s="4"/>
      <c r="K2814" s="4"/>
    </row>
    <row r="2815" spans="2:11">
      <c r="B2815" s="6"/>
      <c r="C2815" s="24"/>
      <c r="D2815" s="5"/>
      <c r="E2815" s="5"/>
      <c r="F2815" s="4"/>
      <c r="G2815" s="4"/>
      <c r="H2815" s="4"/>
      <c r="I2815" s="4"/>
      <c r="J2815" s="4"/>
      <c r="K2815" s="4"/>
    </row>
    <row r="2816" spans="2:11">
      <c r="B2816" s="6"/>
      <c r="C2816" s="24"/>
      <c r="D2816" s="5"/>
      <c r="E2816" s="5"/>
      <c r="F2816" s="4"/>
      <c r="G2816" s="4"/>
      <c r="H2816" s="4"/>
      <c r="I2816" s="4"/>
      <c r="J2816" s="4"/>
      <c r="K2816" s="4"/>
    </row>
    <row r="2817" spans="2:11">
      <c r="B2817" s="6"/>
      <c r="C2817" s="24"/>
      <c r="D2817" s="5"/>
      <c r="E2817" s="5"/>
      <c r="F2817" s="4"/>
      <c r="G2817" s="4"/>
      <c r="H2817" s="4"/>
      <c r="I2817" s="4"/>
      <c r="J2817" s="4"/>
      <c r="K2817" s="4"/>
    </row>
    <row r="2818" spans="2:11">
      <c r="B2818" s="6"/>
      <c r="C2818" s="24"/>
      <c r="D2818" s="5"/>
      <c r="E2818" s="5"/>
      <c r="F2818" s="4"/>
      <c r="G2818" s="4"/>
      <c r="H2818" s="4"/>
      <c r="I2818" s="4"/>
      <c r="J2818" s="4"/>
      <c r="K2818" s="4"/>
    </row>
    <row r="2819" spans="2:11">
      <c r="B2819" s="6"/>
      <c r="C2819" s="24"/>
      <c r="D2819" s="5"/>
      <c r="E2819" s="5"/>
      <c r="F2819" s="4"/>
      <c r="G2819" s="4"/>
      <c r="H2819" s="4"/>
      <c r="I2819" s="4"/>
      <c r="J2819" s="4"/>
      <c r="K2819" s="4"/>
    </row>
    <row r="2820" spans="2:11">
      <c r="B2820" s="6"/>
      <c r="C2820" s="24"/>
      <c r="D2820" s="5"/>
      <c r="E2820" s="5"/>
      <c r="F2820" s="4"/>
      <c r="G2820" s="4"/>
      <c r="H2820" s="4"/>
      <c r="I2820" s="4"/>
      <c r="J2820" s="4"/>
      <c r="K2820" s="4"/>
    </row>
    <row r="2821" spans="2:11">
      <c r="B2821" s="6"/>
      <c r="C2821" s="24"/>
      <c r="D2821" s="5"/>
      <c r="E2821" s="5"/>
      <c r="F2821" s="4"/>
      <c r="G2821" s="4"/>
      <c r="H2821" s="4"/>
      <c r="I2821" s="4"/>
      <c r="J2821" s="4"/>
      <c r="K2821" s="4"/>
    </row>
    <row r="2822" spans="2:11">
      <c r="B2822" s="6"/>
      <c r="C2822" s="24"/>
      <c r="D2822" s="5"/>
      <c r="E2822" s="5"/>
      <c r="F2822" s="4"/>
      <c r="G2822" s="4"/>
      <c r="H2822" s="4"/>
      <c r="I2822" s="4"/>
      <c r="J2822" s="4"/>
      <c r="K2822" s="4"/>
    </row>
    <row r="2823" spans="2:11">
      <c r="B2823" s="6"/>
      <c r="C2823" s="24"/>
      <c r="D2823" s="5"/>
      <c r="E2823" s="5"/>
      <c r="F2823" s="4"/>
      <c r="G2823" s="4"/>
      <c r="H2823" s="4"/>
      <c r="I2823" s="4"/>
      <c r="J2823" s="4"/>
      <c r="K2823" s="4"/>
    </row>
    <row r="2824" spans="2:11">
      <c r="B2824" s="6"/>
      <c r="C2824" s="24"/>
      <c r="D2824" s="5"/>
      <c r="E2824" s="5"/>
      <c r="F2824" s="4"/>
      <c r="G2824" s="4"/>
      <c r="H2824" s="4"/>
      <c r="I2824" s="4"/>
      <c r="J2824" s="4"/>
      <c r="K2824" s="4"/>
    </row>
    <row r="2825" spans="2:11">
      <c r="B2825" s="6"/>
      <c r="C2825" s="24"/>
      <c r="D2825" s="5"/>
      <c r="E2825" s="5"/>
      <c r="F2825" s="4"/>
      <c r="G2825" s="4"/>
      <c r="H2825" s="4"/>
      <c r="I2825" s="4"/>
      <c r="J2825" s="4"/>
      <c r="K2825" s="4"/>
    </row>
    <row r="2826" spans="2:11">
      <c r="B2826" s="6"/>
      <c r="C2826" s="24"/>
      <c r="D2826" s="5"/>
      <c r="E2826" s="5"/>
      <c r="F2826" s="4"/>
      <c r="G2826" s="4"/>
      <c r="H2826" s="4"/>
      <c r="I2826" s="4"/>
      <c r="J2826" s="4"/>
      <c r="K2826" s="4"/>
    </row>
  </sheetData>
  <sheetProtection algorithmName="SHA-512" hashValue="DpGSlktg8k0Hp5afFb5NAxokJ2+eZdqaYXlZAdbPdzakUq/crDEAId+y+7MUm2gd2z/3DdNpcOHabzqXZrzEcQ==" saltValue="1zNfGdJD5P6AKCtjsaBjeQ==" spinCount="100000" sheet="1" formatCells="0" formatRows="0" sort="0" autoFilter="0"/>
  <protectedRanges>
    <protectedRange sqref="H434:H435 H14:H273" name="Rango1"/>
  </protectedRanges>
  <autoFilter ref="C13:K430" xr:uid="{00000000-0001-0000-0000-000000000000}"/>
  <mergeCells count="14">
    <mergeCell ref="C2:K2"/>
    <mergeCell ref="C4:K4"/>
    <mergeCell ref="E1:G1"/>
    <mergeCell ref="F440:G441"/>
    <mergeCell ref="F438:G438"/>
    <mergeCell ref="H440:H441"/>
    <mergeCell ref="F436:G436"/>
    <mergeCell ref="D6:E6"/>
    <mergeCell ref="D7:E7"/>
    <mergeCell ref="D8:E8"/>
    <mergeCell ref="D9:E9"/>
    <mergeCell ref="D10:E10"/>
    <mergeCell ref="D11:E11"/>
    <mergeCell ref="F3:H3"/>
  </mergeCells>
  <phoneticPr fontId="17" type="noConversion"/>
  <conditionalFormatting sqref="C14:C273 E236:F431 D14:F430">
    <cfRule type="containsText" dxfId="2" priority="16" operator="containsText" text="SERA BORRADO">
      <formula>NOT(ISERROR(SEARCH("SERA BORRADO",C14)))</formula>
    </cfRule>
  </conditionalFormatting>
  <conditionalFormatting sqref="C14:C431">
    <cfRule type="duplicateValues" dxfId="1" priority="28"/>
  </conditionalFormatting>
  <printOptions verticalCentered="1"/>
  <pageMargins left="0.70866141732283472" right="0.70866141732283472" top="0.74803149606299213" bottom="0.74803149606299213" header="0.31496062992125984" footer="0.31496062992125984"/>
  <pageSetup scale="10" orientation="portrait" r:id="rId1"/>
  <headerFooter>
    <oddFooter>&amp;CWinhouse-chile, Tucapel 1540, La Pintana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EF032-4644-424E-85AD-F723E350A6CA}">
  <sheetPr codeName="Hoja2"/>
  <dimension ref="A1:K2738"/>
  <sheetViews>
    <sheetView showGridLines="0" topLeftCell="A75" zoomScale="80" zoomScaleNormal="80" workbookViewId="0">
      <selection activeCell="D120" sqref="D120"/>
    </sheetView>
  </sheetViews>
  <sheetFormatPr baseColWidth="10" defaultColWidth="11.42578125" defaultRowHeight="15"/>
  <cols>
    <col min="1" max="1" width="2.7109375" style="2" customWidth="1"/>
    <col min="2" max="2" width="5.7109375" style="3" customWidth="1"/>
    <col min="3" max="3" width="25.7109375" style="23" customWidth="1"/>
    <col min="4" max="4" width="63.7109375" style="7" customWidth="1"/>
    <col min="5" max="5" width="20.5703125" style="7" customWidth="1"/>
    <col min="6" max="6" width="28.7109375" style="2" customWidth="1"/>
    <col min="7" max="7" width="20.7109375" style="2" customWidth="1"/>
    <col min="8" max="8" width="35.7109375" style="2" customWidth="1"/>
    <col min="9" max="9" width="32.7109375" style="2" customWidth="1"/>
    <col min="10" max="11" width="23.5703125" style="2" hidden="1" customWidth="1"/>
  </cols>
  <sheetData>
    <row r="1" spans="1:11" ht="23.25" customHeight="1">
      <c r="B1" s="1"/>
      <c r="D1" s="2"/>
      <c r="E1" s="113" t="s">
        <v>0</v>
      </c>
      <c r="F1" s="114"/>
      <c r="G1" s="114"/>
      <c r="H1" s="16">
        <f>H119</f>
        <v>0</v>
      </c>
      <c r="I1" s="9"/>
      <c r="J1" s="9"/>
      <c r="K1" s="9"/>
    </row>
    <row r="2" spans="1:11" ht="48.75" customHeight="1">
      <c r="B2" s="8"/>
      <c r="C2" s="105"/>
      <c r="D2" s="105"/>
      <c r="E2" s="105"/>
      <c r="F2" s="105"/>
      <c r="G2" s="105"/>
      <c r="H2" s="105"/>
      <c r="I2" s="105"/>
      <c r="J2" s="105"/>
      <c r="K2" s="105"/>
    </row>
    <row r="3" spans="1:11" ht="48.75" customHeight="1">
      <c r="B3" s="8"/>
      <c r="C3" s="43"/>
      <c r="D3" s="43"/>
      <c r="E3" s="43"/>
      <c r="F3" s="117" t="str">
        <f>F119</f>
        <v>Peso Total Pedido en Kg</v>
      </c>
      <c r="G3" s="117"/>
      <c r="H3" s="118"/>
      <c r="I3" s="46">
        <f>H119</f>
        <v>0</v>
      </c>
      <c r="J3" s="43"/>
      <c r="K3" s="43"/>
    </row>
    <row r="4" spans="1:11" ht="28.5" customHeight="1">
      <c r="B4" s="8"/>
      <c r="C4" s="106"/>
      <c r="D4" s="106"/>
      <c r="E4" s="106"/>
      <c r="F4" s="106"/>
      <c r="G4" s="106"/>
      <c r="H4" s="106"/>
      <c r="I4" s="106"/>
      <c r="J4" s="106"/>
      <c r="K4" s="106"/>
    </row>
    <row r="5" spans="1:11" ht="21" customHeight="1" thickBot="1">
      <c r="B5" s="8"/>
      <c r="C5" s="44"/>
      <c r="D5" s="44"/>
      <c r="E5" s="44"/>
      <c r="F5" s="44"/>
      <c r="G5" s="44"/>
      <c r="H5" s="44"/>
      <c r="I5" s="44"/>
      <c r="J5" s="44"/>
      <c r="K5" s="44"/>
    </row>
    <row r="6" spans="1:11" ht="15" customHeight="1">
      <c r="B6" s="1"/>
      <c r="C6" s="34" t="s">
        <v>1</v>
      </c>
      <c r="D6" s="107"/>
      <c r="E6" s="109"/>
      <c r="F6" s="17"/>
      <c r="G6" s="17"/>
      <c r="I6" s="14"/>
      <c r="J6" s="14"/>
      <c r="K6" s="14"/>
    </row>
    <row r="7" spans="1:11" ht="15" customHeight="1">
      <c r="B7" s="1"/>
      <c r="C7" s="35" t="s">
        <v>2</v>
      </c>
      <c r="D7" s="110"/>
      <c r="E7" s="112"/>
      <c r="F7" s="18"/>
      <c r="G7" s="18"/>
      <c r="H7"/>
      <c r="I7" s="15"/>
      <c r="J7" s="15"/>
      <c r="K7" s="15"/>
    </row>
    <row r="8" spans="1:11" ht="15" customHeight="1">
      <c r="B8" s="1"/>
      <c r="C8" s="35" t="s">
        <v>3</v>
      </c>
      <c r="D8" s="110"/>
      <c r="E8" s="112"/>
      <c r="F8" s="19"/>
      <c r="G8" s="19"/>
      <c r="H8"/>
      <c r="I8" s="15"/>
      <c r="J8" s="15"/>
      <c r="K8" s="15"/>
    </row>
    <row r="9" spans="1:11" ht="15" customHeight="1">
      <c r="B9" s="1"/>
      <c r="C9" s="35" t="s">
        <v>4</v>
      </c>
      <c r="D9" s="110"/>
      <c r="E9" s="112"/>
      <c r="F9" s="15"/>
      <c r="G9" s="15"/>
      <c r="H9"/>
      <c r="I9" s="15"/>
      <c r="J9" s="15"/>
      <c r="K9" s="15"/>
    </row>
    <row r="10" spans="1:11" ht="15" customHeight="1">
      <c r="B10" s="1"/>
      <c r="C10" s="35" t="s">
        <v>5</v>
      </c>
      <c r="D10" s="110"/>
      <c r="E10" s="112"/>
      <c r="F10" s="15"/>
      <c r="G10" s="15"/>
      <c r="H10"/>
      <c r="I10" s="15"/>
      <c r="J10" s="15"/>
      <c r="K10" s="15"/>
    </row>
    <row r="11" spans="1:11" ht="15" customHeight="1">
      <c r="B11" s="1"/>
      <c r="C11" s="35" t="s">
        <v>6</v>
      </c>
      <c r="D11" s="110"/>
      <c r="E11" s="112"/>
      <c r="F11" s="15"/>
      <c r="G11" s="15"/>
      <c r="H11" s="15"/>
      <c r="I11" s="15"/>
      <c r="J11" s="15"/>
      <c r="K11" s="15"/>
    </row>
    <row r="12" spans="1:11" ht="14.25" customHeight="1">
      <c r="A12" s="4"/>
      <c r="B12" s="6"/>
      <c r="C12" s="30"/>
      <c r="D12" s="30"/>
      <c r="E12" s="30"/>
      <c r="F12" s="30"/>
      <c r="G12" s="30"/>
      <c r="H12" s="30"/>
      <c r="I12" s="30"/>
      <c r="J12" s="30"/>
      <c r="K12" s="36"/>
    </row>
    <row r="13" spans="1:11" s="12" customFormat="1" ht="75.75" customHeight="1">
      <c r="A13" s="11"/>
      <c r="B13" s="28"/>
      <c r="C13" s="49" t="s">
        <v>7</v>
      </c>
      <c r="D13" s="49" t="s">
        <v>402</v>
      </c>
      <c r="E13" s="49" t="s">
        <v>9</v>
      </c>
      <c r="F13" s="49" t="s">
        <v>403</v>
      </c>
      <c r="G13" s="49" t="s">
        <v>11</v>
      </c>
      <c r="H13" s="49" t="s">
        <v>12</v>
      </c>
      <c r="I13" s="49" t="s">
        <v>746</v>
      </c>
      <c r="J13" s="47" t="s">
        <v>14</v>
      </c>
      <c r="K13" s="48" t="s">
        <v>15</v>
      </c>
    </row>
    <row r="14" spans="1:11" ht="15" customHeight="1">
      <c r="B14" s="51">
        <v>1</v>
      </c>
      <c r="C14" s="52" t="s">
        <v>747</v>
      </c>
      <c r="D14" s="52" t="str">
        <f>IFERROR(VLOOKUP($C14,'[2]LP 08-2024'!$A:$B,2,FALSE),"0")</f>
        <v>KIT CITY - 8 mm</v>
      </c>
      <c r="E14" s="52" t="s">
        <v>136</v>
      </c>
      <c r="F14" s="52" t="s">
        <v>341</v>
      </c>
      <c r="G14" s="13">
        <f>IFERROR(VLOOKUP($C14,'[2]LP 08-2024'!$A:$F,6,FALSE),"0")</f>
        <v>349410</v>
      </c>
      <c r="H14" s="53"/>
      <c r="I14" s="54">
        <f t="shared" ref="I14:I31" si="0">$G14*$H14</f>
        <v>0</v>
      </c>
      <c r="J14" s="38" t="str">
        <f>IFERROR(VLOOKUP($C14,#REF!,6,FALSE),"0")</f>
        <v>0</v>
      </c>
      <c r="K14" s="38">
        <f t="shared" ref="K14:K31" si="1">$H14*$J14</f>
        <v>0</v>
      </c>
    </row>
    <row r="15" spans="1:11" ht="15" customHeight="1">
      <c r="B15" s="51">
        <v>2</v>
      </c>
      <c r="C15" s="52" t="s">
        <v>748</v>
      </c>
      <c r="D15" s="52" t="str">
        <f>IFERROR(VLOOKUP($C15,'[2]LP 08-2024'!$A:$B,2,FALSE),"0")</f>
        <v>KIT K1 - 10 mm</v>
      </c>
      <c r="E15" s="52" t="s">
        <v>136</v>
      </c>
      <c r="F15" s="52" t="s">
        <v>341</v>
      </c>
      <c r="G15" s="13">
        <f>IFERROR(VLOOKUP($C15,'[2]LP 08-2024'!$A:$F,6,FALSE),"0")</f>
        <v>422780</v>
      </c>
      <c r="H15" s="53"/>
      <c r="I15" s="54">
        <f t="shared" si="0"/>
        <v>0</v>
      </c>
      <c r="J15" s="38" t="str">
        <f>IFERROR(VLOOKUP($C15,#REF!,6,FALSE),"0")</f>
        <v>0</v>
      </c>
      <c r="K15" s="38">
        <f t="shared" si="1"/>
        <v>0</v>
      </c>
    </row>
    <row r="16" spans="1:11" ht="15" customHeight="1">
      <c r="B16" s="51">
        <v>3</v>
      </c>
      <c r="C16" s="52" t="s">
        <v>749</v>
      </c>
      <c r="D16" s="52" t="str">
        <f>IFERROR(VLOOKUP($C16,'[2]LP 08-2024'!$A:$B,2,FALSE),"0")</f>
        <v>KIT K1 - 12 mm</v>
      </c>
      <c r="E16" s="52" t="s">
        <v>136</v>
      </c>
      <c r="F16" s="52" t="s">
        <v>341</v>
      </c>
      <c r="G16" s="13">
        <f>IFERROR(VLOOKUP($C16,'[2]LP 08-2024'!$A:$F,6,FALSE),"0")</f>
        <v>422780</v>
      </c>
      <c r="H16" s="53"/>
      <c r="I16" s="54">
        <f t="shared" si="0"/>
        <v>0</v>
      </c>
      <c r="J16" s="38" t="str">
        <f>IFERROR(VLOOKUP($C16,#REF!,6,FALSE),"0")</f>
        <v>0</v>
      </c>
      <c r="K16" s="38">
        <f t="shared" si="1"/>
        <v>0</v>
      </c>
    </row>
    <row r="17" spans="2:11" ht="15" customHeight="1">
      <c r="B17" s="51">
        <v>4</v>
      </c>
      <c r="C17" s="52" t="s">
        <v>750</v>
      </c>
      <c r="D17" s="52" t="str">
        <f>IFERROR(VLOOKUP($C17,'[2]LP 08-2024'!$A:$B,2,FALSE),"0")</f>
        <v>KIT K1 - 16 mm</v>
      </c>
      <c r="E17" s="52" t="s">
        <v>136</v>
      </c>
      <c r="F17" s="52" t="s">
        <v>341</v>
      </c>
      <c r="G17" s="13">
        <f>IFERROR(VLOOKUP($C17,'[2]LP 08-2024'!$A:$F,6,FALSE),"0")</f>
        <v>422780</v>
      </c>
      <c r="H17" s="53"/>
      <c r="I17" s="54">
        <f t="shared" si="0"/>
        <v>0</v>
      </c>
      <c r="J17" s="38" t="str">
        <f>IFERROR(VLOOKUP($C17,#REF!,6,FALSE),"0")</f>
        <v>0</v>
      </c>
      <c r="K17" s="38">
        <f t="shared" si="1"/>
        <v>0</v>
      </c>
    </row>
    <row r="18" spans="2:11" ht="15" customHeight="1">
      <c r="B18" s="51">
        <v>5</v>
      </c>
      <c r="C18" s="52" t="s">
        <v>751</v>
      </c>
      <c r="D18" s="52" t="str">
        <f>IFERROR(VLOOKUP($C18,'[2]LP 08-2024'!$A:$B,2,FALSE),"0")</f>
        <v>KIT K1 - 20 mm</v>
      </c>
      <c r="E18" s="52" t="s">
        <v>136</v>
      </c>
      <c r="F18" s="52" t="s">
        <v>341</v>
      </c>
      <c r="G18" s="13">
        <f>IFERROR(VLOOKUP($C18,'[2]LP 08-2024'!$A:$F,6,FALSE),"0")</f>
        <v>422780</v>
      </c>
      <c r="H18" s="53"/>
      <c r="I18" s="54">
        <f t="shared" si="0"/>
        <v>0</v>
      </c>
      <c r="J18" s="38" t="str">
        <f>IFERROR(VLOOKUP($C18,#REF!,6,FALSE),"0")</f>
        <v>0</v>
      </c>
      <c r="K18" s="38">
        <f t="shared" si="1"/>
        <v>0</v>
      </c>
    </row>
    <row r="19" spans="2:11" ht="15" customHeight="1">
      <c r="B19" s="51">
        <v>6</v>
      </c>
      <c r="C19" s="52" t="s">
        <v>752</v>
      </c>
      <c r="D19" s="52" t="str">
        <f>IFERROR(VLOOKUP($C19,'[2]LP 08-2024'!$A:$B,2,FALSE),"0")</f>
        <v>KIT LED K3</v>
      </c>
      <c r="E19" s="52" t="s">
        <v>136</v>
      </c>
      <c r="F19" s="52" t="s">
        <v>341</v>
      </c>
      <c r="G19" s="13">
        <f>IFERROR(VLOOKUP($C19,'[2]LP 08-2024'!$A:$F,6,FALSE),"0")</f>
        <v>85788</v>
      </c>
      <c r="H19" s="53"/>
      <c r="I19" s="54">
        <f t="shared" si="0"/>
        <v>0</v>
      </c>
      <c r="J19" s="38" t="str">
        <f>IFERROR(VLOOKUP($C19,#REF!,6,FALSE),"0")</f>
        <v>0</v>
      </c>
      <c r="K19" s="38">
        <f t="shared" si="1"/>
        <v>0</v>
      </c>
    </row>
    <row r="20" spans="2:11" ht="15" customHeight="1">
      <c r="B20" s="51">
        <v>7</v>
      </c>
      <c r="C20" s="52" t="s">
        <v>753</v>
      </c>
      <c r="D20" s="52" t="str">
        <f>IFERROR(VLOOKUP($C20,'[2]LP 08-2024'!$A:$B,2,FALSE),"0")</f>
        <v>KIT K6 - 10 mm</v>
      </c>
      <c r="E20" s="52" t="s">
        <v>136</v>
      </c>
      <c r="F20" s="52" t="s">
        <v>341</v>
      </c>
      <c r="G20" s="13">
        <f>IFERROR(VLOOKUP($C20,'[2]LP 08-2024'!$A:$F,6,FALSE),"0")</f>
        <v>453786</v>
      </c>
      <c r="H20" s="53"/>
      <c r="I20" s="54">
        <f t="shared" si="0"/>
        <v>0</v>
      </c>
      <c r="J20" s="38" t="str">
        <f>IFERROR(VLOOKUP($C20,#REF!,6,FALSE),"0")</f>
        <v>0</v>
      </c>
      <c r="K20" s="38">
        <f t="shared" si="1"/>
        <v>0</v>
      </c>
    </row>
    <row r="21" spans="2:11" ht="15" customHeight="1">
      <c r="B21" s="51">
        <v>8</v>
      </c>
      <c r="C21" s="52" t="s">
        <v>754</v>
      </c>
      <c r="D21" s="52" t="str">
        <f>IFERROR(VLOOKUP($C21,'[2]LP 08-2024'!$A:$B,2,FALSE),"0")</f>
        <v>KIT K6 - 12 mm</v>
      </c>
      <c r="E21" s="52" t="s">
        <v>136</v>
      </c>
      <c r="F21" s="52" t="s">
        <v>341</v>
      </c>
      <c r="G21" s="13">
        <f>IFERROR(VLOOKUP($C21,'[2]LP 08-2024'!$A:$F,6,FALSE),"0")</f>
        <v>453786</v>
      </c>
      <c r="H21" s="53"/>
      <c r="I21" s="54">
        <f t="shared" si="0"/>
        <v>0</v>
      </c>
      <c r="J21" s="38" t="str">
        <f>IFERROR(VLOOKUP($C21,#REF!,6,FALSE),"0")</f>
        <v>0</v>
      </c>
      <c r="K21" s="38">
        <f t="shared" si="1"/>
        <v>0</v>
      </c>
    </row>
    <row r="22" spans="2:11" ht="15" customHeight="1">
      <c r="B22" s="51">
        <v>9</v>
      </c>
      <c r="C22" s="52" t="s">
        <v>755</v>
      </c>
      <c r="D22" s="52" t="str">
        <f>IFERROR(VLOOKUP($C22,'[2]LP 08-2024'!$A:$B,2,FALSE),"0")</f>
        <v>KIT K6 - 16 mm</v>
      </c>
      <c r="E22" s="52" t="s">
        <v>136</v>
      </c>
      <c r="F22" s="52" t="s">
        <v>341</v>
      </c>
      <c r="G22" s="13">
        <f>IFERROR(VLOOKUP($C22,'[2]LP 08-2024'!$A:$F,6,FALSE),"0")</f>
        <v>453786</v>
      </c>
      <c r="H22" s="53"/>
      <c r="I22" s="54">
        <f t="shared" si="0"/>
        <v>0</v>
      </c>
      <c r="J22" s="38" t="str">
        <f>IFERROR(VLOOKUP($C22,#REF!,6,FALSE),"0")</f>
        <v>0</v>
      </c>
      <c r="K22" s="38">
        <f t="shared" si="1"/>
        <v>0</v>
      </c>
    </row>
    <row r="23" spans="2:11" ht="15" customHeight="1">
      <c r="B23" s="51">
        <v>10</v>
      </c>
      <c r="C23" s="52" t="s">
        <v>756</v>
      </c>
      <c r="D23" s="52" t="str">
        <f>IFERROR(VLOOKUP($C23,'[2]LP 08-2024'!$A:$B,2,FALSE),"0")</f>
        <v>KIT K6 - 20 mm</v>
      </c>
      <c r="E23" s="52" t="s">
        <v>136</v>
      </c>
      <c r="F23" s="52" t="s">
        <v>341</v>
      </c>
      <c r="G23" s="13">
        <f>IFERROR(VLOOKUP($C23,'[2]LP 08-2024'!$A:$F,6,FALSE),"0")</f>
        <v>453786</v>
      </c>
      <c r="H23" s="53"/>
      <c r="I23" s="54">
        <f t="shared" si="0"/>
        <v>0</v>
      </c>
      <c r="J23" s="38" t="str">
        <f>IFERROR(VLOOKUP($C23,#REF!,6,FALSE),"0")</f>
        <v>0</v>
      </c>
      <c r="K23" s="38">
        <f t="shared" si="1"/>
        <v>0</v>
      </c>
    </row>
    <row r="24" spans="2:11" ht="15" customHeight="1">
      <c r="B24" s="51">
        <v>11</v>
      </c>
      <c r="C24" s="52" t="s">
        <v>757</v>
      </c>
      <c r="D24" s="52" t="str">
        <f>IFERROR(VLOOKUP($C24,'[2]LP 08-2024'!$A:$B,2,FALSE),"0")</f>
        <v>KIT K12 - 10 mm</v>
      </c>
      <c r="E24" s="52" t="s">
        <v>136</v>
      </c>
      <c r="F24" s="52" t="s">
        <v>341</v>
      </c>
      <c r="G24" s="13">
        <f>IFERROR(VLOOKUP($C24,'[2]LP 08-2024'!$A:$F,6,FALSE),"0")</f>
        <v>1147637</v>
      </c>
      <c r="H24" s="53"/>
      <c r="I24" s="54">
        <f t="shared" si="0"/>
        <v>0</v>
      </c>
      <c r="J24" s="38" t="str">
        <f>IFERROR(VLOOKUP($C24,#REF!,6,FALSE),"0")</f>
        <v>0</v>
      </c>
      <c r="K24" s="38">
        <f t="shared" si="1"/>
        <v>0</v>
      </c>
    </row>
    <row r="25" spans="2:11" ht="15" customHeight="1">
      <c r="B25" s="51">
        <v>12</v>
      </c>
      <c r="C25" s="52" t="s">
        <v>758</v>
      </c>
      <c r="D25" s="52" t="str">
        <f>IFERROR(VLOOKUP($C25,'[2]LP 08-2024'!$A:$B,2,FALSE),"0")</f>
        <v>KIT K12 - 12 mm</v>
      </c>
      <c r="E25" s="52" t="s">
        <v>136</v>
      </c>
      <c r="F25" s="52" t="s">
        <v>341</v>
      </c>
      <c r="G25" s="13">
        <f>IFERROR(VLOOKUP($C25,'[2]LP 08-2024'!$A:$F,6,FALSE),"0")</f>
        <v>771744</v>
      </c>
      <c r="H25" s="53"/>
      <c r="I25" s="54">
        <f t="shared" si="0"/>
        <v>0</v>
      </c>
      <c r="J25" s="38" t="str">
        <f>IFERROR(VLOOKUP($C25,#REF!,6,FALSE),"0")</f>
        <v>0</v>
      </c>
      <c r="K25" s="38">
        <f t="shared" si="1"/>
        <v>0</v>
      </c>
    </row>
    <row r="26" spans="2:11" ht="15" customHeight="1">
      <c r="B26" s="51">
        <v>13</v>
      </c>
      <c r="C26" s="52" t="s">
        <v>759</v>
      </c>
      <c r="D26" s="52" t="str">
        <f>IFERROR(VLOOKUP($C26,'[2]LP 08-2024'!$A:$B,2,FALSE),"0")</f>
        <v>KIT K12 - 16 mm</v>
      </c>
      <c r="E26" s="52" t="s">
        <v>136</v>
      </c>
      <c r="F26" s="52" t="s">
        <v>341</v>
      </c>
      <c r="G26" s="13">
        <f>IFERROR(VLOOKUP($C26,'[2]LP 08-2024'!$A:$F,6,FALSE),"0")</f>
        <v>771744</v>
      </c>
      <c r="H26" s="53"/>
      <c r="I26" s="54">
        <f t="shared" si="0"/>
        <v>0</v>
      </c>
      <c r="J26" s="38" t="str">
        <f>IFERROR(VLOOKUP($C26,#REF!,6,FALSE),"0")</f>
        <v>0</v>
      </c>
      <c r="K26" s="38">
        <f t="shared" si="1"/>
        <v>0</v>
      </c>
    </row>
    <row r="27" spans="2:11" ht="15" customHeight="1">
      <c r="B27" s="51">
        <v>14</v>
      </c>
      <c r="C27" s="52" t="s">
        <v>760</v>
      </c>
      <c r="D27" s="52" t="str">
        <f>IFERROR(VLOOKUP($C27,'[2]LP 08-2024'!$A:$B,2,FALSE),"0")</f>
        <v>KIT K12 - 20 mm</v>
      </c>
      <c r="E27" s="52" t="s">
        <v>136</v>
      </c>
      <c r="F27" s="52" t="s">
        <v>341</v>
      </c>
      <c r="G27" s="13">
        <f>IFERROR(VLOOKUP($C27,'[2]LP 08-2024'!$A:$F,6,FALSE),"0")</f>
        <v>771744</v>
      </c>
      <c r="H27" s="53"/>
      <c r="I27" s="54">
        <f t="shared" si="0"/>
        <v>0</v>
      </c>
      <c r="J27" s="38" t="str">
        <f>IFERROR(VLOOKUP($C27,#REF!,6,FALSE),"0")</f>
        <v>0</v>
      </c>
      <c r="K27" s="38">
        <f t="shared" si="1"/>
        <v>0</v>
      </c>
    </row>
    <row r="28" spans="2:11" ht="15" customHeight="1">
      <c r="B28" s="51">
        <v>15</v>
      </c>
      <c r="C28" s="52" t="s">
        <v>761</v>
      </c>
      <c r="D28" s="52" t="str">
        <f>IFERROR(VLOOKUP($C28,'[2]LP 08-2024'!$A:$B,2,FALSE),"0")</f>
        <v>KIT K15 - 10 mm</v>
      </c>
      <c r="E28" s="52" t="s">
        <v>136</v>
      </c>
      <c r="F28" s="52" t="s">
        <v>341</v>
      </c>
      <c r="G28" s="13">
        <f>IFERROR(VLOOKUP($C28,'[2]LP 08-2024'!$A:$F,6,FALSE),"0")</f>
        <v>872568</v>
      </c>
      <c r="H28" s="53"/>
      <c r="I28" s="54">
        <f t="shared" si="0"/>
        <v>0</v>
      </c>
      <c r="J28" s="38" t="str">
        <f>IFERROR(VLOOKUP($C28,#REF!,6,FALSE),"0")</f>
        <v>0</v>
      </c>
      <c r="K28" s="38">
        <f t="shared" si="1"/>
        <v>0</v>
      </c>
    </row>
    <row r="29" spans="2:11" ht="15" customHeight="1">
      <c r="B29" s="51">
        <v>16</v>
      </c>
      <c r="C29" s="52" t="s">
        <v>762</v>
      </c>
      <c r="D29" s="52" t="str">
        <f>IFERROR(VLOOKUP($C29,'[2]LP 08-2024'!$A:$B,2,FALSE),"0")</f>
        <v>KIT K15 - 12 mm</v>
      </c>
      <c r="E29" s="52" t="s">
        <v>136</v>
      </c>
      <c r="F29" s="52" t="s">
        <v>341</v>
      </c>
      <c r="G29" s="13">
        <f>IFERROR(VLOOKUP($C29,'[2]LP 08-2024'!$A:$F,6,FALSE),"0")</f>
        <v>872568</v>
      </c>
      <c r="H29" s="53"/>
      <c r="I29" s="54">
        <f t="shared" si="0"/>
        <v>0</v>
      </c>
      <c r="J29" s="38" t="str">
        <f>IFERROR(VLOOKUP($C29,#REF!,6,FALSE),"0")</f>
        <v>0</v>
      </c>
      <c r="K29" s="38">
        <f t="shared" si="1"/>
        <v>0</v>
      </c>
    </row>
    <row r="30" spans="2:11" ht="15" customHeight="1">
      <c r="B30" s="51">
        <v>17</v>
      </c>
      <c r="C30" s="52" t="s">
        <v>763</v>
      </c>
      <c r="D30" s="52" t="str">
        <f>IFERROR(VLOOKUP($C30,'[2]LP 08-2024'!$A:$B,2,FALSE),"0")</f>
        <v>KIT K15 - 16 mm</v>
      </c>
      <c r="E30" s="52" t="s">
        <v>136</v>
      </c>
      <c r="F30" s="52" t="s">
        <v>341</v>
      </c>
      <c r="G30" s="13">
        <f>IFERROR(VLOOKUP($C30,'[2]LP 08-2024'!$A:$F,6,FALSE),"0")</f>
        <v>872568</v>
      </c>
      <c r="H30" s="53"/>
      <c r="I30" s="54">
        <f t="shared" si="0"/>
        <v>0</v>
      </c>
      <c r="J30" s="38" t="str">
        <f>IFERROR(VLOOKUP($C30,#REF!,6,FALSE),"0")</f>
        <v>0</v>
      </c>
      <c r="K30" s="38">
        <f t="shared" si="1"/>
        <v>0</v>
      </c>
    </row>
    <row r="31" spans="2:11" ht="15" customHeight="1">
      <c r="B31" s="51">
        <v>18</v>
      </c>
      <c r="C31" s="52" t="s">
        <v>764</v>
      </c>
      <c r="D31" s="52" t="str">
        <f>IFERROR(VLOOKUP($C31,'[2]LP 08-2024'!$A:$B,2,FALSE),"0")</f>
        <v>KIT K15 - 20 mm</v>
      </c>
      <c r="E31" s="52" t="s">
        <v>136</v>
      </c>
      <c r="F31" s="52" t="s">
        <v>341</v>
      </c>
      <c r="G31" s="13">
        <f>IFERROR(VLOOKUP($C31,'[2]LP 08-2024'!$A:$F,6,FALSE),"0")</f>
        <v>872568</v>
      </c>
      <c r="H31" s="53"/>
      <c r="I31" s="54">
        <f t="shared" si="0"/>
        <v>0</v>
      </c>
      <c r="J31" s="38" t="str">
        <f>IFERROR(VLOOKUP($C31,#REF!,6,FALSE),"0")</f>
        <v>0</v>
      </c>
      <c r="K31" s="38">
        <f t="shared" si="1"/>
        <v>0</v>
      </c>
    </row>
    <row r="32" spans="2:11" ht="15" customHeight="1">
      <c r="B32" s="51">
        <v>19</v>
      </c>
      <c r="C32" s="52" t="s">
        <v>765</v>
      </c>
      <c r="D32" s="52" t="str">
        <f>IFERROR(VLOOKUP($C32,'[2]LP 08-2024'!$A:$B,2,FALSE),"0")</f>
        <v>PASAMANO K7 - 10 mm</v>
      </c>
      <c r="E32" s="52" t="s">
        <v>136</v>
      </c>
      <c r="F32" s="52" t="s">
        <v>341</v>
      </c>
      <c r="G32" s="13">
        <f>IFERROR(VLOOKUP($C32,'[2]LP 08-2024'!$A:$F,6,FALSE),"0")</f>
        <v>114570</v>
      </c>
      <c r="H32" s="53"/>
      <c r="I32" s="54">
        <f t="shared" ref="I32:I43" si="2">$G32*$H32</f>
        <v>0</v>
      </c>
      <c r="J32" s="38" t="str">
        <f>IFERROR(VLOOKUP($C32,#REF!,6,FALSE),"0")</f>
        <v>0</v>
      </c>
      <c r="K32" s="38">
        <f t="shared" ref="K32:K47" si="3">$H32*$J32</f>
        <v>0</v>
      </c>
    </row>
    <row r="33" spans="2:11" ht="15" customHeight="1">
      <c r="B33" s="51">
        <v>20</v>
      </c>
      <c r="C33" s="52" t="s">
        <v>766</v>
      </c>
      <c r="D33" s="52" t="str">
        <f>IFERROR(VLOOKUP($C33,'[2]LP 08-2024'!$A:$B,2,FALSE),"0")</f>
        <v>PASAMANO K7 - 12 mm</v>
      </c>
      <c r="E33" s="52" t="s">
        <v>136</v>
      </c>
      <c r="F33" s="52" t="s">
        <v>341</v>
      </c>
      <c r="G33" s="13">
        <f>IFERROR(VLOOKUP($C33,'[2]LP 08-2024'!$A:$F,6,FALSE),"0")</f>
        <v>114570</v>
      </c>
      <c r="H33" s="53"/>
      <c r="I33" s="54">
        <f t="shared" si="2"/>
        <v>0</v>
      </c>
      <c r="J33" s="38" t="str">
        <f>IFERROR(VLOOKUP($C44,#REF!,6,FALSE),"0")</f>
        <v>0</v>
      </c>
      <c r="K33" s="38">
        <f t="shared" si="3"/>
        <v>0</v>
      </c>
    </row>
    <row r="34" spans="2:11" ht="15" customHeight="1">
      <c r="B34" s="51">
        <v>21</v>
      </c>
      <c r="C34" s="52" t="s">
        <v>767</v>
      </c>
      <c r="D34" s="52" t="str">
        <f>IFERROR(VLOOKUP($C34,'[2]LP 08-2024'!$A:$B,2,FALSE),"0")</f>
        <v>PASAMANO K7 - 16 mm</v>
      </c>
      <c r="E34" s="52" t="s">
        <v>136</v>
      </c>
      <c r="F34" s="52" t="s">
        <v>341</v>
      </c>
      <c r="G34" s="13">
        <f>IFERROR(VLOOKUP($C34,'[2]LP 08-2024'!$A:$F,6,FALSE),"0")</f>
        <v>114570</v>
      </c>
      <c r="H34" s="53"/>
      <c r="I34" s="54">
        <f t="shared" si="2"/>
        <v>0</v>
      </c>
      <c r="J34" s="38" t="str">
        <f>IFERROR(VLOOKUP($C45,#REF!,6,FALSE),"0")</f>
        <v>0</v>
      </c>
      <c r="K34" s="38">
        <f t="shared" si="3"/>
        <v>0</v>
      </c>
    </row>
    <row r="35" spans="2:11" ht="15" customHeight="1">
      <c r="B35" s="51">
        <v>22</v>
      </c>
      <c r="C35" s="52" t="s">
        <v>768</v>
      </c>
      <c r="D35" s="52" t="str">
        <f>IFERROR(VLOOKUP($C35,'[2]LP 08-2024'!$A:$B,2,FALSE),"0")</f>
        <v>PASAMANO K7 - 20 mm</v>
      </c>
      <c r="E35" s="52" t="s">
        <v>136</v>
      </c>
      <c r="F35" s="52" t="s">
        <v>341</v>
      </c>
      <c r="G35" s="13">
        <f>IFERROR(VLOOKUP($C35,'[2]LP 08-2024'!$A:$F,6,FALSE),"0")</f>
        <v>114570</v>
      </c>
      <c r="H35" s="53"/>
      <c r="I35" s="54">
        <f t="shared" si="2"/>
        <v>0</v>
      </c>
      <c r="J35" s="38" t="str">
        <f>IFERROR(VLOOKUP($C46,#REF!,6,FALSE),"0")</f>
        <v>0</v>
      </c>
      <c r="K35" s="38">
        <f t="shared" si="3"/>
        <v>0</v>
      </c>
    </row>
    <row r="36" spans="2:11" ht="15" customHeight="1">
      <c r="B36" s="51">
        <v>23</v>
      </c>
      <c r="C36" s="52" t="s">
        <v>769</v>
      </c>
      <c r="D36" s="52" t="str">
        <f>IFERROR(VLOOKUP($C36,'[2]LP 08-2024'!$A:$B,2,FALSE),"0")</f>
        <v>PASAMANO K8  -10 mm</v>
      </c>
      <c r="E36" s="52" t="s">
        <v>136</v>
      </c>
      <c r="F36" s="52" t="s">
        <v>341</v>
      </c>
      <c r="G36" s="13">
        <f>IFERROR(VLOOKUP($C36,'[2]LP 08-2024'!$A:$F,6,FALSE),"0")</f>
        <v>89820</v>
      </c>
      <c r="H36" s="53"/>
      <c r="I36" s="54">
        <f t="shared" si="2"/>
        <v>0</v>
      </c>
      <c r="J36" s="38" t="str">
        <f>IFERROR(VLOOKUP($C47,#REF!,6,FALSE),"0")</f>
        <v>0</v>
      </c>
      <c r="K36" s="38">
        <f t="shared" si="3"/>
        <v>0</v>
      </c>
    </row>
    <row r="37" spans="2:11" ht="15" customHeight="1">
      <c r="B37" s="51">
        <v>24</v>
      </c>
      <c r="C37" s="52" t="s">
        <v>770</v>
      </c>
      <c r="D37" s="52" t="str">
        <f>IFERROR(VLOOKUP($C37,'[2]LP 08-2024'!$A:$B,2,FALSE),"0")</f>
        <v>PASAMANO K8 - 12 mm</v>
      </c>
      <c r="E37" s="52" t="s">
        <v>136</v>
      </c>
      <c r="F37" s="52" t="s">
        <v>341</v>
      </c>
      <c r="G37" s="13">
        <f>IFERROR(VLOOKUP($C37,'[2]LP 08-2024'!$A:$F,6,FALSE),"0")</f>
        <v>89820</v>
      </c>
      <c r="H37" s="53"/>
      <c r="I37" s="54">
        <f t="shared" si="2"/>
        <v>0</v>
      </c>
      <c r="J37" s="38" t="str">
        <f>IFERROR(VLOOKUP($C48,#REF!,6,FALSE),"0")</f>
        <v>0</v>
      </c>
      <c r="K37" s="38">
        <f t="shared" si="3"/>
        <v>0</v>
      </c>
    </row>
    <row r="38" spans="2:11" ht="15" customHeight="1">
      <c r="B38" s="51">
        <v>25</v>
      </c>
      <c r="C38" s="52" t="s">
        <v>771</v>
      </c>
      <c r="D38" s="52" t="str">
        <f>IFERROR(VLOOKUP($C38,'[2]LP 08-2024'!$A:$B,2,FALSE),"0")</f>
        <v>PASAMANO K8 - 16 mm</v>
      </c>
      <c r="E38" s="52" t="s">
        <v>136</v>
      </c>
      <c r="F38" s="52" t="s">
        <v>341</v>
      </c>
      <c r="G38" s="13">
        <f>IFERROR(VLOOKUP($C38,'[2]LP 08-2024'!$A:$F,6,FALSE),"0")</f>
        <v>89820</v>
      </c>
      <c r="H38" s="53"/>
      <c r="I38" s="54">
        <f t="shared" si="2"/>
        <v>0</v>
      </c>
      <c r="J38" s="38" t="str">
        <f>IFERROR(VLOOKUP($C49,#REF!,6,FALSE),"0")</f>
        <v>0</v>
      </c>
      <c r="K38" s="38">
        <f t="shared" si="3"/>
        <v>0</v>
      </c>
    </row>
    <row r="39" spans="2:11" ht="15" customHeight="1">
      <c r="B39" s="51">
        <v>26</v>
      </c>
      <c r="C39" s="52" t="s">
        <v>772</v>
      </c>
      <c r="D39" s="52" t="str">
        <f>IFERROR(VLOOKUP($C39,'[2]LP 08-2024'!$A:$B,2,FALSE),"0")</f>
        <v>PASAMANO K8 - 20 mm</v>
      </c>
      <c r="E39" s="52" t="s">
        <v>136</v>
      </c>
      <c r="F39" s="52" t="s">
        <v>341</v>
      </c>
      <c r="G39" s="13">
        <f>IFERROR(VLOOKUP($C39,'[2]LP 08-2024'!$A:$F,6,FALSE),"0")</f>
        <v>89820</v>
      </c>
      <c r="H39" s="53"/>
      <c r="I39" s="54">
        <f t="shared" si="2"/>
        <v>0</v>
      </c>
      <c r="J39" s="38" t="str">
        <f>IFERROR(VLOOKUP($C50,#REF!,6,FALSE),"0")</f>
        <v>0</v>
      </c>
      <c r="K39" s="38">
        <f t="shared" si="3"/>
        <v>0</v>
      </c>
    </row>
    <row r="40" spans="2:11" ht="15" customHeight="1">
      <c r="B40" s="51">
        <v>27</v>
      </c>
      <c r="C40" s="52" t="s">
        <v>773</v>
      </c>
      <c r="D40" s="52" t="str">
        <f>IFERROR(VLOOKUP($C40,'[2]LP 08-2024'!$A:$B,2,FALSE),"0")</f>
        <v>PASAMANO K9 - 10 mm</v>
      </c>
      <c r="E40" s="52" t="s">
        <v>136</v>
      </c>
      <c r="F40" s="52" t="s">
        <v>341</v>
      </c>
      <c r="G40" s="13">
        <f>IFERROR(VLOOKUP($C40,'[2]LP 08-2024'!$A:$F,6,FALSE),"0")</f>
        <v>106320</v>
      </c>
      <c r="H40" s="53"/>
      <c r="I40" s="54">
        <f t="shared" si="2"/>
        <v>0</v>
      </c>
      <c r="J40" s="38" t="str">
        <f>IFERROR(VLOOKUP($C51,#REF!,6,FALSE),"0")</f>
        <v>0</v>
      </c>
      <c r="K40" s="38">
        <f t="shared" si="3"/>
        <v>0</v>
      </c>
    </row>
    <row r="41" spans="2:11" ht="15" customHeight="1">
      <c r="B41" s="51">
        <v>28</v>
      </c>
      <c r="C41" s="52" t="s">
        <v>774</v>
      </c>
      <c r="D41" s="52" t="str">
        <f>IFERROR(VLOOKUP($C41,'[2]LP 08-2024'!$A:$B,2,FALSE),"0")</f>
        <v>PASAMANO K9 - 12 mm</v>
      </c>
      <c r="E41" s="52" t="s">
        <v>136</v>
      </c>
      <c r="F41" s="52" t="s">
        <v>341</v>
      </c>
      <c r="G41" s="13">
        <f>IFERROR(VLOOKUP($C41,'[2]LP 08-2024'!$A:$F,6,FALSE),"0")</f>
        <v>106320</v>
      </c>
      <c r="H41" s="53"/>
      <c r="I41" s="54">
        <f t="shared" si="2"/>
        <v>0</v>
      </c>
      <c r="J41" s="38" t="str">
        <f>IFERROR(VLOOKUP($C52,#REF!,6,FALSE),"0")</f>
        <v>0</v>
      </c>
      <c r="K41" s="38">
        <f t="shared" si="3"/>
        <v>0</v>
      </c>
    </row>
    <row r="42" spans="2:11" ht="15" customHeight="1">
      <c r="B42" s="51">
        <v>29</v>
      </c>
      <c r="C42" s="52" t="s">
        <v>775</v>
      </c>
      <c r="D42" s="52" t="str">
        <f>IFERROR(VLOOKUP($C42,'[2]LP 08-2024'!$A:$B,2,FALSE),"0")</f>
        <v>PASAMANO K9 - 16 mm</v>
      </c>
      <c r="E42" s="52" t="s">
        <v>136</v>
      </c>
      <c r="F42" s="52" t="s">
        <v>341</v>
      </c>
      <c r="G42" s="13">
        <f>IFERROR(VLOOKUP($C42,'[2]LP 08-2024'!$A:$F,6,FALSE),"0")</f>
        <v>106320</v>
      </c>
      <c r="H42" s="53"/>
      <c r="I42" s="54">
        <f t="shared" si="2"/>
        <v>0</v>
      </c>
      <c r="J42" s="38" t="str">
        <f>IFERROR(VLOOKUP($C53,#REF!,6,FALSE),"0")</f>
        <v>0</v>
      </c>
      <c r="K42" s="38">
        <f t="shared" si="3"/>
        <v>0</v>
      </c>
    </row>
    <row r="43" spans="2:11" ht="15" customHeight="1">
      <c r="B43" s="51">
        <v>30</v>
      </c>
      <c r="C43" s="52" t="s">
        <v>776</v>
      </c>
      <c r="D43" s="52" t="str">
        <f>IFERROR(VLOOKUP($C43,'[2]LP 08-2024'!$A:$B,2,FALSE),"0")</f>
        <v>PASAMANO K9 - 20 mm</v>
      </c>
      <c r="E43" s="52" t="s">
        <v>136</v>
      </c>
      <c r="F43" s="52" t="s">
        <v>341</v>
      </c>
      <c r="G43" s="13">
        <f>IFERROR(VLOOKUP($C43,'[2]LP 08-2024'!$A:$F,6,FALSE),"0")</f>
        <v>106320</v>
      </c>
      <c r="H43" s="53"/>
      <c r="I43" s="54">
        <f t="shared" si="2"/>
        <v>0</v>
      </c>
      <c r="J43" s="38" t="str">
        <f>IFERROR(VLOOKUP($C54,#REF!,6,FALSE),"0")</f>
        <v>0</v>
      </c>
      <c r="K43" s="38">
        <f t="shared" si="3"/>
        <v>0</v>
      </c>
    </row>
    <row r="44" spans="2:11" ht="15" customHeight="1">
      <c r="B44" s="51">
        <v>31</v>
      </c>
      <c r="C44" s="52" t="s">
        <v>777</v>
      </c>
      <c r="D44" s="52" t="str">
        <f>IFERROR(VLOOKUP($C44,'[2]LP 08-2024'!$A:$B,2,FALSE),"0")</f>
        <v>TAPA A LA VISTA K1</v>
      </c>
      <c r="E44" s="52" t="s">
        <v>136</v>
      </c>
      <c r="F44" s="52" t="s">
        <v>778</v>
      </c>
      <c r="G44" s="13">
        <f>IFERROR(VLOOKUP($C44,'[2]LP 08-2024'!$A:$F,6,FALSE),"0")</f>
        <v>764</v>
      </c>
      <c r="H44" s="53"/>
      <c r="I44" s="54">
        <f t="shared" ref="I44:I112" si="4">$G44*$H44</f>
        <v>0</v>
      </c>
      <c r="J44" s="38" t="str">
        <f>IFERROR(VLOOKUP(#REF!,#REF!,6,FALSE),"0")</f>
        <v>0</v>
      </c>
      <c r="K44" s="38">
        <f t="shared" si="3"/>
        <v>0</v>
      </c>
    </row>
    <row r="45" spans="2:11" ht="15" customHeight="1">
      <c r="B45" s="51">
        <v>32</v>
      </c>
      <c r="C45" s="52" t="s">
        <v>779</v>
      </c>
      <c r="D45" s="52" t="str">
        <f>IFERROR(VLOOKUP($C45,'[2]LP 08-2024'!$A:$B,2,FALSE),"0")</f>
        <v>TAPA A LA VISTA K11</v>
      </c>
      <c r="E45" s="52" t="s">
        <v>136</v>
      </c>
      <c r="F45" s="52" t="s">
        <v>778</v>
      </c>
      <c r="G45" s="13">
        <f>IFERROR(VLOOKUP($C45,'[2]LP 08-2024'!$A:$F,6,FALSE),"0")</f>
        <v>7485</v>
      </c>
      <c r="H45" s="53"/>
      <c r="I45" s="54">
        <f t="shared" si="4"/>
        <v>0</v>
      </c>
      <c r="J45" s="38" t="str">
        <f>IFERROR(VLOOKUP(#REF!,#REF!,6,FALSE),"0")</f>
        <v>0</v>
      </c>
      <c r="K45" s="38">
        <f t="shared" si="3"/>
        <v>0</v>
      </c>
    </row>
    <row r="46" spans="2:11" ht="15" customHeight="1">
      <c r="B46" s="51">
        <v>33</v>
      </c>
      <c r="C46" s="52" t="s">
        <v>780</v>
      </c>
      <c r="D46" s="52" t="str">
        <f>IFERROR(VLOOKUP($C46,'[2]LP 08-2024'!$A:$B,2,FALSE),"0")</f>
        <v>TAPA A LA VISTA K12</v>
      </c>
      <c r="E46" s="52" t="s">
        <v>136</v>
      </c>
      <c r="F46" s="52" t="s">
        <v>778</v>
      </c>
      <c r="G46" s="13">
        <f>IFERROR(VLOOKUP($C46,'[2]LP 08-2024'!$A:$F,6,FALSE),"0")</f>
        <v>3513</v>
      </c>
      <c r="H46" s="53"/>
      <c r="I46" s="54">
        <f t="shared" si="4"/>
        <v>0</v>
      </c>
      <c r="J46" s="38" t="str">
        <f>IFERROR(VLOOKUP(#REF!,#REF!,6,FALSE),"0")</f>
        <v>0</v>
      </c>
      <c r="K46" s="38">
        <f t="shared" si="3"/>
        <v>0</v>
      </c>
    </row>
    <row r="47" spans="2:11" ht="15" customHeight="1">
      <c r="B47" s="51">
        <v>34</v>
      </c>
      <c r="C47" s="52" t="s">
        <v>781</v>
      </c>
      <c r="D47" s="52" t="str">
        <f>IFERROR(VLOOKUP($C47,'[2]LP 08-2024'!$A:$B,2,FALSE),"0")</f>
        <v>TAPA A LA VISTA K15</v>
      </c>
      <c r="E47" s="52" t="s">
        <v>136</v>
      </c>
      <c r="F47" s="52" t="s">
        <v>778</v>
      </c>
      <c r="G47" s="13">
        <f>IFERROR(VLOOKUP($C47,'[2]LP 08-2024'!$A:$F,6,FALSE),"0")</f>
        <v>3513</v>
      </c>
      <c r="H47" s="53"/>
      <c r="I47" s="54">
        <f t="shared" si="4"/>
        <v>0</v>
      </c>
      <c r="J47" s="38" t="str">
        <f>IFERROR(VLOOKUP(#REF!,#REF!,6,FALSE),"0")</f>
        <v>0</v>
      </c>
      <c r="K47" s="38">
        <f t="shared" si="3"/>
        <v>0</v>
      </c>
    </row>
    <row r="48" spans="2:11" ht="15" customHeight="1">
      <c r="B48" s="51">
        <v>35</v>
      </c>
      <c r="C48" s="52" t="s">
        <v>782</v>
      </c>
      <c r="D48" s="52" t="str">
        <f>IFERROR(VLOOKUP($C48,'[2]LP 08-2024'!$A:$B,2,FALSE),"0")</f>
        <v>TAPA A LA VISTA K3</v>
      </c>
      <c r="E48" s="52" t="s">
        <v>136</v>
      </c>
      <c r="F48" s="52" t="s">
        <v>778</v>
      </c>
      <c r="G48" s="13">
        <f>IFERROR(VLOOKUP($C48,'[2]LP 08-2024'!$A:$F,6,FALSE),"0")</f>
        <v>3055</v>
      </c>
      <c r="H48" s="53"/>
      <c r="I48" s="54">
        <f t="shared" si="4"/>
        <v>0</v>
      </c>
      <c r="J48" s="38" t="str">
        <f>IFERROR(VLOOKUP(#REF!,#REF!,6,FALSE),"0")</f>
        <v>0</v>
      </c>
      <c r="K48" s="38">
        <f t="shared" ref="K48:K112" si="5">$H48*$J48</f>
        <v>0</v>
      </c>
    </row>
    <row r="49" spans="2:11" ht="15" customHeight="1">
      <c r="B49" s="51">
        <v>36</v>
      </c>
      <c r="C49" s="52" t="s">
        <v>783</v>
      </c>
      <c r="D49" s="52" t="str">
        <f>IFERROR(VLOOKUP($C49,'[2]LP 08-2024'!$A:$B,2,FALSE),"0")</f>
        <v>TAPA A LA VISTA K7</v>
      </c>
      <c r="E49" s="52" t="s">
        <v>136</v>
      </c>
      <c r="F49" s="52" t="s">
        <v>778</v>
      </c>
      <c r="G49" s="13">
        <f>IFERROR(VLOOKUP($C49,'[2]LP 08-2024'!$A:$F,6,FALSE),"0")</f>
        <v>611</v>
      </c>
      <c r="H49" s="53"/>
      <c r="I49" s="54">
        <f t="shared" si="4"/>
        <v>0</v>
      </c>
      <c r="J49" s="38" t="str">
        <f>IFERROR(VLOOKUP(#REF!,#REF!,6,FALSE),"0")</f>
        <v>0</v>
      </c>
      <c r="K49" s="38">
        <f t="shared" si="5"/>
        <v>0</v>
      </c>
    </row>
    <row r="50" spans="2:11" ht="15" customHeight="1">
      <c r="B50" s="51">
        <v>37</v>
      </c>
      <c r="C50" s="52" t="s">
        <v>784</v>
      </c>
      <c r="D50" s="52" t="str">
        <f>IFERROR(VLOOKUP($C50,'[2]LP 08-2024'!$A:$B,2,FALSE),"0")</f>
        <v>TAPA A LA VISTA K8</v>
      </c>
      <c r="E50" s="52" t="s">
        <v>136</v>
      </c>
      <c r="F50" s="52" t="s">
        <v>778</v>
      </c>
      <c r="G50" s="13">
        <f>IFERROR(VLOOKUP($C50,'[2]LP 08-2024'!$A:$F,6,FALSE),"0")</f>
        <v>458</v>
      </c>
      <c r="H50" s="53"/>
      <c r="I50" s="54">
        <f t="shared" si="4"/>
        <v>0</v>
      </c>
      <c r="J50" s="38" t="str">
        <f>IFERROR(VLOOKUP(#REF!,#REF!,6,FALSE),"0")</f>
        <v>0</v>
      </c>
      <c r="K50" s="38">
        <f t="shared" si="5"/>
        <v>0</v>
      </c>
    </row>
    <row r="51" spans="2:11" ht="15" customHeight="1">
      <c r="B51" s="51">
        <v>38</v>
      </c>
      <c r="C51" s="52" t="s">
        <v>785</v>
      </c>
      <c r="D51" s="52" t="str">
        <f>IFERROR(VLOOKUP($C51,'[2]LP 08-2024'!$A:$B,2,FALSE),"0")</f>
        <v>TAPA A LA VISTA K9</v>
      </c>
      <c r="E51" s="52" t="s">
        <v>136</v>
      </c>
      <c r="F51" s="52" t="s">
        <v>778</v>
      </c>
      <c r="G51" s="13">
        <f>IFERROR(VLOOKUP($C51,'[2]LP 08-2024'!$A:$F,6,FALSE),"0")</f>
        <v>1833</v>
      </c>
      <c r="H51" s="53"/>
      <c r="I51" s="54">
        <f t="shared" si="4"/>
        <v>0</v>
      </c>
      <c r="J51" s="38" t="str">
        <f>IFERROR(VLOOKUP(#REF!,#REF!,6,FALSE),"0")</f>
        <v>0</v>
      </c>
      <c r="K51" s="38">
        <f t="shared" si="5"/>
        <v>0</v>
      </c>
    </row>
    <row r="52" spans="2:11" ht="15" customHeight="1">
      <c r="B52" s="51">
        <v>39</v>
      </c>
      <c r="C52" s="52" t="s">
        <v>786</v>
      </c>
      <c r="D52" s="52" t="str">
        <f>IFERROR(VLOOKUP($C52,'[2]LP 08-2024'!$A:$B,2,FALSE),"0")</f>
        <v>ALINEADOR  180°</v>
      </c>
      <c r="E52" s="52" t="s">
        <v>136</v>
      </c>
      <c r="F52" s="52" t="s">
        <v>778</v>
      </c>
      <c r="G52" s="13">
        <f>IFERROR(VLOOKUP($C52,'[2]LP 08-2024'!$A:$F,6,FALSE),"0")</f>
        <v>19095</v>
      </c>
      <c r="H52" s="53"/>
      <c r="I52" s="54">
        <f t="shared" si="4"/>
        <v>0</v>
      </c>
      <c r="J52" s="38" t="str">
        <f>IFERROR(VLOOKUP(#REF!,#REF!,6,FALSE),"0")</f>
        <v>0</v>
      </c>
      <c r="K52" s="38">
        <f t="shared" si="5"/>
        <v>0</v>
      </c>
    </row>
    <row r="53" spans="2:11" ht="15" customHeight="1">
      <c r="B53" s="51">
        <v>40</v>
      </c>
      <c r="C53" s="52" t="s">
        <v>787</v>
      </c>
      <c r="D53" s="52" t="str">
        <f>IFERROR(VLOOKUP($C53,'[2]LP 08-2024'!$A:$B,2,FALSE),"0")</f>
        <v>ALINEADOR  90°</v>
      </c>
      <c r="E53" s="52" t="s">
        <v>136</v>
      </c>
      <c r="F53" s="52" t="s">
        <v>778</v>
      </c>
      <c r="G53" s="13">
        <f>IFERROR(VLOOKUP($C53,'[2]LP 08-2024'!$A:$F,6,FALSE),"0")</f>
        <v>22150</v>
      </c>
      <c r="H53" s="53"/>
      <c r="I53" s="54">
        <f t="shared" si="4"/>
        <v>0</v>
      </c>
      <c r="J53" s="38" t="str">
        <f>IFERROR(VLOOKUP(#REF!,#REF!,6,FALSE),"0")</f>
        <v>0</v>
      </c>
      <c r="K53" s="38">
        <f t="shared" si="5"/>
        <v>0</v>
      </c>
    </row>
    <row r="54" spans="2:11" ht="15" customHeight="1">
      <c r="B54" s="51">
        <v>41</v>
      </c>
      <c r="C54" s="52" t="s">
        <v>788</v>
      </c>
      <c r="D54" s="52" t="str">
        <f>IFERROR(VLOOKUP($C54,'[2]LP 08-2024'!$A:$B,2,FALSE),"0")</f>
        <v>ALINEADOR PLEGADO 180°</v>
      </c>
      <c r="E54" s="52" t="s">
        <v>136</v>
      </c>
      <c r="F54" s="52" t="s">
        <v>778</v>
      </c>
      <c r="G54" s="13">
        <f>IFERROR(VLOOKUP($C54,'[2]LP 08-2024'!$A:$F,6,FALSE),"0")</f>
        <v>3819</v>
      </c>
      <c r="H54" s="53"/>
      <c r="I54" s="54">
        <f t="shared" si="4"/>
        <v>0</v>
      </c>
      <c r="J54" s="38" t="str">
        <f>IFERROR(VLOOKUP(#REF!,#REF!,6,FALSE),"0")</f>
        <v>0</v>
      </c>
      <c r="K54" s="38">
        <f t="shared" si="5"/>
        <v>0</v>
      </c>
    </row>
    <row r="55" spans="2:11" ht="15" customHeight="1">
      <c r="B55" s="51">
        <v>42</v>
      </c>
      <c r="C55" s="52" t="s">
        <v>789</v>
      </c>
      <c r="D55" s="52" t="str">
        <f>IFERROR(VLOOKUP($C55,'[2]LP 08-2024'!$A:$B,2,FALSE),"0")</f>
        <v>ALINEADOR PLEGADO 90°</v>
      </c>
      <c r="E55" s="52" t="s">
        <v>136</v>
      </c>
      <c r="F55" s="52" t="s">
        <v>778</v>
      </c>
      <c r="G55" s="13">
        <f>IFERROR(VLOOKUP($C55,'[2]LP 08-2024'!$A:$F,6,FALSE),"0")</f>
        <v>12832</v>
      </c>
      <c r="H55" s="53"/>
      <c r="I55" s="54">
        <f t="shared" si="4"/>
        <v>0</v>
      </c>
      <c r="J55" s="38" t="str">
        <f>IFERROR(VLOOKUP(#REF!,#REF!,6,FALSE),"0")</f>
        <v>0</v>
      </c>
      <c r="K55" s="38">
        <f t="shared" si="5"/>
        <v>0</v>
      </c>
    </row>
    <row r="56" spans="2:11" ht="15" customHeight="1">
      <c r="B56" s="51">
        <v>43</v>
      </c>
      <c r="C56" s="52" t="s">
        <v>790</v>
      </c>
      <c r="D56" s="52" t="str">
        <f>IFERROR(VLOOKUP($C56,'[2]LP 08-2024'!$A:$B,2,FALSE),"0")</f>
        <v>ESCUADRA K1</v>
      </c>
      <c r="E56" s="52" t="s">
        <v>136</v>
      </c>
      <c r="F56" s="52" t="s">
        <v>778</v>
      </c>
      <c r="G56" s="13">
        <f>IFERROR(VLOOKUP($C56,'[2]LP 08-2024'!$A:$F,6,FALSE),"0")</f>
        <v>3972</v>
      </c>
      <c r="H56" s="53"/>
      <c r="I56" s="54">
        <f t="shared" si="4"/>
        <v>0</v>
      </c>
      <c r="J56" s="38" t="str">
        <f>IFERROR(VLOOKUP(#REF!,#REF!,6,FALSE),"0")</f>
        <v>0</v>
      </c>
      <c r="K56" s="38">
        <f t="shared" si="5"/>
        <v>0</v>
      </c>
    </row>
    <row r="57" spans="2:11" ht="15" customHeight="1">
      <c r="B57" s="51">
        <v>44</v>
      </c>
      <c r="C57" s="52" t="s">
        <v>791</v>
      </c>
      <c r="D57" s="52" t="str">
        <f>IFERROR(VLOOKUP($C57,'[2]LP 08-2024'!$A:$B,2,FALSE),"0")</f>
        <v>ESCUADRA K7</v>
      </c>
      <c r="E57" s="52" t="s">
        <v>136</v>
      </c>
      <c r="F57" s="52" t="s">
        <v>778</v>
      </c>
      <c r="G57" s="13">
        <f>IFERROR(VLOOKUP($C57,'[2]LP 08-2024'!$A:$F,6,FALSE),"0")</f>
        <v>9318</v>
      </c>
      <c r="H57" s="53"/>
      <c r="I57" s="54">
        <f t="shared" si="4"/>
        <v>0</v>
      </c>
      <c r="J57" s="38" t="str">
        <f>IFERROR(VLOOKUP(#REF!,#REF!,6,FALSE),"0")</f>
        <v>0</v>
      </c>
      <c r="K57" s="38">
        <f t="shared" si="5"/>
        <v>0</v>
      </c>
    </row>
    <row r="58" spans="2:11" ht="15" customHeight="1">
      <c r="B58" s="51">
        <v>45</v>
      </c>
      <c r="C58" s="52" t="s">
        <v>792</v>
      </c>
      <c r="D58" s="52" t="str">
        <f>IFERROR(VLOOKUP($C58,'[2]LP 08-2024'!$A:$B,2,FALSE),"0")</f>
        <v>ESCUADRA K8</v>
      </c>
      <c r="E58" s="52" t="s">
        <v>136</v>
      </c>
      <c r="F58" s="52" t="s">
        <v>778</v>
      </c>
      <c r="G58" s="13">
        <f>IFERROR(VLOOKUP($C58,'[2]LP 08-2024'!$A:$F,6,FALSE),"0")</f>
        <v>9318</v>
      </c>
      <c r="H58" s="53"/>
      <c r="I58" s="54">
        <f t="shared" si="4"/>
        <v>0</v>
      </c>
      <c r="J58" s="38" t="str">
        <f>IFERROR(VLOOKUP(#REF!,#REF!,6,FALSE),"0")</f>
        <v>0</v>
      </c>
      <c r="K58" s="38">
        <f t="shared" si="5"/>
        <v>0</v>
      </c>
    </row>
    <row r="59" spans="2:11" ht="15" customHeight="1">
      <c r="B59" s="51">
        <v>46</v>
      </c>
      <c r="C59" s="52" t="s">
        <v>793</v>
      </c>
      <c r="D59" s="52" t="str">
        <f>IFERROR(VLOOKUP($C59,'[2]LP 08-2024'!$A:$B,2,FALSE),"0")</f>
        <v>ESCUADRA K9</v>
      </c>
      <c r="E59" s="52" t="s">
        <v>136</v>
      </c>
      <c r="F59" s="52" t="s">
        <v>778</v>
      </c>
      <c r="G59" s="13">
        <f>IFERROR(VLOOKUP($C59,'[2]LP 08-2024'!$A:$F,6,FALSE),"0")</f>
        <v>3972</v>
      </c>
      <c r="H59" s="53"/>
      <c r="I59" s="54">
        <f t="shared" si="4"/>
        <v>0</v>
      </c>
      <c r="J59" s="38" t="str">
        <f>IFERROR(VLOOKUP(#REF!,#REF!,6,FALSE),"0")</f>
        <v>0</v>
      </c>
      <c r="K59" s="38">
        <f t="shared" si="5"/>
        <v>0</v>
      </c>
    </row>
    <row r="60" spans="2:11" ht="15" customHeight="1">
      <c r="B60" s="51">
        <v>47</v>
      </c>
      <c r="C60" s="52" t="s">
        <v>794</v>
      </c>
      <c r="D60" s="52" t="str">
        <f>IFERROR(VLOOKUP($C60,'[2]LP 08-2024'!$A:$B,2,FALSE),"0")</f>
        <v>TAPACANTO U 10 MM</v>
      </c>
      <c r="E60" s="52" t="s">
        <v>136</v>
      </c>
      <c r="F60" s="52" t="s">
        <v>778</v>
      </c>
      <c r="G60" s="13">
        <f>IFERROR(VLOOKUP($C60,'[2]LP 08-2024'!$A:$F,6,FALSE),"0")</f>
        <v>9777</v>
      </c>
      <c r="H60" s="53"/>
      <c r="I60" s="54">
        <f t="shared" si="4"/>
        <v>0</v>
      </c>
      <c r="J60" s="38" t="str">
        <f>IFERROR(VLOOKUP(#REF!,#REF!,6,FALSE),"0")</f>
        <v>0</v>
      </c>
      <c r="K60" s="38">
        <f t="shared" si="5"/>
        <v>0</v>
      </c>
    </row>
    <row r="61" spans="2:11" ht="15" customHeight="1">
      <c r="B61" s="51">
        <v>48</v>
      </c>
      <c r="C61" s="52" t="s">
        <v>795</v>
      </c>
      <c r="D61" s="52" t="str">
        <f>IFERROR(VLOOKUP($C61,'[2]LP 08-2024'!$A:$B,2,FALSE),"0")</f>
        <v>TAPACANTO U 12 MM</v>
      </c>
      <c r="E61" s="52" t="s">
        <v>136</v>
      </c>
      <c r="F61" s="52" t="s">
        <v>778</v>
      </c>
      <c r="G61" s="13">
        <f>IFERROR(VLOOKUP($C61,'[2]LP 08-2024'!$A:$F,6,FALSE),"0")</f>
        <v>10235</v>
      </c>
      <c r="H61" s="53"/>
      <c r="I61" s="54">
        <f t="shared" si="4"/>
        <v>0</v>
      </c>
      <c r="J61" s="38" t="str">
        <f>IFERROR(VLOOKUP(#REF!,#REF!,6,FALSE),"0")</f>
        <v>0</v>
      </c>
      <c r="K61" s="38">
        <f t="shared" si="5"/>
        <v>0</v>
      </c>
    </row>
    <row r="62" spans="2:11" ht="15" customHeight="1">
      <c r="B62" s="51">
        <v>49</v>
      </c>
      <c r="C62" s="52" t="s">
        <v>796</v>
      </c>
      <c r="D62" s="52" t="str">
        <f>IFERROR(VLOOKUP($C62,'[2]LP 08-2024'!$A:$B,2,FALSE),"0")</f>
        <v>TAPACANTO U 20 MM</v>
      </c>
      <c r="E62" s="52" t="s">
        <v>136</v>
      </c>
      <c r="F62" s="52" t="s">
        <v>778</v>
      </c>
      <c r="G62" s="13">
        <f>IFERROR(VLOOKUP($C62,'[2]LP 08-2024'!$A:$F,6,FALSE),"0")</f>
        <v>11457</v>
      </c>
      <c r="H62" s="53"/>
      <c r="I62" s="54">
        <f t="shared" si="4"/>
        <v>0</v>
      </c>
      <c r="J62" s="38" t="str">
        <f>IFERROR(VLOOKUP(#REF!,#REF!,6,FALSE),"0")</f>
        <v>0</v>
      </c>
      <c r="K62" s="38">
        <f t="shared" si="5"/>
        <v>0</v>
      </c>
    </row>
    <row r="63" spans="2:11" ht="15" customHeight="1">
      <c r="B63" s="51">
        <v>50</v>
      </c>
      <c r="C63" s="55" t="s">
        <v>797</v>
      </c>
      <c r="D63" s="52" t="str">
        <f>IFERROR(VLOOKUP($C63,'[2]LP 08-2024'!$A:$B,2,FALSE),"0")</f>
        <v>ZOCALO  REFORZADO K15 - 3mt</v>
      </c>
      <c r="E63" s="55" t="s">
        <v>136</v>
      </c>
      <c r="F63" s="55" t="s">
        <v>798</v>
      </c>
      <c r="G63" s="13">
        <f>IFERROR(VLOOKUP($C63,'[2]LP 08-2024'!$A:$F,6,FALSE),"0")</f>
        <v>327491</v>
      </c>
      <c r="H63" s="53"/>
      <c r="I63" s="56">
        <f t="shared" si="4"/>
        <v>0</v>
      </c>
      <c r="J63" s="41" t="str">
        <f>IFERROR(VLOOKUP(#REF!,#REF!,6,FALSE),"0")</f>
        <v>0</v>
      </c>
      <c r="K63" s="41">
        <f t="shared" si="5"/>
        <v>0</v>
      </c>
    </row>
    <row r="64" spans="2:11" ht="15" customHeight="1">
      <c r="B64" s="51">
        <v>51</v>
      </c>
      <c r="C64" s="55" t="s">
        <v>799</v>
      </c>
      <c r="D64" s="52" t="str">
        <f>IFERROR(VLOOKUP($C64,'[2]LP 08-2024'!$A:$B,2,FALSE),"0")</f>
        <v>TAPA ZOCALO K15 - 6mt</v>
      </c>
      <c r="E64" s="55" t="s">
        <v>136</v>
      </c>
      <c r="F64" s="55" t="s">
        <v>798</v>
      </c>
      <c r="G64" s="13">
        <f>IFERROR(VLOOKUP($C64,'[2]LP 08-2024'!$A:$F,6,FALSE),"0")</f>
        <v>103636</v>
      </c>
      <c r="H64" s="53"/>
      <c r="I64" s="56">
        <f t="shared" si="4"/>
        <v>0</v>
      </c>
      <c r="J64" s="41" t="str">
        <f>IFERROR(VLOOKUP(#REF!,#REF!,6,FALSE),"0")</f>
        <v>0</v>
      </c>
      <c r="K64" s="41">
        <f t="shared" si="5"/>
        <v>0</v>
      </c>
    </row>
    <row r="65" spans="2:11" ht="15" customHeight="1">
      <c r="B65" s="51">
        <v>52</v>
      </c>
      <c r="C65" s="55" t="s">
        <v>800</v>
      </c>
      <c r="D65" s="52" t="str">
        <f>IFERROR(VLOOKUP($C65,'[2]LP 08-2024'!$A:$B,2,FALSE),"0")</f>
        <v>ZOCALO K1 - 4mt</v>
      </c>
      <c r="E65" s="55" t="s">
        <v>136</v>
      </c>
      <c r="F65" s="55" t="s">
        <v>798</v>
      </c>
      <c r="G65" s="13">
        <f>IFERROR(VLOOKUP($C65,'[2]LP 08-2024'!$A:$F,6,FALSE),"0")</f>
        <v>324762</v>
      </c>
      <c r="H65" s="53"/>
      <c r="I65" s="56">
        <f t="shared" si="4"/>
        <v>0</v>
      </c>
      <c r="J65" s="41" t="str">
        <f>IFERROR(VLOOKUP(#REF!,#REF!,6,FALSE),"0")</f>
        <v>0</v>
      </c>
      <c r="K65" s="41">
        <f t="shared" si="5"/>
        <v>0</v>
      </c>
    </row>
    <row r="66" spans="2:11" ht="15" customHeight="1">
      <c r="B66" s="51">
        <v>53</v>
      </c>
      <c r="C66" s="55" t="s">
        <v>801</v>
      </c>
      <c r="D66" s="52" t="str">
        <f>IFERROR(VLOOKUP($C66,'[2]LP 08-2024'!$A:$B,2,FALSE),"0")</f>
        <v>BURLETE TAPA K1 - 4mt</v>
      </c>
      <c r="E66" s="55" t="s">
        <v>136</v>
      </c>
      <c r="F66" s="55" t="s">
        <v>798</v>
      </c>
      <c r="G66" s="13">
        <f>IFERROR(VLOOKUP($C66,'[2]LP 08-2024'!$A:$F,6,FALSE),"0")</f>
        <v>69125</v>
      </c>
      <c r="H66" s="53"/>
      <c r="I66" s="56">
        <f t="shared" si="4"/>
        <v>0</v>
      </c>
      <c r="J66" s="41" t="str">
        <f>IFERROR(VLOOKUP(#REF!,#REF!,6,FALSE),"0")</f>
        <v>0</v>
      </c>
      <c r="K66" s="41">
        <f t="shared" si="5"/>
        <v>0</v>
      </c>
    </row>
    <row r="67" spans="2:11" ht="15" customHeight="1">
      <c r="B67" s="51">
        <v>54</v>
      </c>
      <c r="C67" s="55" t="s">
        <v>802</v>
      </c>
      <c r="D67" s="52" t="str">
        <f>IFERROR(VLOOKUP($C67,'[2]LP 08-2024'!$A:$B,2,FALSE),"0")</f>
        <v>ZOCALO CAJA DE AGUA K6 - 6mt</v>
      </c>
      <c r="E67" s="55" t="s">
        <v>136</v>
      </c>
      <c r="F67" s="55" t="s">
        <v>798</v>
      </c>
      <c r="G67" s="13">
        <f>IFERROR(VLOOKUP($C67,'[2]LP 08-2024'!$A:$F,6,FALSE),"0")</f>
        <v>259091</v>
      </c>
      <c r="H67" s="53"/>
      <c r="I67" s="56">
        <f t="shared" si="4"/>
        <v>0</v>
      </c>
      <c r="J67" s="41" t="str">
        <f>IFERROR(VLOOKUP(#REF!,#REF!,6,FALSE),"0")</f>
        <v>0</v>
      </c>
      <c r="K67" s="41">
        <f t="shared" si="5"/>
        <v>0</v>
      </c>
    </row>
    <row r="68" spans="2:11" ht="15" customHeight="1">
      <c r="B68" s="51">
        <v>55</v>
      </c>
      <c r="C68" s="55" t="s">
        <v>803</v>
      </c>
      <c r="D68" s="52" t="str">
        <f>IFERROR(VLOOKUP($C68,'[2]LP 08-2024'!$A:$B,2,FALSE),"0")</f>
        <v>TAPA ZOCALO K6 - 6mt</v>
      </c>
      <c r="E68" s="55" t="s">
        <v>136</v>
      </c>
      <c r="F68" s="55" t="s">
        <v>798</v>
      </c>
      <c r="G68" s="13">
        <f>IFERROR(VLOOKUP($C68,'[2]LP 08-2024'!$A:$F,6,FALSE),"0")</f>
        <v>86329</v>
      </c>
      <c r="H68" s="53"/>
      <c r="I68" s="56">
        <f t="shared" si="4"/>
        <v>0</v>
      </c>
      <c r="J68" s="41" t="str">
        <f>IFERROR(VLOOKUP(#REF!,#REF!,6,FALSE),"0")</f>
        <v>0</v>
      </c>
      <c r="K68" s="41">
        <f t="shared" si="5"/>
        <v>0</v>
      </c>
    </row>
    <row r="69" spans="2:11" ht="15" customHeight="1">
      <c r="B69" s="51">
        <v>56</v>
      </c>
      <c r="C69" s="55" t="s">
        <v>804</v>
      </c>
      <c r="D69" s="52" t="str">
        <f>IFERROR(VLOOKUP($C69,'[2]LP 08-2024'!$A:$B,2,FALSE),"0")</f>
        <v>BURLETE TAPON EPDM</v>
      </c>
      <c r="E69" s="55" t="s">
        <v>136</v>
      </c>
      <c r="F69" s="55" t="s">
        <v>798</v>
      </c>
      <c r="G69" s="13">
        <f>IFERROR(VLOOKUP($C69,'[2]LP 08-2024'!$A:$F,6,FALSE),"0")</f>
        <v>6909</v>
      </c>
      <c r="H69" s="53"/>
      <c r="I69" s="56">
        <f t="shared" si="4"/>
        <v>0</v>
      </c>
      <c r="J69" s="41" t="str">
        <f>IFERROR(VLOOKUP(#REF!,#REF!,6,FALSE),"0")</f>
        <v>0</v>
      </c>
      <c r="K69" s="41">
        <f t="shared" si="5"/>
        <v>0</v>
      </c>
    </row>
    <row r="70" spans="2:11" ht="15" customHeight="1">
      <c r="B70" s="51">
        <v>57</v>
      </c>
      <c r="C70" s="55" t="s">
        <v>805</v>
      </c>
      <c r="D70" s="52" t="str">
        <f>IFERROR(VLOOKUP($C70,'[2]LP 08-2024'!$A:$B,2,FALSE),"0")</f>
        <v>PERFIL PORTA LED - 6 mt</v>
      </c>
      <c r="E70" s="55" t="s">
        <v>136</v>
      </c>
      <c r="F70" s="55" t="s">
        <v>798</v>
      </c>
      <c r="G70" s="13">
        <f>IFERROR(VLOOKUP($C70,'[2]LP 08-2024'!$A:$F,6,FALSE),"0")</f>
        <v>73167</v>
      </c>
      <c r="H70" s="53"/>
      <c r="I70" s="56">
        <f t="shared" si="4"/>
        <v>0</v>
      </c>
      <c r="J70" s="41" t="str">
        <f>IFERROR(VLOOKUP(#REF!,#REF!,6,FALSE),"0")</f>
        <v>0</v>
      </c>
      <c r="K70" s="41">
        <f t="shared" si="5"/>
        <v>0</v>
      </c>
    </row>
    <row r="71" spans="2:11" ht="15" customHeight="1">
      <c r="B71" s="51">
        <v>58</v>
      </c>
      <c r="C71" s="55" t="s">
        <v>806</v>
      </c>
      <c r="D71" s="52" t="str">
        <f>IFERROR(VLOOKUP($C71,'[2]LP 08-2024'!$A:$B,2,FALSE),"0")</f>
        <v>PLAFON PARA LED - 3 mt</v>
      </c>
      <c r="E71" s="55" t="s">
        <v>136</v>
      </c>
      <c r="F71" s="55" t="s">
        <v>798</v>
      </c>
      <c r="G71" s="13">
        <f>IFERROR(VLOOKUP($C71,'[2]LP 08-2024'!$A:$F,6,FALSE),"0")</f>
        <v>11918</v>
      </c>
      <c r="H71" s="53"/>
      <c r="I71" s="56">
        <f t="shared" si="4"/>
        <v>0</v>
      </c>
      <c r="J71" s="41" t="str">
        <f>IFERROR(VLOOKUP(#REF!,#REF!,6,FALSE),"0")</f>
        <v>0</v>
      </c>
      <c r="K71" s="41">
        <f t="shared" si="5"/>
        <v>0</v>
      </c>
    </row>
    <row r="72" spans="2:11" ht="15" customHeight="1">
      <c r="B72" s="51">
        <v>59</v>
      </c>
      <c r="C72" s="55" t="s">
        <v>807</v>
      </c>
      <c r="D72" s="52" t="str">
        <f>IFERROR(VLOOKUP($C72,'[2]LP 08-2024'!$A:$B,2,FALSE),"0")</f>
        <v>PASAMANOS K7 - 6 MT - C/LED</v>
      </c>
      <c r="E72" s="55" t="s">
        <v>136</v>
      </c>
      <c r="F72" s="55" t="s">
        <v>798</v>
      </c>
      <c r="G72" s="13">
        <f>IFERROR(VLOOKUP($C72,'[2]LP 08-2024'!$A:$F,6,FALSE),"0")</f>
        <v>108818</v>
      </c>
      <c r="H72" s="53"/>
      <c r="I72" s="56">
        <f t="shared" si="4"/>
        <v>0</v>
      </c>
      <c r="J72" s="41" t="str">
        <f>IFERROR(VLOOKUP(#REF!,#REF!,6,FALSE),"0")</f>
        <v>0</v>
      </c>
      <c r="K72" s="41">
        <f t="shared" si="5"/>
        <v>0</v>
      </c>
    </row>
    <row r="73" spans="2:11" ht="15" customHeight="1">
      <c r="B73" s="51">
        <v>60</v>
      </c>
      <c r="C73" s="55" t="s">
        <v>808</v>
      </c>
      <c r="D73" s="52" t="str">
        <f>IFERROR(VLOOKUP($C73,'[2]LP 08-2024'!$A:$B,2,FALSE),"0")</f>
        <v>PASAMANOS K8 - 6 MT</v>
      </c>
      <c r="E73" s="55" t="s">
        <v>136</v>
      </c>
      <c r="F73" s="55" t="s">
        <v>798</v>
      </c>
      <c r="G73" s="13">
        <f>IFERROR(VLOOKUP($C73,'[2]LP 08-2024'!$A:$F,6,FALSE),"0")</f>
        <v>80836</v>
      </c>
      <c r="H73" s="53"/>
      <c r="I73" s="56">
        <f t="shared" si="4"/>
        <v>0</v>
      </c>
      <c r="J73" s="41" t="str">
        <f>IFERROR(VLOOKUP(#REF!,#REF!,6,FALSE),"0")</f>
        <v>0</v>
      </c>
      <c r="K73" s="41">
        <f t="shared" si="5"/>
        <v>0</v>
      </c>
    </row>
    <row r="74" spans="2:11" ht="15" customHeight="1">
      <c r="B74" s="51">
        <v>61</v>
      </c>
      <c r="C74" s="55" t="s">
        <v>809</v>
      </c>
      <c r="D74" s="52" t="str">
        <f>IFERROR(VLOOKUP($C74,'[2]LP 08-2024'!$A:$B,2,FALSE),"0")</f>
        <v>PASAMANOS K9 - 6 MT</v>
      </c>
      <c r="E74" s="55" t="s">
        <v>136</v>
      </c>
      <c r="F74" s="55" t="s">
        <v>798</v>
      </c>
      <c r="G74" s="13">
        <f>IFERROR(VLOOKUP($C74,'[2]LP 08-2024'!$A:$F,6,FALSE),"0")</f>
        <v>123535</v>
      </c>
      <c r="H74" s="53"/>
      <c r="I74" s="56">
        <f t="shared" si="4"/>
        <v>0</v>
      </c>
      <c r="J74" s="41" t="str">
        <f>IFERROR(VLOOKUP(#REF!,#REF!,6,FALSE),"0")</f>
        <v>0</v>
      </c>
      <c r="K74" s="41">
        <f t="shared" si="5"/>
        <v>0</v>
      </c>
    </row>
    <row r="75" spans="2:11" ht="15" customHeight="1">
      <c r="B75" s="51">
        <v>62</v>
      </c>
      <c r="C75" s="55" t="s">
        <v>810</v>
      </c>
      <c r="D75" s="52" t="str">
        <f>IFERROR(VLOOKUP($C75,'[2]LP 08-2024'!$A:$B,2,FALSE),"0")</f>
        <v>BURLETE OMEGA 10 MM</v>
      </c>
      <c r="E75" s="55" t="s">
        <v>811</v>
      </c>
      <c r="F75" s="55" t="s">
        <v>798</v>
      </c>
      <c r="G75" s="13">
        <f>IFERROR(VLOOKUP($C75,'[2]LP 08-2024'!$A:$F,6,FALSE),"0")</f>
        <v>3055</v>
      </c>
      <c r="H75" s="53"/>
      <c r="I75" s="56">
        <f t="shared" si="4"/>
        <v>0</v>
      </c>
      <c r="J75" s="41" t="str">
        <f>IFERROR(VLOOKUP(#REF!,#REF!,6,FALSE),"0")</f>
        <v>0</v>
      </c>
      <c r="K75" s="41">
        <f t="shared" si="5"/>
        <v>0</v>
      </c>
    </row>
    <row r="76" spans="2:11" ht="15" customHeight="1">
      <c r="B76" s="51">
        <v>63</v>
      </c>
      <c r="C76" s="55" t="s">
        <v>812</v>
      </c>
      <c r="D76" s="52" t="str">
        <f>IFERROR(VLOOKUP($C76,'[2]LP 08-2024'!$A:$B,2,FALSE),"0")</f>
        <v>BURLETE OMEGA 12 MM</v>
      </c>
      <c r="E76" s="55" t="s">
        <v>811</v>
      </c>
      <c r="F76" s="55" t="s">
        <v>798</v>
      </c>
      <c r="G76" s="13">
        <f>IFERROR(VLOOKUP($C76,'[2]LP 08-2024'!$A:$F,6,FALSE),"0")</f>
        <v>3055</v>
      </c>
      <c r="H76" s="53"/>
      <c r="I76" s="56">
        <f t="shared" si="4"/>
        <v>0</v>
      </c>
      <c r="J76" s="41" t="str">
        <f>IFERROR(VLOOKUP(#REF!,#REF!,6,FALSE),"0")</f>
        <v>0</v>
      </c>
      <c r="K76" s="41">
        <f t="shared" si="5"/>
        <v>0</v>
      </c>
    </row>
    <row r="77" spans="2:11" ht="15" customHeight="1">
      <c r="B77" s="51">
        <v>64</v>
      </c>
      <c r="C77" s="55" t="s">
        <v>813</v>
      </c>
      <c r="D77" s="52" t="str">
        <f>IFERROR(VLOOKUP($C77,'[2]LP 08-2024'!$A:$B,2,FALSE),"0")</f>
        <v>BURLETE OMEGA 16 MM</v>
      </c>
      <c r="E77" s="55" t="s">
        <v>811</v>
      </c>
      <c r="F77" s="55" t="s">
        <v>798</v>
      </c>
      <c r="G77" s="13">
        <f>IFERROR(VLOOKUP($C77,'[2]LP 08-2024'!$A:$F,6,FALSE),"0")</f>
        <v>9379</v>
      </c>
      <c r="H77" s="53"/>
      <c r="I77" s="56">
        <f t="shared" si="4"/>
        <v>0</v>
      </c>
      <c r="J77" s="41" t="str">
        <f>IFERROR(VLOOKUP(#REF!,#REF!,6,FALSE),"0")</f>
        <v>0</v>
      </c>
      <c r="K77" s="41">
        <f t="shared" si="5"/>
        <v>0</v>
      </c>
    </row>
    <row r="78" spans="2:11" ht="15" customHeight="1">
      <c r="B78" s="51">
        <v>65</v>
      </c>
      <c r="C78" s="55" t="s">
        <v>814</v>
      </c>
      <c r="D78" s="52" t="str">
        <f>IFERROR(VLOOKUP($C78,'[2]LP 08-2024'!$A:$B,2,FALSE),"0")</f>
        <v>BURLETE OMEGA 20 MM</v>
      </c>
      <c r="E78" s="55" t="s">
        <v>811</v>
      </c>
      <c r="F78" s="55" t="s">
        <v>798</v>
      </c>
      <c r="G78" s="13">
        <f>IFERROR(VLOOKUP($C78,'[2]LP 08-2024'!$A:$F,6,FALSE),"0")</f>
        <v>3055</v>
      </c>
      <c r="H78" s="53"/>
      <c r="I78" s="56">
        <f t="shared" si="4"/>
        <v>0</v>
      </c>
      <c r="J78" s="41" t="str">
        <f>IFERROR(VLOOKUP(#REF!,#REF!,6,FALSE),"0")</f>
        <v>0</v>
      </c>
      <c r="K78" s="41">
        <f t="shared" si="5"/>
        <v>0</v>
      </c>
    </row>
    <row r="79" spans="2:11" ht="15" customHeight="1">
      <c r="B79" s="51">
        <v>66</v>
      </c>
      <c r="C79" s="55" t="s">
        <v>815</v>
      </c>
      <c r="D79" s="52" t="str">
        <f>IFERROR(VLOOKUP($C79,'[2]LP 08-2024'!$A:$B,2,FALSE),"0")</f>
        <v>ZOCALO RECTO</v>
      </c>
      <c r="E79" s="55" t="s">
        <v>136</v>
      </c>
      <c r="F79" s="55" t="s">
        <v>798</v>
      </c>
      <c r="G79" s="13">
        <f>IFERROR(VLOOKUP($C79,'[2]LP 08-2024'!$A:$F,6,FALSE),"0")</f>
        <v>497455</v>
      </c>
      <c r="H79" s="53"/>
      <c r="I79" s="56">
        <f t="shared" si="4"/>
        <v>0</v>
      </c>
      <c r="J79" s="41" t="str">
        <f>IFERROR(VLOOKUP(#REF!,#REF!,6,FALSE),"0")</f>
        <v>0</v>
      </c>
      <c r="K79" s="41">
        <f t="shared" si="5"/>
        <v>0</v>
      </c>
    </row>
    <row r="80" spans="2:11" ht="15" customHeight="1">
      <c r="B80" s="51">
        <v>67</v>
      </c>
      <c r="C80" s="55" t="s">
        <v>816</v>
      </c>
      <c r="D80" s="52" t="str">
        <f>IFERROR(VLOOKUP($C80,'[2]LP 08-2024'!$A:$B,2,FALSE),"0")</f>
        <v>PORTA BURLETE</v>
      </c>
      <c r="E80" s="55" t="s">
        <v>136</v>
      </c>
      <c r="F80" s="55" t="s">
        <v>798</v>
      </c>
      <c r="G80" s="13">
        <f>IFERROR(VLOOKUP($C80,'[2]LP 08-2024'!$A:$F,6,FALSE),"0")</f>
        <v>72753</v>
      </c>
      <c r="H80" s="53"/>
      <c r="I80" s="56">
        <f t="shared" si="4"/>
        <v>0</v>
      </c>
      <c r="J80" s="41" t="str">
        <f>IFERROR(VLOOKUP(#REF!,#REF!,6,FALSE),"0")</f>
        <v>0</v>
      </c>
      <c r="K80" s="41">
        <f t="shared" si="5"/>
        <v>0</v>
      </c>
    </row>
    <row r="81" spans="2:11" ht="15" customHeight="1">
      <c r="B81" s="51">
        <v>68</v>
      </c>
      <c r="C81" s="55" t="s">
        <v>817</v>
      </c>
      <c r="D81" s="52" t="str">
        <f>IFERROR(VLOOKUP($C81,'[2]LP 08-2024'!$A:$B,2,FALSE),"0")</f>
        <v>TAPA EMBELLECEDORA</v>
      </c>
      <c r="E81" s="55" t="s">
        <v>136</v>
      </c>
      <c r="F81" s="55" t="s">
        <v>798</v>
      </c>
      <c r="G81" s="13">
        <f>IFERROR(VLOOKUP($C81,'[2]LP 08-2024'!$A:$F,6,FALSE),"0")</f>
        <v>93273</v>
      </c>
      <c r="H81" s="53"/>
      <c r="I81" s="56">
        <f t="shared" si="4"/>
        <v>0</v>
      </c>
      <c r="J81" s="41" t="str">
        <f>IFERROR(VLOOKUP(#REF!,#REF!,6,FALSE),"0")</f>
        <v>0</v>
      </c>
      <c r="K81" s="41">
        <f t="shared" si="5"/>
        <v>0</v>
      </c>
    </row>
    <row r="82" spans="2:11" ht="15" customHeight="1">
      <c r="B82" s="51">
        <v>69</v>
      </c>
      <c r="C82" s="55" t="s">
        <v>818</v>
      </c>
      <c r="D82" s="52" t="str">
        <f>IFERROR(VLOOKUP($C82,'[2]LP 08-2024'!$A:$B,2,FALSE),"0")</f>
        <v>PERFIL 11*50</v>
      </c>
      <c r="E82" s="55" t="s">
        <v>136</v>
      </c>
      <c r="F82" s="55" t="s">
        <v>798</v>
      </c>
      <c r="G82" s="13">
        <f>IFERROR(VLOOKUP($C82,'[2]LP 08-2024'!$A:$F,6,FALSE),"0")</f>
        <v>82909</v>
      </c>
      <c r="H82" s="53"/>
      <c r="I82" s="56">
        <f t="shared" si="4"/>
        <v>0</v>
      </c>
      <c r="J82" s="41" t="str">
        <f>IFERROR(VLOOKUP(#REF!,#REF!,6,FALSE),"0")</f>
        <v>0</v>
      </c>
      <c r="K82" s="41">
        <f t="shared" si="5"/>
        <v>0</v>
      </c>
    </row>
    <row r="83" spans="2:11" ht="15" customHeight="1">
      <c r="B83" s="51">
        <v>70</v>
      </c>
      <c r="C83" s="55" t="s">
        <v>819</v>
      </c>
      <c r="D83" s="52" t="str">
        <f>IFERROR(VLOOKUP($C83,'[2]LP 08-2024'!$A:$B,2,FALSE),"0")</f>
        <v>PARANTE ESTÁNDAR</v>
      </c>
      <c r="E83" s="55" t="s">
        <v>136</v>
      </c>
      <c r="F83" s="55" t="s">
        <v>798</v>
      </c>
      <c r="G83" s="13">
        <f>IFERROR(VLOOKUP($C83,'[2]LP 08-2024'!$A:$F,6,FALSE),"0")</f>
        <v>114010</v>
      </c>
      <c r="H83" s="53"/>
      <c r="I83" s="56">
        <f t="shared" si="4"/>
        <v>0</v>
      </c>
      <c r="J83" s="41" t="str">
        <f>IFERROR(VLOOKUP(#REF!,#REF!,6,FALSE),"0")</f>
        <v>0</v>
      </c>
      <c r="K83" s="41">
        <f t="shared" si="5"/>
        <v>0</v>
      </c>
    </row>
    <row r="84" spans="2:11" ht="15" customHeight="1">
      <c r="B84" s="51">
        <v>71</v>
      </c>
      <c r="C84" s="55" t="s">
        <v>820</v>
      </c>
      <c r="D84" s="52" t="str">
        <f>IFERROR(VLOOKUP($C84,'[2]LP 08-2024'!$A:$B,2,FALSE),"0")</f>
        <v>PASAMANOS CITY</v>
      </c>
      <c r="E84" s="55" t="s">
        <v>136</v>
      </c>
      <c r="F84" s="55" t="s">
        <v>798</v>
      </c>
      <c r="G84" s="13">
        <f>IFERROR(VLOOKUP($C84,'[2]LP 08-2024'!$A:$F,6,FALSE),"0")</f>
        <v>93283</v>
      </c>
      <c r="H84" s="53"/>
      <c r="I84" s="56">
        <f t="shared" si="4"/>
        <v>0</v>
      </c>
      <c r="J84" s="41" t="str">
        <f>IFERROR(VLOOKUP(#REF!,#REF!,6,FALSE),"0")</f>
        <v>0</v>
      </c>
      <c r="K84" s="41">
        <f t="shared" si="5"/>
        <v>0</v>
      </c>
    </row>
    <row r="85" spans="2:11" ht="15" customHeight="1">
      <c r="B85" s="51">
        <v>72</v>
      </c>
      <c r="C85" s="55" t="s">
        <v>821</v>
      </c>
      <c r="D85" s="52" t="str">
        <f>IFERROR(VLOOKUP($C85,'[2]LP 08-2024'!$A:$B,2,FALSE),"0")</f>
        <v>TAPA PASAMANOS</v>
      </c>
      <c r="E85" s="55" t="s">
        <v>136</v>
      </c>
      <c r="F85" s="55" t="s">
        <v>798</v>
      </c>
      <c r="G85" s="13">
        <f>IFERROR(VLOOKUP($C85,'[2]LP 08-2024'!$A:$F,6,FALSE),"0")</f>
        <v>72545</v>
      </c>
      <c r="H85" s="53"/>
      <c r="I85" s="56">
        <f t="shared" si="4"/>
        <v>0</v>
      </c>
      <c r="J85" s="41" t="str">
        <f>IFERROR(VLOOKUP(#REF!,#REF!,6,FALSE),"0")</f>
        <v>0</v>
      </c>
      <c r="K85" s="41">
        <f t="shared" si="5"/>
        <v>0</v>
      </c>
    </row>
    <row r="86" spans="2:11" ht="15" customHeight="1">
      <c r="B86" s="51">
        <v>73</v>
      </c>
      <c r="C86" s="55" t="s">
        <v>822</v>
      </c>
      <c r="D86" s="52" t="str">
        <f>IFERROR(VLOOKUP($C86,'[2]LP 08-2024'!$A:$B,2,FALSE),"0")</f>
        <v>BASTIDOR INFERIOR</v>
      </c>
      <c r="E86" s="55" t="s">
        <v>136</v>
      </c>
      <c r="F86" s="55" t="s">
        <v>798</v>
      </c>
      <c r="G86" s="13">
        <f>IFERROR(VLOOKUP($C86,'[2]LP 08-2024'!$A:$F,6,FALSE),"0")</f>
        <v>54927</v>
      </c>
      <c r="H86" s="53"/>
      <c r="I86" s="56">
        <f t="shared" si="4"/>
        <v>0</v>
      </c>
      <c r="J86" s="41" t="str">
        <f>IFERROR(VLOOKUP(#REF!,#REF!,6,FALSE),"0")</f>
        <v>0</v>
      </c>
      <c r="K86" s="41">
        <f t="shared" si="5"/>
        <v>0</v>
      </c>
    </row>
    <row r="87" spans="2:11" ht="15" customHeight="1">
      <c r="B87" s="51">
        <v>74</v>
      </c>
      <c r="C87" s="55" t="s">
        <v>823</v>
      </c>
      <c r="D87" s="52" t="str">
        <f>IFERROR(VLOOKUP($C87,'[2]LP 08-2024'!$A:$B,2,FALSE),"0")</f>
        <v>TAPA SOPORTE VIDRIO</v>
      </c>
      <c r="E87" s="55" t="s">
        <v>136</v>
      </c>
      <c r="F87" s="55" t="s">
        <v>798</v>
      </c>
      <c r="G87" s="13">
        <f>IFERROR(VLOOKUP($C87,'[2]LP 08-2024'!$A:$F,6,FALSE),"0")</f>
        <v>20935</v>
      </c>
      <c r="H87" s="53"/>
      <c r="I87" s="56">
        <f t="shared" si="4"/>
        <v>0</v>
      </c>
      <c r="J87" s="41" t="str">
        <f>IFERROR(VLOOKUP(#REF!,#REF!,6,FALSE),"0")</f>
        <v>0</v>
      </c>
      <c r="K87" s="41">
        <f t="shared" si="5"/>
        <v>0</v>
      </c>
    </row>
    <row r="88" spans="2:11" ht="15" customHeight="1">
      <c r="B88" s="51">
        <v>75</v>
      </c>
      <c r="C88" s="55" t="s">
        <v>824</v>
      </c>
      <c r="D88" s="52" t="str">
        <f>IFERROR(VLOOKUP($C88,'[2]LP 08-2024'!$A:$B,2,FALSE),"0")</f>
        <v>KIT SUJECION SOBRE LOSA C03</v>
      </c>
      <c r="E88" s="55" t="s">
        <v>136</v>
      </c>
      <c r="F88" s="55" t="s">
        <v>798</v>
      </c>
      <c r="G88" s="13">
        <f>IFERROR(VLOOKUP($C88,'[2]LP 08-2024'!$A:$F,6,FALSE),"0")</f>
        <v>917</v>
      </c>
      <c r="H88" s="53"/>
      <c r="I88" s="56">
        <f t="shared" si="4"/>
        <v>0</v>
      </c>
      <c r="J88" s="41" t="str">
        <f>IFERROR(VLOOKUP(#REF!,#REF!,6,FALSE),"0")</f>
        <v>0</v>
      </c>
      <c r="K88" s="41">
        <f t="shared" si="5"/>
        <v>0</v>
      </c>
    </row>
    <row r="89" spans="2:11" ht="15" customHeight="1">
      <c r="B89" s="51">
        <v>76</v>
      </c>
      <c r="C89" s="55" t="s">
        <v>825</v>
      </c>
      <c r="D89" s="52" t="str">
        <f>IFERROR(VLOOKUP($C89,'[2]LP 08-2024'!$A:$B,2,FALSE),"0")</f>
        <v>TAPA BASE C03</v>
      </c>
      <c r="E89" s="55" t="s">
        <v>136</v>
      </c>
      <c r="F89" s="55" t="s">
        <v>798</v>
      </c>
      <c r="G89" s="13">
        <f>IFERROR(VLOOKUP($C89,'[2]LP 08-2024'!$A:$F,6,FALSE),"0")</f>
        <v>1986</v>
      </c>
      <c r="H89" s="53"/>
      <c r="I89" s="56">
        <f t="shared" si="4"/>
        <v>0</v>
      </c>
      <c r="J89" s="41" t="str">
        <f>IFERROR(VLOOKUP(#REF!,#REF!,6,FALSE),"0")</f>
        <v>0</v>
      </c>
      <c r="K89" s="41">
        <f t="shared" si="5"/>
        <v>0</v>
      </c>
    </row>
    <row r="90" spans="2:11" ht="15" customHeight="1">
      <c r="B90" s="51">
        <v>77</v>
      </c>
      <c r="C90" s="55" t="s">
        <v>826</v>
      </c>
      <c r="D90" s="52" t="str">
        <f>IFERROR(VLOOKUP($C90,'[2]LP 08-2024'!$A:$B,2,FALSE),"0")</f>
        <v>TAPA PASAMANOS C04</v>
      </c>
      <c r="E90" s="55" t="s">
        <v>136</v>
      </c>
      <c r="F90" s="55" t="s">
        <v>798</v>
      </c>
      <c r="G90" s="13">
        <f>IFERROR(VLOOKUP($C90,'[2]LP 08-2024'!$A:$F,6,FALSE),"0")</f>
        <v>1222</v>
      </c>
      <c r="H90" s="53"/>
      <c r="I90" s="56">
        <f t="shared" si="4"/>
        <v>0</v>
      </c>
      <c r="J90" s="41" t="str">
        <f>IFERROR(VLOOKUP(#REF!,#REF!,6,FALSE),"0")</f>
        <v>0</v>
      </c>
      <c r="K90" s="41">
        <f t="shared" si="5"/>
        <v>0</v>
      </c>
    </row>
    <row r="91" spans="2:11" ht="15" customHeight="1">
      <c r="B91" s="51">
        <v>78</v>
      </c>
      <c r="C91" s="55" t="s">
        <v>827</v>
      </c>
      <c r="D91" s="52" t="str">
        <f>IFERROR(VLOOKUP($C91,'[2]LP 08-2024'!$A:$B,2,FALSE),"0")</f>
        <v>TAPA PORTAVIDRIO C06</v>
      </c>
      <c r="E91" s="55" t="s">
        <v>136</v>
      </c>
      <c r="F91" s="55" t="s">
        <v>798</v>
      </c>
      <c r="G91" s="13">
        <f>IFERROR(VLOOKUP($C91,'[2]LP 08-2024'!$A:$F,6,FALSE),"0")</f>
        <v>764</v>
      </c>
      <c r="H91" s="53"/>
      <c r="I91" s="56">
        <f t="shared" si="4"/>
        <v>0</v>
      </c>
      <c r="J91" s="41" t="str">
        <f>IFERROR(VLOOKUP(#REF!,#REF!,6,FALSE),"0")</f>
        <v>0</v>
      </c>
      <c r="K91" s="41">
        <f t="shared" si="5"/>
        <v>0</v>
      </c>
    </row>
    <row r="92" spans="2:11" ht="15" customHeight="1">
      <c r="B92" s="51">
        <v>79</v>
      </c>
      <c r="C92" s="55" t="s">
        <v>828</v>
      </c>
      <c r="D92" s="52" t="str">
        <f>IFERROR(VLOOKUP($C92,'[2]LP 08-2024'!$A:$B,2,FALSE),"0")</f>
        <v>BURLETE RESPALDO CITY</v>
      </c>
      <c r="E92" s="55" t="s">
        <v>136</v>
      </c>
      <c r="F92" s="55" t="s">
        <v>798</v>
      </c>
      <c r="G92" s="13">
        <f>IFERROR(VLOOKUP($C92,'[2]LP 08-2024'!$A:$F,6,FALSE),"0")</f>
        <v>917</v>
      </c>
      <c r="H92" s="53"/>
      <c r="I92" s="56">
        <f t="shared" si="4"/>
        <v>0</v>
      </c>
      <c r="J92" s="41" t="str">
        <f>IFERROR(VLOOKUP(#REF!,#REF!,6,FALSE),"0")</f>
        <v>0</v>
      </c>
      <c r="K92" s="41">
        <f t="shared" si="5"/>
        <v>0</v>
      </c>
    </row>
    <row r="93" spans="2:11" ht="15" customHeight="1">
      <c r="B93" s="51">
        <v>80</v>
      </c>
      <c r="C93" s="55" t="s">
        <v>829</v>
      </c>
      <c r="D93" s="52" t="str">
        <f>IFERROR(VLOOKUP($C93,'[2]LP 08-2024'!$A:$B,2,FALSE),"0")</f>
        <v>VARILLA ROSCADAS 3/8</v>
      </c>
      <c r="E93" s="55" t="s">
        <v>136</v>
      </c>
      <c r="F93" s="55" t="s">
        <v>798</v>
      </c>
      <c r="G93" s="13">
        <f>IFERROR(VLOOKUP($C93,'[2]LP 08-2024'!$A:$F,6,FALSE),"0")</f>
        <v>764</v>
      </c>
      <c r="H93" s="53"/>
      <c r="I93" s="56">
        <f t="shared" si="4"/>
        <v>0</v>
      </c>
      <c r="J93" s="41" t="str">
        <f>IFERROR(VLOOKUP(#REF!,#REF!,6,FALSE),"0")</f>
        <v>0</v>
      </c>
      <c r="K93" s="41">
        <f t="shared" si="5"/>
        <v>0</v>
      </c>
    </row>
    <row r="94" spans="2:11" ht="15" customHeight="1">
      <c r="B94" s="51">
        <v>81</v>
      </c>
      <c r="C94" s="55" t="s">
        <v>830</v>
      </c>
      <c r="D94" s="52" t="str">
        <f>IFERROR(VLOOKUP($C94,'[2]LP 08-2024'!$A:$B,2,FALSE),"0")</f>
        <v>TUERCAS PARA VARILLAS</v>
      </c>
      <c r="E94" s="55" t="s">
        <v>136</v>
      </c>
      <c r="F94" s="55" t="s">
        <v>798</v>
      </c>
      <c r="G94" s="13">
        <f>IFERROR(VLOOKUP($C94,'[2]LP 08-2024'!$A:$F,6,FALSE),"0")</f>
        <v>458</v>
      </c>
      <c r="H94" s="53"/>
      <c r="I94" s="56">
        <f t="shared" si="4"/>
        <v>0</v>
      </c>
      <c r="J94" s="41" t="str">
        <f>IFERROR(VLOOKUP(#REF!,#REF!,6,FALSE),"0")</f>
        <v>0</v>
      </c>
      <c r="K94" s="41">
        <f t="shared" si="5"/>
        <v>0</v>
      </c>
    </row>
    <row r="95" spans="2:11" ht="15" customHeight="1">
      <c r="B95" s="51">
        <v>82</v>
      </c>
      <c r="C95" s="55" t="s">
        <v>831</v>
      </c>
      <c r="D95" s="52" t="str">
        <f>IFERROR(VLOOKUP($C95,'[2]LP 08-2024'!$A:$B,2,FALSE),"0")</f>
        <v>ARANDELAS</v>
      </c>
      <c r="E95" s="55" t="s">
        <v>136</v>
      </c>
      <c r="F95" s="55" t="s">
        <v>798</v>
      </c>
      <c r="G95" s="13">
        <f>IFERROR(VLOOKUP($C95,'[2]LP 08-2024'!$A:$F,6,FALSE),"0")</f>
        <v>458</v>
      </c>
      <c r="H95" s="53"/>
      <c r="I95" s="56">
        <f t="shared" si="4"/>
        <v>0</v>
      </c>
      <c r="J95" s="41" t="str">
        <f>IFERROR(VLOOKUP(#REF!,#REF!,6,FALSE),"0")</f>
        <v>0</v>
      </c>
      <c r="K95" s="41">
        <f t="shared" si="5"/>
        <v>0</v>
      </c>
    </row>
    <row r="96" spans="2:11" ht="15" customHeight="1">
      <c r="B96" s="51">
        <v>83</v>
      </c>
      <c r="C96" s="55" t="s">
        <v>832</v>
      </c>
      <c r="D96" s="52" t="str">
        <f>IFERROR(VLOOKUP($C96,'[2]LP 08-2024'!$A:$B,2,FALSE),"0")</f>
        <v>BURLETE RESPALDO L ( INFERIOR )</v>
      </c>
      <c r="E96" s="55" t="s">
        <v>811</v>
      </c>
      <c r="F96" s="55" t="s">
        <v>798</v>
      </c>
      <c r="G96" s="13">
        <f>IFERROR(VLOOKUP($C96,'[2]LP 08-2024'!$A:$F,6,FALSE),"0")</f>
        <v>1958</v>
      </c>
      <c r="H96" s="53"/>
      <c r="I96" s="56">
        <f t="shared" si="4"/>
        <v>0</v>
      </c>
      <c r="J96" s="41" t="str">
        <f>IFERROR(VLOOKUP(#REF!,#REF!,6,FALSE),"0")</f>
        <v>0</v>
      </c>
      <c r="K96" s="41">
        <f t="shared" si="5"/>
        <v>0</v>
      </c>
    </row>
    <row r="97" spans="2:11" ht="15" customHeight="1">
      <c r="B97" s="51">
        <v>84</v>
      </c>
      <c r="C97" s="55" t="s">
        <v>833</v>
      </c>
      <c r="D97" s="52" t="str">
        <f>IFERROR(VLOOKUP($C97,'[2]LP 08-2024'!$A:$B,2,FALSE),"0")</f>
        <v>BURLETE RESPALDO SUPERIOR</v>
      </c>
      <c r="E97" s="55" t="s">
        <v>811</v>
      </c>
      <c r="F97" s="55" t="s">
        <v>798</v>
      </c>
      <c r="G97" s="13">
        <f>IFERROR(VLOOKUP($C97,'[2]LP 08-2024'!$A:$F,6,FALSE),"0")</f>
        <v>1375</v>
      </c>
      <c r="H97" s="53"/>
      <c r="I97" s="56">
        <f t="shared" si="4"/>
        <v>0</v>
      </c>
      <c r="J97" s="41" t="str">
        <f>IFERROR(VLOOKUP(#REF!,#REF!,6,FALSE),"0")</f>
        <v>0</v>
      </c>
      <c r="K97" s="41">
        <f t="shared" si="5"/>
        <v>0</v>
      </c>
    </row>
    <row r="98" spans="2:11" ht="15" customHeight="1">
      <c r="B98" s="51">
        <v>85</v>
      </c>
      <c r="C98" s="55" t="s">
        <v>834</v>
      </c>
      <c r="D98" s="52" t="str">
        <f>IFERROR(VLOOKUP($C98,'[2]LP 08-2024'!$A:$B,2,FALSE),"0")</f>
        <v>BURLETE CONTRA VIDRIO 10mm</v>
      </c>
      <c r="E98" s="55" t="s">
        <v>811</v>
      </c>
      <c r="F98" s="55" t="s">
        <v>798</v>
      </c>
      <c r="G98" s="13">
        <f>IFERROR(VLOOKUP($C98,'[2]LP 08-2024'!$A:$F,6,FALSE),"0")</f>
        <v>6350</v>
      </c>
      <c r="H98" s="53"/>
      <c r="I98" s="56">
        <f t="shared" si="4"/>
        <v>0</v>
      </c>
      <c r="J98" s="41" t="str">
        <f>IFERROR(VLOOKUP(#REF!,#REF!,6,FALSE),"0")</f>
        <v>0</v>
      </c>
      <c r="K98" s="41">
        <f t="shared" si="5"/>
        <v>0</v>
      </c>
    </row>
    <row r="99" spans="2:11" ht="15" customHeight="1">
      <c r="B99" s="51">
        <v>86</v>
      </c>
      <c r="C99" s="55" t="s">
        <v>835</v>
      </c>
      <c r="D99" s="52" t="str">
        <f>IFERROR(VLOOKUP($C99,'[2]LP 08-2024'!$A:$B,2,FALSE),"0")</f>
        <v>BURLETE CONTRA VIDRIO 12mm</v>
      </c>
      <c r="E99" s="55" t="s">
        <v>811</v>
      </c>
      <c r="F99" s="55" t="s">
        <v>798</v>
      </c>
      <c r="G99" s="13">
        <f>IFERROR(VLOOKUP($C99,'[2]LP 08-2024'!$A:$F,6,FALSE),"0")</f>
        <v>3060</v>
      </c>
      <c r="H99" s="53"/>
      <c r="I99" s="56">
        <f t="shared" si="4"/>
        <v>0</v>
      </c>
      <c r="J99" s="41" t="str">
        <f>IFERROR(VLOOKUP(#REF!,#REF!,6,FALSE),"0")</f>
        <v>0</v>
      </c>
      <c r="K99" s="41">
        <f t="shared" si="5"/>
        <v>0</v>
      </c>
    </row>
    <row r="100" spans="2:11" ht="15" customHeight="1">
      <c r="B100" s="51">
        <v>87</v>
      </c>
      <c r="C100" s="55" t="s">
        <v>836</v>
      </c>
      <c r="D100" s="52" t="str">
        <f>IFERROR(VLOOKUP($C100,'[2]LP 08-2024'!$A:$B,2,FALSE),"0")</f>
        <v>BURLETE CONTRA VIDRIO 16mm</v>
      </c>
      <c r="E100" s="55" t="s">
        <v>811</v>
      </c>
      <c r="F100" s="55" t="s">
        <v>798</v>
      </c>
      <c r="G100" s="13">
        <f>IFERROR(VLOOKUP($C100,'[2]LP 08-2024'!$A:$F,6,FALSE),"0")</f>
        <v>1375</v>
      </c>
      <c r="H100" s="53"/>
      <c r="I100" s="56">
        <f t="shared" si="4"/>
        <v>0</v>
      </c>
      <c r="J100" s="41" t="str">
        <f>IFERROR(VLOOKUP(#REF!,#REF!,6,FALSE),"0")</f>
        <v>0</v>
      </c>
      <c r="K100" s="41">
        <f t="shared" si="5"/>
        <v>0</v>
      </c>
    </row>
    <row r="101" spans="2:11" ht="15" customHeight="1">
      <c r="B101" s="51">
        <v>88</v>
      </c>
      <c r="C101" s="55" t="s">
        <v>837</v>
      </c>
      <c r="D101" s="52" t="str">
        <f>IFERROR(VLOOKUP($C101,'[2]LP 08-2024'!$A:$B,2,FALSE),"0")</f>
        <v>BURLETE CONTRA VIDRIO 20mm</v>
      </c>
      <c r="E101" s="55" t="s">
        <v>811</v>
      </c>
      <c r="F101" s="55" t="s">
        <v>798</v>
      </c>
      <c r="G101" s="13">
        <f>IFERROR(VLOOKUP($C101,'[2]LP 08-2024'!$A:$F,6,FALSE),"0")</f>
        <v>2295</v>
      </c>
      <c r="H101" s="53"/>
      <c r="I101" s="56">
        <f t="shared" si="4"/>
        <v>0</v>
      </c>
      <c r="J101" s="41" t="str">
        <f>IFERROR(VLOOKUP(#REF!,#REF!,6,FALSE),"0")</f>
        <v>0</v>
      </c>
      <c r="K101" s="41">
        <f t="shared" si="5"/>
        <v>0</v>
      </c>
    </row>
    <row r="102" spans="2:11" ht="15" customHeight="1">
      <c r="B102" s="51">
        <v>89</v>
      </c>
      <c r="C102" s="55" t="s">
        <v>838</v>
      </c>
      <c r="D102" s="52" t="str">
        <f>IFERROR(VLOOKUP($C102,'[2]LP 08-2024'!$A:$B,2,FALSE),"0")</f>
        <v>BURLETE RESPALDO SUPERIOR - B2</v>
      </c>
      <c r="E102" s="55" t="s">
        <v>811</v>
      </c>
      <c r="F102" s="55" t="s">
        <v>798</v>
      </c>
      <c r="G102" s="13">
        <f>IFERROR(VLOOKUP($C102,'[2]LP 08-2024'!$A:$F,6,FALSE),"0")</f>
        <v>1375</v>
      </c>
      <c r="H102" s="53"/>
      <c r="I102" s="56">
        <f t="shared" si="4"/>
        <v>0</v>
      </c>
      <c r="J102" s="41"/>
      <c r="K102" s="41"/>
    </row>
    <row r="103" spans="2:11" ht="15" customHeight="1">
      <c r="B103" s="51">
        <v>90</v>
      </c>
      <c r="C103" s="55" t="s">
        <v>839</v>
      </c>
      <c r="D103" s="52" t="str">
        <f>IFERROR(VLOOKUP($C103,'[2]LP 08-2024'!$A:$B,2,FALSE),"0")</f>
        <v>BURLETE CONTRA VIDRIO 10mm - B</v>
      </c>
      <c r="E103" s="55" t="s">
        <v>811</v>
      </c>
      <c r="F103" s="55" t="s">
        <v>798</v>
      </c>
      <c r="G103" s="13">
        <f>IFERROR(VLOOKUP($C103,'[2]LP 08-2024'!$A:$F,6,FALSE),"0")</f>
        <v>4063</v>
      </c>
      <c r="H103" s="53"/>
      <c r="I103" s="56">
        <f t="shared" si="4"/>
        <v>0</v>
      </c>
      <c r="J103" s="41"/>
      <c r="K103" s="41"/>
    </row>
    <row r="104" spans="2:11" ht="15" customHeight="1">
      <c r="B104" s="51">
        <v>91</v>
      </c>
      <c r="C104" s="55" t="s">
        <v>840</v>
      </c>
      <c r="D104" s="52" t="str">
        <f>IFERROR(VLOOKUP($C104,'[2]LP 08-2024'!$A:$B,2,FALSE),"0")</f>
        <v>BURLETE CONTRA VIDRIO 12mm - B</v>
      </c>
      <c r="E104" s="55" t="s">
        <v>811</v>
      </c>
      <c r="F104" s="55" t="s">
        <v>798</v>
      </c>
      <c r="G104" s="13">
        <f>IFERROR(VLOOKUP($C104,'[2]LP 08-2024'!$A:$F,6,FALSE),"0")</f>
        <v>4063</v>
      </c>
      <c r="H104" s="53"/>
      <c r="I104" s="56">
        <f t="shared" si="4"/>
        <v>0</v>
      </c>
      <c r="J104" s="41"/>
      <c r="K104" s="41"/>
    </row>
    <row r="105" spans="2:11" ht="15" customHeight="1">
      <c r="B105" s="51">
        <v>92</v>
      </c>
      <c r="C105" s="55" t="s">
        <v>841</v>
      </c>
      <c r="D105" s="52" t="str">
        <f>IFERROR(VLOOKUP($C105,'[2]LP 08-2024'!$A:$B,2,FALSE),"0")</f>
        <v>BURLETE CONTRA VIDRIO 16mm - B</v>
      </c>
      <c r="E105" s="55" t="s">
        <v>811</v>
      </c>
      <c r="F105" s="55" t="s">
        <v>798</v>
      </c>
      <c r="G105" s="13">
        <f>IFERROR(VLOOKUP($C105,'[2]LP 08-2024'!$A:$F,6,FALSE),"0")</f>
        <v>4063</v>
      </c>
      <c r="H105" s="53"/>
      <c r="I105" s="56">
        <f t="shared" si="4"/>
        <v>0</v>
      </c>
      <c r="J105" s="41"/>
      <c r="K105" s="41"/>
    </row>
    <row r="106" spans="2:11" ht="15" customHeight="1">
      <c r="B106" s="51">
        <v>93</v>
      </c>
      <c r="C106" s="55" t="s">
        <v>842</v>
      </c>
      <c r="D106" s="52" t="str">
        <f>IFERROR(VLOOKUP($C106,'[2]LP 08-2024'!$A:$B,2,FALSE),"0")</f>
        <v>BURLETE CONTRA VIDRIO 20mm - B</v>
      </c>
      <c r="E106" s="55" t="s">
        <v>811</v>
      </c>
      <c r="F106" s="55" t="s">
        <v>798</v>
      </c>
      <c r="G106" s="13">
        <f>IFERROR(VLOOKUP($C106,'[2]LP 08-2024'!$A:$F,6,FALSE),"0")</f>
        <v>4063</v>
      </c>
      <c r="H106" s="53"/>
      <c r="I106" s="56">
        <f t="shared" si="4"/>
        <v>0</v>
      </c>
      <c r="J106" s="41"/>
      <c r="K106" s="41"/>
    </row>
    <row r="107" spans="2:11" ht="15" customHeight="1">
      <c r="B107" s="51">
        <v>94</v>
      </c>
      <c r="C107" s="55" t="s">
        <v>843</v>
      </c>
      <c r="D107" s="52" t="str">
        <f>IFERROR(VLOOKUP($C107,'[2]LP 08-2024'!$A:$B,2,FALSE),"0")</f>
        <v>PERNO ALINEACION</v>
      </c>
      <c r="E107" s="55" t="s">
        <v>136</v>
      </c>
      <c r="F107" s="55" t="s">
        <v>798</v>
      </c>
      <c r="G107" s="13">
        <f>IFERROR(VLOOKUP($C107,'[2]LP 08-2024'!$A:$F,6,FALSE),"0")</f>
        <v>1146</v>
      </c>
      <c r="H107" s="53"/>
      <c r="I107" s="56">
        <f t="shared" si="4"/>
        <v>0</v>
      </c>
      <c r="J107" s="41" t="str">
        <f>IFERROR(VLOOKUP(#REF!,#REF!,6,FALSE),"0")</f>
        <v>0</v>
      </c>
      <c r="K107" s="41">
        <f t="shared" si="5"/>
        <v>0</v>
      </c>
    </row>
    <row r="108" spans="2:11" ht="15" customHeight="1">
      <c r="B108" s="51">
        <v>95</v>
      </c>
      <c r="C108" s="55" t="s">
        <v>844</v>
      </c>
      <c r="D108" s="52" t="str">
        <f>IFERROR(VLOOKUP($C108,'[2]LP 08-2024'!$A:$B,2,FALSE),"0")</f>
        <v>CALZOS PLÁSTICOS 10mm</v>
      </c>
      <c r="E108" s="55" t="s">
        <v>136</v>
      </c>
      <c r="F108" s="55" t="s">
        <v>798</v>
      </c>
      <c r="G108" s="13">
        <f>IFERROR(VLOOKUP($C108,'[2]LP 08-2024'!$A:$F,6,FALSE),"0")</f>
        <v>1530</v>
      </c>
      <c r="H108" s="53"/>
      <c r="I108" s="56">
        <f t="shared" si="4"/>
        <v>0</v>
      </c>
      <c r="J108" s="41" t="str">
        <f>IFERROR(VLOOKUP(#REF!,#REF!,6,FALSE),"0")</f>
        <v>0</v>
      </c>
      <c r="K108" s="41">
        <f t="shared" si="5"/>
        <v>0</v>
      </c>
    </row>
    <row r="109" spans="2:11" ht="15" customHeight="1">
      <c r="B109" s="51">
        <v>96</v>
      </c>
      <c r="C109" s="55" t="s">
        <v>845</v>
      </c>
      <c r="D109" s="52" t="str">
        <f>IFERROR(VLOOKUP($C109,'[2]LP 08-2024'!$A:$B,2,FALSE),"0")</f>
        <v>CALZOS PLÁSTICOS 12mm</v>
      </c>
      <c r="E109" s="55" t="s">
        <v>136</v>
      </c>
      <c r="F109" s="55" t="s">
        <v>798</v>
      </c>
      <c r="G109" s="13">
        <f>IFERROR(VLOOKUP($C109,'[2]LP 08-2024'!$A:$F,6,FALSE),"0")</f>
        <v>1530</v>
      </c>
      <c r="H109" s="53"/>
      <c r="I109" s="56">
        <f t="shared" si="4"/>
        <v>0</v>
      </c>
      <c r="J109" s="41" t="str">
        <f>IFERROR(VLOOKUP(#REF!,#REF!,6,FALSE),"0")</f>
        <v>0</v>
      </c>
      <c r="K109" s="41">
        <f t="shared" si="5"/>
        <v>0</v>
      </c>
    </row>
    <row r="110" spans="2:11" ht="15" customHeight="1">
      <c r="B110" s="51">
        <v>97</v>
      </c>
      <c r="C110" s="55" t="s">
        <v>846</v>
      </c>
      <c r="D110" s="52" t="str">
        <f>IFERROR(VLOOKUP($C110,'[2]LP 08-2024'!$A:$B,2,FALSE),"0")</f>
        <v>CALZOS PLÁSTICOS 16mm</v>
      </c>
      <c r="E110" s="55" t="s">
        <v>136</v>
      </c>
      <c r="F110" s="55" t="s">
        <v>798</v>
      </c>
      <c r="G110" s="13">
        <f>IFERROR(VLOOKUP($C110,'[2]LP 08-2024'!$A:$F,6,FALSE),"0")</f>
        <v>764</v>
      </c>
      <c r="H110" s="53"/>
      <c r="I110" s="56">
        <f t="shared" si="4"/>
        <v>0</v>
      </c>
      <c r="J110" s="41" t="str">
        <f>IFERROR(VLOOKUP(#REF!,#REF!,6,FALSE),"0")</f>
        <v>0</v>
      </c>
      <c r="K110" s="41">
        <f t="shared" si="5"/>
        <v>0</v>
      </c>
    </row>
    <row r="111" spans="2:11" ht="15" customHeight="1">
      <c r="B111" s="51">
        <v>98</v>
      </c>
      <c r="C111" s="55" t="s">
        <v>847</v>
      </c>
      <c r="D111" s="52" t="str">
        <f>IFERROR(VLOOKUP($C111,'[2]LP 08-2024'!$A:$B,2,FALSE),"0")</f>
        <v>CALZOS PLÁSTICOS 20mm</v>
      </c>
      <c r="E111" s="55" t="s">
        <v>136</v>
      </c>
      <c r="F111" s="55" t="s">
        <v>798</v>
      </c>
      <c r="G111" s="13">
        <f>IFERROR(VLOOKUP($C111,'[2]LP 08-2024'!$A:$F,6,FALSE),"0")</f>
        <v>1530</v>
      </c>
      <c r="H111" s="53"/>
      <c r="I111" s="56">
        <f t="shared" si="4"/>
        <v>0</v>
      </c>
      <c r="J111" s="41" t="str">
        <f>IFERROR(VLOOKUP(#REF!,#REF!,6,FALSE),"0")</f>
        <v>0</v>
      </c>
      <c r="K111" s="41">
        <f t="shared" si="5"/>
        <v>0</v>
      </c>
    </row>
    <row r="112" spans="2:11" ht="15" customHeight="1">
      <c r="B112" s="51">
        <v>99</v>
      </c>
      <c r="C112" s="55" t="s">
        <v>848</v>
      </c>
      <c r="D112" s="52" t="str">
        <f>IFERROR(VLOOKUP($C112,'[2]LP 08-2024'!$A:$B,2,FALSE),"0")</f>
        <v>ESPATULA TRABA CALZOS</v>
      </c>
      <c r="E112" s="55" t="s">
        <v>136</v>
      </c>
      <c r="F112" s="55" t="s">
        <v>798</v>
      </c>
      <c r="G112" s="13">
        <f>IFERROR(VLOOKUP($C112,'[2]LP 08-2024'!$A:$F,6,FALSE),"0")</f>
        <v>32080</v>
      </c>
      <c r="H112" s="53"/>
      <c r="I112" s="56">
        <f t="shared" si="4"/>
        <v>0</v>
      </c>
      <c r="J112" s="41" t="str">
        <f>IFERROR(VLOOKUP(#REF!,#REF!,6,FALSE),"0")</f>
        <v>0</v>
      </c>
      <c r="K112" s="41">
        <f t="shared" si="5"/>
        <v>0</v>
      </c>
    </row>
    <row r="113" spans="2:11" ht="15" customHeight="1">
      <c r="B113" s="25"/>
      <c r="C113" s="31"/>
      <c r="D113" s="31"/>
      <c r="E113" s="31"/>
      <c r="F113" s="31"/>
      <c r="G113" s="26"/>
      <c r="H113" s="39"/>
      <c r="I113" s="27"/>
      <c r="J113" s="40"/>
      <c r="K113" s="40"/>
    </row>
    <row r="114" spans="2:11" ht="15" customHeight="1">
      <c r="B114"/>
      <c r="C114"/>
      <c r="D114"/>
      <c r="E114"/>
      <c r="F114"/>
      <c r="G114" s="26"/>
      <c r="H114" s="33"/>
      <c r="I114" s="27"/>
      <c r="J114" s="32"/>
      <c r="K114" s="32"/>
    </row>
    <row r="115" spans="2:11" ht="15.75">
      <c r="C115"/>
      <c r="D115"/>
      <c r="E115"/>
      <c r="F115" s="103" t="s">
        <v>399</v>
      </c>
      <c r="G115" s="104"/>
      <c r="H115" s="21"/>
      <c r="I115" s="22">
        <f>SUM($I14:$I112)</f>
        <v>0</v>
      </c>
      <c r="J115" s="32"/>
      <c r="K115" s="32"/>
    </row>
    <row r="116" spans="2:11" ht="15.75">
      <c r="C116"/>
      <c r="D116"/>
      <c r="E116"/>
      <c r="F116" s="42" t="s">
        <v>400</v>
      </c>
      <c r="G116" s="20">
        <v>0.19</v>
      </c>
      <c r="H116" s="21"/>
      <c r="I116" s="22">
        <f>$I115*$G116</f>
        <v>0</v>
      </c>
      <c r="J116" s="32"/>
      <c r="K116" s="32"/>
    </row>
    <row r="117" spans="2:11" ht="15.75">
      <c r="C117"/>
      <c r="D117"/>
      <c r="E117"/>
      <c r="F117" s="103" t="s">
        <v>401</v>
      </c>
      <c r="G117" s="104"/>
      <c r="H117" s="21"/>
      <c r="I117" s="22">
        <f>$I115+$I116</f>
        <v>0</v>
      </c>
      <c r="J117" s="32"/>
      <c r="K117" s="32"/>
    </row>
    <row r="118" spans="2:11" ht="15.75" thickBot="1"/>
    <row r="119" spans="2:11" ht="15.75" customHeight="1">
      <c r="F119" s="97" t="s">
        <v>0</v>
      </c>
      <c r="G119" s="98"/>
      <c r="H119" s="115">
        <f>SUM($K$14:$K$62)</f>
        <v>0</v>
      </c>
    </row>
    <row r="120" spans="2:11" ht="15.75" thickBot="1">
      <c r="F120" s="99"/>
      <c r="G120" s="100"/>
      <c r="H120" s="116"/>
      <c r="I120" s="2" t="s">
        <v>849</v>
      </c>
    </row>
    <row r="610" spans="9:11">
      <c r="I610" s="4"/>
      <c r="J610" s="4"/>
      <c r="K610" s="4"/>
    </row>
    <row r="611" spans="9:11">
      <c r="I611" s="4"/>
      <c r="J611" s="4"/>
      <c r="K611" s="4"/>
    </row>
    <row r="612" spans="9:11">
      <c r="I612" s="4"/>
      <c r="J612" s="4"/>
      <c r="K612" s="4"/>
    </row>
    <row r="613" spans="9:11">
      <c r="I613" s="4"/>
      <c r="J613" s="4"/>
      <c r="K613" s="4"/>
    </row>
    <row r="614" spans="9:11">
      <c r="I614" s="4"/>
      <c r="J614" s="4"/>
      <c r="K614" s="4"/>
    </row>
    <row r="615" spans="9:11">
      <c r="I615" s="4"/>
      <c r="J615" s="4"/>
      <c r="K615" s="4"/>
    </row>
    <row r="616" spans="9:11">
      <c r="I616" s="4"/>
      <c r="J616" s="4"/>
      <c r="K616" s="4"/>
    </row>
    <row r="617" spans="9:11">
      <c r="I617" s="4"/>
      <c r="J617" s="4"/>
      <c r="K617" s="4"/>
    </row>
    <row r="618" spans="9:11">
      <c r="I618" s="4"/>
      <c r="J618" s="4"/>
      <c r="K618" s="4"/>
    </row>
    <row r="619" spans="9:11">
      <c r="I619" s="4"/>
      <c r="J619" s="4"/>
      <c r="K619" s="4"/>
    </row>
    <row r="620" spans="9:11">
      <c r="I620" s="4"/>
      <c r="J620" s="4"/>
      <c r="K620" s="4"/>
    </row>
    <row r="621" spans="9:11">
      <c r="I621" s="4"/>
      <c r="J621" s="4"/>
      <c r="K621" s="4"/>
    </row>
    <row r="622" spans="9:11">
      <c r="I622" s="4"/>
      <c r="J622" s="4"/>
      <c r="K622" s="4"/>
    </row>
    <row r="623" spans="9:11">
      <c r="I623" s="4"/>
      <c r="J623" s="4"/>
      <c r="K623" s="4"/>
    </row>
    <row r="624" spans="9:11">
      <c r="I624" s="4"/>
      <c r="J624" s="4"/>
      <c r="K624" s="4"/>
    </row>
    <row r="625" spans="9:11">
      <c r="I625" s="4"/>
      <c r="J625" s="4"/>
      <c r="K625" s="4"/>
    </row>
    <row r="626" spans="9:11">
      <c r="I626" s="4"/>
      <c r="J626" s="4"/>
      <c r="K626" s="4"/>
    </row>
    <row r="627" spans="9:11">
      <c r="I627" s="4"/>
      <c r="J627" s="4"/>
      <c r="K627" s="4"/>
    </row>
    <row r="628" spans="9:11">
      <c r="I628" s="4"/>
      <c r="J628" s="4"/>
      <c r="K628" s="4"/>
    </row>
    <row r="629" spans="9:11">
      <c r="I629" s="4"/>
      <c r="J629" s="4"/>
      <c r="K629" s="4"/>
    </row>
    <row r="630" spans="9:11">
      <c r="I630" s="4"/>
      <c r="J630" s="4"/>
      <c r="K630" s="4"/>
    </row>
    <row r="631" spans="9:11">
      <c r="I631" s="4"/>
      <c r="J631" s="4"/>
      <c r="K631" s="4"/>
    </row>
    <row r="632" spans="9:11">
      <c r="I632" s="4"/>
      <c r="J632" s="4"/>
      <c r="K632" s="4"/>
    </row>
    <row r="633" spans="9:11">
      <c r="I633" s="4"/>
      <c r="J633" s="4"/>
      <c r="K633" s="4"/>
    </row>
    <row r="634" spans="9:11">
      <c r="I634" s="4"/>
      <c r="J634" s="4"/>
      <c r="K634" s="4"/>
    </row>
    <row r="635" spans="9:11">
      <c r="I635" s="4"/>
      <c r="J635" s="4"/>
      <c r="K635" s="4"/>
    </row>
    <row r="636" spans="9:11">
      <c r="I636" s="4"/>
      <c r="J636" s="4"/>
      <c r="K636" s="4"/>
    </row>
    <row r="637" spans="9:11">
      <c r="I637" s="4"/>
      <c r="J637" s="4"/>
      <c r="K637" s="4"/>
    </row>
    <row r="638" spans="9:11">
      <c r="I638" s="4"/>
      <c r="J638" s="4"/>
      <c r="K638" s="4"/>
    </row>
    <row r="639" spans="9:11">
      <c r="I639" s="4"/>
      <c r="J639" s="4"/>
      <c r="K639" s="4"/>
    </row>
    <row r="640" spans="9:11">
      <c r="I640" s="4"/>
      <c r="J640" s="4"/>
      <c r="K640" s="4"/>
    </row>
    <row r="641" spans="9:11">
      <c r="I641" s="4"/>
      <c r="J641" s="4"/>
      <c r="K641" s="4"/>
    </row>
    <row r="642" spans="9:11">
      <c r="I642" s="4"/>
      <c r="J642" s="4"/>
      <c r="K642" s="4"/>
    </row>
    <row r="643" spans="9:11">
      <c r="I643" s="4"/>
      <c r="J643" s="4"/>
      <c r="K643" s="4"/>
    </row>
    <row r="644" spans="9:11">
      <c r="I644" s="4"/>
      <c r="J644" s="4"/>
      <c r="K644" s="4"/>
    </row>
    <row r="645" spans="9:11">
      <c r="I645" s="4"/>
      <c r="J645" s="4"/>
      <c r="K645" s="4"/>
    </row>
    <row r="646" spans="9:11">
      <c r="I646" s="4"/>
      <c r="J646" s="4"/>
      <c r="K646" s="4"/>
    </row>
    <row r="647" spans="9:11">
      <c r="I647" s="4"/>
      <c r="J647" s="4"/>
      <c r="K647" s="4"/>
    </row>
    <row r="648" spans="9:11">
      <c r="I648" s="4"/>
      <c r="J648" s="4"/>
      <c r="K648" s="4"/>
    </row>
    <row r="649" spans="9:11">
      <c r="I649" s="4"/>
      <c r="J649" s="4"/>
      <c r="K649" s="4"/>
    </row>
    <row r="650" spans="9:11">
      <c r="I650" s="4"/>
      <c r="J650" s="4"/>
      <c r="K650" s="4"/>
    </row>
    <row r="651" spans="9:11">
      <c r="I651" s="4"/>
      <c r="J651" s="4"/>
      <c r="K651" s="4"/>
    </row>
    <row r="652" spans="9:11">
      <c r="I652" s="4"/>
      <c r="J652" s="4"/>
      <c r="K652" s="4"/>
    </row>
    <row r="653" spans="9:11">
      <c r="I653" s="4"/>
      <c r="J653" s="4"/>
      <c r="K653" s="4"/>
    </row>
    <row r="654" spans="9:11">
      <c r="I654" s="4"/>
      <c r="J654" s="4"/>
      <c r="K654" s="4"/>
    </row>
    <row r="655" spans="9:11">
      <c r="I655" s="4"/>
      <c r="J655" s="4"/>
      <c r="K655" s="4"/>
    </row>
    <row r="656" spans="9:11">
      <c r="I656" s="4"/>
      <c r="J656" s="4"/>
      <c r="K656" s="4"/>
    </row>
    <row r="657" spans="9:11">
      <c r="I657" s="4"/>
      <c r="J657" s="4"/>
      <c r="K657" s="4"/>
    </row>
    <row r="658" spans="9:11">
      <c r="I658" s="4"/>
      <c r="J658" s="4"/>
      <c r="K658" s="4"/>
    </row>
    <row r="659" spans="9:11">
      <c r="I659" s="4"/>
      <c r="J659" s="4"/>
      <c r="K659" s="4"/>
    </row>
    <row r="660" spans="9:11">
      <c r="I660" s="4"/>
      <c r="J660" s="4"/>
      <c r="K660" s="4"/>
    </row>
    <row r="661" spans="9:11">
      <c r="I661" s="4"/>
      <c r="J661" s="4"/>
      <c r="K661" s="4"/>
    </row>
    <row r="662" spans="9:11">
      <c r="I662" s="4"/>
      <c r="J662" s="4"/>
      <c r="K662" s="4"/>
    </row>
    <row r="663" spans="9:11">
      <c r="I663" s="4"/>
      <c r="J663" s="4"/>
      <c r="K663" s="4"/>
    </row>
    <row r="664" spans="9:11">
      <c r="I664" s="4"/>
      <c r="J664" s="4"/>
      <c r="K664" s="4"/>
    </row>
    <row r="665" spans="9:11">
      <c r="I665" s="4"/>
      <c r="J665" s="4"/>
      <c r="K665" s="4"/>
    </row>
    <row r="666" spans="9:11">
      <c r="I666" s="4"/>
      <c r="J666" s="4"/>
      <c r="K666" s="4"/>
    </row>
    <row r="667" spans="9:11">
      <c r="I667" s="4"/>
      <c r="J667" s="4"/>
      <c r="K667" s="4"/>
    </row>
    <row r="668" spans="9:11">
      <c r="I668" s="4"/>
      <c r="J668" s="4"/>
      <c r="K668" s="4"/>
    </row>
    <row r="669" spans="9:11">
      <c r="I669" s="4"/>
      <c r="J669" s="4"/>
      <c r="K669" s="4"/>
    </row>
    <row r="670" spans="9:11">
      <c r="I670" s="4"/>
      <c r="J670" s="4"/>
      <c r="K670" s="4"/>
    </row>
    <row r="671" spans="9:11">
      <c r="I671" s="4"/>
      <c r="J671" s="4"/>
      <c r="K671" s="4"/>
    </row>
    <row r="672" spans="9:11">
      <c r="I672" s="4"/>
      <c r="J672" s="4"/>
      <c r="K672" s="4"/>
    </row>
    <row r="673" spans="9:11">
      <c r="I673" s="4"/>
      <c r="J673" s="4"/>
      <c r="K673" s="4"/>
    </row>
    <row r="674" spans="9:11">
      <c r="I674" s="4"/>
      <c r="J674" s="4"/>
      <c r="K674" s="4"/>
    </row>
    <row r="675" spans="9:11">
      <c r="I675" s="4"/>
      <c r="J675" s="4"/>
      <c r="K675" s="4"/>
    </row>
    <row r="676" spans="9:11">
      <c r="I676" s="4"/>
      <c r="J676" s="4"/>
      <c r="K676" s="4"/>
    </row>
    <row r="677" spans="9:11">
      <c r="I677" s="4"/>
      <c r="J677" s="4"/>
      <c r="K677" s="4"/>
    </row>
    <row r="678" spans="9:11">
      <c r="I678" s="4"/>
      <c r="J678" s="4"/>
      <c r="K678" s="4"/>
    </row>
    <row r="679" spans="9:11">
      <c r="I679" s="4"/>
      <c r="J679" s="4"/>
      <c r="K679" s="4"/>
    </row>
    <row r="680" spans="9:11">
      <c r="I680" s="4"/>
      <c r="J680" s="4"/>
      <c r="K680" s="4"/>
    </row>
    <row r="681" spans="9:11">
      <c r="I681" s="4"/>
      <c r="J681" s="4"/>
      <c r="K681" s="4"/>
    </row>
    <row r="682" spans="9:11">
      <c r="I682" s="4"/>
      <c r="J682" s="4"/>
      <c r="K682" s="4"/>
    </row>
    <row r="683" spans="9:11">
      <c r="I683" s="4"/>
      <c r="J683" s="4"/>
      <c r="K683" s="4"/>
    </row>
    <row r="684" spans="9:11">
      <c r="I684" s="4"/>
      <c r="J684" s="4"/>
      <c r="K684" s="4"/>
    </row>
    <row r="685" spans="9:11">
      <c r="I685" s="4"/>
      <c r="J685" s="4"/>
      <c r="K685" s="4"/>
    </row>
    <row r="686" spans="9:11">
      <c r="I686" s="4"/>
      <c r="J686" s="4"/>
      <c r="K686" s="4"/>
    </row>
    <row r="687" spans="9:11">
      <c r="I687" s="4"/>
      <c r="J687" s="4"/>
      <c r="K687" s="4"/>
    </row>
    <row r="688" spans="9:11">
      <c r="I688" s="4"/>
      <c r="J688" s="4"/>
      <c r="K688" s="4"/>
    </row>
    <row r="689" spans="9:11">
      <c r="I689" s="4"/>
      <c r="J689" s="4"/>
      <c r="K689" s="4"/>
    </row>
    <row r="690" spans="9:11">
      <c r="I690" s="4"/>
      <c r="J690" s="4"/>
      <c r="K690" s="4"/>
    </row>
    <row r="691" spans="9:11">
      <c r="I691" s="4"/>
      <c r="J691" s="4"/>
      <c r="K691" s="4"/>
    </row>
    <row r="692" spans="9:11">
      <c r="I692" s="4"/>
      <c r="J692" s="4"/>
      <c r="K692" s="4"/>
    </row>
    <row r="693" spans="9:11">
      <c r="I693" s="4"/>
      <c r="J693" s="4"/>
      <c r="K693" s="4"/>
    </row>
    <row r="694" spans="9:11">
      <c r="I694" s="4"/>
      <c r="J694" s="4"/>
      <c r="K694" s="4"/>
    </row>
    <row r="695" spans="9:11">
      <c r="I695" s="4"/>
      <c r="J695" s="4"/>
      <c r="K695" s="4"/>
    </row>
    <row r="696" spans="9:11">
      <c r="I696" s="4"/>
      <c r="J696" s="4"/>
      <c r="K696" s="4"/>
    </row>
    <row r="697" spans="9:11">
      <c r="I697" s="4"/>
      <c r="J697" s="4"/>
      <c r="K697" s="4"/>
    </row>
    <row r="698" spans="9:11">
      <c r="I698" s="4"/>
      <c r="J698" s="4"/>
      <c r="K698" s="4"/>
    </row>
    <row r="699" spans="9:11">
      <c r="I699" s="4"/>
      <c r="J699" s="4"/>
      <c r="K699" s="4"/>
    </row>
    <row r="700" spans="9:11">
      <c r="I700" s="4"/>
      <c r="J700" s="4"/>
      <c r="K700" s="4"/>
    </row>
    <row r="701" spans="9:11">
      <c r="I701" s="4"/>
      <c r="J701" s="4"/>
      <c r="K701" s="4"/>
    </row>
    <row r="702" spans="9:11">
      <c r="I702" s="4"/>
      <c r="J702" s="4"/>
      <c r="K702" s="4"/>
    </row>
    <row r="703" spans="9:11">
      <c r="I703" s="4"/>
      <c r="J703" s="4"/>
      <c r="K703" s="4"/>
    </row>
    <row r="704" spans="9:11">
      <c r="I704" s="4"/>
      <c r="J704" s="4"/>
      <c r="K704" s="4"/>
    </row>
    <row r="705" spans="9:11">
      <c r="I705" s="4"/>
      <c r="J705" s="4"/>
      <c r="K705" s="4"/>
    </row>
    <row r="706" spans="9:11">
      <c r="I706" s="4"/>
      <c r="J706" s="4"/>
      <c r="K706" s="4"/>
    </row>
    <row r="707" spans="9:11">
      <c r="I707" s="4"/>
      <c r="J707" s="4"/>
      <c r="K707" s="4"/>
    </row>
    <row r="708" spans="9:11">
      <c r="I708" s="4"/>
      <c r="J708" s="4"/>
      <c r="K708" s="4"/>
    </row>
    <row r="709" spans="9:11">
      <c r="I709" s="4"/>
      <c r="J709" s="4"/>
      <c r="K709" s="4"/>
    </row>
    <row r="710" spans="9:11">
      <c r="I710" s="4"/>
      <c r="J710" s="4"/>
      <c r="K710" s="4"/>
    </row>
    <row r="711" spans="9:11">
      <c r="I711" s="4"/>
      <c r="J711" s="4"/>
      <c r="K711" s="4"/>
    </row>
    <row r="712" spans="9:11">
      <c r="I712" s="4"/>
      <c r="J712" s="4"/>
      <c r="K712" s="4"/>
    </row>
    <row r="713" spans="9:11">
      <c r="I713" s="4"/>
      <c r="J713" s="4"/>
      <c r="K713" s="4"/>
    </row>
    <row r="714" spans="9:11">
      <c r="I714" s="4"/>
      <c r="J714" s="4"/>
      <c r="K714" s="4"/>
    </row>
    <row r="715" spans="9:11">
      <c r="I715" s="4"/>
      <c r="J715" s="4"/>
      <c r="K715" s="4"/>
    </row>
    <row r="716" spans="9:11">
      <c r="I716" s="4"/>
      <c r="J716" s="4"/>
      <c r="K716" s="4"/>
    </row>
    <row r="717" spans="9:11">
      <c r="I717" s="4"/>
      <c r="J717" s="4"/>
      <c r="K717" s="4"/>
    </row>
    <row r="718" spans="9:11">
      <c r="I718" s="4"/>
      <c r="J718" s="4"/>
      <c r="K718" s="4"/>
    </row>
    <row r="719" spans="9:11">
      <c r="I719" s="4"/>
      <c r="J719" s="4"/>
      <c r="K719" s="4"/>
    </row>
    <row r="720" spans="9:11">
      <c r="I720" s="4"/>
      <c r="J720" s="4"/>
      <c r="K720" s="4"/>
    </row>
    <row r="721" spans="9:11">
      <c r="I721" s="4"/>
      <c r="J721" s="4"/>
      <c r="K721" s="4"/>
    </row>
    <row r="722" spans="9:11">
      <c r="I722" s="4"/>
      <c r="J722" s="4"/>
      <c r="K722" s="4"/>
    </row>
    <row r="723" spans="9:11">
      <c r="I723" s="4"/>
      <c r="J723" s="4"/>
      <c r="K723" s="4"/>
    </row>
    <row r="724" spans="9:11">
      <c r="I724" s="4"/>
      <c r="J724" s="4"/>
      <c r="K724" s="4"/>
    </row>
    <row r="725" spans="9:11">
      <c r="I725" s="4"/>
      <c r="J725" s="4"/>
      <c r="K725" s="4"/>
    </row>
    <row r="726" spans="9:11">
      <c r="I726" s="4"/>
      <c r="J726" s="4"/>
      <c r="K726" s="4"/>
    </row>
    <row r="727" spans="9:11">
      <c r="I727" s="4"/>
      <c r="J727" s="4"/>
      <c r="K727" s="4"/>
    </row>
    <row r="728" spans="9:11">
      <c r="I728" s="4"/>
      <c r="J728" s="4"/>
      <c r="K728" s="4"/>
    </row>
    <row r="729" spans="9:11">
      <c r="I729" s="4"/>
      <c r="J729" s="4"/>
      <c r="K729" s="4"/>
    </row>
    <row r="730" spans="9:11">
      <c r="I730" s="4"/>
      <c r="J730" s="4"/>
      <c r="K730" s="4"/>
    </row>
    <row r="731" spans="9:11">
      <c r="I731" s="4"/>
      <c r="J731" s="4"/>
      <c r="K731" s="4"/>
    </row>
    <row r="732" spans="9:11">
      <c r="I732" s="4"/>
      <c r="J732" s="4"/>
      <c r="K732" s="4"/>
    </row>
    <row r="733" spans="9:11">
      <c r="I733" s="4"/>
      <c r="J733" s="4"/>
      <c r="K733" s="4"/>
    </row>
    <row r="734" spans="9:11">
      <c r="I734" s="4"/>
      <c r="J734" s="4"/>
      <c r="K734" s="4"/>
    </row>
    <row r="735" spans="9:11">
      <c r="I735" s="4"/>
      <c r="J735" s="4"/>
      <c r="K735" s="4"/>
    </row>
    <row r="736" spans="9:11">
      <c r="I736" s="4"/>
      <c r="J736" s="4"/>
      <c r="K736" s="4"/>
    </row>
    <row r="737" spans="9:11">
      <c r="I737" s="4"/>
      <c r="J737" s="4"/>
      <c r="K737" s="4"/>
    </row>
    <row r="738" spans="9:11">
      <c r="I738" s="4"/>
      <c r="J738" s="4"/>
      <c r="K738" s="4"/>
    </row>
    <row r="739" spans="9:11">
      <c r="I739" s="4"/>
      <c r="J739" s="4"/>
      <c r="K739" s="4"/>
    </row>
    <row r="740" spans="9:11">
      <c r="I740" s="4"/>
      <c r="J740" s="4"/>
      <c r="K740" s="4"/>
    </row>
    <row r="741" spans="9:11">
      <c r="I741" s="4"/>
      <c r="J741" s="4"/>
      <c r="K741" s="4"/>
    </row>
    <row r="742" spans="9:11">
      <c r="I742" s="4"/>
      <c r="J742" s="4"/>
      <c r="K742" s="4"/>
    </row>
    <row r="743" spans="9:11">
      <c r="I743" s="4"/>
      <c r="J743" s="4"/>
      <c r="K743" s="4"/>
    </row>
    <row r="744" spans="9:11">
      <c r="I744" s="4"/>
      <c r="J744" s="4"/>
      <c r="K744" s="4"/>
    </row>
    <row r="745" spans="9:11">
      <c r="I745" s="4"/>
      <c r="J745" s="4"/>
      <c r="K745" s="4"/>
    </row>
    <row r="746" spans="9:11">
      <c r="I746" s="4"/>
      <c r="J746" s="4"/>
      <c r="K746" s="4"/>
    </row>
    <row r="747" spans="9:11">
      <c r="I747" s="4"/>
      <c r="J747" s="4"/>
      <c r="K747" s="4"/>
    </row>
    <row r="748" spans="9:11">
      <c r="I748" s="4"/>
      <c r="J748" s="4"/>
      <c r="K748" s="4"/>
    </row>
    <row r="749" spans="9:11">
      <c r="I749" s="4"/>
      <c r="J749" s="4"/>
      <c r="K749" s="4"/>
    </row>
    <row r="750" spans="9:11">
      <c r="I750" s="4"/>
      <c r="J750" s="4"/>
      <c r="K750" s="4"/>
    </row>
    <row r="751" spans="9:11">
      <c r="I751" s="4"/>
      <c r="J751" s="4"/>
      <c r="K751" s="4"/>
    </row>
    <row r="752" spans="9:11">
      <c r="I752" s="4"/>
      <c r="J752" s="4"/>
      <c r="K752" s="4"/>
    </row>
    <row r="753" spans="2:11">
      <c r="I753" s="4"/>
      <c r="J753" s="4"/>
      <c r="K753" s="4"/>
    </row>
    <row r="754" spans="2:11">
      <c r="I754" s="4"/>
      <c r="J754" s="4"/>
      <c r="K754" s="4"/>
    </row>
    <row r="755" spans="2:11">
      <c r="I755" s="4"/>
      <c r="J755" s="4"/>
      <c r="K755" s="4"/>
    </row>
    <row r="756" spans="2:11">
      <c r="I756" s="4"/>
      <c r="J756" s="4"/>
      <c r="K756" s="4"/>
    </row>
    <row r="757" spans="2:11">
      <c r="I757" s="4"/>
      <c r="J757" s="4"/>
      <c r="K757" s="4"/>
    </row>
    <row r="758" spans="2:11">
      <c r="I758" s="4"/>
      <c r="J758" s="4"/>
      <c r="K758" s="4"/>
    </row>
    <row r="759" spans="2:11">
      <c r="I759" s="4"/>
      <c r="J759" s="4"/>
      <c r="K759" s="4"/>
    </row>
    <row r="760" spans="2:11">
      <c r="I760" s="4"/>
      <c r="J760" s="4"/>
      <c r="K760" s="4"/>
    </row>
    <row r="761" spans="2:11">
      <c r="I761" s="4"/>
      <c r="J761" s="4"/>
      <c r="K761" s="4"/>
    </row>
    <row r="762" spans="2:11">
      <c r="I762" s="4"/>
      <c r="J762" s="4"/>
      <c r="K762" s="4"/>
    </row>
    <row r="763" spans="2:11">
      <c r="B763" s="6"/>
      <c r="C763" s="24"/>
      <c r="D763" s="5"/>
      <c r="E763" s="5"/>
      <c r="F763" s="4"/>
      <c r="G763" s="4"/>
      <c r="H763" s="4"/>
      <c r="I763" s="4"/>
      <c r="J763" s="4"/>
      <c r="K763" s="4"/>
    </row>
    <row r="764" spans="2:11">
      <c r="B764" s="6"/>
      <c r="C764" s="24"/>
      <c r="D764" s="5"/>
      <c r="E764" s="5"/>
      <c r="F764" s="4"/>
      <c r="G764" s="4"/>
      <c r="H764" s="4"/>
      <c r="I764" s="4"/>
      <c r="J764" s="4"/>
      <c r="K764" s="4"/>
    </row>
    <row r="765" spans="2:11">
      <c r="B765" s="6"/>
      <c r="C765" s="24"/>
      <c r="D765" s="5"/>
      <c r="E765" s="5"/>
      <c r="F765" s="4"/>
      <c r="G765" s="4"/>
      <c r="H765" s="4"/>
      <c r="I765" s="4"/>
      <c r="J765" s="4"/>
      <c r="K765" s="4"/>
    </row>
    <row r="766" spans="2:11">
      <c r="B766" s="6"/>
      <c r="C766" s="24"/>
      <c r="D766" s="5"/>
      <c r="E766" s="5"/>
      <c r="F766" s="4"/>
      <c r="G766" s="4"/>
      <c r="H766" s="4"/>
      <c r="I766" s="4"/>
      <c r="J766" s="4"/>
      <c r="K766" s="4"/>
    </row>
    <row r="767" spans="2:11">
      <c r="B767" s="6"/>
      <c r="C767" s="24"/>
      <c r="D767" s="5"/>
      <c r="E767" s="5"/>
      <c r="F767" s="4"/>
      <c r="G767" s="4"/>
      <c r="H767" s="4"/>
      <c r="I767" s="4"/>
      <c r="J767" s="4"/>
      <c r="K767" s="4"/>
    </row>
    <row r="768" spans="2:11">
      <c r="B768" s="6"/>
      <c r="C768" s="24"/>
      <c r="D768" s="5"/>
      <c r="E768" s="5"/>
      <c r="F768" s="4"/>
      <c r="G768" s="4"/>
      <c r="H768" s="4"/>
      <c r="I768" s="4"/>
      <c r="J768" s="4"/>
      <c r="K768" s="4"/>
    </row>
    <row r="769" spans="2:11">
      <c r="B769" s="6"/>
      <c r="C769" s="24"/>
      <c r="D769" s="5"/>
      <c r="E769" s="5"/>
      <c r="F769" s="4"/>
      <c r="G769" s="4"/>
      <c r="H769" s="4"/>
      <c r="I769" s="4"/>
      <c r="J769" s="4"/>
      <c r="K769" s="4"/>
    </row>
    <row r="770" spans="2:11">
      <c r="B770" s="6"/>
      <c r="C770" s="24"/>
      <c r="D770" s="5"/>
      <c r="E770" s="5"/>
      <c r="F770" s="4"/>
      <c r="G770" s="4"/>
      <c r="H770" s="4"/>
      <c r="I770" s="4"/>
      <c r="J770" s="4"/>
      <c r="K770" s="4"/>
    </row>
    <row r="771" spans="2:11">
      <c r="B771" s="6"/>
      <c r="C771" s="24"/>
      <c r="D771" s="5"/>
      <c r="E771" s="5"/>
      <c r="F771" s="4"/>
      <c r="G771" s="4"/>
      <c r="H771" s="4"/>
      <c r="I771" s="4"/>
      <c r="J771" s="4"/>
      <c r="K771" s="4"/>
    </row>
    <row r="772" spans="2:11">
      <c r="B772" s="6"/>
      <c r="C772" s="24"/>
      <c r="D772" s="5"/>
      <c r="E772" s="5"/>
      <c r="F772" s="4"/>
      <c r="G772" s="4"/>
      <c r="H772" s="4"/>
      <c r="I772" s="4"/>
      <c r="J772" s="4"/>
      <c r="K772" s="4"/>
    </row>
    <row r="773" spans="2:11">
      <c r="B773" s="6"/>
      <c r="C773" s="24"/>
      <c r="D773" s="5"/>
      <c r="E773" s="5"/>
      <c r="F773" s="4"/>
      <c r="G773" s="4"/>
      <c r="H773" s="4"/>
      <c r="I773" s="4"/>
      <c r="J773" s="4"/>
      <c r="K773" s="4"/>
    </row>
    <row r="774" spans="2:11">
      <c r="B774" s="6"/>
      <c r="C774" s="24"/>
      <c r="D774" s="5"/>
      <c r="E774" s="5"/>
      <c r="F774" s="4"/>
      <c r="G774" s="4"/>
      <c r="H774" s="4"/>
      <c r="I774" s="4"/>
      <c r="J774" s="4"/>
      <c r="K774" s="4"/>
    </row>
    <row r="775" spans="2:11">
      <c r="B775" s="6"/>
      <c r="C775" s="24"/>
      <c r="D775" s="5"/>
      <c r="E775" s="5"/>
      <c r="F775" s="4"/>
      <c r="G775" s="4"/>
      <c r="H775" s="4"/>
      <c r="I775" s="4"/>
      <c r="J775" s="4"/>
      <c r="K775" s="4"/>
    </row>
    <row r="776" spans="2:11">
      <c r="B776" s="6"/>
      <c r="C776" s="24"/>
      <c r="D776" s="5"/>
      <c r="E776" s="5"/>
      <c r="F776" s="4"/>
      <c r="G776" s="4"/>
      <c r="H776" s="4"/>
      <c r="I776" s="4"/>
      <c r="J776" s="4"/>
      <c r="K776" s="4"/>
    </row>
    <row r="777" spans="2:11">
      <c r="B777" s="6"/>
      <c r="C777" s="24"/>
      <c r="D777" s="5"/>
      <c r="E777" s="5"/>
      <c r="F777" s="4"/>
      <c r="G777" s="4"/>
      <c r="H777" s="4"/>
      <c r="I777" s="4"/>
      <c r="J777" s="4"/>
      <c r="K777" s="4"/>
    </row>
    <row r="778" spans="2:11">
      <c r="B778" s="6"/>
      <c r="C778" s="24"/>
      <c r="D778" s="5"/>
      <c r="E778" s="5"/>
      <c r="F778" s="4"/>
      <c r="G778" s="4"/>
      <c r="H778" s="4"/>
      <c r="I778" s="4"/>
      <c r="J778" s="4"/>
      <c r="K778" s="4"/>
    </row>
    <row r="779" spans="2:11">
      <c r="B779" s="6"/>
      <c r="C779" s="24"/>
      <c r="D779" s="5"/>
      <c r="E779" s="5"/>
      <c r="F779" s="4"/>
      <c r="G779" s="4"/>
      <c r="H779" s="4"/>
      <c r="I779" s="4"/>
      <c r="J779" s="4"/>
      <c r="K779" s="4"/>
    </row>
    <row r="780" spans="2:11">
      <c r="B780" s="6"/>
      <c r="C780" s="24"/>
      <c r="D780" s="5"/>
      <c r="E780" s="5"/>
      <c r="F780" s="4"/>
      <c r="G780" s="4"/>
      <c r="H780" s="4"/>
      <c r="I780" s="4"/>
      <c r="J780" s="4"/>
      <c r="K780" s="4"/>
    </row>
    <row r="781" spans="2:11">
      <c r="B781" s="6"/>
      <c r="C781" s="24"/>
      <c r="D781" s="5"/>
      <c r="E781" s="5"/>
      <c r="F781" s="4"/>
      <c r="G781" s="4"/>
      <c r="H781" s="4"/>
      <c r="I781" s="4"/>
      <c r="J781" s="4"/>
      <c r="K781" s="4"/>
    </row>
    <row r="782" spans="2:11">
      <c r="B782" s="6"/>
      <c r="C782" s="24"/>
      <c r="D782" s="5"/>
      <c r="E782" s="5"/>
      <c r="F782" s="4"/>
      <c r="G782" s="4"/>
      <c r="H782" s="4"/>
      <c r="I782" s="4"/>
      <c r="J782" s="4"/>
      <c r="K782" s="4"/>
    </row>
    <row r="783" spans="2:11">
      <c r="B783" s="6"/>
      <c r="C783" s="24"/>
      <c r="D783" s="5"/>
      <c r="E783" s="5"/>
      <c r="F783" s="4"/>
      <c r="G783" s="4"/>
      <c r="H783" s="4"/>
      <c r="I783" s="4"/>
      <c r="J783" s="4"/>
      <c r="K783" s="4"/>
    </row>
    <row r="784" spans="2:11">
      <c r="B784" s="6"/>
      <c r="C784" s="24"/>
      <c r="D784" s="5"/>
      <c r="E784" s="5"/>
      <c r="F784" s="4"/>
      <c r="G784" s="4"/>
      <c r="H784" s="4"/>
      <c r="I784" s="4"/>
      <c r="J784" s="4"/>
      <c r="K784" s="4"/>
    </row>
    <row r="785" spans="2:11">
      <c r="B785" s="6"/>
      <c r="C785" s="24"/>
      <c r="D785" s="5"/>
      <c r="E785" s="5"/>
      <c r="F785" s="4"/>
      <c r="G785" s="4"/>
      <c r="H785" s="4"/>
      <c r="I785" s="4"/>
      <c r="J785" s="4"/>
      <c r="K785" s="4"/>
    </row>
    <row r="786" spans="2:11">
      <c r="B786" s="6"/>
      <c r="C786" s="24"/>
      <c r="D786" s="5"/>
      <c r="E786" s="5"/>
      <c r="F786" s="4"/>
      <c r="G786" s="4"/>
      <c r="H786" s="4"/>
      <c r="I786" s="4"/>
      <c r="J786" s="4"/>
      <c r="K786" s="4"/>
    </row>
    <row r="787" spans="2:11">
      <c r="B787" s="6"/>
      <c r="C787" s="24"/>
      <c r="D787" s="5"/>
      <c r="E787" s="5"/>
      <c r="F787" s="4"/>
      <c r="G787" s="4"/>
      <c r="H787" s="4"/>
      <c r="I787" s="4"/>
      <c r="J787" s="4"/>
      <c r="K787" s="4"/>
    </row>
    <row r="788" spans="2:11">
      <c r="B788" s="6"/>
      <c r="C788" s="24"/>
      <c r="D788" s="5"/>
      <c r="E788" s="5"/>
      <c r="F788" s="4"/>
      <c r="G788" s="4"/>
      <c r="H788" s="4"/>
      <c r="I788" s="4"/>
      <c r="J788" s="4"/>
      <c r="K788" s="4"/>
    </row>
    <row r="789" spans="2:11">
      <c r="B789" s="6"/>
      <c r="C789" s="24"/>
      <c r="D789" s="5"/>
      <c r="E789" s="5"/>
      <c r="F789" s="4"/>
      <c r="G789" s="4"/>
      <c r="H789" s="4"/>
      <c r="I789" s="4"/>
      <c r="J789" s="4"/>
      <c r="K789" s="4"/>
    </row>
    <row r="790" spans="2:11">
      <c r="B790" s="6"/>
      <c r="C790" s="24"/>
      <c r="D790" s="5"/>
      <c r="E790" s="5"/>
      <c r="F790" s="4"/>
      <c r="G790" s="4"/>
      <c r="H790" s="4"/>
      <c r="I790" s="4"/>
      <c r="J790" s="4"/>
      <c r="K790" s="4"/>
    </row>
    <row r="791" spans="2:11">
      <c r="B791" s="6"/>
      <c r="C791" s="24"/>
      <c r="D791" s="5"/>
      <c r="E791" s="5"/>
      <c r="F791" s="4"/>
      <c r="G791" s="4"/>
      <c r="H791" s="4"/>
      <c r="I791" s="4"/>
      <c r="J791" s="4"/>
      <c r="K791" s="4"/>
    </row>
    <row r="792" spans="2:11">
      <c r="B792" s="6"/>
      <c r="C792" s="24"/>
      <c r="D792" s="5"/>
      <c r="E792" s="5"/>
      <c r="F792" s="4"/>
      <c r="G792" s="4"/>
      <c r="H792" s="4"/>
      <c r="I792" s="4"/>
      <c r="J792" s="4"/>
      <c r="K792" s="4"/>
    </row>
    <row r="793" spans="2:11">
      <c r="B793" s="6"/>
      <c r="C793" s="24"/>
      <c r="D793" s="5"/>
      <c r="E793" s="5"/>
      <c r="F793" s="4"/>
      <c r="G793" s="4"/>
      <c r="H793" s="4"/>
      <c r="I793" s="4"/>
      <c r="J793" s="4"/>
      <c r="K793" s="4"/>
    </row>
    <row r="794" spans="2:11">
      <c r="B794" s="6"/>
      <c r="C794" s="24"/>
      <c r="D794" s="5"/>
      <c r="E794" s="5"/>
      <c r="F794" s="4"/>
      <c r="G794" s="4"/>
      <c r="H794" s="4"/>
      <c r="I794" s="4"/>
      <c r="J794" s="4"/>
      <c r="K794" s="4"/>
    </row>
    <row r="795" spans="2:11">
      <c r="B795" s="6"/>
      <c r="C795" s="24"/>
      <c r="D795" s="5"/>
      <c r="E795" s="5"/>
      <c r="F795" s="4"/>
      <c r="G795" s="4"/>
      <c r="H795" s="4"/>
      <c r="I795" s="4"/>
      <c r="J795" s="4"/>
      <c r="K795" s="4"/>
    </row>
    <row r="796" spans="2:11">
      <c r="B796" s="6"/>
      <c r="C796" s="24"/>
      <c r="D796" s="5"/>
      <c r="E796" s="5"/>
      <c r="F796" s="4"/>
      <c r="G796" s="4"/>
      <c r="H796" s="4"/>
      <c r="I796" s="4"/>
      <c r="J796" s="4"/>
      <c r="K796" s="4"/>
    </row>
    <row r="797" spans="2:11">
      <c r="B797" s="6"/>
      <c r="C797" s="24"/>
      <c r="D797" s="5"/>
      <c r="E797" s="5"/>
      <c r="F797" s="4"/>
      <c r="G797" s="4"/>
      <c r="H797" s="4"/>
      <c r="I797" s="4"/>
      <c r="J797" s="4"/>
      <c r="K797" s="4"/>
    </row>
    <row r="798" spans="2:11">
      <c r="B798" s="6"/>
      <c r="C798" s="24"/>
      <c r="D798" s="5"/>
      <c r="E798" s="5"/>
      <c r="F798" s="4"/>
      <c r="G798" s="4"/>
      <c r="H798" s="4"/>
      <c r="I798" s="4"/>
      <c r="J798" s="4"/>
      <c r="K798" s="4"/>
    </row>
    <row r="799" spans="2:11">
      <c r="B799" s="6"/>
      <c r="C799" s="24"/>
      <c r="D799" s="5"/>
      <c r="E799" s="5"/>
      <c r="F799" s="4"/>
      <c r="G799" s="4"/>
      <c r="H799" s="4"/>
      <c r="I799" s="4"/>
      <c r="J799" s="4"/>
      <c r="K799" s="4"/>
    </row>
    <row r="800" spans="2:11">
      <c r="B800" s="6"/>
      <c r="C800" s="24"/>
      <c r="D800" s="5"/>
      <c r="E800" s="5"/>
      <c r="F800" s="4"/>
      <c r="G800" s="4"/>
      <c r="H800" s="4"/>
      <c r="I800" s="4"/>
      <c r="J800" s="4"/>
      <c r="K800" s="4"/>
    </row>
    <row r="801" spans="2:11">
      <c r="B801" s="6"/>
      <c r="C801" s="24"/>
      <c r="D801" s="5"/>
      <c r="E801" s="5"/>
      <c r="F801" s="4"/>
      <c r="G801" s="4"/>
      <c r="H801" s="4"/>
      <c r="I801" s="4"/>
      <c r="J801" s="4"/>
      <c r="K801" s="4"/>
    </row>
    <row r="802" spans="2:11">
      <c r="B802" s="6"/>
      <c r="C802" s="24"/>
      <c r="D802" s="5"/>
      <c r="E802" s="5"/>
      <c r="F802" s="4"/>
      <c r="G802" s="4"/>
      <c r="H802" s="4"/>
      <c r="I802" s="4"/>
      <c r="J802" s="4"/>
      <c r="K802" s="4"/>
    </row>
    <row r="803" spans="2:11">
      <c r="B803" s="6"/>
      <c r="C803" s="24"/>
      <c r="D803" s="5"/>
      <c r="E803" s="5"/>
      <c r="F803" s="4"/>
      <c r="G803" s="4"/>
      <c r="H803" s="4"/>
      <c r="I803" s="4"/>
      <c r="J803" s="4"/>
      <c r="K803" s="4"/>
    </row>
    <row r="804" spans="2:11">
      <c r="B804" s="6"/>
      <c r="C804" s="24"/>
      <c r="D804" s="5"/>
      <c r="E804" s="5"/>
      <c r="F804" s="4"/>
      <c r="G804" s="4"/>
      <c r="H804" s="4"/>
      <c r="I804" s="4"/>
      <c r="J804" s="4"/>
      <c r="K804" s="4"/>
    </row>
    <row r="805" spans="2:11">
      <c r="B805" s="6"/>
      <c r="C805" s="24"/>
      <c r="D805" s="5"/>
      <c r="E805" s="5"/>
      <c r="F805" s="4"/>
      <c r="G805" s="4"/>
      <c r="H805" s="4"/>
      <c r="I805" s="4"/>
      <c r="J805" s="4"/>
      <c r="K805" s="4"/>
    </row>
    <row r="806" spans="2:11">
      <c r="B806" s="6"/>
      <c r="C806" s="24"/>
      <c r="D806" s="5"/>
      <c r="E806" s="5"/>
      <c r="F806" s="4"/>
      <c r="G806" s="4"/>
      <c r="H806" s="4"/>
      <c r="I806" s="4"/>
      <c r="J806" s="4"/>
      <c r="K806" s="4"/>
    </row>
    <row r="807" spans="2:11">
      <c r="B807" s="6"/>
      <c r="C807" s="24"/>
      <c r="D807" s="5"/>
      <c r="E807" s="5"/>
      <c r="F807" s="4"/>
      <c r="G807" s="4"/>
      <c r="H807" s="4"/>
      <c r="I807" s="4"/>
      <c r="J807" s="4"/>
      <c r="K807" s="4"/>
    </row>
    <row r="808" spans="2:11">
      <c r="B808" s="6"/>
      <c r="C808" s="24"/>
      <c r="D808" s="5"/>
      <c r="E808" s="5"/>
      <c r="F808" s="4"/>
      <c r="G808" s="4"/>
      <c r="H808" s="4"/>
      <c r="I808" s="4"/>
      <c r="J808" s="4"/>
      <c r="K808" s="4"/>
    </row>
    <row r="809" spans="2:11">
      <c r="B809" s="6"/>
      <c r="C809" s="24"/>
      <c r="D809" s="5"/>
      <c r="E809" s="5"/>
      <c r="F809" s="4"/>
      <c r="G809" s="4"/>
      <c r="H809" s="4"/>
      <c r="I809" s="4"/>
      <c r="J809" s="4"/>
      <c r="K809" s="4"/>
    </row>
    <row r="810" spans="2:11">
      <c r="B810" s="6"/>
      <c r="C810" s="24"/>
      <c r="D810" s="5"/>
      <c r="E810" s="5"/>
      <c r="F810" s="4"/>
      <c r="G810" s="4"/>
      <c r="H810" s="4"/>
      <c r="I810" s="4"/>
      <c r="J810" s="4"/>
      <c r="K810" s="4"/>
    </row>
    <row r="811" spans="2:11">
      <c r="B811" s="6"/>
      <c r="C811" s="24"/>
      <c r="D811" s="5"/>
      <c r="E811" s="5"/>
      <c r="F811" s="4"/>
      <c r="G811" s="4"/>
      <c r="H811" s="4"/>
      <c r="I811" s="4"/>
      <c r="J811" s="4"/>
      <c r="K811" s="4"/>
    </row>
    <row r="812" spans="2:11">
      <c r="B812" s="6"/>
      <c r="C812" s="24"/>
      <c r="D812" s="5"/>
      <c r="E812" s="5"/>
      <c r="F812" s="4"/>
      <c r="G812" s="4"/>
      <c r="H812" s="4"/>
      <c r="I812" s="4"/>
      <c r="J812" s="4"/>
      <c r="K812" s="4"/>
    </row>
    <row r="813" spans="2:11">
      <c r="B813" s="6"/>
      <c r="C813" s="24"/>
      <c r="D813" s="5"/>
      <c r="E813" s="5"/>
      <c r="F813" s="4"/>
      <c r="G813" s="4"/>
      <c r="H813" s="4"/>
      <c r="I813" s="4"/>
      <c r="J813" s="4"/>
      <c r="K813" s="4"/>
    </row>
    <row r="814" spans="2:11">
      <c r="B814" s="6"/>
      <c r="C814" s="24"/>
      <c r="D814" s="5"/>
      <c r="E814" s="5"/>
      <c r="F814" s="4"/>
      <c r="G814" s="4"/>
      <c r="H814" s="4"/>
      <c r="I814" s="4"/>
      <c r="J814" s="4"/>
      <c r="K814" s="4"/>
    </row>
    <row r="815" spans="2:11">
      <c r="B815" s="6"/>
      <c r="C815" s="24"/>
      <c r="D815" s="5"/>
      <c r="E815" s="5"/>
      <c r="F815" s="4"/>
      <c r="G815" s="4"/>
      <c r="H815" s="4"/>
      <c r="I815" s="4"/>
      <c r="J815" s="4"/>
      <c r="K815" s="4"/>
    </row>
    <row r="816" spans="2:11">
      <c r="B816" s="6"/>
      <c r="C816" s="24"/>
      <c r="D816" s="5"/>
      <c r="E816" s="5"/>
      <c r="F816" s="4"/>
      <c r="G816" s="4"/>
      <c r="H816" s="4"/>
      <c r="I816" s="4"/>
      <c r="J816" s="4"/>
      <c r="K816" s="4"/>
    </row>
    <row r="817" spans="2:11">
      <c r="B817" s="6"/>
      <c r="C817" s="24"/>
      <c r="D817" s="5"/>
      <c r="E817" s="5"/>
      <c r="F817" s="4"/>
      <c r="G817" s="4"/>
      <c r="H817" s="4"/>
      <c r="I817" s="4"/>
      <c r="J817" s="4"/>
      <c r="K817" s="4"/>
    </row>
    <row r="818" spans="2:11">
      <c r="B818" s="6"/>
      <c r="C818" s="24"/>
      <c r="D818" s="5"/>
      <c r="E818" s="5"/>
      <c r="F818" s="4"/>
      <c r="G818" s="4"/>
      <c r="H818" s="4"/>
      <c r="I818" s="4"/>
      <c r="J818" s="4"/>
      <c r="K818" s="4"/>
    </row>
    <row r="819" spans="2:11">
      <c r="B819" s="6"/>
      <c r="C819" s="24"/>
      <c r="D819" s="5"/>
      <c r="E819" s="5"/>
      <c r="F819" s="4"/>
      <c r="G819" s="4"/>
      <c r="H819" s="4"/>
      <c r="I819" s="4"/>
      <c r="J819" s="4"/>
      <c r="K819" s="4"/>
    </row>
    <row r="820" spans="2:11">
      <c r="B820" s="6"/>
      <c r="C820" s="24"/>
      <c r="D820" s="5"/>
      <c r="E820" s="5"/>
      <c r="F820" s="4"/>
      <c r="G820" s="4"/>
      <c r="H820" s="4"/>
      <c r="I820" s="4"/>
      <c r="J820" s="4"/>
      <c r="K820" s="4"/>
    </row>
    <row r="821" spans="2:11">
      <c r="B821" s="6"/>
      <c r="C821" s="24"/>
      <c r="D821" s="5"/>
      <c r="E821" s="5"/>
      <c r="F821" s="4"/>
      <c r="G821" s="4"/>
      <c r="H821" s="4"/>
      <c r="I821" s="4"/>
      <c r="J821" s="4"/>
      <c r="K821" s="4"/>
    </row>
    <row r="822" spans="2:11">
      <c r="B822" s="6"/>
      <c r="C822" s="24"/>
      <c r="D822" s="5"/>
      <c r="E822" s="5"/>
      <c r="F822" s="4"/>
      <c r="G822" s="4"/>
      <c r="H822" s="4"/>
      <c r="I822" s="4"/>
      <c r="J822" s="4"/>
      <c r="K822" s="4"/>
    </row>
    <row r="823" spans="2:11">
      <c r="B823" s="6"/>
      <c r="C823" s="24"/>
      <c r="D823" s="5"/>
      <c r="E823" s="5"/>
      <c r="F823" s="4"/>
      <c r="G823" s="4"/>
      <c r="H823" s="4"/>
      <c r="I823" s="4"/>
      <c r="J823" s="4"/>
      <c r="K823" s="4"/>
    </row>
    <row r="824" spans="2:11">
      <c r="B824" s="6"/>
      <c r="C824" s="24"/>
      <c r="D824" s="5"/>
      <c r="E824" s="5"/>
      <c r="F824" s="4"/>
      <c r="G824" s="4"/>
      <c r="H824" s="4"/>
      <c r="I824" s="4"/>
      <c r="J824" s="4"/>
      <c r="K824" s="4"/>
    </row>
    <row r="825" spans="2:11">
      <c r="B825" s="6"/>
      <c r="C825" s="24"/>
      <c r="D825" s="5"/>
      <c r="E825" s="5"/>
      <c r="F825" s="4"/>
      <c r="G825" s="4"/>
      <c r="H825" s="4"/>
      <c r="I825" s="4"/>
      <c r="J825" s="4"/>
      <c r="K825" s="4"/>
    </row>
    <row r="826" spans="2:11">
      <c r="B826" s="6"/>
      <c r="C826" s="24"/>
      <c r="D826" s="5"/>
      <c r="E826" s="5"/>
      <c r="F826" s="4"/>
      <c r="G826" s="4"/>
      <c r="H826" s="4"/>
      <c r="I826" s="4"/>
      <c r="J826" s="4"/>
      <c r="K826" s="4"/>
    </row>
    <row r="827" spans="2:11">
      <c r="B827" s="6"/>
      <c r="C827" s="24"/>
      <c r="D827" s="5"/>
      <c r="E827" s="5"/>
      <c r="F827" s="4"/>
      <c r="G827" s="4"/>
      <c r="H827" s="4"/>
      <c r="I827" s="4"/>
      <c r="J827" s="4"/>
      <c r="K827" s="4"/>
    </row>
    <row r="828" spans="2:11">
      <c r="B828" s="6"/>
      <c r="C828" s="24"/>
      <c r="D828" s="5"/>
      <c r="E828" s="5"/>
      <c r="F828" s="4"/>
      <c r="G828" s="4"/>
      <c r="H828" s="4"/>
      <c r="I828" s="4"/>
      <c r="J828" s="4"/>
      <c r="K828" s="4"/>
    </row>
    <row r="829" spans="2:11">
      <c r="B829" s="6"/>
      <c r="C829" s="24"/>
      <c r="D829" s="5"/>
      <c r="E829" s="5"/>
      <c r="F829" s="4"/>
      <c r="G829" s="4"/>
      <c r="H829" s="4"/>
      <c r="I829" s="4"/>
      <c r="J829" s="4"/>
      <c r="K829" s="4"/>
    </row>
    <row r="830" spans="2:11">
      <c r="B830" s="6"/>
      <c r="C830" s="24"/>
      <c r="D830" s="5"/>
      <c r="E830" s="5"/>
      <c r="F830" s="4"/>
      <c r="G830" s="4"/>
      <c r="H830" s="4"/>
      <c r="I830" s="4"/>
      <c r="J830" s="4"/>
      <c r="K830" s="4"/>
    </row>
    <row r="831" spans="2:11">
      <c r="B831" s="6"/>
      <c r="C831" s="24"/>
      <c r="D831" s="5"/>
      <c r="E831" s="5"/>
      <c r="F831" s="4"/>
      <c r="G831" s="4"/>
      <c r="H831" s="4"/>
      <c r="I831" s="4"/>
      <c r="J831" s="4"/>
      <c r="K831" s="4"/>
    </row>
    <row r="832" spans="2:11">
      <c r="B832" s="6"/>
      <c r="C832" s="24"/>
      <c r="D832" s="5"/>
      <c r="E832" s="5"/>
      <c r="F832" s="4"/>
      <c r="G832" s="4"/>
      <c r="H832" s="4"/>
      <c r="I832" s="4"/>
      <c r="J832" s="4"/>
      <c r="K832" s="4"/>
    </row>
    <row r="833" spans="2:11">
      <c r="B833" s="6"/>
      <c r="C833" s="24"/>
      <c r="D833" s="5"/>
      <c r="E833" s="5"/>
      <c r="F833" s="4"/>
      <c r="G833" s="4"/>
      <c r="H833" s="4"/>
      <c r="I833" s="4"/>
      <c r="J833" s="4"/>
      <c r="K833" s="4"/>
    </row>
    <row r="834" spans="2:11">
      <c r="B834" s="6"/>
      <c r="C834" s="24"/>
      <c r="D834" s="5"/>
      <c r="E834" s="5"/>
      <c r="F834" s="4"/>
      <c r="G834" s="4"/>
      <c r="H834" s="4"/>
      <c r="I834" s="4"/>
      <c r="J834" s="4"/>
      <c r="K834" s="4"/>
    </row>
    <row r="835" spans="2:11">
      <c r="B835" s="6"/>
      <c r="C835" s="24"/>
      <c r="D835" s="5"/>
      <c r="E835" s="5"/>
      <c r="F835" s="4"/>
      <c r="G835" s="4"/>
      <c r="H835" s="4"/>
      <c r="I835" s="4"/>
      <c r="J835" s="4"/>
      <c r="K835" s="4"/>
    </row>
    <row r="836" spans="2:11">
      <c r="B836" s="6"/>
      <c r="C836" s="24"/>
      <c r="D836" s="5"/>
      <c r="E836" s="5"/>
      <c r="F836" s="4"/>
      <c r="G836" s="4"/>
      <c r="H836" s="4"/>
      <c r="I836" s="4"/>
      <c r="J836" s="4"/>
      <c r="K836" s="4"/>
    </row>
    <row r="837" spans="2:11">
      <c r="B837" s="6"/>
      <c r="C837" s="24"/>
      <c r="D837" s="5"/>
      <c r="E837" s="5"/>
      <c r="F837" s="4"/>
      <c r="G837" s="4"/>
      <c r="H837" s="4"/>
      <c r="I837" s="4"/>
      <c r="J837" s="4"/>
      <c r="K837" s="4"/>
    </row>
    <row r="838" spans="2:11">
      <c r="B838" s="6"/>
      <c r="C838" s="24"/>
      <c r="D838" s="5"/>
      <c r="E838" s="5"/>
      <c r="F838" s="4"/>
      <c r="G838" s="4"/>
      <c r="H838" s="4"/>
      <c r="I838" s="4"/>
      <c r="J838" s="4"/>
      <c r="K838" s="4"/>
    </row>
    <row r="839" spans="2:11">
      <c r="B839" s="6"/>
      <c r="C839" s="24"/>
      <c r="D839" s="5"/>
      <c r="E839" s="5"/>
      <c r="F839" s="4"/>
      <c r="G839" s="4"/>
      <c r="H839" s="4"/>
      <c r="I839" s="4"/>
      <c r="J839" s="4"/>
      <c r="K839" s="4"/>
    </row>
    <row r="840" spans="2:11">
      <c r="B840" s="6"/>
      <c r="C840" s="24"/>
      <c r="D840" s="5"/>
      <c r="E840" s="5"/>
      <c r="F840" s="4"/>
      <c r="G840" s="4"/>
      <c r="H840" s="4"/>
      <c r="I840" s="4"/>
      <c r="J840" s="4"/>
      <c r="K840" s="4"/>
    </row>
    <row r="841" spans="2:11">
      <c r="B841" s="6"/>
      <c r="C841" s="24"/>
      <c r="D841" s="5"/>
      <c r="E841" s="5"/>
      <c r="F841" s="4"/>
      <c r="G841" s="4"/>
      <c r="H841" s="4"/>
      <c r="I841" s="4"/>
      <c r="J841" s="4"/>
      <c r="K841" s="4"/>
    </row>
    <row r="842" spans="2:11">
      <c r="B842" s="6"/>
      <c r="C842" s="24"/>
      <c r="D842" s="5"/>
      <c r="E842" s="5"/>
      <c r="F842" s="4"/>
      <c r="G842" s="4"/>
      <c r="H842" s="4"/>
      <c r="I842" s="4"/>
      <c r="J842" s="4"/>
      <c r="K842" s="4"/>
    </row>
    <row r="843" spans="2:11">
      <c r="B843" s="6"/>
      <c r="C843" s="24"/>
      <c r="D843" s="5"/>
      <c r="E843" s="5"/>
      <c r="F843" s="4"/>
      <c r="G843" s="4"/>
      <c r="H843" s="4"/>
      <c r="I843" s="4"/>
      <c r="J843" s="4"/>
      <c r="K843" s="4"/>
    </row>
    <row r="844" spans="2:11">
      <c r="B844" s="6"/>
      <c r="C844" s="24"/>
      <c r="D844" s="5"/>
      <c r="E844" s="5"/>
      <c r="F844" s="4"/>
      <c r="G844" s="4"/>
      <c r="H844" s="4"/>
      <c r="I844" s="4"/>
      <c r="J844" s="4"/>
      <c r="K844" s="4"/>
    </row>
    <row r="845" spans="2:11">
      <c r="B845" s="6"/>
      <c r="C845" s="24"/>
      <c r="D845" s="5"/>
      <c r="E845" s="5"/>
      <c r="F845" s="4"/>
      <c r="G845" s="4"/>
      <c r="H845" s="4"/>
      <c r="I845" s="4"/>
      <c r="J845" s="4"/>
      <c r="K845" s="4"/>
    </row>
    <row r="846" spans="2:11">
      <c r="B846" s="6"/>
      <c r="C846" s="24"/>
      <c r="D846" s="5"/>
      <c r="E846" s="5"/>
      <c r="F846" s="4"/>
      <c r="G846" s="4"/>
      <c r="H846" s="4"/>
      <c r="I846" s="4"/>
      <c r="J846" s="4"/>
      <c r="K846" s="4"/>
    </row>
    <row r="847" spans="2:11">
      <c r="B847" s="6"/>
      <c r="C847" s="24"/>
      <c r="D847" s="5"/>
      <c r="E847" s="5"/>
      <c r="F847" s="4"/>
      <c r="G847" s="4"/>
      <c r="H847" s="4"/>
      <c r="I847" s="4"/>
      <c r="J847" s="4"/>
      <c r="K847" s="4"/>
    </row>
    <row r="848" spans="2:11">
      <c r="B848" s="6"/>
      <c r="C848" s="24"/>
      <c r="D848" s="5"/>
      <c r="E848" s="5"/>
      <c r="F848" s="4"/>
      <c r="G848" s="4"/>
      <c r="H848" s="4"/>
      <c r="I848" s="4"/>
      <c r="J848" s="4"/>
      <c r="K848" s="4"/>
    </row>
    <row r="849" spans="2:11">
      <c r="B849" s="6"/>
      <c r="C849" s="24"/>
      <c r="D849" s="5"/>
      <c r="E849" s="5"/>
      <c r="F849" s="4"/>
      <c r="G849" s="4"/>
      <c r="H849" s="4"/>
      <c r="I849" s="4"/>
      <c r="J849" s="4"/>
      <c r="K849" s="4"/>
    </row>
    <row r="850" spans="2:11">
      <c r="B850" s="6"/>
      <c r="C850" s="24"/>
      <c r="D850" s="5"/>
      <c r="E850" s="5"/>
      <c r="F850" s="4"/>
      <c r="G850" s="4"/>
      <c r="H850" s="4"/>
      <c r="I850" s="4"/>
      <c r="J850" s="4"/>
      <c r="K850" s="4"/>
    </row>
    <row r="851" spans="2:11">
      <c r="B851" s="6"/>
      <c r="C851" s="24"/>
      <c r="D851" s="5"/>
      <c r="E851" s="5"/>
      <c r="F851" s="4"/>
      <c r="G851" s="4"/>
      <c r="H851" s="4"/>
      <c r="I851" s="4"/>
      <c r="J851" s="4"/>
      <c r="K851" s="4"/>
    </row>
    <row r="852" spans="2:11">
      <c r="B852" s="6"/>
      <c r="C852" s="24"/>
      <c r="D852" s="5"/>
      <c r="E852" s="5"/>
      <c r="F852" s="4"/>
      <c r="G852" s="4"/>
      <c r="H852" s="4"/>
      <c r="I852" s="4"/>
      <c r="J852" s="4"/>
      <c r="K852" s="4"/>
    </row>
    <row r="853" spans="2:11">
      <c r="B853" s="6"/>
      <c r="C853" s="24"/>
      <c r="D853" s="5"/>
      <c r="E853" s="5"/>
      <c r="F853" s="4"/>
      <c r="G853" s="4"/>
      <c r="H853" s="4"/>
      <c r="I853" s="4"/>
      <c r="J853" s="4"/>
      <c r="K853" s="4"/>
    </row>
    <row r="854" spans="2:11">
      <c r="B854" s="6"/>
      <c r="C854" s="24"/>
      <c r="D854" s="5"/>
      <c r="E854" s="5"/>
      <c r="F854" s="4"/>
      <c r="G854" s="4"/>
      <c r="H854" s="4"/>
      <c r="I854" s="4"/>
      <c r="J854" s="4"/>
      <c r="K854" s="4"/>
    </row>
    <row r="855" spans="2:11">
      <c r="B855" s="6"/>
      <c r="C855" s="24"/>
      <c r="D855" s="5"/>
      <c r="E855" s="5"/>
      <c r="F855" s="4"/>
      <c r="G855" s="4"/>
      <c r="H855" s="4"/>
      <c r="I855" s="4"/>
      <c r="J855" s="4"/>
      <c r="K855" s="4"/>
    </row>
    <row r="856" spans="2:11">
      <c r="B856" s="6"/>
      <c r="C856" s="24"/>
      <c r="D856" s="5"/>
      <c r="E856" s="5"/>
      <c r="F856" s="4"/>
      <c r="G856" s="4"/>
      <c r="H856" s="4"/>
      <c r="I856" s="4"/>
      <c r="J856" s="4"/>
      <c r="K856" s="4"/>
    </row>
    <row r="857" spans="2:11">
      <c r="B857" s="6"/>
      <c r="C857" s="24"/>
      <c r="D857" s="5"/>
      <c r="E857" s="5"/>
      <c r="F857" s="4"/>
      <c r="G857" s="4"/>
      <c r="H857" s="4"/>
      <c r="I857" s="4"/>
      <c r="J857" s="4"/>
      <c r="K857" s="4"/>
    </row>
    <row r="858" spans="2:11">
      <c r="B858" s="6"/>
      <c r="C858" s="24"/>
      <c r="D858" s="5"/>
      <c r="E858" s="5"/>
      <c r="F858" s="4"/>
      <c r="G858" s="4"/>
      <c r="H858" s="4"/>
      <c r="I858" s="4"/>
      <c r="J858" s="4"/>
      <c r="K858" s="4"/>
    </row>
    <row r="859" spans="2:11">
      <c r="B859" s="6"/>
      <c r="C859" s="24"/>
      <c r="D859" s="5"/>
      <c r="E859" s="5"/>
      <c r="F859" s="4"/>
      <c r="G859" s="4"/>
      <c r="H859" s="4"/>
      <c r="I859" s="4"/>
      <c r="J859" s="4"/>
      <c r="K859" s="4"/>
    </row>
    <row r="860" spans="2:11">
      <c r="B860" s="6"/>
      <c r="C860" s="24"/>
      <c r="D860" s="5"/>
      <c r="E860" s="5"/>
      <c r="F860" s="4"/>
      <c r="G860" s="4"/>
      <c r="H860" s="4"/>
      <c r="I860" s="4"/>
      <c r="J860" s="4"/>
      <c r="K860" s="4"/>
    </row>
    <row r="861" spans="2:11">
      <c r="B861" s="6"/>
      <c r="C861" s="24"/>
      <c r="D861" s="5"/>
      <c r="E861" s="5"/>
      <c r="F861" s="4"/>
      <c r="G861" s="4"/>
      <c r="H861" s="4"/>
      <c r="I861" s="4"/>
      <c r="J861" s="4"/>
      <c r="K861" s="4"/>
    </row>
    <row r="862" spans="2:11">
      <c r="B862" s="6"/>
      <c r="C862" s="24"/>
      <c r="D862" s="5"/>
      <c r="E862" s="5"/>
      <c r="F862" s="4"/>
      <c r="G862" s="4"/>
      <c r="H862" s="4"/>
      <c r="I862" s="4"/>
      <c r="J862" s="4"/>
      <c r="K862" s="4"/>
    </row>
    <row r="863" spans="2:11">
      <c r="B863" s="6"/>
      <c r="C863" s="24"/>
      <c r="D863" s="5"/>
      <c r="E863" s="5"/>
      <c r="F863" s="4"/>
      <c r="G863" s="4"/>
      <c r="H863" s="4"/>
      <c r="I863" s="4"/>
      <c r="J863" s="4"/>
      <c r="K863" s="4"/>
    </row>
    <row r="864" spans="2:11">
      <c r="B864" s="6"/>
      <c r="C864" s="24"/>
      <c r="D864" s="5"/>
      <c r="E864" s="5"/>
      <c r="F864" s="4"/>
      <c r="G864" s="4"/>
      <c r="H864" s="4"/>
      <c r="I864" s="4"/>
      <c r="J864" s="4"/>
      <c r="K864" s="4"/>
    </row>
    <row r="865" spans="2:11">
      <c r="B865" s="6"/>
      <c r="C865" s="24"/>
      <c r="D865" s="5"/>
      <c r="E865" s="5"/>
      <c r="F865" s="4"/>
      <c r="G865" s="4"/>
      <c r="H865" s="4"/>
      <c r="I865" s="4"/>
      <c r="J865" s="4"/>
      <c r="K865" s="4"/>
    </row>
    <row r="866" spans="2:11">
      <c r="B866" s="6"/>
      <c r="C866" s="24"/>
      <c r="D866" s="5"/>
      <c r="E866" s="5"/>
      <c r="F866" s="4"/>
      <c r="G866" s="4"/>
      <c r="H866" s="4"/>
      <c r="I866" s="4"/>
      <c r="J866" s="4"/>
      <c r="K866" s="4"/>
    </row>
    <row r="867" spans="2:11">
      <c r="B867" s="6"/>
      <c r="C867" s="24"/>
      <c r="D867" s="5"/>
      <c r="E867" s="5"/>
      <c r="F867" s="4"/>
      <c r="G867" s="4"/>
      <c r="H867" s="4"/>
      <c r="I867" s="4"/>
      <c r="J867" s="4"/>
      <c r="K867" s="4"/>
    </row>
    <row r="868" spans="2:11">
      <c r="B868" s="6"/>
      <c r="C868" s="24"/>
      <c r="D868" s="5"/>
      <c r="E868" s="5"/>
      <c r="F868" s="4"/>
      <c r="G868" s="4"/>
      <c r="H868" s="4"/>
      <c r="I868" s="4"/>
      <c r="J868" s="4"/>
      <c r="K868" s="4"/>
    </row>
    <row r="869" spans="2:11">
      <c r="B869" s="6"/>
      <c r="C869" s="24"/>
      <c r="D869" s="5"/>
      <c r="E869" s="5"/>
      <c r="F869" s="4"/>
      <c r="G869" s="4"/>
      <c r="H869" s="4"/>
      <c r="I869" s="4"/>
      <c r="J869" s="4"/>
      <c r="K869" s="4"/>
    </row>
    <row r="870" spans="2:11">
      <c r="B870" s="6"/>
      <c r="C870" s="24"/>
      <c r="D870" s="5"/>
      <c r="E870" s="5"/>
      <c r="F870" s="4"/>
      <c r="G870" s="4"/>
      <c r="H870" s="4"/>
      <c r="I870" s="4"/>
      <c r="J870" s="4"/>
      <c r="K870" s="4"/>
    </row>
    <row r="871" spans="2:11">
      <c r="B871" s="6"/>
      <c r="C871" s="24"/>
      <c r="D871" s="5"/>
      <c r="E871" s="5"/>
      <c r="F871" s="4"/>
      <c r="G871" s="4"/>
      <c r="H871" s="4"/>
      <c r="I871" s="4"/>
      <c r="J871" s="4"/>
      <c r="K871" s="4"/>
    </row>
    <row r="872" spans="2:11">
      <c r="B872" s="6"/>
      <c r="C872" s="24"/>
      <c r="D872" s="5"/>
      <c r="E872" s="5"/>
      <c r="F872" s="4"/>
      <c r="G872" s="4"/>
      <c r="H872" s="4"/>
      <c r="I872" s="4"/>
      <c r="J872" s="4"/>
      <c r="K872" s="4"/>
    </row>
    <row r="873" spans="2:11">
      <c r="B873" s="6"/>
      <c r="C873" s="24"/>
      <c r="D873" s="5"/>
      <c r="E873" s="5"/>
      <c r="F873" s="4"/>
      <c r="G873" s="4"/>
      <c r="H873" s="4"/>
      <c r="I873" s="4"/>
      <c r="J873" s="4"/>
      <c r="K873" s="4"/>
    </row>
    <row r="874" spans="2:11">
      <c r="B874" s="6"/>
      <c r="C874" s="24"/>
      <c r="D874" s="5"/>
      <c r="E874" s="5"/>
      <c r="F874" s="4"/>
      <c r="G874" s="4"/>
      <c r="H874" s="4"/>
      <c r="I874" s="4"/>
      <c r="J874" s="4"/>
      <c r="K874" s="4"/>
    </row>
    <row r="875" spans="2:11">
      <c r="B875" s="6"/>
      <c r="C875" s="24"/>
      <c r="D875" s="5"/>
      <c r="E875" s="5"/>
      <c r="F875" s="4"/>
      <c r="G875" s="4"/>
      <c r="H875" s="4"/>
      <c r="I875" s="4"/>
      <c r="J875" s="4"/>
      <c r="K875" s="4"/>
    </row>
    <row r="876" spans="2:11">
      <c r="B876" s="6"/>
      <c r="C876" s="24"/>
      <c r="D876" s="5"/>
      <c r="E876" s="5"/>
      <c r="F876" s="4"/>
      <c r="G876" s="4"/>
      <c r="H876" s="4"/>
      <c r="I876" s="4"/>
      <c r="J876" s="4"/>
      <c r="K876" s="4"/>
    </row>
    <row r="877" spans="2:11">
      <c r="B877" s="6"/>
      <c r="C877" s="24"/>
      <c r="D877" s="5"/>
      <c r="E877" s="5"/>
      <c r="F877" s="4"/>
      <c r="G877" s="4"/>
      <c r="H877" s="4"/>
      <c r="I877" s="4"/>
      <c r="J877" s="4"/>
      <c r="K877" s="4"/>
    </row>
    <row r="878" spans="2:11">
      <c r="B878" s="6"/>
      <c r="C878" s="24"/>
      <c r="D878" s="5"/>
      <c r="E878" s="5"/>
      <c r="F878" s="4"/>
      <c r="G878" s="4"/>
      <c r="H878" s="4"/>
      <c r="I878" s="4"/>
      <c r="J878" s="4"/>
      <c r="K878" s="4"/>
    </row>
    <row r="879" spans="2:11">
      <c r="B879" s="6"/>
      <c r="C879" s="24"/>
      <c r="D879" s="5"/>
      <c r="E879" s="5"/>
      <c r="F879" s="4"/>
      <c r="G879" s="4"/>
      <c r="H879" s="4"/>
      <c r="I879" s="4"/>
      <c r="J879" s="4"/>
      <c r="K879" s="4"/>
    </row>
    <row r="880" spans="2:11">
      <c r="B880" s="6"/>
      <c r="C880" s="24"/>
      <c r="D880" s="5"/>
      <c r="E880" s="5"/>
      <c r="F880" s="4"/>
      <c r="G880" s="4"/>
      <c r="H880" s="4"/>
      <c r="I880" s="4"/>
      <c r="J880" s="4"/>
      <c r="K880" s="4"/>
    </row>
    <row r="881" spans="2:11">
      <c r="B881" s="6"/>
      <c r="C881" s="24"/>
      <c r="D881" s="5"/>
      <c r="E881" s="5"/>
      <c r="F881" s="4"/>
      <c r="G881" s="4"/>
      <c r="H881" s="4"/>
      <c r="I881" s="4"/>
      <c r="J881" s="4"/>
      <c r="K881" s="4"/>
    </row>
    <row r="882" spans="2:11">
      <c r="B882" s="6"/>
      <c r="C882" s="24"/>
      <c r="D882" s="5"/>
      <c r="E882" s="5"/>
      <c r="F882" s="4"/>
      <c r="G882" s="4"/>
      <c r="H882" s="4"/>
      <c r="I882" s="4"/>
      <c r="J882" s="4"/>
      <c r="K882" s="4"/>
    </row>
    <row r="883" spans="2:11">
      <c r="B883" s="6"/>
      <c r="C883" s="24"/>
      <c r="D883" s="5"/>
      <c r="E883" s="5"/>
      <c r="F883" s="4"/>
      <c r="G883" s="4"/>
      <c r="H883" s="4"/>
      <c r="I883" s="4"/>
      <c r="J883" s="4"/>
      <c r="K883" s="4"/>
    </row>
    <row r="884" spans="2:11">
      <c r="B884" s="6"/>
      <c r="C884" s="24"/>
      <c r="D884" s="5"/>
      <c r="E884" s="5"/>
      <c r="F884" s="4"/>
      <c r="G884" s="4"/>
      <c r="H884" s="4"/>
      <c r="I884" s="4"/>
      <c r="J884" s="4"/>
      <c r="K884" s="4"/>
    </row>
    <row r="885" spans="2:11">
      <c r="B885" s="6"/>
      <c r="C885" s="24"/>
      <c r="D885" s="5"/>
      <c r="E885" s="5"/>
      <c r="F885" s="4"/>
      <c r="G885" s="4"/>
      <c r="H885" s="4"/>
      <c r="I885" s="4"/>
      <c r="J885" s="4"/>
      <c r="K885" s="4"/>
    </row>
    <row r="886" spans="2:11">
      <c r="B886" s="6"/>
      <c r="C886" s="24"/>
      <c r="D886" s="5"/>
      <c r="E886" s="5"/>
      <c r="F886" s="4"/>
      <c r="G886" s="4"/>
      <c r="H886" s="4"/>
      <c r="I886" s="4"/>
      <c r="J886" s="4"/>
      <c r="K886" s="4"/>
    </row>
    <row r="887" spans="2:11">
      <c r="B887" s="6"/>
      <c r="C887" s="24"/>
      <c r="D887" s="5"/>
      <c r="E887" s="5"/>
      <c r="F887" s="4"/>
      <c r="G887" s="4"/>
      <c r="H887" s="4"/>
      <c r="I887" s="4"/>
      <c r="J887" s="4"/>
      <c r="K887" s="4"/>
    </row>
    <row r="888" spans="2:11">
      <c r="B888" s="6"/>
      <c r="C888" s="24"/>
      <c r="D888" s="5"/>
      <c r="E888" s="5"/>
      <c r="F888" s="4"/>
      <c r="G888" s="4"/>
      <c r="H888" s="4"/>
      <c r="I888" s="4"/>
      <c r="J888" s="4"/>
      <c r="K888" s="4"/>
    </row>
    <row r="889" spans="2:11">
      <c r="B889" s="6"/>
      <c r="C889" s="24"/>
      <c r="D889" s="5"/>
      <c r="E889" s="5"/>
      <c r="F889" s="4"/>
      <c r="G889" s="4"/>
      <c r="H889" s="4"/>
      <c r="I889" s="4"/>
      <c r="J889" s="4"/>
      <c r="K889" s="4"/>
    </row>
    <row r="890" spans="2:11">
      <c r="B890" s="6"/>
      <c r="C890" s="24"/>
      <c r="D890" s="5"/>
      <c r="E890" s="5"/>
      <c r="F890" s="4"/>
      <c r="G890" s="4"/>
      <c r="H890" s="4"/>
      <c r="I890" s="4"/>
      <c r="J890" s="4"/>
      <c r="K890" s="4"/>
    </row>
    <row r="891" spans="2:11">
      <c r="B891" s="6"/>
      <c r="C891" s="24"/>
      <c r="D891" s="5"/>
      <c r="E891" s="5"/>
      <c r="F891" s="4"/>
      <c r="G891" s="4"/>
      <c r="H891" s="4"/>
      <c r="I891" s="4"/>
      <c r="J891" s="4"/>
      <c r="K891" s="4"/>
    </row>
    <row r="892" spans="2:11">
      <c r="B892" s="6"/>
      <c r="C892" s="24"/>
      <c r="D892" s="5"/>
      <c r="E892" s="5"/>
      <c r="F892" s="4"/>
      <c r="G892" s="4"/>
      <c r="H892" s="4"/>
      <c r="I892" s="4"/>
      <c r="J892" s="4"/>
      <c r="K892" s="4"/>
    </row>
    <row r="893" spans="2:11">
      <c r="B893" s="6"/>
      <c r="C893" s="24"/>
      <c r="D893" s="5"/>
      <c r="E893" s="5"/>
      <c r="F893" s="4"/>
      <c r="G893" s="4"/>
      <c r="H893" s="4"/>
      <c r="I893" s="4"/>
      <c r="J893" s="4"/>
      <c r="K893" s="4"/>
    </row>
    <row r="894" spans="2:11">
      <c r="B894" s="6"/>
      <c r="C894" s="24"/>
      <c r="D894" s="5"/>
      <c r="E894" s="5"/>
      <c r="F894" s="4"/>
      <c r="G894" s="4"/>
      <c r="H894" s="4"/>
      <c r="I894" s="4"/>
      <c r="J894" s="4"/>
      <c r="K894" s="4"/>
    </row>
    <row r="895" spans="2:11">
      <c r="B895" s="6"/>
      <c r="C895" s="24"/>
      <c r="D895" s="5"/>
      <c r="E895" s="5"/>
      <c r="F895" s="4"/>
      <c r="G895" s="4"/>
      <c r="H895" s="4"/>
      <c r="I895" s="4"/>
      <c r="J895" s="4"/>
      <c r="K895" s="4"/>
    </row>
    <row r="896" spans="2:11">
      <c r="B896" s="6"/>
      <c r="C896" s="24"/>
      <c r="D896" s="5"/>
      <c r="E896" s="5"/>
      <c r="F896" s="4"/>
      <c r="G896" s="4"/>
      <c r="H896" s="4"/>
      <c r="I896" s="4"/>
      <c r="J896" s="4"/>
      <c r="K896" s="4"/>
    </row>
    <row r="897" spans="2:11">
      <c r="B897" s="6"/>
      <c r="C897" s="24"/>
      <c r="D897" s="5"/>
      <c r="E897" s="5"/>
      <c r="F897" s="4"/>
      <c r="G897" s="4"/>
      <c r="H897" s="4"/>
      <c r="I897" s="4"/>
      <c r="J897" s="4"/>
      <c r="K897" s="4"/>
    </row>
    <row r="898" spans="2:11">
      <c r="B898" s="6"/>
      <c r="C898" s="24"/>
      <c r="D898" s="5"/>
      <c r="E898" s="5"/>
      <c r="F898" s="4"/>
      <c r="G898" s="4"/>
      <c r="H898" s="4"/>
      <c r="I898" s="4"/>
      <c r="J898" s="4"/>
      <c r="K898" s="4"/>
    </row>
    <row r="899" spans="2:11">
      <c r="B899" s="6"/>
      <c r="C899" s="24"/>
      <c r="D899" s="5"/>
      <c r="E899" s="5"/>
      <c r="F899" s="4"/>
      <c r="G899" s="4"/>
      <c r="H899" s="4"/>
      <c r="I899" s="4"/>
      <c r="J899" s="4"/>
      <c r="K899" s="4"/>
    </row>
    <row r="900" spans="2:11">
      <c r="B900" s="6"/>
      <c r="C900" s="24"/>
      <c r="D900" s="5"/>
      <c r="E900" s="5"/>
      <c r="F900" s="4"/>
      <c r="G900" s="4"/>
      <c r="H900" s="4"/>
      <c r="I900" s="4"/>
      <c r="J900" s="4"/>
      <c r="K900" s="4"/>
    </row>
    <row r="901" spans="2:11">
      <c r="B901" s="6"/>
      <c r="C901" s="24"/>
      <c r="D901" s="5"/>
      <c r="E901" s="5"/>
      <c r="F901" s="4"/>
      <c r="G901" s="4"/>
      <c r="H901" s="4"/>
      <c r="I901" s="4"/>
      <c r="J901" s="4"/>
      <c r="K901" s="4"/>
    </row>
    <row r="902" spans="2:11">
      <c r="B902" s="6"/>
      <c r="C902" s="24"/>
      <c r="D902" s="5"/>
      <c r="E902" s="5"/>
      <c r="F902" s="4"/>
      <c r="G902" s="4"/>
      <c r="H902" s="4"/>
      <c r="I902" s="4"/>
      <c r="J902" s="4"/>
      <c r="K902" s="4"/>
    </row>
    <row r="903" spans="2:11">
      <c r="B903" s="6"/>
      <c r="C903" s="24"/>
      <c r="D903" s="5"/>
      <c r="E903" s="5"/>
      <c r="F903" s="4"/>
      <c r="G903" s="4"/>
      <c r="H903" s="4"/>
      <c r="I903" s="4"/>
      <c r="J903" s="4"/>
      <c r="K903" s="4"/>
    </row>
    <row r="904" spans="2:11">
      <c r="B904" s="6"/>
      <c r="C904" s="24"/>
      <c r="D904" s="5"/>
      <c r="E904" s="5"/>
      <c r="F904" s="4"/>
      <c r="G904" s="4"/>
      <c r="H904" s="4"/>
      <c r="I904" s="4"/>
      <c r="J904" s="4"/>
      <c r="K904" s="4"/>
    </row>
    <row r="905" spans="2:11">
      <c r="B905" s="6"/>
      <c r="C905" s="24"/>
      <c r="D905" s="5"/>
      <c r="E905" s="5"/>
      <c r="F905" s="4"/>
      <c r="G905" s="4"/>
      <c r="H905" s="4"/>
      <c r="I905" s="4"/>
      <c r="J905" s="4"/>
      <c r="K905" s="4"/>
    </row>
    <row r="906" spans="2:11">
      <c r="B906" s="6"/>
      <c r="C906" s="24"/>
      <c r="D906" s="5"/>
      <c r="E906" s="5"/>
      <c r="F906" s="4"/>
      <c r="G906" s="4"/>
      <c r="H906" s="4"/>
      <c r="I906" s="4"/>
      <c r="J906" s="4"/>
      <c r="K906" s="4"/>
    </row>
    <row r="907" spans="2:11">
      <c r="B907" s="6"/>
      <c r="C907" s="24"/>
      <c r="D907" s="5"/>
      <c r="E907" s="5"/>
      <c r="F907" s="4"/>
      <c r="G907" s="4"/>
      <c r="H907" s="4"/>
      <c r="I907" s="4"/>
      <c r="J907" s="4"/>
      <c r="K907" s="4"/>
    </row>
    <row r="908" spans="2:11">
      <c r="B908" s="6"/>
      <c r="C908" s="24"/>
      <c r="D908" s="5"/>
      <c r="E908" s="5"/>
      <c r="F908" s="4"/>
      <c r="G908" s="4"/>
      <c r="H908" s="4"/>
      <c r="I908" s="4"/>
      <c r="J908" s="4"/>
      <c r="K908" s="4"/>
    </row>
    <row r="909" spans="2:11">
      <c r="B909" s="6"/>
      <c r="C909" s="24"/>
      <c r="D909" s="5"/>
      <c r="E909" s="5"/>
      <c r="F909" s="4"/>
      <c r="G909" s="4"/>
      <c r="H909" s="4"/>
      <c r="I909" s="4"/>
      <c r="J909" s="4"/>
      <c r="K909" s="4"/>
    </row>
    <row r="910" spans="2:11">
      <c r="B910" s="6"/>
      <c r="C910" s="24"/>
      <c r="D910" s="5"/>
      <c r="E910" s="5"/>
      <c r="F910" s="4"/>
      <c r="G910" s="4"/>
      <c r="H910" s="4"/>
      <c r="I910" s="4"/>
      <c r="J910" s="4"/>
      <c r="K910" s="4"/>
    </row>
    <row r="911" spans="2:11">
      <c r="B911" s="6"/>
      <c r="C911" s="24"/>
      <c r="D911" s="5"/>
      <c r="E911" s="5"/>
      <c r="F911" s="4"/>
      <c r="G911" s="4"/>
      <c r="H911" s="4"/>
      <c r="I911" s="4"/>
      <c r="J911" s="4"/>
      <c r="K911" s="4"/>
    </row>
    <row r="912" spans="2:11">
      <c r="B912" s="6"/>
      <c r="C912" s="24"/>
      <c r="D912" s="5"/>
      <c r="E912" s="5"/>
      <c r="F912" s="4"/>
      <c r="G912" s="4"/>
      <c r="H912" s="4"/>
      <c r="I912" s="4"/>
      <c r="J912" s="4"/>
      <c r="K912" s="4"/>
    </row>
    <row r="913" spans="2:11">
      <c r="B913" s="6"/>
      <c r="C913" s="24"/>
      <c r="D913" s="5"/>
      <c r="E913" s="5"/>
      <c r="F913" s="4"/>
      <c r="G913" s="4"/>
      <c r="H913" s="4"/>
      <c r="I913" s="4"/>
      <c r="J913" s="4"/>
      <c r="K913" s="4"/>
    </row>
    <row r="914" spans="2:11">
      <c r="B914" s="6"/>
      <c r="C914" s="24"/>
      <c r="D914" s="5"/>
      <c r="E914" s="5"/>
      <c r="F914" s="4"/>
      <c r="G914" s="4"/>
      <c r="H914" s="4"/>
      <c r="I914" s="4"/>
      <c r="J914" s="4"/>
      <c r="K914" s="4"/>
    </row>
    <row r="915" spans="2:11">
      <c r="B915" s="6"/>
      <c r="C915" s="24"/>
      <c r="D915" s="5"/>
      <c r="E915" s="5"/>
      <c r="F915" s="4"/>
      <c r="G915" s="4"/>
      <c r="H915" s="4"/>
      <c r="I915" s="4"/>
      <c r="J915" s="4"/>
      <c r="K915" s="4"/>
    </row>
    <row r="916" spans="2:11">
      <c r="B916" s="6"/>
      <c r="C916" s="24"/>
      <c r="D916" s="5"/>
      <c r="E916" s="5"/>
      <c r="F916" s="4"/>
      <c r="G916" s="4"/>
      <c r="H916" s="4"/>
      <c r="I916" s="4"/>
      <c r="J916" s="4"/>
      <c r="K916" s="4"/>
    </row>
    <row r="917" spans="2:11">
      <c r="B917" s="6"/>
      <c r="C917" s="24"/>
      <c r="D917" s="5"/>
      <c r="E917" s="5"/>
      <c r="F917" s="4"/>
      <c r="G917" s="4"/>
      <c r="H917" s="4"/>
      <c r="I917" s="4"/>
      <c r="J917" s="4"/>
      <c r="K917" s="4"/>
    </row>
    <row r="918" spans="2:11">
      <c r="B918" s="6"/>
      <c r="C918" s="24"/>
      <c r="D918" s="5"/>
      <c r="E918" s="5"/>
      <c r="F918" s="4"/>
      <c r="G918" s="4"/>
      <c r="H918" s="4"/>
      <c r="I918" s="4"/>
      <c r="J918" s="4"/>
      <c r="K918" s="4"/>
    </row>
    <row r="919" spans="2:11">
      <c r="B919" s="6"/>
      <c r="C919" s="24"/>
      <c r="D919" s="5"/>
      <c r="E919" s="5"/>
      <c r="F919" s="4"/>
      <c r="G919" s="4"/>
      <c r="H919" s="4"/>
      <c r="I919" s="4"/>
      <c r="J919" s="4"/>
      <c r="K919" s="4"/>
    </row>
    <row r="920" spans="2:11">
      <c r="B920" s="6"/>
      <c r="C920" s="24"/>
      <c r="D920" s="5"/>
      <c r="E920" s="5"/>
      <c r="F920" s="4"/>
      <c r="G920" s="4"/>
      <c r="H920" s="4"/>
      <c r="I920" s="4"/>
      <c r="J920" s="4"/>
      <c r="K920" s="4"/>
    </row>
    <row r="921" spans="2:11">
      <c r="B921" s="6"/>
      <c r="C921" s="24"/>
      <c r="D921" s="5"/>
      <c r="E921" s="5"/>
      <c r="F921" s="4"/>
      <c r="G921" s="4"/>
      <c r="H921" s="4"/>
      <c r="I921" s="4"/>
      <c r="J921" s="4"/>
      <c r="K921" s="4"/>
    </row>
    <row r="922" spans="2:11">
      <c r="B922" s="6"/>
      <c r="C922" s="24"/>
      <c r="D922" s="5"/>
      <c r="E922" s="5"/>
      <c r="F922" s="4"/>
      <c r="G922" s="4"/>
      <c r="H922" s="4"/>
      <c r="I922" s="4"/>
      <c r="J922" s="4"/>
      <c r="K922" s="4"/>
    </row>
    <row r="923" spans="2:11">
      <c r="B923" s="6"/>
      <c r="C923" s="24"/>
      <c r="D923" s="5"/>
      <c r="E923" s="5"/>
      <c r="F923" s="4"/>
      <c r="G923" s="4"/>
      <c r="H923" s="4"/>
      <c r="I923" s="4"/>
      <c r="J923" s="4"/>
      <c r="K923" s="4"/>
    </row>
    <row r="924" spans="2:11">
      <c r="B924" s="6"/>
      <c r="C924" s="24"/>
      <c r="D924" s="5"/>
      <c r="E924" s="5"/>
      <c r="F924" s="4"/>
      <c r="G924" s="4"/>
      <c r="H924" s="4"/>
      <c r="I924" s="4"/>
      <c r="J924" s="4"/>
      <c r="K924" s="4"/>
    </row>
    <row r="925" spans="2:11">
      <c r="B925" s="6"/>
      <c r="C925" s="24"/>
      <c r="D925" s="5"/>
      <c r="E925" s="5"/>
      <c r="F925" s="4"/>
      <c r="G925" s="4"/>
      <c r="H925" s="4"/>
      <c r="I925" s="4"/>
      <c r="J925" s="4"/>
      <c r="K925" s="4"/>
    </row>
    <row r="926" spans="2:11">
      <c r="B926" s="6"/>
      <c r="C926" s="24"/>
      <c r="D926" s="5"/>
      <c r="E926" s="5"/>
      <c r="F926" s="4"/>
      <c r="G926" s="4"/>
      <c r="H926" s="4"/>
      <c r="I926" s="4"/>
      <c r="J926" s="4"/>
      <c r="K926" s="4"/>
    </row>
    <row r="927" spans="2:11">
      <c r="B927" s="6"/>
      <c r="C927" s="24"/>
      <c r="D927" s="5"/>
      <c r="E927" s="5"/>
      <c r="F927" s="4"/>
      <c r="G927" s="4"/>
      <c r="H927" s="4"/>
      <c r="I927" s="4"/>
      <c r="J927" s="4"/>
      <c r="K927" s="4"/>
    </row>
    <row r="928" spans="2:11">
      <c r="B928" s="6"/>
      <c r="C928" s="24"/>
      <c r="D928" s="5"/>
      <c r="E928" s="5"/>
      <c r="F928" s="4"/>
      <c r="G928" s="4"/>
      <c r="H928" s="4"/>
      <c r="I928" s="4"/>
      <c r="J928" s="4"/>
      <c r="K928" s="4"/>
    </row>
    <row r="929" spans="2:11">
      <c r="B929" s="6"/>
      <c r="C929" s="24"/>
      <c r="D929" s="5"/>
      <c r="E929" s="5"/>
      <c r="F929" s="4"/>
      <c r="G929" s="4"/>
      <c r="H929" s="4"/>
      <c r="I929" s="4"/>
      <c r="J929" s="4"/>
      <c r="K929" s="4"/>
    </row>
    <row r="930" spans="2:11">
      <c r="B930" s="6"/>
      <c r="C930" s="24"/>
      <c r="D930" s="5"/>
      <c r="E930" s="5"/>
      <c r="F930" s="4"/>
      <c r="G930" s="4"/>
      <c r="H930" s="4"/>
      <c r="I930" s="4"/>
      <c r="J930" s="4"/>
      <c r="K930" s="4"/>
    </row>
    <row r="931" spans="2:11">
      <c r="B931" s="6"/>
      <c r="C931" s="24"/>
      <c r="D931" s="5"/>
      <c r="E931" s="5"/>
      <c r="F931" s="4"/>
      <c r="G931" s="4"/>
      <c r="H931" s="4"/>
      <c r="I931" s="4"/>
      <c r="J931" s="4"/>
      <c r="K931" s="4"/>
    </row>
    <row r="932" spans="2:11">
      <c r="B932" s="6"/>
      <c r="C932" s="24"/>
      <c r="D932" s="5"/>
      <c r="E932" s="5"/>
      <c r="F932" s="4"/>
      <c r="G932" s="4"/>
      <c r="H932" s="4"/>
      <c r="I932" s="4"/>
      <c r="J932" s="4"/>
      <c r="K932" s="4"/>
    </row>
    <row r="933" spans="2:11">
      <c r="B933" s="6"/>
      <c r="C933" s="24"/>
      <c r="D933" s="5"/>
      <c r="E933" s="5"/>
      <c r="F933" s="4"/>
      <c r="G933" s="4"/>
      <c r="H933" s="4"/>
      <c r="I933" s="4"/>
      <c r="J933" s="4"/>
      <c r="K933" s="4"/>
    </row>
    <row r="934" spans="2:11">
      <c r="B934" s="6"/>
      <c r="C934" s="24"/>
      <c r="D934" s="5"/>
      <c r="E934" s="5"/>
      <c r="F934" s="4"/>
      <c r="G934" s="4"/>
      <c r="H934" s="4"/>
      <c r="I934" s="4"/>
      <c r="J934" s="4"/>
      <c r="K934" s="4"/>
    </row>
    <row r="935" spans="2:11">
      <c r="B935" s="6"/>
      <c r="C935" s="24"/>
      <c r="D935" s="5"/>
      <c r="E935" s="5"/>
      <c r="F935" s="4"/>
      <c r="G935" s="4"/>
      <c r="H935" s="4"/>
      <c r="I935" s="4"/>
      <c r="J935" s="4"/>
      <c r="K935" s="4"/>
    </row>
    <row r="936" spans="2:11">
      <c r="B936" s="6"/>
      <c r="C936" s="24"/>
      <c r="D936" s="5"/>
      <c r="E936" s="5"/>
      <c r="F936" s="4"/>
      <c r="G936" s="4"/>
      <c r="H936" s="4"/>
      <c r="I936" s="4"/>
      <c r="J936" s="4"/>
      <c r="K936" s="4"/>
    </row>
    <row r="937" spans="2:11">
      <c r="B937" s="6"/>
      <c r="C937" s="24"/>
      <c r="D937" s="5"/>
      <c r="E937" s="5"/>
      <c r="F937" s="4"/>
      <c r="G937" s="4"/>
      <c r="H937" s="4"/>
      <c r="I937" s="4"/>
      <c r="J937" s="4"/>
      <c r="K937" s="4"/>
    </row>
    <row r="938" spans="2:11">
      <c r="B938" s="6"/>
      <c r="C938" s="24"/>
      <c r="D938" s="5"/>
      <c r="E938" s="5"/>
      <c r="F938" s="4"/>
      <c r="G938" s="4"/>
      <c r="H938" s="4"/>
      <c r="I938" s="4"/>
      <c r="J938" s="4"/>
      <c r="K938" s="4"/>
    </row>
    <row r="939" spans="2:11">
      <c r="B939" s="6"/>
      <c r="C939" s="24"/>
      <c r="D939" s="5"/>
      <c r="E939" s="5"/>
      <c r="F939" s="4"/>
      <c r="G939" s="4"/>
      <c r="H939" s="4"/>
      <c r="I939" s="4"/>
      <c r="J939" s="4"/>
      <c r="K939" s="4"/>
    </row>
    <row r="940" spans="2:11">
      <c r="B940" s="6"/>
      <c r="C940" s="24"/>
      <c r="D940" s="5"/>
      <c r="E940" s="5"/>
      <c r="F940" s="4"/>
      <c r="G940" s="4"/>
      <c r="H940" s="4"/>
      <c r="I940" s="4"/>
      <c r="J940" s="4"/>
      <c r="K940" s="4"/>
    </row>
    <row r="941" spans="2:11">
      <c r="B941" s="6"/>
      <c r="C941" s="24"/>
      <c r="D941" s="5"/>
      <c r="E941" s="5"/>
      <c r="F941" s="4"/>
      <c r="G941" s="4"/>
      <c r="H941" s="4"/>
      <c r="I941" s="4"/>
      <c r="J941" s="4"/>
      <c r="K941" s="4"/>
    </row>
    <row r="942" spans="2:11">
      <c r="B942" s="6"/>
      <c r="C942" s="24"/>
      <c r="D942" s="5"/>
      <c r="E942" s="5"/>
      <c r="F942" s="4"/>
      <c r="G942" s="4"/>
      <c r="H942" s="4"/>
      <c r="I942" s="4"/>
      <c r="J942" s="4"/>
      <c r="K942" s="4"/>
    </row>
    <row r="943" spans="2:11">
      <c r="B943" s="6"/>
      <c r="C943" s="24"/>
      <c r="D943" s="5"/>
      <c r="E943" s="5"/>
      <c r="F943" s="4"/>
      <c r="G943" s="4"/>
      <c r="H943" s="4"/>
      <c r="I943" s="4"/>
      <c r="J943" s="4"/>
      <c r="K943" s="4"/>
    </row>
    <row r="944" spans="2:11">
      <c r="B944" s="6"/>
      <c r="C944" s="24"/>
      <c r="D944" s="5"/>
      <c r="E944" s="5"/>
      <c r="F944" s="4"/>
      <c r="G944" s="4"/>
      <c r="H944" s="4"/>
      <c r="I944" s="4"/>
      <c r="J944" s="4"/>
      <c r="K944" s="4"/>
    </row>
    <row r="945" spans="2:11">
      <c r="B945" s="6"/>
      <c r="C945" s="24"/>
      <c r="D945" s="5"/>
      <c r="E945" s="5"/>
      <c r="F945" s="4"/>
      <c r="G945" s="4"/>
      <c r="H945" s="4"/>
      <c r="I945" s="4"/>
      <c r="J945" s="4"/>
      <c r="K945" s="4"/>
    </row>
    <row r="946" spans="2:11">
      <c r="B946" s="6"/>
      <c r="C946" s="24"/>
      <c r="D946" s="5"/>
      <c r="E946" s="5"/>
      <c r="F946" s="4"/>
      <c r="G946" s="4"/>
      <c r="H946" s="4"/>
      <c r="I946" s="4"/>
      <c r="J946" s="4"/>
      <c r="K946" s="4"/>
    </row>
    <row r="947" spans="2:11">
      <c r="B947" s="6"/>
      <c r="C947" s="24"/>
      <c r="D947" s="5"/>
      <c r="E947" s="5"/>
      <c r="F947" s="4"/>
      <c r="G947" s="4"/>
      <c r="H947" s="4"/>
      <c r="I947" s="4"/>
      <c r="J947" s="4"/>
      <c r="K947" s="4"/>
    </row>
    <row r="948" spans="2:11">
      <c r="B948" s="6"/>
      <c r="C948" s="24"/>
      <c r="D948" s="5"/>
      <c r="E948" s="5"/>
      <c r="F948" s="4"/>
      <c r="G948" s="4"/>
      <c r="H948" s="4"/>
      <c r="I948" s="4"/>
      <c r="J948" s="4"/>
      <c r="K948" s="4"/>
    </row>
    <row r="949" spans="2:11">
      <c r="B949" s="6"/>
      <c r="C949" s="24"/>
      <c r="D949" s="5"/>
      <c r="E949" s="5"/>
      <c r="F949" s="4"/>
      <c r="G949" s="4"/>
      <c r="H949" s="4"/>
      <c r="I949" s="4"/>
      <c r="J949" s="4"/>
      <c r="K949" s="4"/>
    </row>
    <row r="950" spans="2:11">
      <c r="B950" s="6"/>
      <c r="C950" s="24"/>
      <c r="D950" s="5"/>
      <c r="E950" s="5"/>
      <c r="F950" s="4"/>
      <c r="G950" s="4"/>
      <c r="H950" s="4"/>
      <c r="I950" s="4"/>
      <c r="J950" s="4"/>
      <c r="K950" s="4"/>
    </row>
    <row r="951" spans="2:11">
      <c r="B951" s="6"/>
      <c r="C951" s="24"/>
      <c r="D951" s="5"/>
      <c r="E951" s="5"/>
      <c r="F951" s="4"/>
      <c r="G951" s="4"/>
      <c r="H951" s="4"/>
      <c r="I951" s="4"/>
      <c r="J951" s="4"/>
      <c r="K951" s="4"/>
    </row>
    <row r="952" spans="2:11">
      <c r="B952" s="6"/>
      <c r="C952" s="24"/>
      <c r="D952" s="5"/>
      <c r="E952" s="5"/>
      <c r="F952" s="4"/>
      <c r="G952" s="4"/>
      <c r="H952" s="4"/>
      <c r="I952" s="4"/>
      <c r="J952" s="4"/>
      <c r="K952" s="4"/>
    </row>
    <row r="953" spans="2:11">
      <c r="B953" s="6"/>
      <c r="C953" s="24"/>
      <c r="D953" s="5"/>
      <c r="E953" s="5"/>
      <c r="F953" s="4"/>
      <c r="G953" s="4"/>
      <c r="H953" s="4"/>
      <c r="I953" s="4"/>
      <c r="J953" s="4"/>
      <c r="K953" s="4"/>
    </row>
    <row r="954" spans="2:11">
      <c r="B954" s="6"/>
      <c r="C954" s="24"/>
      <c r="D954" s="5"/>
      <c r="E954" s="5"/>
      <c r="F954" s="4"/>
      <c r="G954" s="4"/>
      <c r="H954" s="4"/>
      <c r="I954" s="4"/>
      <c r="J954" s="4"/>
      <c r="K954" s="4"/>
    </row>
    <row r="955" spans="2:11">
      <c r="B955" s="6"/>
      <c r="C955" s="24"/>
      <c r="D955" s="5"/>
      <c r="E955" s="5"/>
      <c r="F955" s="4"/>
      <c r="G955" s="4"/>
      <c r="H955" s="4"/>
      <c r="I955" s="4"/>
      <c r="J955" s="4"/>
      <c r="K955" s="4"/>
    </row>
    <row r="956" spans="2:11">
      <c r="B956" s="6"/>
      <c r="C956" s="24"/>
      <c r="D956" s="5"/>
      <c r="E956" s="5"/>
      <c r="F956" s="4"/>
      <c r="G956" s="4"/>
      <c r="H956" s="4"/>
      <c r="I956" s="4"/>
      <c r="J956" s="4"/>
      <c r="K956" s="4"/>
    </row>
    <row r="957" spans="2:11">
      <c r="B957" s="6"/>
      <c r="C957" s="24"/>
      <c r="D957" s="5"/>
      <c r="E957" s="5"/>
      <c r="F957" s="4"/>
      <c r="G957" s="4"/>
      <c r="H957" s="4"/>
      <c r="I957" s="4"/>
      <c r="J957" s="4"/>
      <c r="K957" s="4"/>
    </row>
    <row r="958" spans="2:11">
      <c r="B958" s="6"/>
      <c r="C958" s="24"/>
      <c r="D958" s="5"/>
      <c r="E958" s="5"/>
      <c r="F958" s="4"/>
      <c r="G958" s="4"/>
      <c r="H958" s="4"/>
      <c r="I958" s="4"/>
      <c r="J958" s="4"/>
      <c r="K958" s="4"/>
    </row>
    <row r="959" spans="2:11">
      <c r="B959" s="6"/>
      <c r="C959" s="24"/>
      <c r="D959" s="5"/>
      <c r="E959" s="5"/>
      <c r="F959" s="4"/>
      <c r="G959" s="4"/>
      <c r="H959" s="4"/>
      <c r="I959" s="4"/>
      <c r="J959" s="4"/>
      <c r="K959" s="4"/>
    </row>
    <row r="960" spans="2:11">
      <c r="B960" s="6"/>
      <c r="C960" s="24"/>
      <c r="D960" s="5"/>
      <c r="E960" s="5"/>
      <c r="F960" s="4"/>
      <c r="G960" s="4"/>
      <c r="H960" s="4"/>
      <c r="I960" s="4"/>
      <c r="J960" s="4"/>
      <c r="K960" s="4"/>
    </row>
    <row r="961" spans="2:11">
      <c r="B961" s="6"/>
      <c r="C961" s="24"/>
      <c r="D961" s="5"/>
      <c r="E961" s="5"/>
      <c r="F961" s="4"/>
      <c r="G961" s="4"/>
      <c r="H961" s="4"/>
      <c r="I961" s="4"/>
      <c r="J961" s="4"/>
      <c r="K961" s="4"/>
    </row>
    <row r="962" spans="2:11">
      <c r="B962" s="6"/>
      <c r="C962" s="24"/>
      <c r="D962" s="5"/>
      <c r="E962" s="5"/>
      <c r="F962" s="4"/>
      <c r="G962" s="4"/>
      <c r="H962" s="4"/>
      <c r="I962" s="4"/>
      <c r="J962" s="4"/>
      <c r="K962" s="4"/>
    </row>
    <row r="963" spans="2:11">
      <c r="B963" s="6"/>
      <c r="C963" s="24"/>
      <c r="D963" s="5"/>
      <c r="E963" s="5"/>
      <c r="F963" s="4"/>
      <c r="G963" s="4"/>
      <c r="H963" s="4"/>
      <c r="I963" s="4"/>
      <c r="J963" s="4"/>
      <c r="K963" s="4"/>
    </row>
    <row r="964" spans="2:11">
      <c r="B964" s="6"/>
      <c r="C964" s="24"/>
      <c r="D964" s="5"/>
      <c r="E964" s="5"/>
      <c r="F964" s="4"/>
      <c r="G964" s="4"/>
      <c r="H964" s="4"/>
      <c r="I964" s="4"/>
      <c r="J964" s="4"/>
      <c r="K964" s="4"/>
    </row>
    <row r="965" spans="2:11">
      <c r="B965" s="6"/>
      <c r="C965" s="24"/>
      <c r="D965" s="5"/>
      <c r="E965" s="5"/>
      <c r="F965" s="4"/>
      <c r="G965" s="4"/>
      <c r="H965" s="4"/>
      <c r="I965" s="4"/>
      <c r="J965" s="4"/>
      <c r="K965" s="4"/>
    </row>
    <row r="966" spans="2:11">
      <c r="B966" s="6"/>
      <c r="C966" s="24"/>
      <c r="D966" s="5"/>
      <c r="E966" s="5"/>
      <c r="F966" s="4"/>
      <c r="G966" s="4"/>
      <c r="H966" s="4"/>
      <c r="I966" s="4"/>
      <c r="J966" s="4"/>
      <c r="K966" s="4"/>
    </row>
    <row r="967" spans="2:11">
      <c r="B967" s="6"/>
      <c r="C967" s="24"/>
      <c r="D967" s="5"/>
      <c r="E967" s="5"/>
      <c r="F967" s="4"/>
      <c r="G967" s="4"/>
      <c r="H967" s="4"/>
      <c r="I967" s="4"/>
      <c r="J967" s="4"/>
      <c r="K967" s="4"/>
    </row>
    <row r="968" spans="2:11">
      <c r="B968" s="6"/>
      <c r="C968" s="24"/>
      <c r="D968" s="5"/>
      <c r="E968" s="5"/>
      <c r="F968" s="4"/>
      <c r="G968" s="4"/>
      <c r="H968" s="4"/>
      <c r="I968" s="4"/>
      <c r="J968" s="4"/>
      <c r="K968" s="4"/>
    </row>
    <row r="969" spans="2:11">
      <c r="B969" s="6"/>
      <c r="C969" s="24"/>
      <c r="D969" s="5"/>
      <c r="E969" s="5"/>
      <c r="F969" s="4"/>
      <c r="G969" s="4"/>
      <c r="H969" s="4"/>
      <c r="I969" s="4"/>
      <c r="J969" s="4"/>
      <c r="K969" s="4"/>
    </row>
    <row r="970" spans="2:11">
      <c r="B970" s="6"/>
      <c r="C970" s="24"/>
      <c r="D970" s="5"/>
      <c r="E970" s="5"/>
      <c r="F970" s="4"/>
      <c r="G970" s="4"/>
      <c r="H970" s="4"/>
      <c r="I970" s="4"/>
      <c r="J970" s="4"/>
      <c r="K970" s="4"/>
    </row>
    <row r="971" spans="2:11">
      <c r="B971" s="6"/>
      <c r="C971" s="24"/>
      <c r="D971" s="5"/>
      <c r="E971" s="5"/>
      <c r="F971" s="4"/>
      <c r="G971" s="4"/>
      <c r="H971" s="4"/>
      <c r="I971" s="4"/>
      <c r="J971" s="4"/>
      <c r="K971" s="4"/>
    </row>
    <row r="972" spans="2:11">
      <c r="B972" s="6"/>
      <c r="C972" s="24"/>
      <c r="D972" s="5"/>
      <c r="E972" s="5"/>
      <c r="F972" s="4"/>
      <c r="G972" s="4"/>
      <c r="H972" s="4"/>
      <c r="I972" s="4"/>
      <c r="J972" s="4"/>
      <c r="K972" s="4"/>
    </row>
    <row r="973" spans="2:11">
      <c r="B973" s="6"/>
      <c r="C973" s="24"/>
      <c r="D973" s="5"/>
      <c r="E973" s="5"/>
      <c r="F973" s="4"/>
      <c r="G973" s="4"/>
      <c r="H973" s="4"/>
      <c r="I973" s="4"/>
      <c r="J973" s="4"/>
      <c r="K973" s="4"/>
    </row>
    <row r="974" spans="2:11">
      <c r="B974" s="6"/>
      <c r="C974" s="24"/>
      <c r="D974" s="5"/>
      <c r="E974" s="5"/>
      <c r="F974" s="4"/>
      <c r="G974" s="4"/>
      <c r="H974" s="4"/>
      <c r="I974" s="4"/>
      <c r="J974" s="4"/>
      <c r="K974" s="4"/>
    </row>
    <row r="975" spans="2:11">
      <c r="B975" s="6"/>
      <c r="C975" s="24"/>
      <c r="D975" s="5"/>
      <c r="E975" s="5"/>
      <c r="F975" s="4"/>
      <c r="G975" s="4"/>
      <c r="H975" s="4"/>
      <c r="I975" s="4"/>
      <c r="J975" s="4"/>
      <c r="K975" s="4"/>
    </row>
    <row r="976" spans="2:11">
      <c r="B976" s="6"/>
      <c r="C976" s="24"/>
      <c r="D976" s="5"/>
      <c r="E976" s="5"/>
      <c r="F976" s="4"/>
      <c r="G976" s="4"/>
      <c r="H976" s="4"/>
      <c r="I976" s="4"/>
      <c r="J976" s="4"/>
      <c r="K976" s="4"/>
    </row>
    <row r="977" spans="2:11">
      <c r="B977" s="6"/>
      <c r="C977" s="24"/>
      <c r="D977" s="5"/>
      <c r="E977" s="5"/>
      <c r="F977" s="4"/>
      <c r="G977" s="4"/>
      <c r="H977" s="4"/>
      <c r="I977" s="4"/>
      <c r="J977" s="4"/>
      <c r="K977" s="4"/>
    </row>
    <row r="978" spans="2:11">
      <c r="B978" s="6"/>
      <c r="C978" s="24"/>
      <c r="D978" s="5"/>
      <c r="E978" s="5"/>
      <c r="F978" s="4"/>
      <c r="G978" s="4"/>
      <c r="H978" s="4"/>
      <c r="I978" s="4"/>
      <c r="J978" s="4"/>
      <c r="K978" s="4"/>
    </row>
    <row r="979" spans="2:11">
      <c r="B979" s="6"/>
      <c r="C979" s="24"/>
      <c r="D979" s="5"/>
      <c r="E979" s="5"/>
      <c r="F979" s="4"/>
      <c r="G979" s="4"/>
      <c r="H979" s="4"/>
      <c r="I979" s="4"/>
      <c r="J979" s="4"/>
      <c r="K979" s="4"/>
    </row>
    <row r="980" spans="2:11">
      <c r="B980" s="6"/>
      <c r="C980" s="24"/>
      <c r="D980" s="5"/>
      <c r="E980" s="5"/>
      <c r="F980" s="4"/>
      <c r="G980" s="4"/>
      <c r="H980" s="4"/>
      <c r="I980" s="4"/>
      <c r="J980" s="4"/>
      <c r="K980" s="4"/>
    </row>
    <row r="981" spans="2:11">
      <c r="B981" s="6"/>
      <c r="C981" s="24"/>
      <c r="D981" s="5"/>
      <c r="E981" s="5"/>
      <c r="F981" s="4"/>
      <c r="G981" s="4"/>
      <c r="H981" s="4"/>
      <c r="I981" s="4"/>
      <c r="J981" s="4"/>
      <c r="K981" s="4"/>
    </row>
    <row r="982" spans="2:11">
      <c r="B982" s="6"/>
      <c r="C982" s="24"/>
      <c r="D982" s="5"/>
      <c r="E982" s="5"/>
      <c r="F982" s="4"/>
      <c r="G982" s="4"/>
      <c r="H982" s="4"/>
      <c r="I982" s="4"/>
      <c r="J982" s="4"/>
      <c r="K982" s="4"/>
    </row>
    <row r="983" spans="2:11">
      <c r="B983" s="6"/>
      <c r="C983" s="24"/>
      <c r="D983" s="5"/>
      <c r="E983" s="5"/>
      <c r="F983" s="4"/>
      <c r="G983" s="4"/>
      <c r="H983" s="4"/>
      <c r="I983" s="4"/>
      <c r="J983" s="4"/>
      <c r="K983" s="4"/>
    </row>
    <row r="984" spans="2:11">
      <c r="B984" s="6"/>
      <c r="C984" s="24"/>
      <c r="D984" s="5"/>
      <c r="E984" s="5"/>
      <c r="F984" s="4"/>
      <c r="G984" s="4"/>
      <c r="H984" s="4"/>
      <c r="I984" s="4"/>
      <c r="J984" s="4"/>
      <c r="K984" s="4"/>
    </row>
    <row r="985" spans="2:11">
      <c r="B985" s="6"/>
      <c r="C985" s="24"/>
      <c r="D985" s="5"/>
      <c r="E985" s="5"/>
      <c r="F985" s="4"/>
      <c r="G985" s="4"/>
      <c r="H985" s="4"/>
      <c r="I985" s="4"/>
      <c r="J985" s="4"/>
      <c r="K985" s="4"/>
    </row>
    <row r="986" spans="2:11">
      <c r="B986" s="6"/>
      <c r="C986" s="24"/>
      <c r="D986" s="5"/>
      <c r="E986" s="5"/>
      <c r="F986" s="4"/>
      <c r="G986" s="4"/>
      <c r="H986" s="4"/>
      <c r="I986" s="4"/>
      <c r="J986" s="4"/>
      <c r="K986" s="4"/>
    </row>
    <row r="987" spans="2:11">
      <c r="B987" s="6"/>
      <c r="C987" s="24"/>
      <c r="D987" s="5"/>
      <c r="E987" s="5"/>
      <c r="F987" s="4"/>
      <c r="G987" s="4"/>
      <c r="H987" s="4"/>
      <c r="I987" s="4"/>
      <c r="J987" s="4"/>
      <c r="K987" s="4"/>
    </row>
    <row r="988" spans="2:11">
      <c r="B988" s="6"/>
      <c r="C988" s="24"/>
      <c r="D988" s="5"/>
      <c r="E988" s="5"/>
      <c r="F988" s="4"/>
      <c r="G988" s="4"/>
      <c r="H988" s="4"/>
      <c r="I988" s="4"/>
      <c r="J988" s="4"/>
      <c r="K988" s="4"/>
    </row>
    <row r="989" spans="2:11">
      <c r="B989" s="6"/>
      <c r="C989" s="24"/>
      <c r="D989" s="5"/>
      <c r="E989" s="5"/>
      <c r="F989" s="4"/>
      <c r="G989" s="4"/>
      <c r="H989" s="4"/>
      <c r="I989" s="4"/>
      <c r="J989" s="4"/>
      <c r="K989" s="4"/>
    </row>
    <row r="990" spans="2:11">
      <c r="B990" s="6"/>
      <c r="C990" s="24"/>
      <c r="D990" s="5"/>
      <c r="E990" s="5"/>
      <c r="F990" s="4"/>
      <c r="G990" s="4"/>
      <c r="H990" s="4"/>
      <c r="I990" s="4"/>
      <c r="J990" s="4"/>
      <c r="K990" s="4"/>
    </row>
    <row r="991" spans="2:11">
      <c r="B991" s="6"/>
      <c r="C991" s="24"/>
      <c r="D991" s="5"/>
      <c r="E991" s="5"/>
      <c r="F991" s="4"/>
      <c r="G991" s="4"/>
      <c r="H991" s="4"/>
      <c r="I991" s="4"/>
      <c r="J991" s="4"/>
      <c r="K991" s="4"/>
    </row>
    <row r="992" spans="2:11">
      <c r="B992" s="6"/>
      <c r="C992" s="24"/>
      <c r="D992" s="5"/>
      <c r="E992" s="5"/>
      <c r="F992" s="4"/>
      <c r="G992" s="4"/>
      <c r="H992" s="4"/>
      <c r="I992" s="4"/>
      <c r="J992" s="4"/>
      <c r="K992" s="4"/>
    </row>
    <row r="993" spans="2:11">
      <c r="B993" s="6"/>
      <c r="C993" s="24"/>
      <c r="D993" s="5"/>
      <c r="E993" s="5"/>
      <c r="F993" s="4"/>
      <c r="G993" s="4"/>
      <c r="H993" s="4"/>
      <c r="I993" s="4"/>
      <c r="J993" s="4"/>
      <c r="K993" s="4"/>
    </row>
    <row r="994" spans="2:11">
      <c r="B994" s="6"/>
      <c r="C994" s="24"/>
      <c r="D994" s="5"/>
      <c r="E994" s="5"/>
      <c r="F994" s="4"/>
      <c r="G994" s="4"/>
      <c r="H994" s="4"/>
      <c r="I994" s="4"/>
      <c r="J994" s="4"/>
      <c r="K994" s="4"/>
    </row>
    <row r="995" spans="2:11">
      <c r="B995" s="6"/>
      <c r="C995" s="24"/>
      <c r="D995" s="5"/>
      <c r="E995" s="5"/>
      <c r="F995" s="4"/>
      <c r="G995" s="4"/>
      <c r="H995" s="4"/>
      <c r="I995" s="4"/>
      <c r="J995" s="4"/>
      <c r="K995" s="4"/>
    </row>
    <row r="996" spans="2:11">
      <c r="B996" s="6"/>
      <c r="C996" s="24"/>
      <c r="D996" s="5"/>
      <c r="E996" s="5"/>
      <c r="F996" s="4"/>
      <c r="G996" s="4"/>
      <c r="H996" s="4"/>
      <c r="I996" s="4"/>
      <c r="J996" s="4"/>
      <c r="K996" s="4"/>
    </row>
    <row r="997" spans="2:11">
      <c r="B997" s="6"/>
      <c r="C997" s="24"/>
      <c r="D997" s="5"/>
      <c r="E997" s="5"/>
      <c r="F997" s="4"/>
      <c r="G997" s="4"/>
      <c r="H997" s="4"/>
      <c r="I997" s="4"/>
      <c r="J997" s="4"/>
      <c r="K997" s="4"/>
    </row>
    <row r="998" spans="2:11">
      <c r="B998" s="6"/>
      <c r="C998" s="24"/>
      <c r="D998" s="5"/>
      <c r="E998" s="5"/>
      <c r="F998" s="4"/>
      <c r="G998" s="4"/>
      <c r="H998" s="4"/>
      <c r="I998" s="4"/>
      <c r="J998" s="4"/>
      <c r="K998" s="4"/>
    </row>
    <row r="999" spans="2:11">
      <c r="B999" s="6"/>
      <c r="C999" s="24"/>
      <c r="D999" s="5"/>
      <c r="E999" s="5"/>
      <c r="F999" s="4"/>
      <c r="G999" s="4"/>
      <c r="H999" s="4"/>
      <c r="I999" s="4"/>
      <c r="J999" s="4"/>
      <c r="K999" s="4"/>
    </row>
    <row r="1000" spans="2:11">
      <c r="B1000" s="6"/>
      <c r="C1000" s="24"/>
      <c r="D1000" s="5"/>
      <c r="E1000" s="5"/>
      <c r="F1000" s="4"/>
      <c r="G1000" s="4"/>
      <c r="H1000" s="4"/>
      <c r="I1000" s="4"/>
      <c r="J1000" s="4"/>
      <c r="K1000" s="4"/>
    </row>
    <row r="1001" spans="2:11">
      <c r="B1001" s="6"/>
      <c r="C1001" s="24"/>
      <c r="D1001" s="5"/>
      <c r="E1001" s="5"/>
      <c r="F1001" s="4"/>
      <c r="G1001" s="4"/>
      <c r="H1001" s="4"/>
      <c r="I1001" s="4"/>
      <c r="J1001" s="4"/>
      <c r="K1001" s="4"/>
    </row>
    <row r="1002" spans="2:11">
      <c r="B1002" s="6"/>
      <c r="C1002" s="24"/>
      <c r="D1002" s="5"/>
      <c r="E1002" s="5"/>
      <c r="F1002" s="4"/>
      <c r="G1002" s="4"/>
      <c r="H1002" s="4"/>
      <c r="I1002" s="4"/>
      <c r="J1002" s="4"/>
      <c r="K1002" s="4"/>
    </row>
    <row r="1003" spans="2:11">
      <c r="B1003" s="6"/>
      <c r="C1003" s="24"/>
      <c r="D1003" s="5"/>
      <c r="E1003" s="5"/>
      <c r="F1003" s="4"/>
      <c r="G1003" s="4"/>
      <c r="H1003" s="4"/>
      <c r="I1003" s="4"/>
      <c r="J1003" s="4"/>
      <c r="K1003" s="4"/>
    </row>
    <row r="1004" spans="2:11">
      <c r="B1004" s="6"/>
      <c r="C1004" s="24"/>
      <c r="D1004" s="5"/>
      <c r="E1004" s="5"/>
      <c r="F1004" s="4"/>
      <c r="G1004" s="4"/>
      <c r="H1004" s="4"/>
      <c r="I1004" s="4"/>
      <c r="J1004" s="4"/>
      <c r="K1004" s="4"/>
    </row>
    <row r="1005" spans="2:11">
      <c r="B1005" s="6"/>
      <c r="C1005" s="24"/>
      <c r="D1005" s="5"/>
      <c r="E1005" s="5"/>
      <c r="F1005" s="4"/>
      <c r="G1005" s="4"/>
      <c r="H1005" s="4"/>
      <c r="I1005" s="4"/>
      <c r="J1005" s="4"/>
      <c r="K1005" s="4"/>
    </row>
    <row r="1006" spans="2:11">
      <c r="B1006" s="6"/>
      <c r="C1006" s="24"/>
      <c r="D1006" s="5"/>
      <c r="E1006" s="5"/>
      <c r="F1006" s="4"/>
      <c r="G1006" s="4"/>
      <c r="H1006" s="4"/>
      <c r="I1006" s="4"/>
      <c r="J1006" s="4"/>
      <c r="K1006" s="4"/>
    </row>
    <row r="1007" spans="2:11">
      <c r="B1007" s="6"/>
      <c r="C1007" s="24"/>
      <c r="D1007" s="5"/>
      <c r="E1007" s="5"/>
      <c r="F1007" s="4"/>
      <c r="G1007" s="4"/>
      <c r="H1007" s="4"/>
      <c r="I1007" s="4"/>
      <c r="J1007" s="4"/>
      <c r="K1007" s="4"/>
    </row>
    <row r="1008" spans="2:11">
      <c r="B1008" s="6"/>
      <c r="C1008" s="24"/>
      <c r="D1008" s="5"/>
      <c r="E1008" s="5"/>
      <c r="F1008" s="4"/>
      <c r="G1008" s="4"/>
      <c r="H1008" s="4"/>
      <c r="I1008" s="4"/>
      <c r="J1008" s="4"/>
      <c r="K1008" s="4"/>
    </row>
    <row r="1009" spans="2:11">
      <c r="B1009" s="6"/>
      <c r="C1009" s="24"/>
      <c r="D1009" s="5"/>
      <c r="E1009" s="5"/>
      <c r="F1009" s="4"/>
      <c r="G1009" s="4"/>
      <c r="H1009" s="4"/>
      <c r="I1009" s="4"/>
      <c r="J1009" s="4"/>
      <c r="K1009" s="4"/>
    </row>
    <row r="1010" spans="2:11">
      <c r="B1010" s="6"/>
      <c r="C1010" s="24"/>
      <c r="D1010" s="5"/>
      <c r="E1010" s="5"/>
      <c r="F1010" s="4"/>
      <c r="G1010" s="4"/>
      <c r="H1010" s="4"/>
      <c r="I1010" s="4"/>
      <c r="J1010" s="4"/>
      <c r="K1010" s="4"/>
    </row>
    <row r="1011" spans="2:11">
      <c r="B1011" s="6"/>
      <c r="C1011" s="24"/>
      <c r="D1011" s="5"/>
      <c r="E1011" s="5"/>
      <c r="F1011" s="4"/>
      <c r="G1011" s="4"/>
      <c r="H1011" s="4"/>
      <c r="I1011" s="4"/>
      <c r="J1011" s="4"/>
      <c r="K1011" s="4"/>
    </row>
    <row r="1012" spans="2:11">
      <c r="B1012" s="6"/>
      <c r="C1012" s="24"/>
      <c r="D1012" s="5"/>
      <c r="E1012" s="5"/>
      <c r="F1012" s="4"/>
      <c r="G1012" s="4"/>
      <c r="H1012" s="4"/>
      <c r="I1012" s="4"/>
      <c r="J1012" s="4"/>
      <c r="K1012" s="4"/>
    </row>
    <row r="1013" spans="2:11">
      <c r="B1013" s="6"/>
      <c r="C1013" s="24"/>
      <c r="D1013" s="5"/>
      <c r="E1013" s="5"/>
      <c r="F1013" s="4"/>
      <c r="G1013" s="4"/>
      <c r="H1013" s="4"/>
      <c r="I1013" s="4"/>
      <c r="J1013" s="4"/>
      <c r="K1013" s="4"/>
    </row>
    <row r="1014" spans="2:11">
      <c r="B1014" s="6"/>
      <c r="C1014" s="24"/>
      <c r="D1014" s="5"/>
      <c r="E1014" s="5"/>
      <c r="F1014" s="4"/>
      <c r="G1014" s="4"/>
      <c r="H1014" s="4"/>
      <c r="I1014" s="4"/>
      <c r="J1014" s="4"/>
      <c r="K1014" s="4"/>
    </row>
    <row r="1015" spans="2:11">
      <c r="B1015" s="6"/>
      <c r="C1015" s="24"/>
      <c r="D1015" s="5"/>
      <c r="E1015" s="5"/>
      <c r="F1015" s="4"/>
      <c r="G1015" s="4"/>
      <c r="H1015" s="4"/>
      <c r="I1015" s="4"/>
      <c r="J1015" s="4"/>
      <c r="K1015" s="4"/>
    </row>
    <row r="1016" spans="2:11">
      <c r="B1016" s="6"/>
      <c r="C1016" s="24"/>
      <c r="D1016" s="5"/>
      <c r="E1016" s="5"/>
      <c r="F1016" s="4"/>
      <c r="G1016" s="4"/>
      <c r="H1016" s="4"/>
      <c r="I1016" s="4"/>
      <c r="J1016" s="4"/>
      <c r="K1016" s="4"/>
    </row>
    <row r="1017" spans="2:11">
      <c r="B1017" s="6"/>
      <c r="C1017" s="24"/>
      <c r="D1017" s="5"/>
      <c r="E1017" s="5"/>
      <c r="F1017" s="4"/>
      <c r="G1017" s="4"/>
      <c r="H1017" s="4"/>
      <c r="I1017" s="4"/>
      <c r="J1017" s="4"/>
      <c r="K1017" s="4"/>
    </row>
    <row r="1018" spans="2:11">
      <c r="B1018" s="6"/>
      <c r="C1018" s="24"/>
      <c r="D1018" s="5"/>
      <c r="E1018" s="5"/>
      <c r="F1018" s="4"/>
      <c r="G1018" s="4"/>
      <c r="H1018" s="4"/>
      <c r="I1018" s="4"/>
      <c r="J1018" s="4"/>
      <c r="K1018" s="4"/>
    </row>
    <row r="1019" spans="2:11">
      <c r="B1019" s="6"/>
      <c r="C1019" s="24"/>
      <c r="D1019" s="5"/>
      <c r="E1019" s="5"/>
      <c r="F1019" s="4"/>
      <c r="G1019" s="4"/>
      <c r="H1019" s="4"/>
      <c r="I1019" s="4"/>
      <c r="J1019" s="4"/>
      <c r="K1019" s="4"/>
    </row>
    <row r="1020" spans="2:11">
      <c r="B1020" s="6"/>
      <c r="C1020" s="24"/>
      <c r="D1020" s="5"/>
      <c r="E1020" s="5"/>
      <c r="F1020" s="4"/>
      <c r="G1020" s="4"/>
      <c r="H1020" s="4"/>
      <c r="I1020" s="4"/>
      <c r="J1020" s="4"/>
      <c r="K1020" s="4"/>
    </row>
    <row r="1021" spans="2:11">
      <c r="B1021" s="6"/>
      <c r="C1021" s="24"/>
      <c r="D1021" s="5"/>
      <c r="E1021" s="5"/>
      <c r="F1021" s="4"/>
      <c r="G1021" s="4"/>
      <c r="H1021" s="4"/>
      <c r="I1021" s="4"/>
      <c r="J1021" s="4"/>
      <c r="K1021" s="4"/>
    </row>
    <row r="1022" spans="2:11">
      <c r="B1022" s="6"/>
      <c r="C1022" s="24"/>
      <c r="D1022" s="5"/>
      <c r="E1022" s="5"/>
      <c r="F1022" s="4"/>
      <c r="G1022" s="4"/>
      <c r="H1022" s="4"/>
      <c r="I1022" s="4"/>
      <c r="J1022" s="4"/>
      <c r="K1022" s="4"/>
    </row>
    <row r="1023" spans="2:11">
      <c r="B1023" s="6"/>
      <c r="C1023" s="24"/>
      <c r="D1023" s="5"/>
      <c r="E1023" s="5"/>
      <c r="F1023" s="4"/>
      <c r="G1023" s="4"/>
      <c r="H1023" s="4"/>
      <c r="I1023" s="4"/>
      <c r="J1023" s="4"/>
      <c r="K1023" s="4"/>
    </row>
    <row r="1024" spans="2:11">
      <c r="B1024" s="6"/>
      <c r="C1024" s="24"/>
      <c r="D1024" s="5"/>
      <c r="E1024" s="5"/>
      <c r="F1024" s="4"/>
      <c r="G1024" s="4"/>
      <c r="H1024" s="4"/>
      <c r="I1024" s="4"/>
      <c r="J1024" s="4"/>
      <c r="K1024" s="4"/>
    </row>
    <row r="1025" spans="2:11">
      <c r="B1025" s="6"/>
      <c r="C1025" s="24"/>
      <c r="D1025" s="5"/>
      <c r="E1025" s="5"/>
      <c r="F1025" s="4"/>
      <c r="G1025" s="4"/>
      <c r="H1025" s="4"/>
      <c r="I1025" s="4"/>
      <c r="J1025" s="4"/>
      <c r="K1025" s="4"/>
    </row>
    <row r="1026" spans="2:11">
      <c r="B1026" s="6"/>
      <c r="C1026" s="24"/>
      <c r="D1026" s="5"/>
      <c r="E1026" s="5"/>
      <c r="F1026" s="4"/>
      <c r="G1026" s="4"/>
      <c r="H1026" s="4"/>
      <c r="I1026" s="4"/>
      <c r="J1026" s="4"/>
      <c r="K1026" s="4"/>
    </row>
    <row r="1027" spans="2:11">
      <c r="B1027" s="6"/>
      <c r="C1027" s="24"/>
      <c r="D1027" s="5"/>
      <c r="E1027" s="5"/>
      <c r="F1027" s="4"/>
      <c r="G1027" s="4"/>
      <c r="H1027" s="4"/>
      <c r="I1027" s="4"/>
      <c r="J1027" s="4"/>
      <c r="K1027" s="4"/>
    </row>
    <row r="1028" spans="2:11">
      <c r="B1028" s="6"/>
      <c r="C1028" s="24"/>
      <c r="D1028" s="5"/>
      <c r="E1028" s="5"/>
      <c r="F1028" s="4"/>
      <c r="G1028" s="4"/>
      <c r="H1028" s="4"/>
      <c r="I1028" s="4"/>
      <c r="J1028" s="4"/>
      <c r="K1028" s="4"/>
    </row>
    <row r="1029" spans="2:11">
      <c r="B1029" s="6"/>
      <c r="C1029" s="24"/>
      <c r="D1029" s="5"/>
      <c r="E1029" s="5"/>
      <c r="F1029" s="4"/>
      <c r="G1029" s="4"/>
      <c r="H1029" s="4"/>
      <c r="I1029" s="4"/>
      <c r="J1029" s="4"/>
      <c r="K1029" s="4"/>
    </row>
    <row r="1030" spans="2:11">
      <c r="B1030" s="6"/>
      <c r="C1030" s="24"/>
      <c r="D1030" s="5"/>
      <c r="E1030" s="5"/>
      <c r="F1030" s="4"/>
      <c r="G1030" s="4"/>
      <c r="H1030" s="4"/>
      <c r="I1030" s="4"/>
      <c r="J1030" s="4"/>
      <c r="K1030" s="4"/>
    </row>
    <row r="1031" spans="2:11">
      <c r="B1031" s="6"/>
      <c r="C1031" s="24"/>
      <c r="D1031" s="5"/>
      <c r="E1031" s="5"/>
      <c r="F1031" s="4"/>
      <c r="G1031" s="4"/>
      <c r="H1031" s="4"/>
      <c r="I1031" s="4"/>
      <c r="J1031" s="4"/>
      <c r="K1031" s="4"/>
    </row>
    <row r="1032" spans="2:11">
      <c r="B1032" s="6"/>
      <c r="C1032" s="24"/>
      <c r="D1032" s="5"/>
      <c r="E1032" s="5"/>
      <c r="F1032" s="4"/>
      <c r="G1032" s="4"/>
      <c r="H1032" s="4"/>
      <c r="I1032" s="4"/>
      <c r="J1032" s="4"/>
      <c r="K1032" s="4"/>
    </row>
    <row r="1033" spans="2:11">
      <c r="B1033" s="6"/>
      <c r="C1033" s="24"/>
      <c r="D1033" s="5"/>
      <c r="E1033" s="5"/>
      <c r="F1033" s="4"/>
      <c r="G1033" s="4"/>
      <c r="H1033" s="4"/>
      <c r="I1033" s="4"/>
      <c r="J1033" s="4"/>
      <c r="K1033" s="4"/>
    </row>
    <row r="1034" spans="2:11">
      <c r="B1034" s="6"/>
      <c r="C1034" s="24"/>
      <c r="D1034" s="5"/>
      <c r="E1034" s="5"/>
      <c r="F1034" s="4"/>
      <c r="G1034" s="4"/>
      <c r="H1034" s="4"/>
      <c r="I1034" s="4"/>
      <c r="J1034" s="4"/>
      <c r="K1034" s="4"/>
    </row>
    <row r="1035" spans="2:11">
      <c r="B1035" s="6"/>
      <c r="C1035" s="24"/>
      <c r="D1035" s="5"/>
      <c r="E1035" s="5"/>
      <c r="F1035" s="4"/>
      <c r="G1035" s="4"/>
      <c r="H1035" s="4"/>
      <c r="I1035" s="4"/>
      <c r="J1035" s="4"/>
      <c r="K1035" s="4"/>
    </row>
    <row r="1036" spans="2:11">
      <c r="B1036" s="6"/>
      <c r="C1036" s="24"/>
      <c r="D1036" s="5"/>
      <c r="E1036" s="5"/>
      <c r="F1036" s="4"/>
      <c r="G1036" s="4"/>
      <c r="H1036" s="4"/>
      <c r="I1036" s="4"/>
      <c r="J1036" s="4"/>
      <c r="K1036" s="4"/>
    </row>
    <row r="1037" spans="2:11">
      <c r="B1037" s="6"/>
      <c r="C1037" s="24"/>
      <c r="D1037" s="5"/>
      <c r="E1037" s="5"/>
      <c r="F1037" s="4"/>
      <c r="G1037" s="4"/>
      <c r="H1037" s="4"/>
      <c r="I1037" s="4"/>
      <c r="J1037" s="4"/>
      <c r="K1037" s="4"/>
    </row>
    <row r="1038" spans="2:11">
      <c r="B1038" s="6"/>
      <c r="C1038" s="24"/>
      <c r="D1038" s="5"/>
      <c r="E1038" s="5"/>
      <c r="F1038" s="4"/>
      <c r="G1038" s="4"/>
      <c r="H1038" s="4"/>
      <c r="I1038" s="4"/>
      <c r="J1038" s="4"/>
      <c r="K1038" s="4"/>
    </row>
    <row r="1039" spans="2:11">
      <c r="B1039" s="6"/>
      <c r="C1039" s="24"/>
      <c r="D1039" s="5"/>
      <c r="E1039" s="5"/>
      <c r="F1039" s="4"/>
      <c r="G1039" s="4"/>
      <c r="H1039" s="4"/>
      <c r="I1039" s="4"/>
      <c r="J1039" s="4"/>
      <c r="K1039" s="4"/>
    </row>
    <row r="1040" spans="2:11">
      <c r="B1040" s="6"/>
      <c r="C1040" s="24"/>
      <c r="D1040" s="5"/>
      <c r="E1040" s="5"/>
      <c r="F1040" s="4"/>
      <c r="G1040" s="4"/>
      <c r="H1040" s="4"/>
      <c r="I1040" s="4"/>
      <c r="J1040" s="4"/>
      <c r="K1040" s="4"/>
    </row>
    <row r="1041" spans="2:11">
      <c r="B1041" s="6"/>
      <c r="C1041" s="24"/>
      <c r="D1041" s="5"/>
      <c r="E1041" s="5"/>
      <c r="F1041" s="4"/>
      <c r="G1041" s="4"/>
      <c r="H1041" s="4"/>
      <c r="I1041" s="4"/>
      <c r="J1041" s="4"/>
      <c r="K1041" s="4"/>
    </row>
    <row r="1042" spans="2:11">
      <c r="B1042" s="6"/>
      <c r="C1042" s="24"/>
      <c r="D1042" s="5"/>
      <c r="E1042" s="5"/>
      <c r="F1042" s="4"/>
      <c r="G1042" s="4"/>
      <c r="H1042" s="4"/>
      <c r="I1042" s="4"/>
      <c r="J1042" s="4"/>
      <c r="K1042" s="4"/>
    </row>
    <row r="1043" spans="2:11">
      <c r="B1043" s="6"/>
      <c r="C1043" s="24"/>
      <c r="D1043" s="5"/>
      <c r="E1043" s="5"/>
      <c r="F1043" s="4"/>
      <c r="G1043" s="4"/>
      <c r="H1043" s="4"/>
      <c r="I1043" s="4"/>
      <c r="J1043" s="4"/>
      <c r="K1043" s="4"/>
    </row>
    <row r="1044" spans="2:11">
      <c r="B1044" s="6"/>
      <c r="C1044" s="24"/>
      <c r="D1044" s="5"/>
      <c r="E1044" s="5"/>
      <c r="F1044" s="4"/>
      <c r="G1044" s="4"/>
      <c r="H1044" s="4"/>
      <c r="I1044" s="4"/>
      <c r="J1044" s="4"/>
      <c r="K1044" s="4"/>
    </row>
    <row r="1045" spans="2:11">
      <c r="B1045" s="6"/>
      <c r="C1045" s="24"/>
      <c r="D1045" s="5"/>
      <c r="E1045" s="5"/>
      <c r="F1045" s="4"/>
      <c r="G1045" s="4"/>
      <c r="H1045" s="4"/>
      <c r="I1045" s="4"/>
      <c r="J1045" s="4"/>
      <c r="K1045" s="4"/>
    </row>
    <row r="1046" spans="2:11">
      <c r="B1046" s="6"/>
      <c r="C1046" s="24"/>
      <c r="D1046" s="5"/>
      <c r="E1046" s="5"/>
      <c r="F1046" s="4"/>
      <c r="G1046" s="4"/>
      <c r="H1046" s="4"/>
      <c r="I1046" s="4"/>
      <c r="J1046" s="4"/>
      <c r="K1046" s="4"/>
    </row>
    <row r="1047" spans="2:11">
      <c r="B1047" s="6"/>
      <c r="C1047" s="24"/>
      <c r="D1047" s="5"/>
      <c r="E1047" s="5"/>
      <c r="F1047" s="4"/>
      <c r="G1047" s="4"/>
      <c r="H1047" s="4"/>
      <c r="I1047" s="4"/>
      <c r="J1047" s="4"/>
      <c r="K1047" s="4"/>
    </row>
    <row r="1048" spans="2:11">
      <c r="B1048" s="6"/>
      <c r="C1048" s="24"/>
      <c r="D1048" s="5"/>
      <c r="E1048" s="5"/>
      <c r="F1048" s="4"/>
      <c r="G1048" s="4"/>
      <c r="H1048" s="4"/>
      <c r="I1048" s="4"/>
      <c r="J1048" s="4"/>
      <c r="K1048" s="4"/>
    </row>
    <row r="1049" spans="2:11">
      <c r="B1049" s="6"/>
      <c r="C1049" s="24"/>
      <c r="D1049" s="5"/>
      <c r="E1049" s="5"/>
      <c r="F1049" s="4"/>
      <c r="G1049" s="4"/>
      <c r="H1049" s="4"/>
      <c r="I1049" s="4"/>
      <c r="J1049" s="4"/>
      <c r="K1049" s="4"/>
    </row>
    <row r="1050" spans="2:11">
      <c r="B1050" s="6"/>
      <c r="C1050" s="24"/>
      <c r="D1050" s="5"/>
      <c r="E1050" s="5"/>
      <c r="F1050" s="4"/>
      <c r="G1050" s="4"/>
      <c r="H1050" s="4"/>
      <c r="I1050" s="4"/>
      <c r="J1050" s="4"/>
      <c r="K1050" s="4"/>
    </row>
    <row r="1051" spans="2:11">
      <c r="B1051" s="6"/>
      <c r="C1051" s="24"/>
      <c r="D1051" s="5"/>
      <c r="E1051" s="5"/>
      <c r="F1051" s="4"/>
      <c r="G1051" s="4"/>
      <c r="H1051" s="4"/>
      <c r="I1051" s="4"/>
      <c r="J1051" s="4"/>
      <c r="K1051" s="4"/>
    </row>
    <row r="1052" spans="2:11">
      <c r="B1052" s="6"/>
      <c r="C1052" s="24"/>
      <c r="D1052" s="5"/>
      <c r="E1052" s="5"/>
      <c r="F1052" s="4"/>
      <c r="G1052" s="4"/>
      <c r="H1052" s="4"/>
      <c r="I1052" s="4"/>
      <c r="J1052" s="4"/>
      <c r="K1052" s="4"/>
    </row>
    <row r="1053" spans="2:11">
      <c r="B1053" s="6"/>
      <c r="C1053" s="24"/>
      <c r="D1053" s="5"/>
      <c r="E1053" s="5"/>
      <c r="F1053" s="4"/>
      <c r="G1053" s="4"/>
      <c r="H1053" s="4"/>
      <c r="I1053" s="4"/>
      <c r="J1053" s="4"/>
      <c r="K1053" s="4"/>
    </row>
    <row r="1054" spans="2:11">
      <c r="B1054" s="6"/>
      <c r="C1054" s="24"/>
      <c r="D1054" s="5"/>
      <c r="E1054" s="5"/>
      <c r="F1054" s="4"/>
      <c r="G1054" s="4"/>
      <c r="H1054" s="4"/>
      <c r="I1054" s="4"/>
      <c r="J1054" s="4"/>
      <c r="K1054" s="4"/>
    </row>
    <row r="1055" spans="2:11">
      <c r="B1055" s="6"/>
      <c r="C1055" s="24"/>
      <c r="D1055" s="5"/>
      <c r="E1055" s="5"/>
      <c r="F1055" s="4"/>
      <c r="G1055" s="4"/>
      <c r="H1055" s="4"/>
      <c r="I1055" s="4"/>
      <c r="J1055" s="4"/>
      <c r="K1055" s="4"/>
    </row>
    <row r="1056" spans="2:11">
      <c r="B1056" s="6"/>
      <c r="C1056" s="24"/>
      <c r="D1056" s="5"/>
      <c r="E1056" s="5"/>
      <c r="F1056" s="4"/>
      <c r="G1056" s="4"/>
      <c r="H1056" s="4"/>
      <c r="I1056" s="4"/>
      <c r="J1056" s="4"/>
      <c r="K1056" s="4"/>
    </row>
    <row r="1057" spans="2:11">
      <c r="B1057" s="6"/>
      <c r="C1057" s="24"/>
      <c r="D1057" s="5"/>
      <c r="E1057" s="5"/>
      <c r="F1057" s="4"/>
      <c r="G1057" s="4"/>
      <c r="H1057" s="4"/>
      <c r="I1057" s="4"/>
      <c r="J1057" s="4"/>
      <c r="K1057" s="4"/>
    </row>
    <row r="1058" spans="2:11">
      <c r="B1058" s="6"/>
      <c r="C1058" s="24"/>
      <c r="D1058" s="5"/>
      <c r="E1058" s="5"/>
      <c r="F1058" s="4"/>
      <c r="G1058" s="4"/>
      <c r="H1058" s="4"/>
      <c r="I1058" s="4"/>
      <c r="J1058" s="4"/>
      <c r="K1058" s="4"/>
    </row>
    <row r="1059" spans="2:11">
      <c r="B1059" s="6"/>
      <c r="C1059" s="24"/>
      <c r="D1059" s="5"/>
      <c r="E1059" s="5"/>
      <c r="F1059" s="4"/>
      <c r="G1059" s="4"/>
      <c r="H1059" s="4"/>
      <c r="I1059" s="4"/>
      <c r="J1059" s="4"/>
      <c r="K1059" s="4"/>
    </row>
    <row r="1060" spans="2:11">
      <c r="B1060" s="6"/>
      <c r="C1060" s="24"/>
      <c r="D1060" s="5"/>
      <c r="E1060" s="5"/>
      <c r="F1060" s="4"/>
      <c r="G1060" s="4"/>
      <c r="H1060" s="4"/>
      <c r="I1060" s="4"/>
      <c r="J1060" s="4"/>
      <c r="K1060" s="4"/>
    </row>
    <row r="1061" spans="2:11">
      <c r="B1061" s="6"/>
      <c r="C1061" s="24"/>
      <c r="D1061" s="5"/>
      <c r="E1061" s="5"/>
      <c r="F1061" s="4"/>
      <c r="G1061" s="4"/>
      <c r="H1061" s="4"/>
      <c r="I1061" s="4"/>
      <c r="J1061" s="4"/>
      <c r="K1061" s="4"/>
    </row>
    <row r="1062" spans="2:11">
      <c r="B1062" s="6"/>
      <c r="C1062" s="24"/>
      <c r="D1062" s="5"/>
      <c r="E1062" s="5"/>
      <c r="F1062" s="4"/>
      <c r="G1062" s="4"/>
      <c r="H1062" s="4"/>
      <c r="I1062" s="4"/>
      <c r="J1062" s="4"/>
      <c r="K1062" s="4"/>
    </row>
    <row r="1063" spans="2:11">
      <c r="B1063" s="6"/>
      <c r="C1063" s="24"/>
      <c r="D1063" s="5"/>
      <c r="E1063" s="5"/>
      <c r="F1063" s="4"/>
      <c r="G1063" s="4"/>
      <c r="H1063" s="4"/>
      <c r="I1063" s="4"/>
      <c r="J1063" s="4"/>
      <c r="K1063" s="4"/>
    </row>
    <row r="1064" spans="2:11">
      <c r="B1064" s="6"/>
      <c r="C1064" s="24"/>
      <c r="D1064" s="5"/>
      <c r="E1064" s="5"/>
      <c r="F1064" s="4"/>
      <c r="G1064" s="4"/>
      <c r="H1064" s="4"/>
      <c r="I1064" s="4"/>
      <c r="J1064" s="4"/>
      <c r="K1064" s="4"/>
    </row>
    <row r="1065" spans="2:11">
      <c r="B1065" s="6"/>
      <c r="C1065" s="24"/>
      <c r="D1065" s="5"/>
      <c r="E1065" s="5"/>
      <c r="F1065" s="4"/>
      <c r="G1065" s="4"/>
      <c r="H1065" s="4"/>
      <c r="I1065" s="4"/>
      <c r="J1065" s="4"/>
      <c r="K1065" s="4"/>
    </row>
    <row r="1066" spans="2:11">
      <c r="B1066" s="6"/>
      <c r="C1066" s="24"/>
      <c r="D1066" s="5"/>
      <c r="E1066" s="5"/>
      <c r="F1066" s="4"/>
      <c r="G1066" s="4"/>
      <c r="H1066" s="4"/>
      <c r="I1066" s="4"/>
      <c r="J1066" s="4"/>
      <c r="K1066" s="4"/>
    </row>
    <row r="1067" spans="2:11">
      <c r="B1067" s="6"/>
      <c r="C1067" s="24"/>
      <c r="D1067" s="5"/>
      <c r="E1067" s="5"/>
      <c r="F1067" s="4"/>
      <c r="G1067" s="4"/>
      <c r="H1067" s="4"/>
      <c r="I1067" s="4"/>
      <c r="J1067" s="4"/>
      <c r="K1067" s="4"/>
    </row>
    <row r="1068" spans="2:11">
      <c r="B1068" s="6"/>
      <c r="C1068" s="24"/>
      <c r="D1068" s="5"/>
      <c r="E1068" s="5"/>
      <c r="F1068" s="4"/>
      <c r="G1068" s="4"/>
      <c r="H1068" s="4"/>
      <c r="I1068" s="4"/>
      <c r="J1068" s="4"/>
      <c r="K1068" s="4"/>
    </row>
    <row r="1069" spans="2:11">
      <c r="B1069" s="6"/>
      <c r="C1069" s="24"/>
      <c r="D1069" s="5"/>
      <c r="E1069" s="5"/>
      <c r="F1069" s="4"/>
      <c r="G1069" s="4"/>
      <c r="H1069" s="4"/>
      <c r="I1069" s="4"/>
      <c r="J1069" s="4"/>
      <c r="K1069" s="4"/>
    </row>
    <row r="1070" spans="2:11">
      <c r="B1070" s="6"/>
      <c r="C1070" s="24"/>
      <c r="D1070" s="5"/>
      <c r="E1070" s="5"/>
      <c r="F1070" s="4"/>
      <c r="G1070" s="4"/>
      <c r="H1070" s="4"/>
      <c r="I1070" s="4"/>
      <c r="J1070" s="4"/>
      <c r="K1070" s="4"/>
    </row>
    <row r="1071" spans="2:11">
      <c r="B1071" s="6"/>
      <c r="C1071" s="24"/>
      <c r="D1071" s="5"/>
      <c r="E1071" s="5"/>
      <c r="F1071" s="4"/>
      <c r="G1071" s="4"/>
      <c r="H1071" s="4"/>
      <c r="I1071" s="4"/>
      <c r="J1071" s="4"/>
      <c r="K1071" s="4"/>
    </row>
    <row r="1072" spans="2:11">
      <c r="B1072" s="6"/>
      <c r="C1072" s="24"/>
      <c r="D1072" s="5"/>
      <c r="E1072" s="5"/>
      <c r="F1072" s="4"/>
      <c r="G1072" s="4"/>
      <c r="H1072" s="4"/>
      <c r="I1072" s="4"/>
      <c r="J1072" s="4"/>
      <c r="K1072" s="4"/>
    </row>
    <row r="1073" spans="2:11">
      <c r="B1073" s="6"/>
      <c r="C1073" s="24"/>
      <c r="D1073" s="5"/>
      <c r="E1073" s="5"/>
      <c r="F1073" s="4"/>
      <c r="G1073" s="4"/>
      <c r="H1073" s="4"/>
      <c r="I1073" s="4"/>
      <c r="J1073" s="4"/>
      <c r="K1073" s="4"/>
    </row>
    <row r="1074" spans="2:11">
      <c r="B1074" s="6"/>
      <c r="C1074" s="24"/>
      <c r="D1074" s="5"/>
      <c r="E1074" s="5"/>
      <c r="F1074" s="4"/>
      <c r="G1074" s="4"/>
      <c r="H1074" s="4"/>
      <c r="I1074" s="4"/>
      <c r="J1074" s="4"/>
      <c r="K1074" s="4"/>
    </row>
    <row r="1075" spans="2:11">
      <c r="B1075" s="6"/>
      <c r="C1075" s="24"/>
      <c r="D1075" s="5"/>
      <c r="E1075" s="5"/>
      <c r="F1075" s="4"/>
      <c r="G1075" s="4"/>
      <c r="H1075" s="4"/>
      <c r="I1075" s="4"/>
      <c r="J1075" s="4"/>
      <c r="K1075" s="4"/>
    </row>
    <row r="1076" spans="2:11">
      <c r="B1076" s="6"/>
      <c r="C1076" s="24"/>
      <c r="D1076" s="5"/>
      <c r="E1076" s="5"/>
      <c r="F1076" s="4"/>
      <c r="G1076" s="4"/>
      <c r="H1076" s="4"/>
      <c r="I1076" s="4"/>
      <c r="J1076" s="4"/>
      <c r="K1076" s="4"/>
    </row>
    <row r="1077" spans="2:11">
      <c r="B1077" s="6"/>
      <c r="C1077" s="24"/>
      <c r="D1077" s="5"/>
      <c r="E1077" s="5"/>
      <c r="F1077" s="4"/>
      <c r="G1077" s="4"/>
      <c r="H1077" s="4"/>
      <c r="I1077" s="4"/>
      <c r="J1077" s="4"/>
      <c r="K1077" s="4"/>
    </row>
    <row r="1078" spans="2:11">
      <c r="B1078" s="6"/>
      <c r="C1078" s="24"/>
      <c r="D1078" s="5"/>
      <c r="E1078" s="5"/>
      <c r="F1078" s="4"/>
      <c r="G1078" s="4"/>
      <c r="H1078" s="4"/>
      <c r="I1078" s="4"/>
      <c r="J1078" s="4"/>
      <c r="K1078" s="4"/>
    </row>
    <row r="1079" spans="2:11">
      <c r="B1079" s="6"/>
      <c r="C1079" s="24"/>
      <c r="D1079" s="5"/>
      <c r="E1079" s="5"/>
      <c r="F1079" s="4"/>
      <c r="G1079" s="4"/>
      <c r="H1079" s="4"/>
      <c r="I1079" s="4"/>
      <c r="J1079" s="4"/>
      <c r="K1079" s="4"/>
    </row>
    <row r="1080" spans="2:11">
      <c r="B1080" s="6"/>
      <c r="C1080" s="24"/>
      <c r="D1080" s="5"/>
      <c r="E1080" s="5"/>
      <c r="F1080" s="4"/>
      <c r="G1080" s="4"/>
      <c r="H1080" s="4"/>
      <c r="I1080" s="4"/>
      <c r="J1080" s="4"/>
      <c r="K1080" s="4"/>
    </row>
    <row r="1081" spans="2:11">
      <c r="B1081" s="6"/>
      <c r="C1081" s="24"/>
      <c r="D1081" s="5"/>
      <c r="E1081" s="5"/>
      <c r="F1081" s="4"/>
      <c r="G1081" s="4"/>
      <c r="H1081" s="4"/>
      <c r="I1081" s="4"/>
      <c r="J1081" s="4"/>
      <c r="K1081" s="4"/>
    </row>
    <row r="1082" spans="2:11">
      <c r="B1082" s="6"/>
      <c r="C1082" s="24"/>
      <c r="D1082" s="5"/>
      <c r="E1082" s="5"/>
      <c r="F1082" s="4"/>
      <c r="G1082" s="4"/>
      <c r="H1082" s="4"/>
      <c r="I1082" s="4"/>
      <c r="J1082" s="4"/>
      <c r="K1082" s="4"/>
    </row>
    <row r="1083" spans="2:11">
      <c r="B1083" s="6"/>
      <c r="C1083" s="24"/>
      <c r="D1083" s="5"/>
      <c r="E1083" s="5"/>
      <c r="F1083" s="4"/>
      <c r="G1083" s="4"/>
      <c r="H1083" s="4"/>
      <c r="I1083" s="4"/>
      <c r="J1083" s="4"/>
      <c r="K1083" s="4"/>
    </row>
    <row r="1084" spans="2:11">
      <c r="B1084" s="6"/>
      <c r="C1084" s="24"/>
      <c r="D1084" s="5"/>
      <c r="E1084" s="5"/>
      <c r="F1084" s="4"/>
      <c r="G1084" s="4"/>
      <c r="H1084" s="4"/>
      <c r="I1084" s="4"/>
      <c r="J1084" s="4"/>
      <c r="K1084" s="4"/>
    </row>
    <row r="1085" spans="2:11">
      <c r="B1085" s="6"/>
      <c r="C1085" s="24"/>
      <c r="D1085" s="5"/>
      <c r="E1085" s="5"/>
      <c r="F1085" s="4"/>
      <c r="G1085" s="4"/>
      <c r="H1085" s="4"/>
      <c r="I1085" s="4"/>
      <c r="J1085" s="4"/>
      <c r="K1085" s="4"/>
    </row>
    <row r="1086" spans="2:11">
      <c r="B1086" s="6"/>
      <c r="C1086" s="24"/>
      <c r="D1086" s="5"/>
      <c r="E1086" s="5"/>
      <c r="F1086" s="4"/>
      <c r="G1086" s="4"/>
      <c r="H1086" s="4"/>
      <c r="I1086" s="4"/>
      <c r="J1086" s="4"/>
      <c r="K1086" s="4"/>
    </row>
    <row r="1087" spans="2:11">
      <c r="B1087" s="6"/>
      <c r="C1087" s="24"/>
      <c r="D1087" s="5"/>
      <c r="E1087" s="5"/>
      <c r="F1087" s="4"/>
      <c r="G1087" s="4"/>
      <c r="H1087" s="4"/>
      <c r="I1087" s="4"/>
      <c r="J1087" s="4"/>
      <c r="K1087" s="4"/>
    </row>
    <row r="1088" spans="2:11">
      <c r="B1088" s="6"/>
      <c r="C1088" s="24"/>
      <c r="D1088" s="5"/>
      <c r="E1088" s="5"/>
      <c r="F1088" s="4"/>
      <c r="G1088" s="4"/>
      <c r="H1088" s="4"/>
      <c r="I1088" s="4"/>
      <c r="J1088" s="4"/>
      <c r="K1088" s="4"/>
    </row>
    <row r="1089" spans="2:11">
      <c r="B1089" s="6"/>
      <c r="C1089" s="24"/>
      <c r="D1089" s="5"/>
      <c r="E1089" s="5"/>
      <c r="F1089" s="4"/>
      <c r="G1089" s="4"/>
      <c r="H1089" s="4"/>
      <c r="I1089" s="4"/>
      <c r="J1089" s="4"/>
      <c r="K1089" s="4"/>
    </row>
    <row r="1090" spans="2:11">
      <c r="B1090" s="6"/>
      <c r="C1090" s="24"/>
      <c r="D1090" s="5"/>
      <c r="E1090" s="5"/>
      <c r="F1090" s="4"/>
      <c r="G1090" s="4"/>
      <c r="H1090" s="4"/>
      <c r="I1090" s="4"/>
      <c r="J1090" s="4"/>
      <c r="K1090" s="4"/>
    </row>
    <row r="1091" spans="2:11">
      <c r="B1091" s="6"/>
      <c r="C1091" s="24"/>
      <c r="D1091" s="5"/>
      <c r="E1091" s="5"/>
      <c r="F1091" s="4"/>
      <c r="G1091" s="4"/>
      <c r="H1091" s="4"/>
      <c r="I1091" s="4"/>
      <c r="J1091" s="4"/>
      <c r="K1091" s="4"/>
    </row>
    <row r="1092" spans="2:11">
      <c r="B1092" s="6"/>
      <c r="C1092" s="24"/>
      <c r="D1092" s="5"/>
      <c r="E1092" s="5"/>
      <c r="F1092" s="4"/>
      <c r="G1092" s="4"/>
      <c r="H1092" s="4"/>
      <c r="I1092" s="4"/>
      <c r="J1092" s="4"/>
      <c r="K1092" s="4"/>
    </row>
    <row r="1093" spans="2:11">
      <c r="B1093" s="6"/>
      <c r="C1093" s="24"/>
      <c r="D1093" s="5"/>
      <c r="E1093" s="5"/>
      <c r="F1093" s="4"/>
      <c r="G1093" s="4"/>
      <c r="H1093" s="4"/>
      <c r="I1093" s="4"/>
      <c r="J1093" s="4"/>
      <c r="K1093" s="4"/>
    </row>
    <row r="1094" spans="2:11">
      <c r="B1094" s="6"/>
      <c r="C1094" s="24"/>
      <c r="D1094" s="5"/>
      <c r="E1094" s="5"/>
      <c r="F1094" s="4"/>
      <c r="G1094" s="4"/>
      <c r="H1094" s="4"/>
      <c r="I1094" s="4"/>
      <c r="J1094" s="4"/>
      <c r="K1094" s="4"/>
    </row>
    <row r="1095" spans="2:11">
      <c r="B1095" s="6"/>
      <c r="C1095" s="24"/>
      <c r="D1095" s="5"/>
      <c r="E1095" s="5"/>
      <c r="F1095" s="4"/>
      <c r="G1095" s="4"/>
      <c r="H1095" s="4"/>
      <c r="I1095" s="4"/>
      <c r="J1095" s="4"/>
      <c r="K1095" s="4"/>
    </row>
    <row r="1096" spans="2:11">
      <c r="B1096" s="6"/>
      <c r="C1096" s="24"/>
      <c r="D1096" s="5"/>
      <c r="E1096" s="5"/>
      <c r="F1096" s="4"/>
      <c r="G1096" s="4"/>
      <c r="H1096" s="4"/>
      <c r="I1096" s="4"/>
      <c r="J1096" s="4"/>
      <c r="K1096" s="4"/>
    </row>
    <row r="1097" spans="2:11">
      <c r="B1097" s="6"/>
      <c r="C1097" s="24"/>
      <c r="D1097" s="5"/>
      <c r="E1097" s="5"/>
      <c r="F1097" s="4"/>
      <c r="G1097" s="4"/>
      <c r="H1097" s="4"/>
      <c r="I1097" s="4"/>
      <c r="J1097" s="4"/>
      <c r="K1097" s="4"/>
    </row>
    <row r="1098" spans="2:11">
      <c r="B1098" s="6"/>
      <c r="C1098" s="24"/>
      <c r="D1098" s="5"/>
      <c r="E1098" s="5"/>
      <c r="F1098" s="4"/>
      <c r="G1098" s="4"/>
      <c r="H1098" s="4"/>
      <c r="I1098" s="4"/>
      <c r="J1098" s="4"/>
      <c r="K1098" s="4"/>
    </row>
    <row r="1099" spans="2:11">
      <c r="B1099" s="6"/>
      <c r="C1099" s="24"/>
      <c r="D1099" s="5"/>
      <c r="E1099" s="5"/>
      <c r="F1099" s="4"/>
      <c r="G1099" s="4"/>
      <c r="H1099" s="4"/>
      <c r="I1099" s="4"/>
      <c r="J1099" s="4"/>
      <c r="K1099" s="4"/>
    </row>
    <row r="1100" spans="2:11">
      <c r="B1100" s="6"/>
      <c r="C1100" s="24"/>
      <c r="D1100" s="5"/>
      <c r="E1100" s="5"/>
      <c r="F1100" s="4"/>
      <c r="G1100" s="4"/>
      <c r="H1100" s="4"/>
      <c r="I1100" s="4"/>
      <c r="J1100" s="4"/>
      <c r="K1100" s="4"/>
    </row>
    <row r="1101" spans="2:11">
      <c r="B1101" s="6"/>
      <c r="C1101" s="24"/>
      <c r="D1101" s="5"/>
      <c r="E1101" s="5"/>
      <c r="F1101" s="4"/>
      <c r="G1101" s="4"/>
      <c r="H1101" s="4"/>
      <c r="I1101" s="4"/>
      <c r="J1101" s="4"/>
      <c r="K1101" s="4"/>
    </row>
    <row r="1102" spans="2:11">
      <c r="B1102" s="6"/>
      <c r="C1102" s="24"/>
      <c r="D1102" s="5"/>
      <c r="E1102" s="5"/>
      <c r="F1102" s="4"/>
      <c r="G1102" s="4"/>
      <c r="H1102" s="4"/>
      <c r="I1102" s="4"/>
      <c r="J1102" s="4"/>
      <c r="K1102" s="4"/>
    </row>
    <row r="1103" spans="2:11">
      <c r="B1103" s="6"/>
      <c r="C1103" s="24"/>
      <c r="D1103" s="5"/>
      <c r="E1103" s="5"/>
      <c r="F1103" s="4"/>
      <c r="G1103" s="4"/>
      <c r="H1103" s="4"/>
      <c r="I1103" s="4"/>
      <c r="J1103" s="4"/>
      <c r="K1103" s="4"/>
    </row>
    <row r="1104" spans="2:11">
      <c r="B1104" s="6"/>
      <c r="C1104" s="24"/>
      <c r="D1104" s="5"/>
      <c r="E1104" s="5"/>
      <c r="F1104" s="4"/>
      <c r="G1104" s="4"/>
      <c r="H1104" s="4"/>
      <c r="I1104" s="4"/>
      <c r="J1104" s="4"/>
      <c r="K1104" s="4"/>
    </row>
    <row r="1105" spans="2:11">
      <c r="B1105" s="6"/>
      <c r="C1105" s="24"/>
      <c r="D1105" s="5"/>
      <c r="E1105" s="5"/>
      <c r="F1105" s="4"/>
      <c r="G1105" s="4"/>
      <c r="H1105" s="4"/>
      <c r="I1105" s="4"/>
      <c r="J1105" s="4"/>
      <c r="K1105" s="4"/>
    </row>
    <row r="1106" spans="2:11">
      <c r="B1106" s="6"/>
      <c r="C1106" s="24"/>
      <c r="D1106" s="5"/>
      <c r="E1106" s="5"/>
      <c r="F1106" s="4"/>
      <c r="G1106" s="4"/>
      <c r="H1106" s="4"/>
      <c r="I1106" s="4"/>
      <c r="J1106" s="4"/>
      <c r="K1106" s="4"/>
    </row>
    <row r="1107" spans="2:11">
      <c r="B1107" s="6"/>
      <c r="C1107" s="24"/>
      <c r="D1107" s="5"/>
      <c r="E1107" s="5"/>
      <c r="F1107" s="4"/>
      <c r="G1107" s="4"/>
      <c r="H1107" s="4"/>
      <c r="I1107" s="4"/>
      <c r="J1107" s="4"/>
      <c r="K1107" s="4"/>
    </row>
    <row r="1108" spans="2:11">
      <c r="B1108" s="6"/>
      <c r="C1108" s="24"/>
      <c r="D1108" s="5"/>
      <c r="E1108" s="5"/>
      <c r="F1108" s="4"/>
      <c r="G1108" s="4"/>
      <c r="H1108" s="4"/>
      <c r="I1108" s="4"/>
      <c r="J1108" s="4"/>
      <c r="K1108" s="4"/>
    </row>
    <row r="1109" spans="2:11">
      <c r="B1109" s="6"/>
      <c r="C1109" s="24"/>
      <c r="D1109" s="5"/>
      <c r="E1109" s="5"/>
      <c r="F1109" s="4"/>
      <c r="G1109" s="4"/>
      <c r="H1109" s="4"/>
      <c r="I1109" s="4"/>
      <c r="J1109" s="4"/>
      <c r="K1109" s="4"/>
    </row>
    <row r="1110" spans="2:11">
      <c r="B1110" s="6"/>
      <c r="C1110" s="24"/>
      <c r="D1110" s="5"/>
      <c r="E1110" s="5"/>
      <c r="F1110" s="4"/>
      <c r="G1110" s="4"/>
      <c r="H1110" s="4"/>
      <c r="I1110" s="4"/>
      <c r="J1110" s="4"/>
      <c r="K1110" s="4"/>
    </row>
    <row r="1111" spans="2:11">
      <c r="B1111" s="6"/>
      <c r="C1111" s="24"/>
      <c r="D1111" s="5"/>
      <c r="E1111" s="5"/>
      <c r="F1111" s="4"/>
      <c r="G1111" s="4"/>
      <c r="H1111" s="4"/>
      <c r="I1111" s="4"/>
      <c r="J1111" s="4"/>
      <c r="K1111" s="4"/>
    </row>
    <row r="1112" spans="2:11">
      <c r="B1112" s="6"/>
      <c r="C1112" s="24"/>
      <c r="D1112" s="5"/>
      <c r="E1112" s="5"/>
      <c r="F1112" s="4"/>
      <c r="G1112" s="4"/>
      <c r="H1112" s="4"/>
      <c r="I1112" s="4"/>
      <c r="J1112" s="4"/>
      <c r="K1112" s="4"/>
    </row>
    <row r="1113" spans="2:11">
      <c r="B1113" s="6"/>
      <c r="C1113" s="24"/>
      <c r="D1113" s="5"/>
      <c r="E1113" s="5"/>
      <c r="F1113" s="4"/>
      <c r="G1113" s="4"/>
      <c r="H1113" s="4"/>
      <c r="I1113" s="4"/>
      <c r="J1113" s="4"/>
      <c r="K1113" s="4"/>
    </row>
    <row r="1114" spans="2:11">
      <c r="B1114" s="6"/>
      <c r="C1114" s="24"/>
      <c r="D1114" s="5"/>
      <c r="E1114" s="5"/>
      <c r="F1114" s="4"/>
      <c r="G1114" s="4"/>
      <c r="H1114" s="4"/>
      <c r="I1114" s="4"/>
      <c r="J1114" s="4"/>
      <c r="K1114" s="4"/>
    </row>
    <row r="1115" spans="2:11">
      <c r="B1115" s="6"/>
      <c r="C1115" s="24"/>
      <c r="D1115" s="5"/>
      <c r="E1115" s="5"/>
      <c r="F1115" s="4"/>
      <c r="G1115" s="4"/>
      <c r="H1115" s="4"/>
      <c r="I1115" s="4"/>
      <c r="J1115" s="4"/>
      <c r="K1115" s="4"/>
    </row>
    <row r="1116" spans="2:11">
      <c r="B1116" s="6"/>
      <c r="C1116" s="24"/>
      <c r="D1116" s="5"/>
      <c r="E1116" s="5"/>
      <c r="F1116" s="4"/>
      <c r="G1116" s="4"/>
      <c r="H1116" s="4"/>
      <c r="I1116" s="4"/>
      <c r="J1116" s="4"/>
      <c r="K1116" s="4"/>
    </row>
    <row r="1117" spans="2:11">
      <c r="B1117" s="6"/>
      <c r="C1117" s="24"/>
      <c r="D1117" s="5"/>
      <c r="E1117" s="5"/>
      <c r="F1117" s="4"/>
      <c r="G1117" s="4"/>
      <c r="H1117" s="4"/>
      <c r="I1117" s="4"/>
      <c r="J1117" s="4"/>
      <c r="K1117" s="4"/>
    </row>
    <row r="1118" spans="2:11">
      <c r="B1118" s="6"/>
      <c r="C1118" s="24"/>
      <c r="D1118" s="5"/>
      <c r="E1118" s="5"/>
      <c r="F1118" s="4"/>
      <c r="G1118" s="4"/>
      <c r="H1118" s="4"/>
      <c r="I1118" s="4"/>
      <c r="J1118" s="4"/>
      <c r="K1118" s="4"/>
    </row>
    <row r="1119" spans="2:11">
      <c r="B1119" s="6"/>
      <c r="C1119" s="24"/>
      <c r="D1119" s="5"/>
      <c r="E1119" s="5"/>
      <c r="F1119" s="4"/>
      <c r="G1119" s="4"/>
      <c r="H1119" s="4"/>
      <c r="I1119" s="4"/>
      <c r="J1119" s="4"/>
      <c r="K1119" s="4"/>
    </row>
    <row r="1120" spans="2:11">
      <c r="B1120" s="6"/>
      <c r="C1120" s="24"/>
      <c r="D1120" s="5"/>
      <c r="E1120" s="5"/>
      <c r="F1120" s="4"/>
      <c r="G1120" s="4"/>
      <c r="H1120" s="4"/>
      <c r="I1120" s="4"/>
      <c r="J1120" s="4"/>
      <c r="K1120" s="4"/>
    </row>
    <row r="1121" spans="2:11">
      <c r="B1121" s="6"/>
      <c r="C1121" s="24"/>
      <c r="D1121" s="5"/>
      <c r="E1121" s="5"/>
      <c r="F1121" s="4"/>
      <c r="G1121" s="4"/>
      <c r="H1121" s="4"/>
      <c r="I1121" s="4"/>
      <c r="J1121" s="4"/>
      <c r="K1121" s="4"/>
    </row>
    <row r="1122" spans="2:11">
      <c r="B1122" s="6"/>
      <c r="C1122" s="24"/>
      <c r="D1122" s="5"/>
      <c r="E1122" s="5"/>
      <c r="F1122" s="4"/>
      <c r="G1122" s="4"/>
      <c r="H1122" s="4"/>
      <c r="I1122" s="4"/>
      <c r="J1122" s="4"/>
      <c r="K1122" s="4"/>
    </row>
    <row r="1123" spans="2:11">
      <c r="B1123" s="6"/>
      <c r="C1123" s="24"/>
      <c r="D1123" s="5"/>
      <c r="E1123" s="5"/>
      <c r="F1123" s="4"/>
      <c r="G1123" s="4"/>
      <c r="H1123" s="4"/>
      <c r="I1123" s="4"/>
      <c r="J1123" s="4"/>
      <c r="K1123" s="4"/>
    </row>
    <row r="1124" spans="2:11">
      <c r="B1124" s="6"/>
      <c r="C1124" s="24"/>
      <c r="D1124" s="5"/>
      <c r="E1124" s="5"/>
      <c r="F1124" s="4"/>
      <c r="G1124" s="4"/>
      <c r="H1124" s="4"/>
      <c r="I1124" s="4"/>
      <c r="J1124" s="4"/>
      <c r="K1124" s="4"/>
    </row>
    <row r="1125" spans="2:11">
      <c r="B1125" s="6"/>
      <c r="C1125" s="24"/>
      <c r="D1125" s="5"/>
      <c r="E1125" s="5"/>
      <c r="F1125" s="4"/>
      <c r="G1125" s="4"/>
      <c r="H1125" s="4"/>
      <c r="I1125" s="4"/>
      <c r="J1125" s="4"/>
      <c r="K1125" s="4"/>
    </row>
    <row r="1126" spans="2:11">
      <c r="B1126" s="6"/>
      <c r="C1126" s="24"/>
      <c r="D1126" s="5"/>
      <c r="E1126" s="5"/>
      <c r="F1126" s="4"/>
      <c r="G1126" s="4"/>
      <c r="H1126" s="4"/>
      <c r="I1126" s="4"/>
      <c r="J1126" s="4"/>
      <c r="K1126" s="4"/>
    </row>
    <row r="1127" spans="2:11">
      <c r="B1127" s="6"/>
      <c r="C1127" s="24"/>
      <c r="D1127" s="5"/>
      <c r="E1127" s="5"/>
      <c r="F1127" s="4"/>
      <c r="G1127" s="4"/>
      <c r="H1127" s="4"/>
      <c r="I1127" s="4"/>
      <c r="J1127" s="4"/>
      <c r="K1127" s="4"/>
    </row>
    <row r="1128" spans="2:11">
      <c r="B1128" s="6"/>
      <c r="C1128" s="24"/>
      <c r="D1128" s="5"/>
      <c r="E1128" s="5"/>
      <c r="F1128" s="4"/>
      <c r="G1128" s="4"/>
      <c r="H1128" s="4"/>
      <c r="I1128" s="4"/>
      <c r="J1128" s="4"/>
      <c r="K1128" s="4"/>
    </row>
    <row r="1129" spans="2:11">
      <c r="B1129" s="6"/>
      <c r="C1129" s="24"/>
      <c r="D1129" s="5"/>
      <c r="E1129" s="5"/>
      <c r="F1129" s="4"/>
      <c r="G1129" s="4"/>
      <c r="H1129" s="4"/>
      <c r="I1129" s="4"/>
      <c r="J1129" s="4"/>
      <c r="K1129" s="4"/>
    </row>
    <row r="1130" spans="2:11">
      <c r="B1130" s="6"/>
      <c r="C1130" s="24"/>
      <c r="D1130" s="5"/>
      <c r="E1130" s="5"/>
      <c r="F1130" s="4"/>
      <c r="G1130" s="4"/>
      <c r="H1130" s="4"/>
      <c r="I1130" s="4"/>
      <c r="J1130" s="4"/>
      <c r="K1130" s="4"/>
    </row>
    <row r="1131" spans="2:11">
      <c r="B1131" s="6"/>
      <c r="C1131" s="24"/>
      <c r="D1131" s="5"/>
      <c r="E1131" s="5"/>
      <c r="F1131" s="4"/>
      <c r="G1131" s="4"/>
      <c r="H1131" s="4"/>
      <c r="I1131" s="4"/>
      <c r="J1131" s="4"/>
      <c r="K1131" s="4"/>
    </row>
    <row r="1132" spans="2:11">
      <c r="B1132" s="6"/>
      <c r="C1132" s="24"/>
      <c r="D1132" s="5"/>
      <c r="E1132" s="5"/>
      <c r="F1132" s="4"/>
      <c r="G1132" s="4"/>
      <c r="H1132" s="4"/>
      <c r="I1132" s="4"/>
      <c r="J1132" s="4"/>
      <c r="K1132" s="4"/>
    </row>
    <row r="1133" spans="2:11">
      <c r="B1133" s="6"/>
      <c r="C1133" s="24"/>
      <c r="D1133" s="5"/>
      <c r="E1133" s="5"/>
      <c r="F1133" s="4"/>
      <c r="G1133" s="4"/>
      <c r="H1133" s="4"/>
      <c r="I1133" s="4"/>
      <c r="J1133" s="4"/>
      <c r="K1133" s="4"/>
    </row>
    <row r="1134" spans="2:11">
      <c r="B1134" s="6"/>
      <c r="C1134" s="24"/>
      <c r="D1134" s="5"/>
      <c r="E1134" s="5"/>
      <c r="F1134" s="4"/>
      <c r="G1134" s="4"/>
      <c r="H1134" s="4"/>
      <c r="I1134" s="4"/>
      <c r="J1134" s="4"/>
      <c r="K1134" s="4"/>
    </row>
    <row r="1135" spans="2:11">
      <c r="B1135" s="6"/>
      <c r="C1135" s="24"/>
      <c r="D1135" s="5"/>
      <c r="E1135" s="5"/>
      <c r="F1135" s="4"/>
      <c r="G1135" s="4"/>
      <c r="H1135" s="4"/>
      <c r="I1135" s="4"/>
      <c r="J1135" s="4"/>
      <c r="K1135" s="4"/>
    </row>
    <row r="1136" spans="2:11">
      <c r="B1136" s="6"/>
      <c r="C1136" s="24"/>
      <c r="D1136" s="5"/>
      <c r="E1136" s="5"/>
      <c r="F1136" s="4"/>
      <c r="G1136" s="4"/>
      <c r="H1136" s="4"/>
      <c r="I1136" s="4"/>
      <c r="J1136" s="4"/>
      <c r="K1136" s="4"/>
    </row>
    <row r="1137" spans="2:11">
      <c r="B1137" s="6"/>
      <c r="C1137" s="24"/>
      <c r="D1137" s="5"/>
      <c r="E1137" s="5"/>
      <c r="F1137" s="4"/>
      <c r="G1137" s="4"/>
      <c r="H1137" s="4"/>
      <c r="I1137" s="4"/>
      <c r="J1137" s="4"/>
      <c r="K1137" s="4"/>
    </row>
    <row r="1138" spans="2:11">
      <c r="B1138" s="6"/>
      <c r="C1138" s="24"/>
      <c r="D1138" s="5"/>
      <c r="E1138" s="5"/>
      <c r="F1138" s="4"/>
      <c r="G1138" s="4"/>
      <c r="H1138" s="4"/>
      <c r="I1138" s="4"/>
      <c r="J1138" s="4"/>
      <c r="K1138" s="4"/>
    </row>
    <row r="1139" spans="2:11">
      <c r="B1139" s="6"/>
      <c r="C1139" s="24"/>
      <c r="D1139" s="5"/>
      <c r="E1139" s="5"/>
      <c r="F1139" s="4"/>
      <c r="G1139" s="4"/>
      <c r="H1139" s="4"/>
      <c r="I1139" s="4"/>
      <c r="J1139" s="4"/>
      <c r="K1139" s="4"/>
    </row>
    <row r="1140" spans="2:11">
      <c r="B1140" s="6"/>
      <c r="C1140" s="24"/>
      <c r="D1140" s="5"/>
      <c r="E1140" s="5"/>
      <c r="F1140" s="4"/>
      <c r="G1140" s="4"/>
      <c r="H1140" s="4"/>
      <c r="I1140" s="4"/>
      <c r="J1140" s="4"/>
      <c r="K1140" s="4"/>
    </row>
    <row r="1141" spans="2:11">
      <c r="B1141" s="6"/>
      <c r="C1141" s="24"/>
      <c r="D1141" s="5"/>
      <c r="E1141" s="5"/>
      <c r="F1141" s="4"/>
      <c r="G1141" s="4"/>
      <c r="H1141" s="4"/>
      <c r="I1141" s="4"/>
      <c r="J1141" s="4"/>
      <c r="K1141" s="4"/>
    </row>
    <row r="1142" spans="2:11">
      <c r="B1142" s="6"/>
      <c r="C1142" s="24"/>
      <c r="D1142" s="5"/>
      <c r="E1142" s="5"/>
      <c r="F1142" s="4"/>
      <c r="G1142" s="4"/>
      <c r="H1142" s="4"/>
      <c r="I1142" s="4"/>
      <c r="J1142" s="4"/>
      <c r="K1142" s="4"/>
    </row>
    <row r="1143" spans="2:11">
      <c r="B1143" s="6"/>
      <c r="C1143" s="24"/>
      <c r="D1143" s="5"/>
      <c r="E1143" s="5"/>
      <c r="F1143" s="4"/>
      <c r="G1143" s="4"/>
      <c r="H1143" s="4"/>
      <c r="I1143" s="4"/>
      <c r="J1143" s="4"/>
      <c r="K1143" s="4"/>
    </row>
    <row r="1144" spans="2:11">
      <c r="B1144" s="6"/>
      <c r="C1144" s="24"/>
      <c r="D1144" s="5"/>
      <c r="E1144" s="5"/>
      <c r="F1144" s="4"/>
      <c r="G1144" s="4"/>
      <c r="H1144" s="4"/>
      <c r="I1144" s="4"/>
      <c r="J1144" s="4"/>
      <c r="K1144" s="4"/>
    </row>
    <row r="1145" spans="2:11">
      <c r="B1145" s="6"/>
      <c r="C1145" s="24"/>
      <c r="D1145" s="5"/>
      <c r="E1145" s="5"/>
      <c r="F1145" s="4"/>
      <c r="G1145" s="4"/>
      <c r="H1145" s="4"/>
      <c r="I1145" s="4"/>
      <c r="J1145" s="4"/>
      <c r="K1145" s="4"/>
    </row>
    <row r="1146" spans="2:11">
      <c r="B1146" s="6"/>
      <c r="C1146" s="24"/>
      <c r="D1146" s="5"/>
      <c r="E1146" s="5"/>
      <c r="F1146" s="4"/>
      <c r="G1146" s="4"/>
      <c r="H1146" s="4"/>
      <c r="I1146" s="4"/>
      <c r="J1146" s="4"/>
      <c r="K1146" s="4"/>
    </row>
    <row r="1147" spans="2:11">
      <c r="B1147" s="6"/>
      <c r="C1147" s="24"/>
      <c r="D1147" s="5"/>
      <c r="E1147" s="5"/>
      <c r="F1147" s="4"/>
      <c r="G1147" s="4"/>
      <c r="H1147" s="4"/>
      <c r="I1147" s="4"/>
      <c r="J1147" s="4"/>
      <c r="K1147" s="4"/>
    </row>
    <row r="1148" spans="2:11">
      <c r="B1148" s="6"/>
      <c r="C1148" s="24"/>
      <c r="D1148" s="5"/>
      <c r="E1148" s="5"/>
      <c r="F1148" s="4"/>
      <c r="G1148" s="4"/>
      <c r="H1148" s="4"/>
      <c r="I1148" s="4"/>
      <c r="J1148" s="4"/>
      <c r="K1148" s="4"/>
    </row>
    <row r="1149" spans="2:11">
      <c r="B1149" s="6"/>
      <c r="C1149" s="24"/>
      <c r="D1149" s="5"/>
      <c r="E1149" s="5"/>
      <c r="F1149" s="4"/>
      <c r="G1149" s="4"/>
      <c r="H1149" s="4"/>
      <c r="I1149" s="4"/>
      <c r="J1149" s="4"/>
      <c r="K1149" s="4"/>
    </row>
    <row r="1150" spans="2:11">
      <c r="B1150" s="6"/>
      <c r="C1150" s="24"/>
      <c r="D1150" s="5"/>
      <c r="E1150" s="5"/>
      <c r="F1150" s="4"/>
      <c r="G1150" s="4"/>
      <c r="H1150" s="4"/>
      <c r="I1150" s="4"/>
      <c r="J1150" s="4"/>
      <c r="K1150" s="4"/>
    </row>
    <row r="1151" spans="2:11">
      <c r="B1151" s="6"/>
      <c r="C1151" s="24"/>
      <c r="D1151" s="5"/>
      <c r="E1151" s="5"/>
      <c r="F1151" s="4"/>
      <c r="G1151" s="4"/>
      <c r="H1151" s="4"/>
      <c r="I1151" s="4"/>
      <c r="J1151" s="4"/>
      <c r="K1151" s="4"/>
    </row>
    <row r="1152" spans="2:11">
      <c r="B1152" s="6"/>
      <c r="C1152" s="24"/>
      <c r="D1152" s="5"/>
      <c r="E1152" s="5"/>
      <c r="F1152" s="4"/>
      <c r="G1152" s="4"/>
      <c r="H1152" s="4"/>
      <c r="I1152" s="4"/>
      <c r="J1152" s="4"/>
      <c r="K1152" s="4"/>
    </row>
    <row r="1153" spans="2:11">
      <c r="B1153" s="6"/>
      <c r="C1153" s="24"/>
      <c r="D1153" s="5"/>
      <c r="E1153" s="5"/>
      <c r="F1153" s="4"/>
      <c r="G1153" s="4"/>
      <c r="H1153" s="4"/>
      <c r="I1153" s="4"/>
      <c r="J1153" s="4"/>
      <c r="K1153" s="4"/>
    </row>
    <row r="1154" spans="2:11">
      <c r="B1154" s="6"/>
      <c r="C1154" s="24"/>
      <c r="D1154" s="5"/>
      <c r="E1154" s="5"/>
      <c r="F1154" s="4"/>
      <c r="G1154" s="4"/>
      <c r="H1154" s="4"/>
      <c r="I1154" s="4"/>
      <c r="J1154" s="4"/>
      <c r="K1154" s="4"/>
    </row>
    <row r="1155" spans="2:11">
      <c r="B1155" s="6"/>
      <c r="C1155" s="24"/>
      <c r="D1155" s="5"/>
      <c r="E1155" s="5"/>
      <c r="F1155" s="4"/>
      <c r="G1155" s="4"/>
      <c r="H1155" s="4"/>
      <c r="I1155" s="4"/>
      <c r="J1155" s="4"/>
      <c r="K1155" s="4"/>
    </row>
    <row r="1156" spans="2:11">
      <c r="B1156" s="6"/>
      <c r="C1156" s="24"/>
      <c r="D1156" s="5"/>
      <c r="E1156" s="5"/>
      <c r="F1156" s="4"/>
      <c r="G1156" s="4"/>
      <c r="H1156" s="4"/>
      <c r="I1156" s="4"/>
      <c r="J1156" s="4"/>
      <c r="K1156" s="4"/>
    </row>
    <row r="1157" spans="2:11">
      <c r="B1157" s="6"/>
      <c r="C1157" s="24"/>
      <c r="D1157" s="5"/>
      <c r="E1157" s="5"/>
      <c r="F1157" s="4"/>
      <c r="G1157" s="4"/>
      <c r="H1157" s="4"/>
      <c r="I1157" s="4"/>
      <c r="J1157" s="4"/>
      <c r="K1157" s="4"/>
    </row>
    <row r="1158" spans="2:11">
      <c r="B1158" s="6"/>
      <c r="C1158" s="24"/>
      <c r="D1158" s="5"/>
      <c r="E1158" s="5"/>
      <c r="F1158" s="4"/>
      <c r="G1158" s="4"/>
      <c r="H1158" s="4"/>
      <c r="I1158" s="4"/>
      <c r="J1158" s="4"/>
      <c r="K1158" s="4"/>
    </row>
    <row r="1159" spans="2:11">
      <c r="B1159" s="6"/>
      <c r="C1159" s="24"/>
      <c r="D1159" s="5"/>
      <c r="E1159" s="5"/>
      <c r="F1159" s="4"/>
      <c r="G1159" s="4"/>
      <c r="H1159" s="4"/>
      <c r="I1159" s="4"/>
      <c r="J1159" s="4"/>
      <c r="K1159" s="4"/>
    </row>
    <row r="1160" spans="2:11">
      <c r="B1160" s="6"/>
      <c r="C1160" s="24"/>
      <c r="D1160" s="5"/>
      <c r="E1160" s="5"/>
      <c r="F1160" s="4"/>
      <c r="G1160" s="4"/>
      <c r="H1160" s="4"/>
      <c r="I1160" s="4"/>
      <c r="J1160" s="4"/>
      <c r="K1160" s="4"/>
    </row>
    <row r="1161" spans="2:11">
      <c r="B1161" s="6"/>
      <c r="C1161" s="24"/>
      <c r="D1161" s="5"/>
      <c r="E1161" s="5"/>
      <c r="F1161" s="4"/>
      <c r="G1161" s="4"/>
      <c r="H1161" s="4"/>
      <c r="I1161" s="4"/>
      <c r="J1161" s="4"/>
      <c r="K1161" s="4"/>
    </row>
    <row r="1162" spans="2:11">
      <c r="B1162" s="6"/>
      <c r="C1162" s="24"/>
      <c r="D1162" s="5"/>
      <c r="E1162" s="5"/>
      <c r="F1162" s="4"/>
      <c r="G1162" s="4"/>
      <c r="H1162" s="4"/>
      <c r="I1162" s="4"/>
      <c r="J1162" s="4"/>
      <c r="K1162" s="4"/>
    </row>
    <row r="1163" spans="2:11">
      <c r="B1163" s="6"/>
      <c r="C1163" s="24"/>
      <c r="D1163" s="5"/>
      <c r="E1163" s="5"/>
      <c r="F1163" s="4"/>
      <c r="G1163" s="4"/>
      <c r="H1163" s="4"/>
      <c r="I1163" s="4"/>
      <c r="J1163" s="4"/>
      <c r="K1163" s="4"/>
    </row>
    <row r="1164" spans="2:11">
      <c r="B1164" s="6"/>
      <c r="C1164" s="24"/>
      <c r="D1164" s="5"/>
      <c r="E1164" s="5"/>
      <c r="F1164" s="4"/>
      <c r="G1164" s="4"/>
      <c r="H1164" s="4"/>
      <c r="I1164" s="4"/>
      <c r="J1164" s="4"/>
      <c r="K1164" s="4"/>
    </row>
    <row r="1165" spans="2:11">
      <c r="B1165" s="6"/>
      <c r="C1165" s="24"/>
      <c r="D1165" s="5"/>
      <c r="E1165" s="5"/>
      <c r="F1165" s="4"/>
      <c r="G1165" s="4"/>
      <c r="H1165" s="4"/>
      <c r="I1165" s="4"/>
      <c r="J1165" s="4"/>
      <c r="K1165" s="4"/>
    </row>
    <row r="1166" spans="2:11">
      <c r="B1166" s="6"/>
      <c r="C1166" s="24"/>
      <c r="D1166" s="5"/>
      <c r="E1166" s="5"/>
      <c r="F1166" s="4"/>
      <c r="G1166" s="4"/>
      <c r="H1166" s="4"/>
      <c r="I1166" s="4"/>
      <c r="J1166" s="4"/>
      <c r="K1166" s="4"/>
    </row>
    <row r="1167" spans="2:11">
      <c r="B1167" s="6"/>
      <c r="C1167" s="24"/>
      <c r="D1167" s="5"/>
      <c r="E1167" s="5"/>
      <c r="F1167" s="4"/>
      <c r="G1167" s="4"/>
      <c r="H1167" s="4"/>
      <c r="I1167" s="4"/>
      <c r="J1167" s="4"/>
      <c r="K1167" s="4"/>
    </row>
    <row r="1168" spans="2:11">
      <c r="B1168" s="6"/>
      <c r="C1168" s="24"/>
      <c r="D1168" s="5"/>
      <c r="E1168" s="5"/>
      <c r="F1168" s="4"/>
      <c r="G1168" s="4"/>
      <c r="H1168" s="4"/>
      <c r="I1168" s="4"/>
      <c r="J1168" s="4"/>
      <c r="K1168" s="4"/>
    </row>
    <row r="1169" spans="2:11">
      <c r="B1169" s="6"/>
      <c r="C1169" s="24"/>
      <c r="D1169" s="5"/>
      <c r="E1169" s="5"/>
      <c r="F1169" s="4"/>
      <c r="G1169" s="4"/>
      <c r="H1169" s="4"/>
      <c r="I1169" s="4"/>
      <c r="J1169" s="4"/>
      <c r="K1169" s="4"/>
    </row>
    <row r="1170" spans="2:11">
      <c r="B1170" s="6"/>
      <c r="C1170" s="24"/>
      <c r="D1170" s="5"/>
      <c r="E1170" s="5"/>
      <c r="F1170" s="4"/>
      <c r="G1170" s="4"/>
      <c r="H1170" s="4"/>
      <c r="I1170" s="4"/>
      <c r="J1170" s="4"/>
      <c r="K1170" s="4"/>
    </row>
    <row r="1171" spans="2:11">
      <c r="B1171" s="6"/>
      <c r="C1171" s="24"/>
      <c r="D1171" s="5"/>
      <c r="E1171" s="5"/>
      <c r="F1171" s="4"/>
      <c r="G1171" s="4"/>
      <c r="H1171" s="4"/>
      <c r="I1171" s="4"/>
      <c r="J1171" s="4"/>
      <c r="K1171" s="4"/>
    </row>
    <row r="1172" spans="2:11">
      <c r="B1172" s="6"/>
      <c r="C1172" s="24"/>
      <c r="D1172" s="5"/>
      <c r="E1172" s="5"/>
      <c r="F1172" s="4"/>
      <c r="G1172" s="4"/>
      <c r="H1172" s="4"/>
      <c r="I1172" s="4"/>
      <c r="J1172" s="4"/>
      <c r="K1172" s="4"/>
    </row>
    <row r="1173" spans="2:11">
      <c r="B1173" s="6"/>
      <c r="C1173" s="24"/>
      <c r="D1173" s="5"/>
      <c r="E1173" s="5"/>
      <c r="F1173" s="4"/>
      <c r="G1173" s="4"/>
      <c r="H1173" s="4"/>
      <c r="I1173" s="4"/>
      <c r="J1173" s="4"/>
      <c r="K1173" s="4"/>
    </row>
    <row r="1174" spans="2:11">
      <c r="B1174" s="6"/>
      <c r="C1174" s="24"/>
      <c r="D1174" s="5"/>
      <c r="E1174" s="5"/>
      <c r="F1174" s="4"/>
      <c r="G1174" s="4"/>
      <c r="H1174" s="4"/>
      <c r="I1174" s="4"/>
      <c r="J1174" s="4"/>
      <c r="K1174" s="4"/>
    </row>
    <row r="1175" spans="2:11">
      <c r="B1175" s="6"/>
      <c r="C1175" s="24"/>
      <c r="D1175" s="5"/>
      <c r="E1175" s="5"/>
      <c r="F1175" s="4"/>
      <c r="G1175" s="4"/>
      <c r="H1175" s="4"/>
      <c r="I1175" s="4"/>
      <c r="J1175" s="4"/>
      <c r="K1175" s="4"/>
    </row>
    <row r="1176" spans="2:11">
      <c r="B1176" s="6"/>
      <c r="C1176" s="24"/>
      <c r="D1176" s="5"/>
      <c r="E1176" s="5"/>
      <c r="F1176" s="4"/>
      <c r="G1176" s="4"/>
      <c r="H1176" s="4"/>
      <c r="I1176" s="4"/>
      <c r="J1176" s="4"/>
      <c r="K1176" s="4"/>
    </row>
    <row r="1177" spans="2:11">
      <c r="B1177" s="6"/>
      <c r="C1177" s="24"/>
      <c r="D1177" s="5"/>
      <c r="E1177" s="5"/>
      <c r="F1177" s="4"/>
      <c r="G1177" s="4"/>
      <c r="H1177" s="4"/>
      <c r="I1177" s="4"/>
      <c r="J1177" s="4"/>
      <c r="K1177" s="4"/>
    </row>
    <row r="1178" spans="2:11">
      <c r="B1178" s="6"/>
      <c r="C1178" s="24"/>
      <c r="D1178" s="5"/>
      <c r="E1178" s="5"/>
      <c r="F1178" s="4"/>
      <c r="G1178" s="4"/>
      <c r="H1178" s="4"/>
      <c r="I1178" s="4"/>
      <c r="J1178" s="4"/>
      <c r="K1178" s="4"/>
    </row>
    <row r="1179" spans="2:11">
      <c r="B1179" s="6"/>
      <c r="C1179" s="24"/>
      <c r="D1179" s="5"/>
      <c r="E1179" s="5"/>
      <c r="F1179" s="4"/>
      <c r="G1179" s="4"/>
      <c r="H1179" s="4"/>
      <c r="I1179" s="4"/>
      <c r="J1179" s="4"/>
      <c r="K1179" s="4"/>
    </row>
    <row r="1180" spans="2:11">
      <c r="B1180" s="6"/>
      <c r="C1180" s="24"/>
      <c r="D1180" s="5"/>
      <c r="E1180" s="5"/>
      <c r="F1180" s="4"/>
      <c r="G1180" s="4"/>
      <c r="H1180" s="4"/>
      <c r="I1180" s="4"/>
      <c r="J1180" s="4"/>
      <c r="K1180" s="4"/>
    </row>
    <row r="1181" spans="2:11">
      <c r="B1181" s="6"/>
      <c r="C1181" s="24"/>
      <c r="D1181" s="5"/>
      <c r="E1181" s="5"/>
      <c r="F1181" s="4"/>
      <c r="G1181" s="4"/>
      <c r="H1181" s="4"/>
      <c r="I1181" s="4"/>
      <c r="J1181" s="4"/>
      <c r="K1181" s="4"/>
    </row>
    <row r="1182" spans="2:11">
      <c r="B1182" s="6"/>
      <c r="C1182" s="24"/>
      <c r="D1182" s="5"/>
      <c r="E1182" s="5"/>
      <c r="F1182" s="4"/>
      <c r="G1182" s="4"/>
      <c r="H1182" s="4"/>
      <c r="I1182" s="4"/>
      <c r="J1182" s="4"/>
      <c r="K1182" s="4"/>
    </row>
    <row r="1183" spans="2:11">
      <c r="B1183" s="6"/>
      <c r="C1183" s="24"/>
      <c r="D1183" s="5"/>
      <c r="E1183" s="5"/>
      <c r="F1183" s="4"/>
      <c r="G1183" s="4"/>
      <c r="H1183" s="4"/>
      <c r="I1183" s="4"/>
      <c r="J1183" s="4"/>
      <c r="K1183" s="4"/>
    </row>
    <row r="1184" spans="2:11">
      <c r="B1184" s="6"/>
      <c r="C1184" s="24"/>
      <c r="D1184" s="5"/>
      <c r="E1184" s="5"/>
      <c r="F1184" s="4"/>
      <c r="G1184" s="4"/>
      <c r="H1184" s="4"/>
      <c r="I1184" s="4"/>
      <c r="J1184" s="4"/>
      <c r="K1184" s="4"/>
    </row>
    <row r="1185" spans="2:11">
      <c r="B1185" s="6"/>
      <c r="C1185" s="24"/>
      <c r="D1185" s="5"/>
      <c r="E1185" s="5"/>
      <c r="F1185" s="4"/>
      <c r="G1185" s="4"/>
      <c r="H1185" s="4"/>
      <c r="I1185" s="4"/>
      <c r="J1185" s="4"/>
      <c r="K1185" s="4"/>
    </row>
    <row r="1186" spans="2:11">
      <c r="B1186" s="6"/>
      <c r="C1186" s="24"/>
      <c r="D1186" s="5"/>
      <c r="E1186" s="5"/>
      <c r="F1186" s="4"/>
      <c r="G1186" s="4"/>
      <c r="H1186" s="4"/>
      <c r="I1186" s="4"/>
      <c r="J1186" s="4"/>
      <c r="K1186" s="4"/>
    </row>
    <row r="1187" spans="2:11">
      <c r="B1187" s="6"/>
      <c r="C1187" s="24"/>
      <c r="D1187" s="5"/>
      <c r="E1187" s="5"/>
      <c r="F1187" s="4"/>
      <c r="G1187" s="4"/>
      <c r="H1187" s="4"/>
      <c r="I1187" s="4"/>
      <c r="J1187" s="4"/>
      <c r="K1187" s="4"/>
    </row>
    <row r="1188" spans="2:11">
      <c r="B1188" s="6"/>
      <c r="C1188" s="24"/>
      <c r="D1188" s="5"/>
      <c r="E1188" s="5"/>
      <c r="F1188" s="4"/>
      <c r="G1188" s="4"/>
      <c r="H1188" s="4"/>
      <c r="I1188" s="4"/>
      <c r="J1188" s="4"/>
      <c r="K1188" s="4"/>
    </row>
    <row r="1189" spans="2:11">
      <c r="B1189" s="6"/>
      <c r="C1189" s="24"/>
      <c r="D1189" s="5"/>
      <c r="E1189" s="5"/>
      <c r="F1189" s="4"/>
      <c r="G1189" s="4"/>
      <c r="H1189" s="4"/>
      <c r="I1189" s="4"/>
      <c r="J1189" s="4"/>
      <c r="K1189" s="4"/>
    </row>
    <row r="1190" spans="2:11">
      <c r="B1190" s="6"/>
      <c r="C1190" s="24"/>
      <c r="D1190" s="5"/>
      <c r="E1190" s="5"/>
      <c r="F1190" s="4"/>
      <c r="G1190" s="4"/>
      <c r="H1190" s="4"/>
      <c r="I1190" s="4"/>
      <c r="J1190" s="4"/>
      <c r="K1190" s="4"/>
    </row>
    <row r="1191" spans="2:11">
      <c r="B1191" s="6"/>
      <c r="C1191" s="24"/>
      <c r="D1191" s="5"/>
      <c r="E1191" s="5"/>
      <c r="F1191" s="4"/>
      <c r="G1191" s="4"/>
      <c r="H1191" s="4"/>
      <c r="I1191" s="4"/>
      <c r="J1191" s="4"/>
      <c r="K1191" s="4"/>
    </row>
    <row r="1192" spans="2:11">
      <c r="B1192" s="6"/>
      <c r="C1192" s="24"/>
      <c r="D1192" s="5"/>
      <c r="E1192" s="5"/>
      <c r="F1192" s="4"/>
      <c r="G1192" s="4"/>
      <c r="H1192" s="4"/>
      <c r="I1192" s="4"/>
      <c r="J1192" s="4"/>
      <c r="K1192" s="4"/>
    </row>
    <row r="1193" spans="2:11">
      <c r="B1193" s="6"/>
      <c r="C1193" s="24"/>
      <c r="D1193" s="5"/>
      <c r="E1193" s="5"/>
      <c r="F1193" s="4"/>
      <c r="G1193" s="4"/>
      <c r="H1193" s="4"/>
      <c r="I1193" s="4"/>
      <c r="J1193" s="4"/>
      <c r="K1193" s="4"/>
    </row>
    <row r="1194" spans="2:11">
      <c r="B1194" s="6"/>
      <c r="C1194" s="24"/>
      <c r="D1194" s="5"/>
      <c r="E1194" s="5"/>
      <c r="F1194" s="4"/>
      <c r="G1194" s="4"/>
      <c r="H1194" s="4"/>
      <c r="I1194" s="4"/>
      <c r="J1194" s="4"/>
      <c r="K1194" s="4"/>
    </row>
    <row r="1195" spans="2:11">
      <c r="B1195" s="6"/>
      <c r="C1195" s="24"/>
      <c r="D1195" s="5"/>
      <c r="E1195" s="5"/>
      <c r="F1195" s="4"/>
      <c r="G1195" s="4"/>
      <c r="H1195" s="4"/>
      <c r="I1195" s="4"/>
      <c r="J1195" s="4"/>
      <c r="K1195" s="4"/>
    </row>
    <row r="1196" spans="2:11">
      <c r="B1196" s="6"/>
      <c r="C1196" s="24"/>
      <c r="D1196" s="5"/>
      <c r="E1196" s="5"/>
      <c r="F1196" s="4"/>
      <c r="G1196" s="4"/>
      <c r="H1196" s="4"/>
      <c r="I1196" s="4"/>
      <c r="J1196" s="4"/>
      <c r="K1196" s="4"/>
    </row>
    <row r="1197" spans="2:11">
      <c r="B1197" s="6"/>
      <c r="C1197" s="24"/>
      <c r="D1197" s="5"/>
      <c r="E1197" s="5"/>
      <c r="F1197" s="4"/>
      <c r="G1197" s="4"/>
      <c r="H1197" s="4"/>
      <c r="I1197" s="4"/>
      <c r="J1197" s="4"/>
      <c r="K1197" s="4"/>
    </row>
    <row r="1198" spans="2:11">
      <c r="B1198" s="6"/>
      <c r="C1198" s="24"/>
      <c r="D1198" s="5"/>
      <c r="E1198" s="5"/>
      <c r="F1198" s="4"/>
      <c r="G1198" s="4"/>
      <c r="H1198" s="4"/>
      <c r="I1198" s="4"/>
      <c r="J1198" s="4"/>
      <c r="K1198" s="4"/>
    </row>
    <row r="1199" spans="2:11">
      <c r="B1199" s="6"/>
      <c r="C1199" s="24"/>
      <c r="D1199" s="5"/>
      <c r="E1199" s="5"/>
      <c r="F1199" s="4"/>
      <c r="G1199" s="4"/>
      <c r="H1199" s="4"/>
      <c r="I1199" s="4"/>
      <c r="J1199" s="4"/>
      <c r="K1199" s="4"/>
    </row>
    <row r="1200" spans="2:11">
      <c r="B1200" s="6"/>
      <c r="C1200" s="24"/>
      <c r="D1200" s="5"/>
      <c r="E1200" s="5"/>
      <c r="F1200" s="4"/>
      <c r="G1200" s="4"/>
      <c r="H1200" s="4"/>
      <c r="I1200" s="4"/>
      <c r="J1200" s="4"/>
      <c r="K1200" s="4"/>
    </row>
    <row r="1201" spans="2:11">
      <c r="B1201" s="6"/>
      <c r="C1201" s="24"/>
      <c r="D1201" s="5"/>
      <c r="E1201" s="5"/>
      <c r="F1201" s="4"/>
      <c r="G1201" s="4"/>
      <c r="H1201" s="4"/>
      <c r="I1201" s="4"/>
      <c r="J1201" s="4"/>
      <c r="K1201" s="4"/>
    </row>
    <row r="1202" spans="2:11">
      <c r="B1202" s="6"/>
      <c r="C1202" s="24"/>
      <c r="D1202" s="5"/>
      <c r="E1202" s="5"/>
      <c r="F1202" s="4"/>
      <c r="G1202" s="4"/>
      <c r="H1202" s="4"/>
      <c r="I1202" s="4"/>
      <c r="J1202" s="4"/>
      <c r="K1202" s="4"/>
    </row>
    <row r="1203" spans="2:11">
      <c r="B1203" s="6"/>
      <c r="C1203" s="24"/>
      <c r="D1203" s="5"/>
      <c r="E1203" s="5"/>
      <c r="F1203" s="4"/>
      <c r="G1203" s="4"/>
      <c r="H1203" s="4"/>
      <c r="I1203" s="4"/>
      <c r="J1203" s="4"/>
      <c r="K1203" s="4"/>
    </row>
    <row r="1204" spans="2:11">
      <c r="B1204" s="6"/>
      <c r="C1204" s="24"/>
      <c r="D1204" s="5"/>
      <c r="E1204" s="5"/>
      <c r="F1204" s="4"/>
      <c r="G1204" s="4"/>
      <c r="H1204" s="4"/>
      <c r="I1204" s="4"/>
      <c r="J1204" s="4"/>
      <c r="K1204" s="4"/>
    </row>
    <row r="1205" spans="2:11">
      <c r="B1205" s="6"/>
      <c r="C1205" s="24"/>
      <c r="D1205" s="5"/>
      <c r="E1205" s="5"/>
      <c r="F1205" s="4"/>
      <c r="G1205" s="4"/>
      <c r="H1205" s="4"/>
      <c r="I1205" s="4"/>
      <c r="J1205" s="4"/>
      <c r="K1205" s="4"/>
    </row>
    <row r="1206" spans="2:11">
      <c r="B1206" s="6"/>
      <c r="C1206" s="24"/>
      <c r="D1206" s="5"/>
      <c r="E1206" s="5"/>
      <c r="F1206" s="4"/>
      <c r="G1206" s="4"/>
      <c r="H1206" s="4"/>
      <c r="I1206" s="4"/>
      <c r="J1206" s="4"/>
      <c r="K1206" s="4"/>
    </row>
    <row r="1207" spans="2:11">
      <c r="B1207" s="6"/>
      <c r="C1207" s="24"/>
      <c r="D1207" s="5"/>
      <c r="E1207" s="5"/>
      <c r="F1207" s="4"/>
      <c r="G1207" s="4"/>
      <c r="H1207" s="4"/>
      <c r="I1207" s="4"/>
      <c r="J1207" s="4"/>
      <c r="K1207" s="4"/>
    </row>
    <row r="1208" spans="2:11">
      <c r="B1208" s="6"/>
      <c r="C1208" s="24"/>
      <c r="D1208" s="5"/>
      <c r="E1208" s="5"/>
      <c r="F1208" s="4"/>
      <c r="G1208" s="4"/>
      <c r="H1208" s="4"/>
      <c r="I1208" s="4"/>
      <c r="J1208" s="4"/>
      <c r="K1208" s="4"/>
    </row>
    <row r="1209" spans="2:11">
      <c r="B1209" s="6"/>
      <c r="C1209" s="24"/>
      <c r="D1209" s="5"/>
      <c r="E1209" s="5"/>
      <c r="F1209" s="4"/>
      <c r="G1209" s="4"/>
      <c r="H1209" s="4"/>
      <c r="I1209" s="4"/>
      <c r="J1209" s="4"/>
      <c r="K1209" s="4"/>
    </row>
    <row r="1210" spans="2:11">
      <c r="B1210" s="6"/>
      <c r="C1210" s="24"/>
      <c r="D1210" s="5"/>
      <c r="E1210" s="5"/>
      <c r="F1210" s="4"/>
      <c r="G1210" s="4"/>
      <c r="H1210" s="4"/>
      <c r="I1210" s="4"/>
      <c r="J1210" s="4"/>
      <c r="K1210" s="4"/>
    </row>
    <row r="1211" spans="2:11">
      <c r="B1211" s="6"/>
      <c r="C1211" s="24"/>
      <c r="D1211" s="5"/>
      <c r="E1211" s="5"/>
      <c r="F1211" s="4"/>
      <c r="G1211" s="4"/>
      <c r="H1211" s="4"/>
      <c r="I1211" s="4"/>
      <c r="J1211" s="4"/>
      <c r="K1211" s="4"/>
    </row>
    <row r="1212" spans="2:11">
      <c r="B1212" s="6"/>
      <c r="C1212" s="24"/>
      <c r="D1212" s="5"/>
      <c r="E1212" s="5"/>
      <c r="F1212" s="4"/>
      <c r="G1212" s="4"/>
      <c r="H1212" s="4"/>
      <c r="I1212" s="4"/>
      <c r="J1212" s="4"/>
      <c r="K1212" s="4"/>
    </row>
    <row r="1213" spans="2:11">
      <c r="B1213" s="6"/>
      <c r="C1213" s="24"/>
      <c r="D1213" s="5"/>
      <c r="E1213" s="5"/>
      <c r="F1213" s="4"/>
      <c r="G1213" s="4"/>
      <c r="H1213" s="4"/>
      <c r="I1213" s="4"/>
      <c r="J1213" s="4"/>
      <c r="K1213" s="4"/>
    </row>
    <row r="1214" spans="2:11">
      <c r="B1214" s="6"/>
      <c r="C1214" s="24"/>
      <c r="D1214" s="5"/>
      <c r="E1214" s="5"/>
      <c r="F1214" s="4"/>
      <c r="G1214" s="4"/>
      <c r="H1214" s="4"/>
      <c r="I1214" s="4"/>
      <c r="J1214" s="4"/>
      <c r="K1214" s="4"/>
    </row>
    <row r="1215" spans="2:11">
      <c r="B1215" s="6"/>
      <c r="C1215" s="24"/>
      <c r="D1215" s="5"/>
      <c r="E1215" s="5"/>
      <c r="F1215" s="4"/>
      <c r="G1215" s="4"/>
      <c r="H1215" s="4"/>
      <c r="I1215" s="4"/>
      <c r="J1215" s="4"/>
      <c r="K1215" s="4"/>
    </row>
    <row r="1216" spans="2:11">
      <c r="B1216" s="6"/>
      <c r="C1216" s="24"/>
      <c r="D1216" s="5"/>
      <c r="E1216" s="5"/>
      <c r="F1216" s="4"/>
      <c r="G1216" s="4"/>
      <c r="H1216" s="4"/>
      <c r="I1216" s="4"/>
      <c r="J1216" s="4"/>
      <c r="K1216" s="4"/>
    </row>
    <row r="1217" spans="2:11">
      <c r="B1217" s="6"/>
      <c r="C1217" s="24"/>
      <c r="D1217" s="5"/>
      <c r="E1217" s="5"/>
      <c r="F1217" s="4"/>
      <c r="G1217" s="4"/>
      <c r="H1217" s="4"/>
      <c r="I1217" s="4"/>
      <c r="J1217" s="4"/>
      <c r="K1217" s="4"/>
    </row>
    <row r="1218" spans="2:11">
      <c r="B1218" s="6"/>
      <c r="C1218" s="24"/>
      <c r="D1218" s="5"/>
      <c r="E1218" s="5"/>
      <c r="F1218" s="4"/>
      <c r="G1218" s="4"/>
      <c r="H1218" s="4"/>
      <c r="I1218" s="4"/>
      <c r="J1218" s="4"/>
      <c r="K1218" s="4"/>
    </row>
    <row r="1219" spans="2:11">
      <c r="B1219" s="6"/>
      <c r="C1219" s="24"/>
      <c r="D1219" s="5"/>
      <c r="E1219" s="5"/>
      <c r="F1219" s="4"/>
      <c r="G1219" s="4"/>
      <c r="H1219" s="4"/>
      <c r="I1219" s="4"/>
      <c r="J1219" s="4"/>
      <c r="K1219" s="4"/>
    </row>
    <row r="1220" spans="2:11">
      <c r="B1220" s="6"/>
      <c r="C1220" s="24"/>
      <c r="D1220" s="5"/>
      <c r="E1220" s="5"/>
      <c r="F1220" s="4"/>
      <c r="G1220" s="4"/>
      <c r="H1220" s="4"/>
      <c r="I1220" s="4"/>
      <c r="J1220" s="4"/>
      <c r="K1220" s="4"/>
    </row>
    <row r="1221" spans="2:11">
      <c r="B1221" s="6"/>
      <c r="C1221" s="24"/>
      <c r="D1221" s="5"/>
      <c r="E1221" s="5"/>
      <c r="F1221" s="4"/>
      <c r="G1221" s="4"/>
      <c r="H1221" s="4"/>
      <c r="I1221" s="4"/>
      <c r="J1221" s="4"/>
      <c r="K1221" s="4"/>
    </row>
    <row r="1222" spans="2:11">
      <c r="B1222" s="6"/>
      <c r="C1222" s="24"/>
      <c r="D1222" s="5"/>
      <c r="E1222" s="5"/>
      <c r="F1222" s="4"/>
      <c r="G1222" s="4"/>
      <c r="H1222" s="4"/>
      <c r="I1222" s="4"/>
      <c r="J1222" s="4"/>
      <c r="K1222" s="4"/>
    </row>
    <row r="1223" spans="2:11">
      <c r="B1223" s="6"/>
      <c r="C1223" s="24"/>
      <c r="D1223" s="5"/>
      <c r="E1223" s="5"/>
      <c r="F1223" s="4"/>
      <c r="G1223" s="4"/>
      <c r="H1223" s="4"/>
      <c r="I1223" s="4"/>
      <c r="J1223" s="4"/>
      <c r="K1223" s="4"/>
    </row>
    <row r="1224" spans="2:11">
      <c r="B1224" s="6"/>
      <c r="C1224" s="24"/>
      <c r="D1224" s="5"/>
      <c r="E1224" s="5"/>
      <c r="F1224" s="4"/>
      <c r="G1224" s="4"/>
      <c r="H1224" s="4"/>
      <c r="I1224" s="4"/>
      <c r="J1224" s="4"/>
      <c r="K1224" s="4"/>
    </row>
    <row r="1225" spans="2:11">
      <c r="B1225" s="6"/>
      <c r="C1225" s="24"/>
      <c r="D1225" s="5"/>
      <c r="E1225" s="5"/>
      <c r="F1225" s="4"/>
      <c r="G1225" s="4"/>
      <c r="H1225" s="4"/>
      <c r="I1225" s="4"/>
      <c r="J1225" s="4"/>
      <c r="K1225" s="4"/>
    </row>
    <row r="1226" spans="2:11">
      <c r="B1226" s="6"/>
      <c r="C1226" s="24"/>
      <c r="D1226" s="5"/>
      <c r="E1226" s="5"/>
      <c r="F1226" s="4"/>
      <c r="G1226" s="4"/>
      <c r="H1226" s="4"/>
      <c r="I1226" s="4"/>
      <c r="J1226" s="4"/>
      <c r="K1226" s="4"/>
    </row>
    <row r="1227" spans="2:11">
      <c r="B1227" s="6"/>
      <c r="C1227" s="24"/>
      <c r="D1227" s="5"/>
      <c r="E1227" s="5"/>
      <c r="F1227" s="4"/>
      <c r="G1227" s="4"/>
      <c r="H1227" s="4"/>
      <c r="I1227" s="4"/>
      <c r="J1227" s="4"/>
      <c r="K1227" s="4"/>
    </row>
    <row r="1228" spans="2:11">
      <c r="B1228" s="6"/>
      <c r="C1228" s="24"/>
      <c r="D1228" s="5"/>
      <c r="E1228" s="5"/>
      <c r="F1228" s="4"/>
      <c r="G1228" s="4"/>
      <c r="H1228" s="4"/>
      <c r="I1228" s="4"/>
      <c r="J1228" s="4"/>
      <c r="K1228" s="4"/>
    </row>
    <row r="1229" spans="2:11">
      <c r="B1229" s="6"/>
      <c r="C1229" s="24"/>
      <c r="D1229" s="5"/>
      <c r="E1229" s="5"/>
      <c r="F1229" s="4"/>
      <c r="G1229" s="4"/>
      <c r="H1229" s="4"/>
      <c r="I1229" s="4"/>
      <c r="J1229" s="4"/>
      <c r="K1229" s="4"/>
    </row>
    <row r="1230" spans="2:11">
      <c r="B1230" s="6"/>
      <c r="C1230" s="24"/>
      <c r="D1230" s="5"/>
      <c r="E1230" s="5"/>
      <c r="F1230" s="4"/>
      <c r="G1230" s="4"/>
      <c r="H1230" s="4"/>
      <c r="I1230" s="4"/>
      <c r="J1230" s="4"/>
      <c r="K1230" s="4"/>
    </row>
    <row r="1231" spans="2:11">
      <c r="B1231" s="6"/>
      <c r="C1231" s="24"/>
      <c r="D1231" s="5"/>
      <c r="E1231" s="5"/>
      <c r="F1231" s="4"/>
      <c r="G1231" s="4"/>
      <c r="H1231" s="4"/>
      <c r="I1231" s="4"/>
      <c r="J1231" s="4"/>
      <c r="K1231" s="4"/>
    </row>
    <row r="1232" spans="2:11">
      <c r="B1232" s="6"/>
      <c r="C1232" s="24"/>
      <c r="D1232" s="5"/>
      <c r="E1232" s="5"/>
      <c r="F1232" s="4"/>
      <c r="G1232" s="4"/>
      <c r="H1232" s="4"/>
      <c r="I1232" s="4"/>
      <c r="J1232" s="4"/>
      <c r="K1232" s="4"/>
    </row>
    <row r="1233" spans="2:11">
      <c r="B1233" s="6"/>
      <c r="C1233" s="24"/>
      <c r="D1233" s="5"/>
      <c r="E1233" s="5"/>
      <c r="F1233" s="4"/>
      <c r="G1233" s="4"/>
      <c r="H1233" s="4"/>
      <c r="I1233" s="4"/>
      <c r="J1233" s="4"/>
      <c r="K1233" s="4"/>
    </row>
    <row r="1234" spans="2:11">
      <c r="B1234" s="6"/>
      <c r="C1234" s="24"/>
      <c r="D1234" s="5"/>
      <c r="E1234" s="5"/>
      <c r="F1234" s="4"/>
      <c r="G1234" s="4"/>
      <c r="H1234" s="4"/>
      <c r="I1234" s="4"/>
      <c r="J1234" s="4"/>
      <c r="K1234" s="4"/>
    </row>
    <row r="1235" spans="2:11">
      <c r="B1235" s="6"/>
      <c r="C1235" s="24"/>
      <c r="D1235" s="5"/>
      <c r="E1235" s="5"/>
      <c r="F1235" s="4"/>
      <c r="G1235" s="4"/>
      <c r="H1235" s="4"/>
      <c r="I1235" s="4"/>
      <c r="J1235" s="4"/>
      <c r="K1235" s="4"/>
    </row>
    <row r="1236" spans="2:11">
      <c r="B1236" s="6"/>
      <c r="C1236" s="24"/>
      <c r="D1236" s="5"/>
      <c r="E1236" s="5"/>
      <c r="F1236" s="4"/>
      <c r="G1236" s="4"/>
      <c r="H1236" s="4"/>
      <c r="I1236" s="4"/>
      <c r="J1236" s="4"/>
      <c r="K1236" s="4"/>
    </row>
    <row r="1237" spans="2:11">
      <c r="B1237" s="6"/>
      <c r="C1237" s="24"/>
      <c r="D1237" s="5"/>
      <c r="E1237" s="5"/>
      <c r="F1237" s="4"/>
      <c r="G1237" s="4"/>
      <c r="H1237" s="4"/>
      <c r="I1237" s="4"/>
      <c r="J1237" s="4"/>
      <c r="K1237" s="4"/>
    </row>
    <row r="1238" spans="2:11">
      <c r="B1238" s="6"/>
      <c r="C1238" s="24"/>
      <c r="D1238" s="5"/>
      <c r="E1238" s="5"/>
      <c r="F1238" s="4"/>
      <c r="G1238" s="4"/>
      <c r="H1238" s="4"/>
      <c r="I1238" s="4"/>
      <c r="J1238" s="4"/>
      <c r="K1238" s="4"/>
    </row>
    <row r="1239" spans="2:11">
      <c r="B1239" s="6"/>
      <c r="C1239" s="24"/>
      <c r="D1239" s="5"/>
      <c r="E1239" s="5"/>
      <c r="F1239" s="4"/>
      <c r="G1239" s="4"/>
      <c r="H1239" s="4"/>
      <c r="I1239" s="4"/>
      <c r="J1239" s="4"/>
      <c r="K1239" s="4"/>
    </row>
    <row r="1240" spans="2:11">
      <c r="B1240" s="6"/>
      <c r="C1240" s="24"/>
      <c r="D1240" s="5"/>
      <c r="E1240" s="5"/>
      <c r="F1240" s="4"/>
      <c r="G1240" s="4"/>
      <c r="H1240" s="4"/>
      <c r="I1240" s="4"/>
      <c r="J1240" s="4"/>
      <c r="K1240" s="4"/>
    </row>
    <row r="1241" spans="2:11">
      <c r="B1241" s="6"/>
      <c r="C1241" s="24"/>
      <c r="D1241" s="5"/>
      <c r="E1241" s="5"/>
      <c r="F1241" s="4"/>
      <c r="G1241" s="4"/>
      <c r="H1241" s="4"/>
      <c r="I1241" s="4"/>
      <c r="J1241" s="4"/>
      <c r="K1241" s="4"/>
    </row>
    <row r="1242" spans="2:11">
      <c r="B1242" s="6"/>
      <c r="C1242" s="24"/>
      <c r="D1242" s="5"/>
      <c r="E1242" s="5"/>
      <c r="F1242" s="4"/>
      <c r="G1242" s="4"/>
      <c r="H1242" s="4"/>
      <c r="I1242" s="4"/>
      <c r="J1242" s="4"/>
      <c r="K1242" s="4"/>
    </row>
    <row r="1243" spans="2:11">
      <c r="B1243" s="6"/>
      <c r="C1243" s="24"/>
      <c r="D1243" s="5"/>
      <c r="E1243" s="5"/>
      <c r="F1243" s="4"/>
      <c r="G1243" s="4"/>
      <c r="H1243" s="4"/>
      <c r="I1243" s="4"/>
      <c r="J1243" s="4"/>
      <c r="K1243" s="4"/>
    </row>
    <row r="1244" spans="2:11">
      <c r="B1244" s="6"/>
      <c r="C1244" s="24"/>
      <c r="D1244" s="5"/>
      <c r="E1244" s="5"/>
      <c r="F1244" s="4"/>
      <c r="G1244" s="4"/>
      <c r="H1244" s="4"/>
      <c r="I1244" s="4"/>
      <c r="J1244" s="4"/>
      <c r="K1244" s="4"/>
    </row>
    <row r="1245" spans="2:11">
      <c r="B1245" s="6"/>
      <c r="C1245" s="24"/>
      <c r="D1245" s="5"/>
      <c r="E1245" s="5"/>
      <c r="F1245" s="4"/>
      <c r="G1245" s="4"/>
      <c r="H1245" s="4"/>
      <c r="I1245" s="4"/>
      <c r="J1245" s="4"/>
      <c r="K1245" s="4"/>
    </row>
    <row r="1246" spans="2:11">
      <c r="B1246" s="6"/>
      <c r="C1246" s="24"/>
      <c r="D1246" s="5"/>
      <c r="E1246" s="5"/>
      <c r="F1246" s="4"/>
      <c r="G1246" s="4"/>
      <c r="H1246" s="4"/>
      <c r="I1246" s="4"/>
      <c r="J1246" s="4"/>
      <c r="K1246" s="4"/>
    </row>
    <row r="1247" spans="2:11">
      <c r="B1247" s="6"/>
      <c r="C1247" s="24"/>
      <c r="D1247" s="5"/>
      <c r="E1247" s="5"/>
      <c r="F1247" s="4"/>
      <c r="G1247" s="4"/>
      <c r="H1247" s="4"/>
      <c r="I1247" s="4"/>
      <c r="J1247" s="4"/>
      <c r="K1247" s="4"/>
    </row>
    <row r="1248" spans="2:11">
      <c r="B1248" s="6"/>
      <c r="C1248" s="24"/>
      <c r="D1248" s="5"/>
      <c r="E1248" s="5"/>
      <c r="F1248" s="4"/>
      <c r="G1248" s="4"/>
      <c r="H1248" s="4"/>
      <c r="I1248" s="4"/>
      <c r="J1248" s="4"/>
      <c r="K1248" s="4"/>
    </row>
    <row r="1249" spans="2:11">
      <c r="B1249" s="6"/>
      <c r="C1249" s="24"/>
      <c r="D1249" s="5"/>
      <c r="E1249" s="5"/>
      <c r="F1249" s="4"/>
      <c r="G1249" s="4"/>
      <c r="H1249" s="4"/>
      <c r="I1249" s="4"/>
      <c r="J1249" s="4"/>
      <c r="K1249" s="4"/>
    </row>
    <row r="1250" spans="2:11">
      <c r="B1250" s="6"/>
      <c r="C1250" s="24"/>
      <c r="D1250" s="5"/>
      <c r="E1250" s="5"/>
      <c r="F1250" s="4"/>
      <c r="G1250" s="4"/>
      <c r="H1250" s="4"/>
      <c r="I1250" s="4"/>
      <c r="J1250" s="4"/>
      <c r="K1250" s="4"/>
    </row>
    <row r="1251" spans="2:11">
      <c r="B1251" s="6"/>
      <c r="C1251" s="24"/>
      <c r="D1251" s="5"/>
      <c r="E1251" s="5"/>
      <c r="F1251" s="4"/>
      <c r="G1251" s="4"/>
      <c r="H1251" s="4"/>
      <c r="I1251" s="4"/>
      <c r="J1251" s="4"/>
      <c r="K1251" s="4"/>
    </row>
    <row r="1252" spans="2:11">
      <c r="B1252" s="6"/>
      <c r="C1252" s="24"/>
      <c r="D1252" s="5"/>
      <c r="E1252" s="5"/>
      <c r="F1252" s="4"/>
      <c r="G1252" s="4"/>
      <c r="H1252" s="4"/>
      <c r="I1252" s="4"/>
      <c r="J1252" s="4"/>
      <c r="K1252" s="4"/>
    </row>
    <row r="1253" spans="2:11">
      <c r="B1253" s="6"/>
      <c r="C1253" s="24"/>
      <c r="D1253" s="5"/>
      <c r="E1253" s="5"/>
      <c r="F1253" s="4"/>
      <c r="G1253" s="4"/>
      <c r="H1253" s="4"/>
      <c r="I1253" s="4"/>
      <c r="J1253" s="4"/>
      <c r="K1253" s="4"/>
    </row>
    <row r="1254" spans="2:11">
      <c r="B1254" s="6"/>
      <c r="C1254" s="24"/>
      <c r="D1254" s="5"/>
      <c r="E1254" s="5"/>
      <c r="F1254" s="4"/>
      <c r="G1254" s="4"/>
      <c r="H1254" s="4"/>
      <c r="I1254" s="4"/>
      <c r="J1254" s="4"/>
      <c r="K1254" s="4"/>
    </row>
    <row r="1255" spans="2:11">
      <c r="B1255" s="6"/>
      <c r="C1255" s="24"/>
      <c r="D1255" s="5"/>
      <c r="E1255" s="5"/>
      <c r="F1255" s="4"/>
      <c r="G1255" s="4"/>
      <c r="H1255" s="4"/>
      <c r="I1255" s="4"/>
      <c r="J1255" s="4"/>
      <c r="K1255" s="4"/>
    </row>
    <row r="1256" spans="2:11">
      <c r="B1256" s="6"/>
      <c r="C1256" s="24"/>
      <c r="D1256" s="5"/>
      <c r="E1256" s="5"/>
      <c r="F1256" s="4"/>
      <c r="G1256" s="4"/>
      <c r="H1256" s="4"/>
      <c r="I1256" s="4"/>
      <c r="J1256" s="4"/>
      <c r="K1256" s="4"/>
    </row>
    <row r="1257" spans="2:11">
      <c r="B1257" s="6"/>
      <c r="C1257" s="24"/>
      <c r="D1257" s="5"/>
      <c r="E1257" s="5"/>
      <c r="F1257" s="4"/>
      <c r="G1257" s="4"/>
      <c r="H1257" s="4"/>
      <c r="I1257" s="4"/>
      <c r="J1257" s="4"/>
      <c r="K1257" s="4"/>
    </row>
    <row r="1258" spans="2:11">
      <c r="B1258" s="6"/>
      <c r="C1258" s="24"/>
      <c r="D1258" s="5"/>
      <c r="E1258" s="5"/>
      <c r="F1258" s="4"/>
      <c r="G1258" s="4"/>
      <c r="H1258" s="4"/>
      <c r="I1258" s="4"/>
      <c r="J1258" s="4"/>
      <c r="K1258" s="4"/>
    </row>
    <row r="1259" spans="2:11">
      <c r="B1259" s="6"/>
      <c r="C1259" s="24"/>
      <c r="D1259" s="5"/>
      <c r="E1259" s="5"/>
      <c r="F1259" s="4"/>
      <c r="G1259" s="4"/>
      <c r="H1259" s="4"/>
      <c r="I1259" s="4"/>
      <c r="J1259" s="4"/>
      <c r="K1259" s="4"/>
    </row>
    <row r="1260" spans="2:11">
      <c r="B1260" s="6"/>
      <c r="C1260" s="24"/>
      <c r="D1260" s="5"/>
      <c r="E1260" s="5"/>
      <c r="F1260" s="4"/>
      <c r="G1260" s="4"/>
      <c r="H1260" s="4"/>
      <c r="I1260" s="4"/>
      <c r="J1260" s="4"/>
      <c r="K1260" s="4"/>
    </row>
    <row r="1261" spans="2:11">
      <c r="B1261" s="6"/>
      <c r="C1261" s="24"/>
      <c r="D1261" s="5"/>
      <c r="E1261" s="5"/>
      <c r="F1261" s="4"/>
      <c r="G1261" s="4"/>
      <c r="H1261" s="4"/>
      <c r="I1261" s="4"/>
      <c r="J1261" s="4"/>
      <c r="K1261" s="4"/>
    </row>
    <row r="1262" spans="2:11">
      <c r="B1262" s="6"/>
      <c r="C1262" s="24"/>
      <c r="D1262" s="5"/>
      <c r="E1262" s="5"/>
      <c r="F1262" s="4"/>
      <c r="G1262" s="4"/>
      <c r="H1262" s="4"/>
      <c r="I1262" s="4"/>
      <c r="J1262" s="4"/>
      <c r="K1262" s="4"/>
    </row>
    <row r="1263" spans="2:11">
      <c r="B1263" s="6"/>
      <c r="C1263" s="24"/>
      <c r="D1263" s="5"/>
      <c r="E1263" s="5"/>
      <c r="F1263" s="4"/>
      <c r="G1263" s="4"/>
      <c r="H1263" s="4"/>
      <c r="I1263" s="4"/>
      <c r="J1263" s="4"/>
      <c r="K1263" s="4"/>
    </row>
    <row r="1264" spans="2:11">
      <c r="B1264" s="6"/>
      <c r="C1264" s="24"/>
      <c r="D1264" s="5"/>
      <c r="E1264" s="5"/>
      <c r="F1264" s="4"/>
      <c r="G1264" s="4"/>
      <c r="H1264" s="4"/>
      <c r="I1264" s="4"/>
      <c r="J1264" s="4"/>
      <c r="K1264" s="4"/>
    </row>
    <row r="1265" spans="2:11">
      <c r="B1265" s="6"/>
      <c r="C1265" s="24"/>
      <c r="D1265" s="5"/>
      <c r="E1265" s="5"/>
      <c r="F1265" s="4"/>
      <c r="G1265" s="4"/>
      <c r="H1265" s="4"/>
      <c r="I1265" s="4"/>
      <c r="J1265" s="4"/>
      <c r="K1265" s="4"/>
    </row>
    <row r="1266" spans="2:11">
      <c r="B1266" s="6"/>
      <c r="C1266" s="24"/>
      <c r="D1266" s="5"/>
      <c r="E1266" s="5"/>
      <c r="F1266" s="4"/>
      <c r="G1266" s="4"/>
      <c r="H1266" s="4"/>
      <c r="I1266" s="4"/>
      <c r="J1266" s="4"/>
      <c r="K1266" s="4"/>
    </row>
    <row r="1267" spans="2:11">
      <c r="B1267" s="6"/>
      <c r="C1267" s="24"/>
      <c r="D1267" s="5"/>
      <c r="E1267" s="5"/>
      <c r="F1267" s="4"/>
      <c r="G1267" s="4"/>
      <c r="H1267" s="4"/>
      <c r="I1267" s="4"/>
      <c r="J1267" s="4"/>
      <c r="K1267" s="4"/>
    </row>
    <row r="1268" spans="2:11">
      <c r="B1268" s="6"/>
      <c r="C1268" s="24"/>
      <c r="D1268" s="5"/>
      <c r="E1268" s="5"/>
      <c r="F1268" s="4"/>
      <c r="G1268" s="4"/>
      <c r="H1268" s="4"/>
      <c r="I1268" s="4"/>
      <c r="J1268" s="4"/>
      <c r="K1268" s="4"/>
    </row>
    <row r="1269" spans="2:11">
      <c r="B1269" s="6"/>
      <c r="C1269" s="24"/>
      <c r="D1269" s="5"/>
      <c r="E1269" s="5"/>
      <c r="F1269" s="4"/>
      <c r="G1269" s="4"/>
      <c r="H1269" s="4"/>
      <c r="I1269" s="4"/>
      <c r="J1269" s="4"/>
      <c r="K1269" s="4"/>
    </row>
    <row r="1270" spans="2:11">
      <c r="B1270" s="6"/>
      <c r="C1270" s="24"/>
      <c r="D1270" s="5"/>
      <c r="E1270" s="5"/>
      <c r="F1270" s="4"/>
      <c r="G1270" s="4"/>
      <c r="H1270" s="4"/>
      <c r="I1270" s="4"/>
      <c r="J1270" s="4"/>
      <c r="K1270" s="4"/>
    </row>
    <row r="1271" spans="2:11">
      <c r="B1271" s="6"/>
      <c r="C1271" s="24"/>
      <c r="D1271" s="5"/>
      <c r="E1271" s="5"/>
      <c r="F1271" s="4"/>
      <c r="G1271" s="4"/>
      <c r="H1271" s="4"/>
      <c r="I1271" s="4"/>
      <c r="J1271" s="4"/>
      <c r="K1271" s="4"/>
    </row>
    <row r="1272" spans="2:11">
      <c r="B1272" s="6"/>
      <c r="C1272" s="24"/>
      <c r="D1272" s="5"/>
      <c r="E1272" s="5"/>
      <c r="F1272" s="4"/>
      <c r="G1272" s="4"/>
      <c r="H1272" s="4"/>
      <c r="I1272" s="4"/>
      <c r="J1272" s="4"/>
      <c r="K1272" s="4"/>
    </row>
    <row r="1273" spans="2:11">
      <c r="B1273" s="6"/>
      <c r="C1273" s="24"/>
      <c r="D1273" s="5"/>
      <c r="E1273" s="5"/>
      <c r="F1273" s="4"/>
      <c r="G1273" s="4"/>
      <c r="H1273" s="4"/>
      <c r="I1273" s="4"/>
      <c r="J1273" s="4"/>
      <c r="K1273" s="4"/>
    </row>
    <row r="1274" spans="2:11">
      <c r="B1274" s="6"/>
      <c r="C1274" s="24"/>
      <c r="D1274" s="5"/>
      <c r="E1274" s="5"/>
      <c r="F1274" s="4"/>
      <c r="G1274" s="4"/>
      <c r="H1274" s="4"/>
      <c r="I1274" s="4"/>
      <c r="J1274" s="4"/>
      <c r="K1274" s="4"/>
    </row>
    <row r="1275" spans="2:11">
      <c r="B1275" s="6"/>
      <c r="C1275" s="24"/>
      <c r="D1275" s="5"/>
      <c r="E1275" s="5"/>
      <c r="F1275" s="4"/>
      <c r="G1275" s="4"/>
      <c r="H1275" s="4"/>
      <c r="I1275" s="4"/>
      <c r="J1275" s="4"/>
      <c r="K1275" s="4"/>
    </row>
    <row r="1276" spans="2:11">
      <c r="B1276" s="6"/>
      <c r="C1276" s="24"/>
      <c r="D1276" s="5"/>
      <c r="E1276" s="5"/>
      <c r="F1276" s="4"/>
      <c r="G1276" s="4"/>
      <c r="H1276" s="4"/>
      <c r="I1276" s="4"/>
      <c r="J1276" s="4"/>
      <c r="K1276" s="4"/>
    </row>
    <row r="1277" spans="2:11">
      <c r="B1277" s="6"/>
      <c r="C1277" s="24"/>
      <c r="D1277" s="5"/>
      <c r="E1277" s="5"/>
      <c r="F1277" s="4"/>
      <c r="G1277" s="4"/>
      <c r="H1277" s="4"/>
      <c r="I1277" s="4"/>
      <c r="J1277" s="4"/>
      <c r="K1277" s="4"/>
    </row>
    <row r="1278" spans="2:11">
      <c r="B1278" s="6"/>
      <c r="C1278" s="24"/>
      <c r="D1278" s="5"/>
      <c r="E1278" s="5"/>
      <c r="F1278" s="4"/>
      <c r="G1278" s="4"/>
      <c r="H1278" s="4"/>
      <c r="I1278" s="4"/>
      <c r="J1278" s="4"/>
      <c r="K1278" s="4"/>
    </row>
    <row r="1279" spans="2:11">
      <c r="B1279" s="6"/>
      <c r="C1279" s="24"/>
      <c r="D1279" s="5"/>
      <c r="E1279" s="5"/>
      <c r="F1279" s="4"/>
      <c r="G1279" s="4"/>
      <c r="H1279" s="4"/>
      <c r="I1279" s="4"/>
      <c r="J1279" s="4"/>
      <c r="K1279" s="4"/>
    </row>
    <row r="1280" spans="2:11">
      <c r="B1280" s="6"/>
      <c r="C1280" s="24"/>
      <c r="D1280" s="5"/>
      <c r="E1280" s="5"/>
      <c r="F1280" s="4"/>
      <c r="G1280" s="4"/>
      <c r="H1280" s="4"/>
      <c r="I1280" s="4"/>
      <c r="J1280" s="4"/>
      <c r="K1280" s="4"/>
    </row>
    <row r="1281" spans="2:11">
      <c r="B1281" s="6"/>
      <c r="C1281" s="24"/>
      <c r="D1281" s="5"/>
      <c r="E1281" s="5"/>
      <c r="F1281" s="4"/>
      <c r="G1281" s="4"/>
      <c r="H1281" s="4"/>
      <c r="I1281" s="4"/>
      <c r="J1281" s="4"/>
      <c r="K1281" s="4"/>
    </row>
    <row r="1282" spans="2:11">
      <c r="B1282" s="6"/>
      <c r="C1282" s="24"/>
      <c r="D1282" s="5"/>
      <c r="E1282" s="5"/>
      <c r="F1282" s="4"/>
      <c r="G1282" s="4"/>
      <c r="H1282" s="4"/>
      <c r="I1282" s="4"/>
      <c r="J1282" s="4"/>
      <c r="K1282" s="4"/>
    </row>
    <row r="1283" spans="2:11">
      <c r="B1283" s="6"/>
      <c r="C1283" s="24"/>
      <c r="D1283" s="5"/>
      <c r="E1283" s="5"/>
      <c r="F1283" s="4"/>
      <c r="G1283" s="4"/>
      <c r="H1283" s="4"/>
      <c r="I1283" s="4"/>
      <c r="J1283" s="4"/>
      <c r="K1283" s="4"/>
    </row>
    <row r="1284" spans="2:11">
      <c r="B1284" s="6"/>
      <c r="C1284" s="24"/>
      <c r="D1284" s="5"/>
      <c r="E1284" s="5"/>
      <c r="F1284" s="4"/>
      <c r="G1284" s="4"/>
      <c r="H1284" s="4"/>
      <c r="I1284" s="4"/>
      <c r="J1284" s="4"/>
      <c r="K1284" s="4"/>
    </row>
    <row r="1285" spans="2:11">
      <c r="B1285" s="6"/>
      <c r="C1285" s="24"/>
      <c r="D1285" s="5"/>
      <c r="E1285" s="5"/>
      <c r="F1285" s="4"/>
      <c r="G1285" s="4"/>
      <c r="H1285" s="4"/>
      <c r="I1285" s="4"/>
      <c r="J1285" s="4"/>
      <c r="K1285" s="4"/>
    </row>
    <row r="1286" spans="2:11">
      <c r="B1286" s="6"/>
      <c r="C1286" s="24"/>
      <c r="D1286" s="5"/>
      <c r="E1286" s="5"/>
      <c r="F1286" s="4"/>
      <c r="G1286" s="4"/>
      <c r="H1286" s="4"/>
      <c r="I1286" s="4"/>
      <c r="J1286" s="4"/>
      <c r="K1286" s="4"/>
    </row>
    <row r="1287" spans="2:11">
      <c r="B1287" s="6"/>
      <c r="C1287" s="24"/>
      <c r="D1287" s="5"/>
      <c r="E1287" s="5"/>
      <c r="F1287" s="4"/>
      <c r="G1287" s="4"/>
      <c r="H1287" s="4"/>
      <c r="I1287" s="4"/>
      <c r="J1287" s="4"/>
      <c r="K1287" s="4"/>
    </row>
    <row r="1288" spans="2:11">
      <c r="B1288" s="6"/>
      <c r="C1288" s="24"/>
      <c r="D1288" s="5"/>
      <c r="E1288" s="5"/>
      <c r="F1288" s="4"/>
      <c r="G1288" s="4"/>
      <c r="H1288" s="4"/>
      <c r="I1288" s="4"/>
      <c r="J1288" s="4"/>
      <c r="K1288" s="4"/>
    </row>
    <row r="1289" spans="2:11">
      <c r="B1289" s="6"/>
      <c r="C1289" s="24"/>
      <c r="D1289" s="5"/>
      <c r="E1289" s="5"/>
      <c r="F1289" s="4"/>
      <c r="G1289" s="4"/>
      <c r="H1289" s="4"/>
      <c r="I1289" s="4"/>
      <c r="J1289" s="4"/>
      <c r="K1289" s="4"/>
    </row>
    <row r="1290" spans="2:11">
      <c r="B1290" s="6"/>
      <c r="C1290" s="24"/>
      <c r="D1290" s="5"/>
      <c r="E1290" s="5"/>
      <c r="F1290" s="4"/>
      <c r="G1290" s="4"/>
      <c r="H1290" s="4"/>
      <c r="I1290" s="4"/>
      <c r="J1290" s="4"/>
      <c r="K1290" s="4"/>
    </row>
    <row r="1291" spans="2:11">
      <c r="B1291" s="6"/>
      <c r="C1291" s="24"/>
      <c r="D1291" s="5"/>
      <c r="E1291" s="5"/>
      <c r="F1291" s="4"/>
      <c r="G1291" s="4"/>
      <c r="H1291" s="4"/>
      <c r="I1291" s="4"/>
      <c r="J1291" s="4"/>
      <c r="K1291" s="4"/>
    </row>
    <row r="1292" spans="2:11">
      <c r="B1292" s="6"/>
      <c r="C1292" s="24"/>
      <c r="D1292" s="5"/>
      <c r="E1292" s="5"/>
      <c r="F1292" s="4"/>
      <c r="G1292" s="4"/>
      <c r="H1292" s="4"/>
      <c r="I1292" s="4"/>
      <c r="J1292" s="4"/>
      <c r="K1292" s="4"/>
    </row>
    <row r="1293" spans="2:11">
      <c r="B1293" s="6"/>
      <c r="C1293" s="24"/>
      <c r="D1293" s="5"/>
      <c r="E1293" s="5"/>
      <c r="F1293" s="4"/>
      <c r="G1293" s="4"/>
      <c r="H1293" s="4"/>
      <c r="I1293" s="4"/>
      <c r="J1293" s="4"/>
      <c r="K1293" s="4"/>
    </row>
    <row r="1294" spans="2:11">
      <c r="B1294" s="6"/>
      <c r="C1294" s="24"/>
      <c r="D1294" s="5"/>
      <c r="E1294" s="5"/>
      <c r="F1294" s="4"/>
      <c r="G1294" s="4"/>
      <c r="H1294" s="4"/>
      <c r="I1294" s="4"/>
      <c r="J1294" s="4"/>
      <c r="K1294" s="4"/>
    </row>
    <row r="1295" spans="2:11">
      <c r="B1295" s="6"/>
      <c r="C1295" s="24"/>
      <c r="D1295" s="5"/>
      <c r="E1295" s="5"/>
      <c r="F1295" s="4"/>
      <c r="G1295" s="4"/>
      <c r="H1295" s="4"/>
      <c r="I1295" s="4"/>
      <c r="J1295" s="4"/>
      <c r="K1295" s="4"/>
    </row>
    <row r="1296" spans="2:11">
      <c r="B1296" s="6"/>
      <c r="C1296" s="24"/>
      <c r="D1296" s="5"/>
      <c r="E1296" s="5"/>
      <c r="F1296" s="4"/>
      <c r="G1296" s="4"/>
      <c r="H1296" s="4"/>
      <c r="I1296" s="4"/>
      <c r="J1296" s="4"/>
      <c r="K1296" s="4"/>
    </row>
    <row r="1297" spans="2:11">
      <c r="B1297" s="6"/>
      <c r="C1297" s="24"/>
      <c r="D1297" s="5"/>
      <c r="E1297" s="5"/>
      <c r="F1297" s="4"/>
      <c r="G1297" s="4"/>
      <c r="H1297" s="4"/>
      <c r="I1297" s="4"/>
      <c r="J1297" s="4"/>
      <c r="K1297" s="4"/>
    </row>
    <row r="1298" spans="2:11">
      <c r="B1298" s="6"/>
      <c r="C1298" s="24"/>
      <c r="D1298" s="5"/>
      <c r="E1298" s="5"/>
      <c r="F1298" s="4"/>
      <c r="G1298" s="4"/>
      <c r="H1298" s="4"/>
      <c r="I1298" s="4"/>
      <c r="J1298" s="4"/>
      <c r="K1298" s="4"/>
    </row>
    <row r="1299" spans="2:11">
      <c r="B1299" s="6"/>
      <c r="C1299" s="24"/>
      <c r="D1299" s="5"/>
      <c r="E1299" s="5"/>
      <c r="F1299" s="4"/>
      <c r="G1299" s="4"/>
      <c r="H1299" s="4"/>
      <c r="I1299" s="4"/>
      <c r="J1299" s="4"/>
      <c r="K1299" s="4"/>
    </row>
    <row r="1300" spans="2:11">
      <c r="B1300" s="6"/>
      <c r="C1300" s="24"/>
      <c r="D1300" s="5"/>
      <c r="E1300" s="5"/>
      <c r="F1300" s="4"/>
      <c r="G1300" s="4"/>
      <c r="H1300" s="4"/>
      <c r="I1300" s="4"/>
      <c r="J1300" s="4"/>
      <c r="K1300" s="4"/>
    </row>
    <row r="1301" spans="2:11">
      <c r="B1301" s="6"/>
      <c r="C1301" s="24"/>
      <c r="D1301" s="5"/>
      <c r="E1301" s="5"/>
      <c r="F1301" s="4"/>
      <c r="G1301" s="4"/>
      <c r="H1301" s="4"/>
      <c r="I1301" s="4"/>
      <c r="J1301" s="4"/>
      <c r="K1301" s="4"/>
    </row>
    <row r="1302" spans="2:11">
      <c r="B1302" s="6"/>
      <c r="C1302" s="24"/>
      <c r="D1302" s="5"/>
      <c r="E1302" s="5"/>
      <c r="F1302" s="4"/>
      <c r="G1302" s="4"/>
      <c r="H1302" s="4"/>
      <c r="I1302" s="4"/>
      <c r="J1302" s="4"/>
      <c r="K1302" s="4"/>
    </row>
    <row r="1303" spans="2:11">
      <c r="B1303" s="6"/>
      <c r="C1303" s="24"/>
      <c r="D1303" s="5"/>
      <c r="E1303" s="5"/>
      <c r="F1303" s="4"/>
      <c r="G1303" s="4"/>
      <c r="H1303" s="4"/>
      <c r="I1303" s="4"/>
      <c r="J1303" s="4"/>
      <c r="K1303" s="4"/>
    </row>
    <row r="1304" spans="2:11">
      <c r="B1304" s="6"/>
      <c r="C1304" s="24"/>
      <c r="D1304" s="5"/>
      <c r="E1304" s="5"/>
      <c r="F1304" s="4"/>
      <c r="G1304" s="4"/>
      <c r="H1304" s="4"/>
      <c r="I1304" s="4"/>
      <c r="J1304" s="4"/>
      <c r="K1304" s="4"/>
    </row>
    <row r="1305" spans="2:11">
      <c r="B1305" s="6"/>
      <c r="C1305" s="24"/>
      <c r="D1305" s="5"/>
      <c r="E1305" s="5"/>
      <c r="F1305" s="4"/>
      <c r="G1305" s="4"/>
      <c r="H1305" s="4"/>
      <c r="I1305" s="4"/>
      <c r="J1305" s="4"/>
      <c r="K1305" s="4"/>
    </row>
    <row r="1306" spans="2:11">
      <c r="B1306" s="6"/>
      <c r="C1306" s="24"/>
      <c r="D1306" s="5"/>
      <c r="E1306" s="5"/>
      <c r="F1306" s="4"/>
      <c r="G1306" s="4"/>
      <c r="H1306" s="4"/>
      <c r="I1306" s="4"/>
      <c r="J1306" s="4"/>
      <c r="K1306" s="4"/>
    </row>
    <row r="1307" spans="2:11">
      <c r="B1307" s="6"/>
      <c r="C1307" s="24"/>
      <c r="D1307" s="5"/>
      <c r="E1307" s="5"/>
      <c r="F1307" s="4"/>
      <c r="G1307" s="4"/>
      <c r="H1307" s="4"/>
      <c r="I1307" s="4"/>
      <c r="J1307" s="4"/>
      <c r="K1307" s="4"/>
    </row>
    <row r="1308" spans="2:11">
      <c r="B1308" s="6"/>
      <c r="C1308" s="24"/>
      <c r="D1308" s="5"/>
      <c r="E1308" s="5"/>
      <c r="F1308" s="4"/>
      <c r="G1308" s="4"/>
      <c r="H1308" s="4"/>
      <c r="I1308" s="4"/>
      <c r="J1308" s="4"/>
      <c r="K1308" s="4"/>
    </row>
    <row r="1309" spans="2:11">
      <c r="B1309" s="6"/>
      <c r="C1309" s="24"/>
      <c r="D1309" s="5"/>
      <c r="E1309" s="5"/>
      <c r="F1309" s="4"/>
      <c r="G1309" s="4"/>
      <c r="H1309" s="4"/>
      <c r="I1309" s="4"/>
      <c r="J1309" s="4"/>
      <c r="K1309" s="4"/>
    </row>
    <row r="1310" spans="2:11">
      <c r="B1310" s="6"/>
      <c r="C1310" s="24"/>
      <c r="D1310" s="5"/>
      <c r="E1310" s="5"/>
      <c r="F1310" s="4"/>
      <c r="G1310" s="4"/>
      <c r="H1310" s="4"/>
      <c r="I1310" s="4"/>
      <c r="J1310" s="4"/>
      <c r="K1310" s="4"/>
    </row>
    <row r="1311" spans="2:11">
      <c r="B1311" s="6"/>
      <c r="C1311" s="24"/>
      <c r="D1311" s="5"/>
      <c r="E1311" s="5"/>
      <c r="F1311" s="4"/>
      <c r="G1311" s="4"/>
      <c r="H1311" s="4"/>
      <c r="I1311" s="4"/>
      <c r="J1311" s="4"/>
      <c r="K1311" s="4"/>
    </row>
    <row r="1312" spans="2:11">
      <c r="B1312" s="6"/>
      <c r="C1312" s="24"/>
      <c r="D1312" s="5"/>
      <c r="E1312" s="5"/>
      <c r="F1312" s="4"/>
      <c r="G1312" s="4"/>
      <c r="H1312" s="4"/>
      <c r="I1312" s="4"/>
      <c r="J1312" s="4"/>
      <c r="K1312" s="4"/>
    </row>
    <row r="1313" spans="2:11">
      <c r="B1313" s="6"/>
      <c r="C1313" s="24"/>
      <c r="D1313" s="5"/>
      <c r="E1313" s="5"/>
      <c r="F1313" s="4"/>
      <c r="G1313" s="4"/>
      <c r="H1313" s="4"/>
      <c r="I1313" s="4"/>
      <c r="J1313" s="4"/>
      <c r="K1313" s="4"/>
    </row>
    <row r="1314" spans="2:11">
      <c r="B1314" s="6"/>
      <c r="C1314" s="24"/>
      <c r="D1314" s="5"/>
      <c r="E1314" s="5"/>
      <c r="F1314" s="4"/>
      <c r="G1314" s="4"/>
      <c r="H1314" s="4"/>
      <c r="I1314" s="4"/>
      <c r="J1314" s="4"/>
      <c r="K1314" s="4"/>
    </row>
    <row r="1315" spans="2:11">
      <c r="B1315" s="6"/>
      <c r="C1315" s="24"/>
      <c r="D1315" s="5"/>
      <c r="E1315" s="5"/>
      <c r="F1315" s="4"/>
      <c r="G1315" s="4"/>
      <c r="H1315" s="4"/>
      <c r="I1315" s="4"/>
      <c r="J1315" s="4"/>
      <c r="K1315" s="4"/>
    </row>
    <row r="1316" spans="2:11">
      <c r="B1316" s="6"/>
      <c r="C1316" s="24"/>
      <c r="D1316" s="5"/>
      <c r="E1316" s="5"/>
      <c r="F1316" s="4"/>
      <c r="G1316" s="4"/>
      <c r="H1316" s="4"/>
      <c r="I1316" s="4"/>
      <c r="J1316" s="4"/>
      <c r="K1316" s="4"/>
    </row>
    <row r="1317" spans="2:11">
      <c r="B1317" s="6"/>
      <c r="C1317" s="24"/>
      <c r="D1317" s="5"/>
      <c r="E1317" s="5"/>
      <c r="F1317" s="4"/>
      <c r="G1317" s="4"/>
      <c r="H1317" s="4"/>
      <c r="I1317" s="4"/>
      <c r="J1317" s="4"/>
      <c r="K1317" s="4"/>
    </row>
    <row r="1318" spans="2:11">
      <c r="B1318" s="6"/>
      <c r="C1318" s="24"/>
      <c r="D1318" s="5"/>
      <c r="E1318" s="5"/>
      <c r="F1318" s="4"/>
      <c r="G1318" s="4"/>
      <c r="H1318" s="4"/>
      <c r="I1318" s="4"/>
      <c r="J1318" s="4"/>
      <c r="K1318" s="4"/>
    </row>
    <row r="1319" spans="2:11">
      <c r="B1319" s="6"/>
      <c r="C1319" s="24"/>
      <c r="D1319" s="5"/>
      <c r="E1319" s="5"/>
      <c r="F1319" s="4"/>
      <c r="G1319" s="4"/>
      <c r="H1319" s="4"/>
      <c r="I1319" s="4"/>
      <c r="J1319" s="4"/>
      <c r="K1319" s="4"/>
    </row>
    <row r="1320" spans="2:11">
      <c r="B1320" s="6"/>
      <c r="C1320" s="24"/>
      <c r="D1320" s="5"/>
      <c r="E1320" s="5"/>
      <c r="F1320" s="4"/>
      <c r="G1320" s="4"/>
      <c r="H1320" s="4"/>
      <c r="I1320" s="4"/>
      <c r="J1320" s="4"/>
      <c r="K1320" s="4"/>
    </row>
    <row r="1321" spans="2:11">
      <c r="B1321" s="6"/>
      <c r="C1321" s="24"/>
      <c r="D1321" s="5"/>
      <c r="E1321" s="5"/>
      <c r="F1321" s="4"/>
      <c r="G1321" s="4"/>
      <c r="H1321" s="4"/>
      <c r="I1321" s="4"/>
      <c r="J1321" s="4"/>
      <c r="K1321" s="4"/>
    </row>
    <row r="1322" spans="2:11">
      <c r="B1322" s="6"/>
      <c r="C1322" s="24"/>
      <c r="D1322" s="5"/>
      <c r="E1322" s="5"/>
      <c r="F1322" s="4"/>
      <c r="G1322" s="4"/>
      <c r="H1322" s="4"/>
      <c r="I1322" s="4"/>
      <c r="J1322" s="4"/>
      <c r="K1322" s="4"/>
    </row>
    <row r="1323" spans="2:11">
      <c r="B1323" s="6"/>
      <c r="C1323" s="24"/>
      <c r="D1323" s="5"/>
      <c r="E1323" s="5"/>
      <c r="F1323" s="4"/>
      <c r="G1323" s="4"/>
      <c r="H1323" s="4"/>
      <c r="I1323" s="4"/>
      <c r="J1323" s="4"/>
      <c r="K1323" s="4"/>
    </row>
    <row r="1324" spans="2:11">
      <c r="B1324" s="6"/>
      <c r="C1324" s="24"/>
      <c r="D1324" s="5"/>
      <c r="E1324" s="5"/>
      <c r="F1324" s="4"/>
      <c r="G1324" s="4"/>
      <c r="H1324" s="4"/>
      <c r="I1324" s="4"/>
      <c r="J1324" s="4"/>
      <c r="K1324" s="4"/>
    </row>
    <row r="1325" spans="2:11">
      <c r="B1325" s="6"/>
      <c r="C1325" s="24"/>
      <c r="D1325" s="5"/>
      <c r="E1325" s="5"/>
      <c r="F1325" s="4"/>
      <c r="G1325" s="4"/>
      <c r="H1325" s="4"/>
      <c r="I1325" s="4"/>
      <c r="J1325" s="4"/>
      <c r="K1325" s="4"/>
    </row>
    <row r="1326" spans="2:11">
      <c r="B1326" s="6"/>
      <c r="C1326" s="24"/>
      <c r="D1326" s="5"/>
      <c r="E1326" s="5"/>
      <c r="F1326" s="4"/>
      <c r="G1326" s="4"/>
      <c r="H1326" s="4"/>
      <c r="I1326" s="4"/>
      <c r="J1326" s="4"/>
      <c r="K1326" s="4"/>
    </row>
    <row r="1327" spans="2:11">
      <c r="B1327" s="6"/>
      <c r="C1327" s="24"/>
      <c r="D1327" s="5"/>
      <c r="E1327" s="5"/>
      <c r="F1327" s="4"/>
      <c r="G1327" s="4"/>
      <c r="H1327" s="4"/>
      <c r="I1327" s="4"/>
      <c r="J1327" s="4"/>
      <c r="K1327" s="4"/>
    </row>
    <row r="1328" spans="2:11">
      <c r="B1328" s="6"/>
      <c r="C1328" s="24"/>
      <c r="D1328" s="5"/>
      <c r="E1328" s="5"/>
      <c r="F1328" s="4"/>
      <c r="G1328" s="4"/>
      <c r="H1328" s="4"/>
      <c r="I1328" s="4"/>
      <c r="J1328" s="4"/>
      <c r="K1328" s="4"/>
    </row>
    <row r="1329" spans="2:11">
      <c r="B1329" s="6"/>
      <c r="C1329" s="24"/>
      <c r="D1329" s="5"/>
      <c r="E1329" s="5"/>
      <c r="F1329" s="4"/>
      <c r="G1329" s="4"/>
      <c r="H1329" s="4"/>
      <c r="I1329" s="4"/>
      <c r="J1329" s="4"/>
      <c r="K1329" s="4"/>
    </row>
    <row r="1330" spans="2:11">
      <c r="B1330" s="6"/>
      <c r="C1330" s="24"/>
      <c r="D1330" s="5"/>
      <c r="E1330" s="5"/>
      <c r="F1330" s="4"/>
      <c r="G1330" s="4"/>
      <c r="H1330" s="4"/>
      <c r="I1330" s="4"/>
      <c r="J1330" s="4"/>
      <c r="K1330" s="4"/>
    </row>
    <row r="1331" spans="2:11">
      <c r="B1331" s="6"/>
      <c r="C1331" s="24"/>
      <c r="D1331" s="5"/>
      <c r="E1331" s="5"/>
      <c r="F1331" s="4"/>
      <c r="G1331" s="4"/>
      <c r="H1331" s="4"/>
      <c r="I1331" s="4"/>
      <c r="J1331" s="4"/>
      <c r="K1331" s="4"/>
    </row>
    <row r="1332" spans="2:11">
      <c r="B1332" s="6"/>
      <c r="C1332" s="24"/>
      <c r="D1332" s="5"/>
      <c r="E1332" s="5"/>
      <c r="F1332" s="4"/>
      <c r="G1332" s="4"/>
      <c r="H1332" s="4"/>
      <c r="I1332" s="4"/>
      <c r="J1332" s="4"/>
      <c r="K1332" s="4"/>
    </row>
    <row r="1333" spans="2:11">
      <c r="B1333" s="6"/>
      <c r="C1333" s="24"/>
      <c r="D1333" s="5"/>
      <c r="E1333" s="5"/>
      <c r="F1333" s="4"/>
      <c r="G1333" s="4"/>
      <c r="H1333" s="4"/>
      <c r="I1333" s="4"/>
      <c r="J1333" s="4"/>
      <c r="K1333" s="4"/>
    </row>
    <row r="1334" spans="2:11">
      <c r="B1334" s="6"/>
      <c r="C1334" s="24"/>
      <c r="D1334" s="5"/>
      <c r="E1334" s="5"/>
      <c r="F1334" s="4"/>
      <c r="G1334" s="4"/>
      <c r="H1334" s="4"/>
      <c r="I1334" s="4"/>
      <c r="J1334" s="4"/>
      <c r="K1334" s="4"/>
    </row>
    <row r="1335" spans="2:11">
      <c r="B1335" s="6"/>
      <c r="C1335" s="24"/>
      <c r="D1335" s="5"/>
      <c r="E1335" s="5"/>
      <c r="F1335" s="4"/>
      <c r="G1335" s="4"/>
      <c r="H1335" s="4"/>
      <c r="I1335" s="4"/>
      <c r="J1335" s="4"/>
      <c r="K1335" s="4"/>
    </row>
    <row r="1336" spans="2:11">
      <c r="B1336" s="6"/>
      <c r="C1336" s="24"/>
      <c r="D1336" s="5"/>
      <c r="E1336" s="5"/>
      <c r="F1336" s="4"/>
      <c r="G1336" s="4"/>
      <c r="H1336" s="4"/>
      <c r="I1336" s="4"/>
      <c r="J1336" s="4"/>
      <c r="K1336" s="4"/>
    </row>
    <row r="1337" spans="2:11">
      <c r="B1337" s="6"/>
      <c r="C1337" s="24"/>
      <c r="D1337" s="5"/>
      <c r="E1337" s="5"/>
      <c r="F1337" s="4"/>
      <c r="G1337" s="4"/>
      <c r="H1337" s="4"/>
      <c r="I1337" s="4"/>
      <c r="J1337" s="4"/>
      <c r="K1337" s="4"/>
    </row>
    <row r="1338" spans="2:11">
      <c r="B1338" s="6"/>
      <c r="C1338" s="24"/>
      <c r="D1338" s="5"/>
      <c r="E1338" s="5"/>
      <c r="F1338" s="4"/>
      <c r="G1338" s="4"/>
      <c r="H1338" s="4"/>
      <c r="I1338" s="4"/>
      <c r="J1338" s="4"/>
      <c r="K1338" s="4"/>
    </row>
    <row r="1339" spans="2:11">
      <c r="B1339" s="6"/>
      <c r="C1339" s="24"/>
      <c r="D1339" s="5"/>
      <c r="E1339" s="5"/>
      <c r="F1339" s="4"/>
      <c r="G1339" s="4"/>
      <c r="H1339" s="4"/>
      <c r="I1339" s="4"/>
      <c r="J1339" s="4"/>
      <c r="K1339" s="4"/>
    </row>
    <row r="1340" spans="2:11">
      <c r="B1340" s="6"/>
      <c r="C1340" s="24"/>
      <c r="D1340" s="5"/>
      <c r="E1340" s="5"/>
      <c r="F1340" s="4"/>
      <c r="G1340" s="4"/>
      <c r="H1340" s="4"/>
      <c r="I1340" s="4"/>
      <c r="J1340" s="4"/>
      <c r="K1340" s="4"/>
    </row>
    <row r="1341" spans="2:11">
      <c r="B1341" s="6"/>
      <c r="C1341" s="24"/>
      <c r="D1341" s="5"/>
      <c r="E1341" s="5"/>
      <c r="F1341" s="4"/>
      <c r="G1341" s="4"/>
      <c r="H1341" s="4"/>
      <c r="I1341" s="4"/>
      <c r="J1341" s="4"/>
      <c r="K1341" s="4"/>
    </row>
    <row r="1342" spans="2:11">
      <c r="B1342" s="6"/>
      <c r="C1342" s="24"/>
      <c r="D1342" s="5"/>
      <c r="E1342" s="5"/>
      <c r="F1342" s="4"/>
      <c r="G1342" s="4"/>
      <c r="H1342" s="4"/>
      <c r="I1342" s="4"/>
      <c r="J1342" s="4"/>
      <c r="K1342" s="4"/>
    </row>
    <row r="1343" spans="2:11">
      <c r="B1343" s="6"/>
      <c r="C1343" s="24"/>
      <c r="D1343" s="5"/>
      <c r="E1343" s="5"/>
      <c r="F1343" s="4"/>
      <c r="G1343" s="4"/>
      <c r="H1343" s="4"/>
      <c r="I1343" s="4"/>
      <c r="J1343" s="4"/>
      <c r="K1343" s="4"/>
    </row>
    <row r="1344" spans="2:11">
      <c r="B1344" s="6"/>
      <c r="C1344" s="24"/>
      <c r="D1344" s="5"/>
      <c r="E1344" s="5"/>
      <c r="F1344" s="4"/>
      <c r="G1344" s="4"/>
      <c r="H1344" s="4"/>
      <c r="I1344" s="4"/>
      <c r="J1344" s="4"/>
      <c r="K1344" s="4"/>
    </row>
    <row r="1345" spans="2:11">
      <c r="B1345" s="6"/>
      <c r="C1345" s="24"/>
      <c r="D1345" s="5"/>
      <c r="E1345" s="5"/>
      <c r="F1345" s="4"/>
      <c r="G1345" s="4"/>
      <c r="H1345" s="4"/>
      <c r="I1345" s="4"/>
      <c r="J1345" s="4"/>
      <c r="K1345" s="4"/>
    </row>
    <row r="1346" spans="2:11">
      <c r="B1346" s="6"/>
      <c r="C1346" s="24"/>
      <c r="D1346" s="5"/>
      <c r="E1346" s="5"/>
      <c r="F1346" s="4"/>
      <c r="G1346" s="4"/>
      <c r="H1346" s="4"/>
      <c r="I1346" s="4"/>
      <c r="J1346" s="4"/>
      <c r="K1346" s="4"/>
    </row>
    <row r="1347" spans="2:11">
      <c r="B1347" s="6"/>
      <c r="C1347" s="24"/>
      <c r="D1347" s="5"/>
      <c r="E1347" s="5"/>
      <c r="F1347" s="4"/>
      <c r="G1347" s="4"/>
      <c r="H1347" s="4"/>
      <c r="I1347" s="4"/>
      <c r="J1347" s="4"/>
      <c r="K1347" s="4"/>
    </row>
    <row r="1348" spans="2:11">
      <c r="B1348" s="6"/>
      <c r="C1348" s="24"/>
      <c r="D1348" s="5"/>
      <c r="E1348" s="5"/>
      <c r="F1348" s="4"/>
      <c r="G1348" s="4"/>
      <c r="H1348" s="4"/>
      <c r="I1348" s="4"/>
      <c r="J1348" s="4"/>
      <c r="K1348" s="4"/>
    </row>
    <row r="1349" spans="2:11">
      <c r="B1349" s="6"/>
      <c r="C1349" s="24"/>
      <c r="D1349" s="5"/>
      <c r="E1349" s="5"/>
      <c r="F1349" s="4"/>
      <c r="G1349" s="4"/>
      <c r="H1349" s="4"/>
      <c r="I1349" s="4"/>
      <c r="J1349" s="4"/>
      <c r="K1349" s="4"/>
    </row>
    <row r="1350" spans="2:11">
      <c r="B1350" s="6"/>
      <c r="C1350" s="24"/>
      <c r="D1350" s="5"/>
      <c r="E1350" s="5"/>
      <c r="F1350" s="4"/>
      <c r="G1350" s="4"/>
      <c r="H1350" s="4"/>
      <c r="I1350" s="4"/>
      <c r="J1350" s="4"/>
      <c r="K1350" s="4"/>
    </row>
    <row r="1351" spans="2:11">
      <c r="B1351" s="6"/>
      <c r="C1351" s="24"/>
      <c r="D1351" s="5"/>
      <c r="E1351" s="5"/>
      <c r="F1351" s="4"/>
      <c r="G1351" s="4"/>
      <c r="H1351" s="4"/>
      <c r="I1351" s="4"/>
      <c r="J1351" s="4"/>
      <c r="K1351" s="4"/>
    </row>
    <row r="1352" spans="2:11">
      <c r="B1352" s="6"/>
      <c r="C1352" s="24"/>
      <c r="D1352" s="5"/>
      <c r="E1352" s="5"/>
      <c r="F1352" s="4"/>
      <c r="G1352" s="4"/>
      <c r="H1352" s="4"/>
      <c r="I1352" s="4"/>
      <c r="J1352" s="4"/>
      <c r="K1352" s="4"/>
    </row>
    <row r="1353" spans="2:11">
      <c r="B1353" s="6"/>
      <c r="C1353" s="24"/>
      <c r="D1353" s="5"/>
      <c r="E1353" s="5"/>
      <c r="F1353" s="4"/>
      <c r="G1353" s="4"/>
      <c r="H1353" s="4"/>
      <c r="I1353" s="4"/>
      <c r="J1353" s="4"/>
      <c r="K1353" s="4"/>
    </row>
    <row r="1354" spans="2:11">
      <c r="B1354" s="6"/>
      <c r="C1354" s="24"/>
      <c r="D1354" s="5"/>
      <c r="E1354" s="5"/>
      <c r="F1354" s="4"/>
      <c r="G1354" s="4"/>
      <c r="H1354" s="4"/>
      <c r="I1354" s="4"/>
      <c r="J1354" s="4"/>
      <c r="K1354" s="4"/>
    </row>
    <row r="1355" spans="2:11">
      <c r="B1355" s="6"/>
      <c r="C1355" s="24"/>
      <c r="D1355" s="5"/>
      <c r="E1355" s="5"/>
      <c r="F1355" s="4"/>
      <c r="G1355" s="4"/>
      <c r="H1355" s="4"/>
      <c r="I1355" s="4"/>
      <c r="J1355" s="4"/>
      <c r="K1355" s="4"/>
    </row>
    <row r="1356" spans="2:11">
      <c r="B1356" s="6"/>
      <c r="C1356" s="24"/>
      <c r="D1356" s="5"/>
      <c r="E1356" s="5"/>
      <c r="F1356" s="4"/>
      <c r="G1356" s="4"/>
      <c r="H1356" s="4"/>
      <c r="I1356" s="4"/>
      <c r="J1356" s="4"/>
      <c r="K1356" s="4"/>
    </row>
    <row r="1357" spans="2:11">
      <c r="B1357" s="6"/>
      <c r="C1357" s="24"/>
      <c r="D1357" s="5"/>
      <c r="E1357" s="5"/>
      <c r="F1357" s="4"/>
      <c r="G1357" s="4"/>
      <c r="H1357" s="4"/>
      <c r="I1357" s="4"/>
      <c r="J1357" s="4"/>
      <c r="K1357" s="4"/>
    </row>
    <row r="1358" spans="2:11">
      <c r="B1358" s="6"/>
      <c r="C1358" s="24"/>
      <c r="D1358" s="5"/>
      <c r="E1358" s="5"/>
      <c r="F1358" s="4"/>
      <c r="G1358" s="4"/>
      <c r="H1358" s="4"/>
      <c r="I1358" s="4"/>
      <c r="J1358" s="4"/>
      <c r="K1358" s="4"/>
    </row>
    <row r="1359" spans="2:11">
      <c r="B1359" s="6"/>
      <c r="C1359" s="24"/>
      <c r="D1359" s="5"/>
      <c r="E1359" s="5"/>
      <c r="F1359" s="4"/>
      <c r="G1359" s="4"/>
      <c r="H1359" s="4"/>
      <c r="I1359" s="4"/>
      <c r="J1359" s="4"/>
      <c r="K1359" s="4"/>
    </row>
    <row r="1360" spans="2:11">
      <c r="B1360" s="6"/>
      <c r="C1360" s="24"/>
      <c r="D1360" s="5"/>
      <c r="E1360" s="5"/>
      <c r="F1360" s="4"/>
      <c r="G1360" s="4"/>
      <c r="H1360" s="4"/>
      <c r="I1360" s="4"/>
      <c r="J1360" s="4"/>
      <c r="K1360" s="4"/>
    </row>
    <row r="1361" spans="2:11">
      <c r="B1361" s="6"/>
      <c r="C1361" s="24"/>
      <c r="D1361" s="5"/>
      <c r="E1361" s="5"/>
      <c r="F1361" s="4"/>
      <c r="G1361" s="4"/>
      <c r="H1361" s="4"/>
      <c r="I1361" s="4"/>
      <c r="J1361" s="4"/>
      <c r="K1361" s="4"/>
    </row>
    <row r="1362" spans="2:11">
      <c r="B1362" s="6"/>
      <c r="C1362" s="24"/>
      <c r="D1362" s="5"/>
      <c r="E1362" s="5"/>
      <c r="F1362" s="4"/>
      <c r="G1362" s="4"/>
      <c r="H1362" s="4"/>
      <c r="I1362" s="4"/>
      <c r="J1362" s="4"/>
      <c r="K1362" s="4"/>
    </row>
    <row r="1363" spans="2:11">
      <c r="B1363" s="6"/>
      <c r="C1363" s="24"/>
      <c r="D1363" s="5"/>
      <c r="E1363" s="5"/>
      <c r="F1363" s="4"/>
      <c r="G1363" s="4"/>
      <c r="H1363" s="4"/>
      <c r="I1363" s="4"/>
      <c r="J1363" s="4"/>
      <c r="K1363" s="4"/>
    </row>
    <row r="1364" spans="2:11">
      <c r="B1364" s="6"/>
      <c r="C1364" s="24"/>
      <c r="D1364" s="5"/>
      <c r="E1364" s="5"/>
      <c r="F1364" s="4"/>
      <c r="G1364" s="4"/>
      <c r="H1364" s="4"/>
      <c r="I1364" s="4"/>
      <c r="J1364" s="4"/>
      <c r="K1364" s="4"/>
    </row>
    <row r="1365" spans="2:11">
      <c r="B1365" s="6"/>
      <c r="C1365" s="24"/>
      <c r="D1365" s="5"/>
      <c r="E1365" s="5"/>
      <c r="F1365" s="4"/>
      <c r="G1365" s="4"/>
      <c r="H1365" s="4"/>
      <c r="I1365" s="4"/>
      <c r="J1365" s="4"/>
      <c r="K1365" s="4"/>
    </row>
    <row r="1366" spans="2:11">
      <c r="B1366" s="6"/>
      <c r="C1366" s="24"/>
      <c r="D1366" s="5"/>
      <c r="E1366" s="5"/>
      <c r="F1366" s="4"/>
      <c r="G1366" s="4"/>
      <c r="H1366" s="4"/>
      <c r="I1366" s="4"/>
      <c r="J1366" s="4"/>
      <c r="K1366" s="4"/>
    </row>
    <row r="1367" spans="2:11">
      <c r="B1367" s="6"/>
      <c r="C1367" s="24"/>
      <c r="D1367" s="5"/>
      <c r="E1367" s="5"/>
      <c r="F1367" s="4"/>
      <c r="G1367" s="4"/>
      <c r="H1367" s="4"/>
      <c r="I1367" s="4"/>
      <c r="J1367" s="4"/>
      <c r="K1367" s="4"/>
    </row>
    <row r="1368" spans="2:11">
      <c r="B1368" s="6"/>
      <c r="C1368" s="24"/>
      <c r="D1368" s="5"/>
      <c r="E1368" s="5"/>
      <c r="F1368" s="4"/>
      <c r="G1368" s="4"/>
      <c r="H1368" s="4"/>
      <c r="I1368" s="4"/>
      <c r="J1368" s="4"/>
      <c r="K1368" s="4"/>
    </row>
    <row r="1369" spans="2:11">
      <c r="B1369" s="6"/>
      <c r="C1369" s="24"/>
      <c r="D1369" s="5"/>
      <c r="E1369" s="5"/>
      <c r="F1369" s="4"/>
      <c r="G1369" s="4"/>
      <c r="H1369" s="4"/>
      <c r="I1369" s="4"/>
      <c r="J1369" s="4"/>
      <c r="K1369" s="4"/>
    </row>
    <row r="1370" spans="2:11">
      <c r="B1370" s="6"/>
      <c r="C1370" s="24"/>
      <c r="D1370" s="5"/>
      <c r="E1370" s="5"/>
      <c r="F1370" s="4"/>
      <c r="G1370" s="4"/>
      <c r="H1370" s="4"/>
      <c r="I1370" s="4"/>
      <c r="J1370" s="4"/>
      <c r="K1370" s="4"/>
    </row>
    <row r="1371" spans="2:11">
      <c r="B1371" s="6"/>
      <c r="C1371" s="24"/>
      <c r="D1371" s="5"/>
      <c r="E1371" s="5"/>
      <c r="F1371" s="4"/>
      <c r="G1371" s="4"/>
      <c r="H1371" s="4"/>
      <c r="I1371" s="4"/>
      <c r="J1371" s="4"/>
      <c r="K1371" s="4"/>
    </row>
    <row r="1372" spans="2:11">
      <c r="B1372" s="6"/>
      <c r="C1372" s="24"/>
      <c r="D1372" s="5"/>
      <c r="E1372" s="5"/>
      <c r="F1372" s="4"/>
      <c r="G1372" s="4"/>
      <c r="H1372" s="4"/>
      <c r="I1372" s="4"/>
      <c r="J1372" s="4"/>
      <c r="K1372" s="4"/>
    </row>
    <row r="1373" spans="2:11">
      <c r="B1373" s="6"/>
      <c r="C1373" s="24"/>
      <c r="D1373" s="5"/>
      <c r="E1373" s="5"/>
      <c r="F1373" s="4"/>
      <c r="G1373" s="4"/>
      <c r="H1373" s="4"/>
      <c r="I1373" s="4"/>
      <c r="J1373" s="4"/>
      <c r="K1373" s="4"/>
    </row>
    <row r="1374" spans="2:11">
      <c r="B1374" s="6"/>
      <c r="C1374" s="24"/>
      <c r="D1374" s="5"/>
      <c r="E1374" s="5"/>
      <c r="F1374" s="4"/>
      <c r="G1374" s="4"/>
      <c r="H1374" s="4"/>
      <c r="I1374" s="4"/>
      <c r="J1374" s="4"/>
      <c r="K1374" s="4"/>
    </row>
    <row r="1375" spans="2:11">
      <c r="B1375" s="6"/>
      <c r="C1375" s="24"/>
      <c r="D1375" s="5"/>
      <c r="E1375" s="5"/>
      <c r="F1375" s="4"/>
      <c r="G1375" s="4"/>
      <c r="H1375" s="4"/>
      <c r="I1375" s="4"/>
      <c r="J1375" s="4"/>
      <c r="K1375" s="4"/>
    </row>
    <row r="1376" spans="2:11">
      <c r="B1376" s="6"/>
      <c r="C1376" s="24"/>
      <c r="D1376" s="5"/>
      <c r="E1376" s="5"/>
      <c r="F1376" s="4"/>
      <c r="G1376" s="4"/>
      <c r="H1376" s="4"/>
      <c r="I1376" s="4"/>
      <c r="J1376" s="4"/>
      <c r="K1376" s="4"/>
    </row>
    <row r="1377" spans="2:11">
      <c r="B1377" s="6"/>
      <c r="C1377" s="24"/>
      <c r="D1377" s="5"/>
      <c r="E1377" s="5"/>
      <c r="F1377" s="4"/>
      <c r="G1377" s="4"/>
      <c r="H1377" s="4"/>
      <c r="I1377" s="4"/>
      <c r="J1377" s="4"/>
      <c r="K1377" s="4"/>
    </row>
    <row r="1378" spans="2:11">
      <c r="B1378" s="6"/>
      <c r="C1378" s="24"/>
      <c r="D1378" s="5"/>
      <c r="E1378" s="5"/>
      <c r="F1378" s="4"/>
      <c r="G1378" s="4"/>
      <c r="H1378" s="4"/>
      <c r="I1378" s="4"/>
      <c r="J1378" s="4"/>
      <c r="K1378" s="4"/>
    </row>
    <row r="1379" spans="2:11">
      <c r="B1379" s="6"/>
      <c r="C1379" s="24"/>
      <c r="D1379" s="5"/>
      <c r="E1379" s="5"/>
      <c r="F1379" s="4"/>
      <c r="G1379" s="4"/>
      <c r="H1379" s="4"/>
      <c r="I1379" s="4"/>
      <c r="J1379" s="4"/>
      <c r="K1379" s="4"/>
    </row>
    <row r="1380" spans="2:11">
      <c r="B1380" s="6"/>
      <c r="C1380" s="24"/>
      <c r="D1380" s="5"/>
      <c r="E1380" s="5"/>
      <c r="F1380" s="4"/>
      <c r="G1380" s="4"/>
      <c r="H1380" s="4"/>
      <c r="I1380" s="4"/>
      <c r="J1380" s="4"/>
      <c r="K1380" s="4"/>
    </row>
    <row r="1381" spans="2:11">
      <c r="B1381" s="6"/>
      <c r="C1381" s="24"/>
      <c r="D1381" s="5"/>
      <c r="E1381" s="5"/>
      <c r="F1381" s="4"/>
      <c r="G1381" s="4"/>
      <c r="H1381" s="4"/>
      <c r="I1381" s="4"/>
      <c r="J1381" s="4"/>
      <c r="K1381" s="4"/>
    </row>
    <row r="1382" spans="2:11">
      <c r="B1382" s="6"/>
      <c r="C1382" s="24"/>
      <c r="D1382" s="5"/>
      <c r="E1382" s="5"/>
      <c r="F1382" s="4"/>
      <c r="G1382" s="4"/>
      <c r="H1382" s="4"/>
      <c r="I1382" s="4"/>
      <c r="J1382" s="4"/>
      <c r="K1382" s="4"/>
    </row>
    <row r="1383" spans="2:11">
      <c r="B1383" s="6"/>
      <c r="C1383" s="24"/>
      <c r="D1383" s="5"/>
      <c r="E1383" s="5"/>
      <c r="F1383" s="4"/>
      <c r="G1383" s="4"/>
      <c r="H1383" s="4"/>
      <c r="I1383" s="4"/>
      <c r="J1383" s="4"/>
      <c r="K1383" s="4"/>
    </row>
    <row r="1384" spans="2:11">
      <c r="B1384" s="6"/>
      <c r="C1384" s="24"/>
      <c r="D1384" s="5"/>
      <c r="E1384" s="5"/>
      <c r="F1384" s="4"/>
      <c r="G1384" s="4"/>
      <c r="H1384" s="4"/>
      <c r="I1384" s="4"/>
      <c r="J1384" s="4"/>
      <c r="K1384" s="4"/>
    </row>
    <row r="1385" spans="2:11">
      <c r="B1385" s="6"/>
      <c r="C1385" s="24"/>
      <c r="D1385" s="5"/>
      <c r="E1385" s="5"/>
      <c r="F1385" s="4"/>
      <c r="G1385" s="4"/>
      <c r="H1385" s="4"/>
      <c r="I1385" s="4"/>
      <c r="J1385" s="4"/>
      <c r="K1385" s="4"/>
    </row>
    <row r="1386" spans="2:11">
      <c r="B1386" s="6"/>
      <c r="C1386" s="24"/>
      <c r="D1386" s="5"/>
      <c r="E1386" s="5"/>
      <c r="F1386" s="4"/>
      <c r="G1386" s="4"/>
      <c r="H1386" s="4"/>
      <c r="I1386" s="4"/>
      <c r="J1386" s="4"/>
      <c r="K1386" s="4"/>
    </row>
    <row r="1387" spans="2:11">
      <c r="B1387" s="6"/>
      <c r="C1387" s="24"/>
      <c r="D1387" s="5"/>
      <c r="E1387" s="5"/>
      <c r="F1387" s="4"/>
      <c r="G1387" s="4"/>
      <c r="H1387" s="4"/>
      <c r="I1387" s="4"/>
      <c r="J1387" s="4"/>
      <c r="K1387" s="4"/>
    </row>
    <row r="1388" spans="2:11">
      <c r="B1388" s="6"/>
      <c r="C1388" s="24"/>
      <c r="D1388" s="5"/>
      <c r="E1388" s="5"/>
      <c r="F1388" s="4"/>
      <c r="G1388" s="4"/>
      <c r="H1388" s="4"/>
      <c r="I1388" s="4"/>
      <c r="J1388" s="4"/>
      <c r="K1388" s="4"/>
    </row>
    <row r="1389" spans="2:11">
      <c r="B1389" s="6"/>
      <c r="C1389" s="24"/>
      <c r="D1389" s="5"/>
      <c r="E1389" s="5"/>
      <c r="F1389" s="4"/>
      <c r="G1389" s="4"/>
      <c r="H1389" s="4"/>
      <c r="I1389" s="4"/>
      <c r="J1389" s="4"/>
      <c r="K1389" s="4"/>
    </row>
    <row r="1390" spans="2:11">
      <c r="B1390" s="6"/>
      <c r="C1390" s="24"/>
      <c r="D1390" s="5"/>
      <c r="E1390" s="5"/>
      <c r="F1390" s="4"/>
      <c r="G1390" s="4"/>
      <c r="H1390" s="4"/>
      <c r="I1390" s="4"/>
      <c r="J1390" s="4"/>
      <c r="K1390" s="4"/>
    </row>
    <row r="1391" spans="2:11">
      <c r="B1391" s="6"/>
      <c r="C1391" s="24"/>
      <c r="D1391" s="5"/>
      <c r="E1391" s="5"/>
      <c r="F1391" s="4"/>
      <c r="G1391" s="4"/>
      <c r="H1391" s="4"/>
      <c r="I1391" s="4"/>
      <c r="J1391" s="4"/>
      <c r="K1391" s="4"/>
    </row>
    <row r="1392" spans="2:11">
      <c r="B1392" s="6"/>
      <c r="C1392" s="24"/>
      <c r="D1392" s="5"/>
      <c r="E1392" s="5"/>
      <c r="F1392" s="4"/>
      <c r="G1392" s="4"/>
      <c r="H1392" s="4"/>
      <c r="I1392" s="4"/>
      <c r="J1392" s="4"/>
      <c r="K1392" s="4"/>
    </row>
    <row r="1393" spans="2:11">
      <c r="B1393" s="6"/>
      <c r="C1393" s="24"/>
      <c r="D1393" s="5"/>
      <c r="E1393" s="5"/>
      <c r="F1393" s="4"/>
      <c r="G1393" s="4"/>
      <c r="H1393" s="4"/>
      <c r="I1393" s="4"/>
      <c r="J1393" s="4"/>
      <c r="K1393" s="4"/>
    </row>
    <row r="1394" spans="2:11">
      <c r="B1394" s="6"/>
      <c r="C1394" s="24"/>
      <c r="D1394" s="5"/>
      <c r="E1394" s="5"/>
      <c r="F1394" s="4"/>
      <c r="G1394" s="4"/>
      <c r="H1394" s="4"/>
      <c r="I1394" s="4"/>
      <c r="J1394" s="4"/>
      <c r="K1394" s="4"/>
    </row>
    <row r="1395" spans="2:11">
      <c r="B1395" s="6"/>
      <c r="C1395" s="24"/>
      <c r="D1395" s="5"/>
      <c r="E1395" s="5"/>
      <c r="F1395" s="4"/>
      <c r="G1395" s="4"/>
      <c r="H1395" s="4"/>
      <c r="I1395" s="4"/>
      <c r="J1395" s="4"/>
      <c r="K1395" s="4"/>
    </row>
    <row r="1396" spans="2:11">
      <c r="B1396" s="6"/>
      <c r="C1396" s="24"/>
      <c r="D1396" s="5"/>
      <c r="E1396" s="5"/>
      <c r="F1396" s="4"/>
      <c r="G1396" s="4"/>
      <c r="H1396" s="4"/>
      <c r="I1396" s="4"/>
      <c r="J1396" s="4"/>
      <c r="K1396" s="4"/>
    </row>
    <row r="1397" spans="2:11">
      <c r="B1397" s="6"/>
      <c r="C1397" s="24"/>
      <c r="D1397" s="5"/>
      <c r="E1397" s="5"/>
      <c r="F1397" s="4"/>
      <c r="G1397" s="4"/>
      <c r="H1397" s="4"/>
      <c r="I1397" s="4"/>
      <c r="J1397" s="4"/>
      <c r="K1397" s="4"/>
    </row>
    <row r="1398" spans="2:11">
      <c r="B1398" s="6"/>
      <c r="C1398" s="24"/>
      <c r="D1398" s="5"/>
      <c r="E1398" s="5"/>
      <c r="F1398" s="4"/>
      <c r="G1398" s="4"/>
      <c r="H1398" s="4"/>
      <c r="I1398" s="4"/>
      <c r="J1398" s="4"/>
      <c r="K1398" s="4"/>
    </row>
    <row r="1399" spans="2:11">
      <c r="B1399" s="6"/>
      <c r="C1399" s="24"/>
      <c r="D1399" s="5"/>
      <c r="E1399" s="5"/>
      <c r="F1399" s="4"/>
      <c r="G1399" s="4"/>
      <c r="H1399" s="4"/>
      <c r="I1399" s="4"/>
      <c r="J1399" s="4"/>
      <c r="K1399" s="4"/>
    </row>
    <row r="1400" spans="2:11">
      <c r="B1400" s="6"/>
      <c r="C1400" s="24"/>
      <c r="D1400" s="5"/>
      <c r="E1400" s="5"/>
      <c r="F1400" s="4"/>
      <c r="G1400" s="4"/>
      <c r="H1400" s="4"/>
      <c r="I1400" s="4"/>
      <c r="J1400" s="4"/>
      <c r="K1400" s="4"/>
    </row>
    <row r="1401" spans="2:11">
      <c r="B1401" s="6"/>
      <c r="C1401" s="24"/>
      <c r="D1401" s="5"/>
      <c r="E1401" s="5"/>
      <c r="F1401" s="4"/>
      <c r="G1401" s="4"/>
      <c r="H1401" s="4"/>
      <c r="I1401" s="4"/>
      <c r="J1401" s="4"/>
      <c r="K1401" s="4"/>
    </row>
    <row r="1402" spans="2:11">
      <c r="B1402" s="6"/>
      <c r="C1402" s="24"/>
      <c r="D1402" s="5"/>
      <c r="E1402" s="5"/>
      <c r="F1402" s="4"/>
      <c r="G1402" s="4"/>
      <c r="H1402" s="4"/>
      <c r="I1402" s="4"/>
      <c r="J1402" s="4"/>
      <c r="K1402" s="4"/>
    </row>
    <row r="1403" spans="2:11">
      <c r="B1403" s="6"/>
      <c r="C1403" s="24"/>
      <c r="D1403" s="5"/>
      <c r="E1403" s="5"/>
      <c r="F1403" s="4"/>
      <c r="G1403" s="4"/>
      <c r="H1403" s="4"/>
      <c r="I1403" s="4"/>
      <c r="J1403" s="4"/>
      <c r="K1403" s="4"/>
    </row>
    <row r="1404" spans="2:11">
      <c r="B1404" s="6"/>
      <c r="C1404" s="24"/>
      <c r="D1404" s="5"/>
      <c r="E1404" s="5"/>
      <c r="F1404" s="4"/>
      <c r="G1404" s="4"/>
      <c r="H1404" s="4"/>
      <c r="I1404" s="4"/>
      <c r="J1404" s="4"/>
      <c r="K1404" s="4"/>
    </row>
    <row r="1405" spans="2:11">
      <c r="B1405" s="6"/>
      <c r="C1405" s="24"/>
      <c r="D1405" s="5"/>
      <c r="E1405" s="5"/>
      <c r="F1405" s="4"/>
      <c r="G1405" s="4"/>
      <c r="H1405" s="4"/>
      <c r="I1405" s="4"/>
      <c r="J1405" s="4"/>
      <c r="K1405" s="4"/>
    </row>
    <row r="1406" spans="2:11">
      <c r="B1406" s="6"/>
      <c r="C1406" s="24"/>
      <c r="D1406" s="5"/>
      <c r="E1406" s="5"/>
      <c r="F1406" s="4"/>
      <c r="G1406" s="4"/>
      <c r="H1406" s="4"/>
      <c r="I1406" s="4"/>
      <c r="J1406" s="4"/>
      <c r="K1406" s="4"/>
    </row>
    <row r="1407" spans="2:11">
      <c r="B1407" s="6"/>
      <c r="C1407" s="24"/>
      <c r="D1407" s="5"/>
      <c r="E1407" s="5"/>
      <c r="F1407" s="4"/>
      <c r="G1407" s="4"/>
      <c r="H1407" s="4"/>
      <c r="I1407" s="4"/>
      <c r="J1407" s="4"/>
      <c r="K1407" s="4"/>
    </row>
    <row r="1408" spans="2:11">
      <c r="B1408" s="6"/>
      <c r="C1408" s="24"/>
      <c r="D1408" s="5"/>
      <c r="E1408" s="5"/>
      <c r="F1408" s="4"/>
      <c r="G1408" s="4"/>
      <c r="H1408" s="4"/>
      <c r="I1408" s="4"/>
      <c r="J1408" s="4"/>
      <c r="K1408" s="4"/>
    </row>
    <row r="1409" spans="2:11">
      <c r="B1409" s="6"/>
      <c r="C1409" s="24"/>
      <c r="D1409" s="5"/>
      <c r="E1409" s="5"/>
      <c r="F1409" s="4"/>
      <c r="G1409" s="4"/>
      <c r="H1409" s="4"/>
      <c r="I1409" s="4"/>
      <c r="J1409" s="4"/>
      <c r="K1409" s="4"/>
    </row>
    <row r="1410" spans="2:11">
      <c r="B1410" s="6"/>
      <c r="C1410" s="24"/>
      <c r="D1410" s="5"/>
      <c r="E1410" s="5"/>
      <c r="F1410" s="4"/>
      <c r="G1410" s="4"/>
      <c r="H1410" s="4"/>
      <c r="I1410" s="4"/>
      <c r="J1410" s="4"/>
      <c r="K1410" s="4"/>
    </row>
    <row r="1411" spans="2:11">
      <c r="B1411" s="6"/>
      <c r="C1411" s="24"/>
      <c r="D1411" s="5"/>
      <c r="E1411" s="5"/>
      <c r="F1411" s="4"/>
      <c r="G1411" s="4"/>
      <c r="H1411" s="4"/>
      <c r="I1411" s="4"/>
      <c r="J1411" s="4"/>
      <c r="K1411" s="4"/>
    </row>
    <row r="1412" spans="2:11">
      <c r="B1412" s="6"/>
      <c r="C1412" s="24"/>
      <c r="D1412" s="5"/>
      <c r="E1412" s="5"/>
      <c r="F1412" s="4"/>
      <c r="G1412" s="4"/>
      <c r="H1412" s="4"/>
      <c r="I1412" s="4"/>
      <c r="J1412" s="4"/>
      <c r="K1412" s="4"/>
    </row>
    <row r="1413" spans="2:11">
      <c r="B1413" s="6"/>
      <c r="C1413" s="24"/>
      <c r="D1413" s="5"/>
      <c r="E1413" s="5"/>
      <c r="F1413" s="4"/>
      <c r="G1413" s="4"/>
      <c r="H1413" s="4"/>
      <c r="I1413" s="4"/>
      <c r="J1413" s="4"/>
      <c r="K1413" s="4"/>
    </row>
    <row r="1414" spans="2:11">
      <c r="B1414" s="6"/>
      <c r="C1414" s="24"/>
      <c r="D1414" s="5"/>
      <c r="E1414" s="5"/>
      <c r="F1414" s="4"/>
      <c r="G1414" s="4"/>
      <c r="H1414" s="4"/>
      <c r="I1414" s="4"/>
      <c r="J1414" s="4"/>
      <c r="K1414" s="4"/>
    </row>
    <row r="1415" spans="2:11">
      <c r="B1415" s="6"/>
      <c r="C1415" s="24"/>
      <c r="D1415" s="5"/>
      <c r="E1415" s="5"/>
      <c r="F1415" s="4"/>
      <c r="G1415" s="4"/>
      <c r="H1415" s="4"/>
      <c r="I1415" s="4"/>
      <c r="J1415" s="4"/>
      <c r="K1415" s="4"/>
    </row>
    <row r="1416" spans="2:11">
      <c r="B1416" s="6"/>
      <c r="C1416" s="24"/>
      <c r="D1416" s="5"/>
      <c r="E1416" s="5"/>
      <c r="F1416" s="4"/>
      <c r="G1416" s="4"/>
      <c r="H1416" s="4"/>
      <c r="I1416" s="4"/>
      <c r="J1416" s="4"/>
      <c r="K1416" s="4"/>
    </row>
    <row r="1417" spans="2:11">
      <c r="B1417" s="6"/>
      <c r="C1417" s="24"/>
      <c r="D1417" s="5"/>
      <c r="E1417" s="5"/>
      <c r="F1417" s="4"/>
      <c r="G1417" s="4"/>
      <c r="H1417" s="4"/>
      <c r="I1417" s="4"/>
      <c r="J1417" s="4"/>
      <c r="K1417" s="4"/>
    </row>
    <row r="1418" spans="2:11">
      <c r="B1418" s="6"/>
      <c r="C1418" s="24"/>
      <c r="D1418" s="5"/>
      <c r="E1418" s="5"/>
      <c r="F1418" s="4"/>
      <c r="G1418" s="4"/>
      <c r="H1418" s="4"/>
      <c r="I1418" s="4"/>
      <c r="J1418" s="4"/>
      <c r="K1418" s="4"/>
    </row>
    <row r="1419" spans="2:11">
      <c r="B1419" s="6"/>
      <c r="C1419" s="24"/>
      <c r="D1419" s="5"/>
      <c r="E1419" s="5"/>
      <c r="F1419" s="4"/>
      <c r="G1419" s="4"/>
      <c r="H1419" s="4"/>
      <c r="I1419" s="4"/>
      <c r="J1419" s="4"/>
      <c r="K1419" s="4"/>
    </row>
    <row r="1420" spans="2:11">
      <c r="B1420" s="6"/>
      <c r="C1420" s="24"/>
      <c r="D1420" s="5"/>
      <c r="E1420" s="5"/>
      <c r="F1420" s="4"/>
      <c r="G1420" s="4"/>
      <c r="H1420" s="4"/>
      <c r="I1420" s="4"/>
      <c r="J1420" s="4"/>
      <c r="K1420" s="4"/>
    </row>
    <row r="1421" spans="2:11">
      <c r="B1421" s="6"/>
      <c r="C1421" s="24"/>
      <c r="D1421" s="5"/>
      <c r="E1421" s="5"/>
      <c r="F1421" s="4"/>
      <c r="G1421" s="4"/>
      <c r="H1421" s="4"/>
      <c r="I1421" s="4"/>
      <c r="J1421" s="4"/>
      <c r="K1421" s="4"/>
    </row>
    <row r="1422" spans="2:11">
      <c r="B1422" s="6"/>
      <c r="C1422" s="24"/>
      <c r="D1422" s="5"/>
      <c r="E1422" s="5"/>
      <c r="F1422" s="4"/>
      <c r="G1422" s="4"/>
      <c r="H1422" s="4"/>
      <c r="I1422" s="4"/>
      <c r="J1422" s="4"/>
      <c r="K1422" s="4"/>
    </row>
    <row r="1423" spans="2:11">
      <c r="B1423" s="6"/>
      <c r="C1423" s="24"/>
      <c r="D1423" s="5"/>
      <c r="E1423" s="5"/>
      <c r="F1423" s="4"/>
      <c r="G1423" s="4"/>
      <c r="H1423" s="4"/>
      <c r="I1423" s="4"/>
      <c r="J1423" s="4"/>
      <c r="K1423" s="4"/>
    </row>
    <row r="1424" spans="2:11">
      <c r="B1424" s="6"/>
      <c r="C1424" s="24"/>
      <c r="D1424" s="5"/>
      <c r="E1424" s="5"/>
      <c r="F1424" s="4"/>
      <c r="G1424" s="4"/>
      <c r="H1424" s="4"/>
      <c r="I1424" s="4"/>
      <c r="J1424" s="4"/>
      <c r="K1424" s="4"/>
    </row>
    <row r="1425" spans="2:11">
      <c r="B1425" s="6"/>
      <c r="C1425" s="24"/>
      <c r="D1425" s="5"/>
      <c r="E1425" s="5"/>
      <c r="F1425" s="4"/>
      <c r="G1425" s="4"/>
      <c r="H1425" s="4"/>
      <c r="I1425" s="4"/>
      <c r="J1425" s="4"/>
      <c r="K1425" s="4"/>
    </row>
    <row r="1426" spans="2:11">
      <c r="B1426" s="6"/>
      <c r="C1426" s="24"/>
      <c r="D1426" s="5"/>
      <c r="E1426" s="5"/>
      <c r="F1426" s="4"/>
      <c r="G1426" s="4"/>
      <c r="H1426" s="4"/>
      <c r="I1426" s="4"/>
      <c r="J1426" s="4"/>
      <c r="K1426" s="4"/>
    </row>
    <row r="1427" spans="2:11">
      <c r="B1427" s="6"/>
      <c r="C1427" s="24"/>
      <c r="D1427" s="5"/>
      <c r="E1427" s="5"/>
      <c r="F1427" s="4"/>
      <c r="G1427" s="4"/>
      <c r="H1427" s="4"/>
      <c r="I1427" s="4"/>
      <c r="J1427" s="4"/>
      <c r="K1427" s="4"/>
    </row>
    <row r="1428" spans="2:11">
      <c r="B1428" s="6"/>
      <c r="C1428" s="24"/>
      <c r="D1428" s="5"/>
      <c r="E1428" s="5"/>
      <c r="F1428" s="4"/>
      <c r="G1428" s="4"/>
      <c r="H1428" s="4"/>
      <c r="I1428" s="4"/>
      <c r="J1428" s="4"/>
      <c r="K1428" s="4"/>
    </row>
    <row r="1429" spans="2:11">
      <c r="B1429" s="6"/>
      <c r="C1429" s="24"/>
      <c r="D1429" s="5"/>
      <c r="E1429" s="5"/>
      <c r="F1429" s="4"/>
      <c r="G1429" s="4"/>
      <c r="H1429" s="4"/>
      <c r="I1429" s="4"/>
      <c r="J1429" s="4"/>
      <c r="K1429" s="4"/>
    </row>
    <row r="1430" spans="2:11">
      <c r="B1430" s="6"/>
      <c r="C1430" s="24"/>
      <c r="D1430" s="5"/>
      <c r="E1430" s="5"/>
      <c r="F1430" s="4"/>
      <c r="G1430" s="4"/>
      <c r="H1430" s="4"/>
      <c r="I1430" s="4"/>
      <c r="J1430" s="4"/>
      <c r="K1430" s="4"/>
    </row>
    <row r="1431" spans="2:11">
      <c r="B1431" s="6"/>
      <c r="C1431" s="24"/>
      <c r="D1431" s="5"/>
      <c r="E1431" s="5"/>
      <c r="F1431" s="4"/>
      <c r="G1431" s="4"/>
      <c r="H1431" s="4"/>
      <c r="I1431" s="4"/>
      <c r="J1431" s="4"/>
      <c r="K1431" s="4"/>
    </row>
    <row r="1432" spans="2:11">
      <c r="B1432" s="6"/>
      <c r="C1432" s="24"/>
      <c r="D1432" s="5"/>
      <c r="E1432" s="5"/>
      <c r="F1432" s="4"/>
      <c r="G1432" s="4"/>
      <c r="H1432" s="4"/>
      <c r="I1432" s="4"/>
      <c r="J1432" s="4"/>
      <c r="K1432" s="4"/>
    </row>
    <row r="1433" spans="2:11">
      <c r="B1433" s="6"/>
      <c r="C1433" s="24"/>
      <c r="D1433" s="5"/>
      <c r="E1433" s="5"/>
      <c r="F1433" s="4"/>
      <c r="G1433" s="4"/>
      <c r="H1433" s="4"/>
      <c r="I1433" s="4"/>
      <c r="J1433" s="4"/>
      <c r="K1433" s="4"/>
    </row>
    <row r="1434" spans="2:11">
      <c r="B1434" s="6"/>
      <c r="C1434" s="24"/>
      <c r="D1434" s="5"/>
      <c r="E1434" s="5"/>
      <c r="F1434" s="4"/>
      <c r="G1434" s="4"/>
      <c r="H1434" s="4"/>
      <c r="I1434" s="4"/>
      <c r="J1434" s="4"/>
      <c r="K1434" s="4"/>
    </row>
    <row r="1435" spans="2:11">
      <c r="B1435" s="6"/>
      <c r="C1435" s="24"/>
      <c r="D1435" s="5"/>
      <c r="E1435" s="5"/>
      <c r="F1435" s="4"/>
      <c r="G1435" s="4"/>
      <c r="H1435" s="4"/>
      <c r="I1435" s="4"/>
      <c r="J1435" s="4"/>
      <c r="K1435" s="4"/>
    </row>
    <row r="1436" spans="2:11">
      <c r="B1436" s="6"/>
      <c r="C1436" s="24"/>
      <c r="D1436" s="5"/>
      <c r="E1436" s="5"/>
      <c r="F1436" s="4"/>
      <c r="G1436" s="4"/>
      <c r="H1436" s="4"/>
      <c r="I1436" s="4"/>
      <c r="J1436" s="4"/>
      <c r="K1436" s="4"/>
    </row>
    <row r="1437" spans="2:11">
      <c r="B1437" s="6"/>
      <c r="C1437" s="24"/>
      <c r="D1437" s="5"/>
      <c r="E1437" s="5"/>
      <c r="F1437" s="4"/>
      <c r="G1437" s="4"/>
      <c r="H1437" s="4"/>
      <c r="I1437" s="4"/>
      <c r="J1437" s="4"/>
      <c r="K1437" s="4"/>
    </row>
    <row r="1438" spans="2:11">
      <c r="B1438" s="6"/>
      <c r="C1438" s="24"/>
      <c r="D1438" s="5"/>
      <c r="E1438" s="5"/>
      <c r="F1438" s="4"/>
      <c r="G1438" s="4"/>
      <c r="H1438" s="4"/>
      <c r="I1438" s="4"/>
      <c r="J1438" s="4"/>
      <c r="K1438" s="4"/>
    </row>
    <row r="1439" spans="2:11">
      <c r="B1439" s="6"/>
      <c r="C1439" s="24"/>
      <c r="D1439" s="5"/>
      <c r="E1439" s="5"/>
      <c r="F1439" s="4"/>
      <c r="G1439" s="4"/>
      <c r="H1439" s="4"/>
      <c r="I1439" s="4"/>
      <c r="J1439" s="4"/>
      <c r="K1439" s="4"/>
    </row>
    <row r="1440" spans="2:11">
      <c r="B1440" s="6"/>
      <c r="C1440" s="24"/>
      <c r="D1440" s="5"/>
      <c r="E1440" s="5"/>
      <c r="F1440" s="4"/>
      <c r="G1440" s="4"/>
      <c r="H1440" s="4"/>
      <c r="I1440" s="4"/>
      <c r="J1440" s="4"/>
      <c r="K1440" s="4"/>
    </row>
    <row r="1441" spans="2:11">
      <c r="B1441" s="6"/>
      <c r="C1441" s="24"/>
      <c r="D1441" s="5"/>
      <c r="E1441" s="5"/>
      <c r="F1441" s="4"/>
      <c r="G1441" s="4"/>
      <c r="H1441" s="4"/>
      <c r="I1441" s="4"/>
      <c r="J1441" s="4"/>
      <c r="K1441" s="4"/>
    </row>
    <row r="1442" spans="2:11">
      <c r="B1442" s="6"/>
      <c r="C1442" s="24"/>
      <c r="D1442" s="5"/>
      <c r="E1442" s="5"/>
      <c r="F1442" s="4"/>
      <c r="G1442" s="4"/>
      <c r="H1442" s="4"/>
      <c r="I1442" s="4"/>
      <c r="J1442" s="4"/>
      <c r="K1442" s="4"/>
    </row>
    <row r="1443" spans="2:11">
      <c r="B1443" s="6"/>
      <c r="C1443" s="24"/>
      <c r="D1443" s="5"/>
      <c r="E1443" s="5"/>
      <c r="F1443" s="4"/>
      <c r="G1443" s="4"/>
      <c r="H1443" s="4"/>
      <c r="I1443" s="4"/>
      <c r="J1443" s="4"/>
      <c r="K1443" s="4"/>
    </row>
    <row r="1444" spans="2:11">
      <c r="B1444" s="6"/>
      <c r="C1444" s="24"/>
      <c r="D1444" s="5"/>
      <c r="E1444" s="5"/>
      <c r="F1444" s="4"/>
      <c r="G1444" s="4"/>
      <c r="H1444" s="4"/>
      <c r="I1444" s="4"/>
      <c r="J1444" s="4"/>
      <c r="K1444" s="4"/>
    </row>
    <row r="1445" spans="2:11">
      <c r="B1445" s="6"/>
      <c r="C1445" s="24"/>
      <c r="D1445" s="5"/>
      <c r="E1445" s="5"/>
      <c r="F1445" s="4"/>
      <c r="G1445" s="4"/>
      <c r="H1445" s="4"/>
      <c r="I1445" s="4"/>
      <c r="J1445" s="4"/>
      <c r="K1445" s="4"/>
    </row>
    <row r="1446" spans="2:11">
      <c r="B1446" s="6"/>
      <c r="C1446" s="24"/>
      <c r="D1446" s="5"/>
      <c r="E1446" s="5"/>
      <c r="F1446" s="4"/>
      <c r="G1446" s="4"/>
      <c r="H1446" s="4"/>
      <c r="I1446" s="4"/>
      <c r="J1446" s="4"/>
      <c r="K1446" s="4"/>
    </row>
    <row r="1447" spans="2:11">
      <c r="B1447" s="6"/>
      <c r="C1447" s="24"/>
      <c r="D1447" s="5"/>
      <c r="E1447" s="5"/>
      <c r="F1447" s="4"/>
      <c r="G1447" s="4"/>
      <c r="H1447" s="4"/>
      <c r="I1447" s="4"/>
      <c r="J1447" s="4"/>
      <c r="K1447" s="4"/>
    </row>
    <row r="1448" spans="2:11">
      <c r="B1448" s="6"/>
      <c r="C1448" s="24"/>
      <c r="D1448" s="5"/>
      <c r="E1448" s="5"/>
      <c r="F1448" s="4"/>
      <c r="G1448" s="4"/>
      <c r="H1448" s="4"/>
      <c r="I1448" s="4"/>
      <c r="J1448" s="4"/>
      <c r="K1448" s="4"/>
    </row>
    <row r="1449" spans="2:11">
      <c r="B1449" s="6"/>
      <c r="C1449" s="24"/>
      <c r="D1449" s="5"/>
      <c r="E1449" s="5"/>
      <c r="F1449" s="4"/>
      <c r="G1449" s="4"/>
      <c r="H1449" s="4"/>
      <c r="I1449" s="4"/>
      <c r="J1449" s="4"/>
      <c r="K1449" s="4"/>
    </row>
    <row r="1450" spans="2:11">
      <c r="B1450" s="6"/>
      <c r="C1450" s="24"/>
      <c r="D1450" s="5"/>
      <c r="E1450" s="5"/>
      <c r="F1450" s="4"/>
      <c r="G1450" s="4"/>
      <c r="H1450" s="4"/>
      <c r="I1450" s="4"/>
      <c r="J1450" s="4"/>
      <c r="K1450" s="4"/>
    </row>
    <row r="1451" spans="2:11">
      <c r="B1451" s="6"/>
      <c r="C1451" s="24"/>
      <c r="D1451" s="5"/>
      <c r="E1451" s="5"/>
      <c r="F1451" s="4"/>
      <c r="G1451" s="4"/>
      <c r="H1451" s="4"/>
      <c r="I1451" s="4"/>
      <c r="J1451" s="4"/>
      <c r="K1451" s="4"/>
    </row>
    <row r="1452" spans="2:11">
      <c r="B1452" s="6"/>
      <c r="C1452" s="24"/>
      <c r="D1452" s="5"/>
      <c r="E1452" s="5"/>
      <c r="F1452" s="4"/>
      <c r="G1452" s="4"/>
      <c r="H1452" s="4"/>
      <c r="I1452" s="4"/>
      <c r="J1452" s="4"/>
      <c r="K1452" s="4"/>
    </row>
    <row r="1453" spans="2:11">
      <c r="B1453" s="6"/>
      <c r="C1453" s="24"/>
      <c r="D1453" s="5"/>
      <c r="E1453" s="5"/>
      <c r="F1453" s="4"/>
      <c r="G1453" s="4"/>
      <c r="H1453" s="4"/>
      <c r="I1453" s="4"/>
      <c r="J1453" s="4"/>
      <c r="K1453" s="4"/>
    </row>
    <row r="1454" spans="2:11">
      <c r="B1454" s="6"/>
      <c r="C1454" s="24"/>
      <c r="D1454" s="5"/>
      <c r="E1454" s="5"/>
      <c r="F1454" s="4"/>
      <c r="G1454" s="4"/>
      <c r="H1454" s="4"/>
      <c r="I1454" s="4"/>
      <c r="J1454" s="4"/>
      <c r="K1454" s="4"/>
    </row>
    <row r="1455" spans="2:11">
      <c r="B1455" s="6"/>
      <c r="C1455" s="24"/>
      <c r="D1455" s="5"/>
      <c r="E1455" s="5"/>
      <c r="F1455" s="4"/>
      <c r="G1455" s="4"/>
      <c r="H1455" s="4"/>
      <c r="I1455" s="4"/>
      <c r="J1455" s="4"/>
      <c r="K1455" s="4"/>
    </row>
    <row r="1456" spans="2:11">
      <c r="B1456" s="6"/>
      <c r="C1456" s="24"/>
      <c r="D1456" s="5"/>
      <c r="E1456" s="5"/>
      <c r="F1456" s="4"/>
      <c r="G1456" s="4"/>
      <c r="H1456" s="4"/>
      <c r="I1456" s="4"/>
      <c r="J1456" s="4"/>
      <c r="K1456" s="4"/>
    </row>
    <row r="1457" spans="2:11">
      <c r="B1457" s="6"/>
      <c r="C1457" s="24"/>
      <c r="D1457" s="5"/>
      <c r="E1457" s="5"/>
      <c r="F1457" s="4"/>
      <c r="G1457" s="4"/>
      <c r="H1457" s="4"/>
      <c r="I1457" s="4"/>
      <c r="J1457" s="4"/>
      <c r="K1457" s="4"/>
    </row>
    <row r="1458" spans="2:11">
      <c r="B1458" s="6"/>
      <c r="C1458" s="24"/>
      <c r="D1458" s="5"/>
      <c r="E1458" s="5"/>
      <c r="F1458" s="4"/>
      <c r="G1458" s="4"/>
      <c r="H1458" s="4"/>
      <c r="I1458" s="4"/>
      <c r="J1458" s="4"/>
      <c r="K1458" s="4"/>
    </row>
    <row r="1459" spans="2:11">
      <c r="B1459" s="6"/>
      <c r="C1459" s="24"/>
      <c r="D1459" s="5"/>
      <c r="E1459" s="5"/>
      <c r="F1459" s="4"/>
      <c r="G1459" s="4"/>
      <c r="H1459" s="4"/>
      <c r="I1459" s="4"/>
      <c r="J1459" s="4"/>
      <c r="K1459" s="4"/>
    </row>
    <row r="1460" spans="2:11">
      <c r="B1460" s="6"/>
      <c r="C1460" s="24"/>
      <c r="D1460" s="5"/>
      <c r="E1460" s="5"/>
      <c r="F1460" s="4"/>
      <c r="G1460" s="4"/>
      <c r="H1460" s="4"/>
      <c r="I1460" s="4"/>
      <c r="J1460" s="4"/>
      <c r="K1460" s="4"/>
    </row>
    <row r="1461" spans="2:11">
      <c r="B1461" s="6"/>
      <c r="C1461" s="24"/>
      <c r="D1461" s="5"/>
      <c r="E1461" s="5"/>
      <c r="F1461" s="4"/>
      <c r="G1461" s="4"/>
      <c r="H1461" s="4"/>
      <c r="I1461" s="4"/>
      <c r="J1461" s="4"/>
      <c r="K1461" s="4"/>
    </row>
    <row r="1462" spans="2:11">
      <c r="B1462" s="6"/>
      <c r="C1462" s="24"/>
      <c r="D1462" s="5"/>
      <c r="E1462" s="5"/>
      <c r="F1462" s="4"/>
      <c r="G1462" s="4"/>
      <c r="H1462" s="4"/>
      <c r="I1462" s="4"/>
      <c r="J1462" s="4"/>
      <c r="K1462" s="4"/>
    </row>
    <row r="1463" spans="2:11">
      <c r="B1463" s="6"/>
      <c r="C1463" s="24"/>
      <c r="D1463" s="5"/>
      <c r="E1463" s="5"/>
      <c r="F1463" s="4"/>
      <c r="G1463" s="4"/>
      <c r="H1463" s="4"/>
      <c r="I1463" s="4"/>
      <c r="J1463" s="4"/>
      <c r="K1463" s="4"/>
    </row>
    <row r="1464" spans="2:11">
      <c r="B1464" s="6"/>
      <c r="C1464" s="24"/>
      <c r="D1464" s="5"/>
      <c r="E1464" s="5"/>
      <c r="F1464" s="4"/>
      <c r="G1464" s="4"/>
      <c r="H1464" s="4"/>
      <c r="I1464" s="4"/>
      <c r="J1464" s="4"/>
      <c r="K1464" s="4"/>
    </row>
    <row r="1465" spans="2:11">
      <c r="B1465" s="6"/>
      <c r="C1465" s="24"/>
      <c r="D1465" s="5"/>
      <c r="E1465" s="5"/>
      <c r="F1465" s="4"/>
      <c r="G1465" s="4"/>
      <c r="H1465" s="4"/>
      <c r="I1465" s="4"/>
      <c r="J1465" s="4"/>
      <c r="K1465" s="4"/>
    </row>
    <row r="1466" spans="2:11">
      <c r="B1466" s="6"/>
      <c r="C1466" s="24"/>
      <c r="D1466" s="5"/>
      <c r="E1466" s="5"/>
      <c r="F1466" s="4"/>
      <c r="G1466" s="4"/>
      <c r="H1466" s="4"/>
      <c r="I1466" s="4"/>
      <c r="J1466" s="4"/>
      <c r="K1466" s="4"/>
    </row>
    <row r="1467" spans="2:11">
      <c r="B1467" s="6"/>
      <c r="C1467" s="24"/>
      <c r="D1467" s="5"/>
      <c r="E1467" s="5"/>
      <c r="F1467" s="4"/>
      <c r="G1467" s="4"/>
      <c r="H1467" s="4"/>
      <c r="I1467" s="4"/>
      <c r="J1467" s="4"/>
      <c r="K1467" s="4"/>
    </row>
    <row r="1468" spans="2:11">
      <c r="B1468" s="6"/>
      <c r="C1468" s="24"/>
      <c r="D1468" s="5"/>
      <c r="E1468" s="5"/>
      <c r="F1468" s="4"/>
      <c r="G1468" s="4"/>
      <c r="H1468" s="4"/>
      <c r="I1468" s="4"/>
      <c r="J1468" s="4"/>
      <c r="K1468" s="4"/>
    </row>
    <row r="1469" spans="2:11">
      <c r="B1469" s="6"/>
      <c r="C1469" s="24"/>
      <c r="D1469" s="5"/>
      <c r="E1469" s="5"/>
      <c r="F1469" s="4"/>
      <c r="G1469" s="4"/>
      <c r="H1469" s="4"/>
      <c r="I1469" s="4"/>
      <c r="J1469" s="4"/>
      <c r="K1469" s="4"/>
    </row>
    <row r="1470" spans="2:11">
      <c r="B1470" s="6"/>
      <c r="C1470" s="24"/>
      <c r="D1470" s="5"/>
      <c r="E1470" s="5"/>
      <c r="F1470" s="4"/>
      <c r="G1470" s="4"/>
      <c r="H1470" s="4"/>
      <c r="I1470" s="4"/>
      <c r="J1470" s="4"/>
      <c r="K1470" s="4"/>
    </row>
    <row r="1471" spans="2:11">
      <c r="B1471" s="6"/>
      <c r="C1471" s="24"/>
      <c r="D1471" s="5"/>
      <c r="E1471" s="5"/>
      <c r="F1471" s="4"/>
      <c r="G1471" s="4"/>
      <c r="H1471" s="4"/>
      <c r="I1471" s="4"/>
      <c r="J1471" s="4"/>
      <c r="K1471" s="4"/>
    </row>
    <row r="1472" spans="2:11">
      <c r="B1472" s="6"/>
      <c r="C1472" s="24"/>
      <c r="D1472" s="5"/>
      <c r="E1472" s="5"/>
      <c r="F1472" s="4"/>
      <c r="G1472" s="4"/>
      <c r="H1472" s="4"/>
      <c r="I1472" s="4"/>
      <c r="J1472" s="4"/>
      <c r="K1472" s="4"/>
    </row>
    <row r="1473" spans="2:11">
      <c r="B1473" s="6"/>
      <c r="C1473" s="24"/>
      <c r="D1473" s="5"/>
      <c r="E1473" s="5"/>
      <c r="F1473" s="4"/>
      <c r="G1473" s="4"/>
      <c r="H1473" s="4"/>
      <c r="I1473" s="4"/>
      <c r="J1473" s="4"/>
      <c r="K1473" s="4"/>
    </row>
    <row r="1474" spans="2:11">
      <c r="B1474" s="6"/>
      <c r="C1474" s="24"/>
      <c r="D1474" s="5"/>
      <c r="E1474" s="5"/>
      <c r="F1474" s="4"/>
      <c r="G1474" s="4"/>
      <c r="H1474" s="4"/>
      <c r="I1474" s="4"/>
      <c r="J1474" s="4"/>
      <c r="K1474" s="4"/>
    </row>
    <row r="1475" spans="2:11">
      <c r="B1475" s="6"/>
      <c r="C1475" s="24"/>
      <c r="D1475" s="5"/>
      <c r="E1475" s="5"/>
      <c r="F1475" s="4"/>
      <c r="G1475" s="4"/>
      <c r="H1475" s="4"/>
      <c r="I1475" s="4"/>
      <c r="J1475" s="4"/>
      <c r="K1475" s="4"/>
    </row>
    <row r="1476" spans="2:11">
      <c r="B1476" s="6"/>
      <c r="C1476" s="24"/>
      <c r="D1476" s="5"/>
      <c r="E1476" s="5"/>
      <c r="F1476" s="4"/>
      <c r="G1476" s="4"/>
      <c r="H1476" s="4"/>
      <c r="I1476" s="4"/>
      <c r="J1476" s="4"/>
      <c r="K1476" s="4"/>
    </row>
    <row r="1477" spans="2:11">
      <c r="B1477" s="6"/>
      <c r="C1477" s="24"/>
      <c r="D1477" s="5"/>
      <c r="E1477" s="5"/>
      <c r="F1477" s="4"/>
      <c r="G1477" s="4"/>
      <c r="H1477" s="4"/>
      <c r="I1477" s="4"/>
      <c r="J1477" s="4"/>
      <c r="K1477" s="4"/>
    </row>
    <row r="1478" spans="2:11">
      <c r="B1478" s="6"/>
      <c r="C1478" s="24"/>
      <c r="D1478" s="5"/>
      <c r="E1478" s="5"/>
      <c r="F1478" s="4"/>
      <c r="G1478" s="4"/>
      <c r="H1478" s="4"/>
      <c r="I1478" s="4"/>
      <c r="J1478" s="4"/>
      <c r="K1478" s="4"/>
    </row>
    <row r="1479" spans="2:11">
      <c r="B1479" s="6"/>
      <c r="C1479" s="24"/>
      <c r="D1479" s="5"/>
      <c r="E1479" s="5"/>
      <c r="F1479" s="4"/>
      <c r="G1479" s="4"/>
      <c r="H1479" s="4"/>
      <c r="I1479" s="4"/>
      <c r="J1479" s="4"/>
      <c r="K1479" s="4"/>
    </row>
    <row r="1480" spans="2:11">
      <c r="B1480" s="6"/>
      <c r="C1480" s="24"/>
      <c r="D1480" s="5"/>
      <c r="E1480" s="5"/>
      <c r="F1480" s="4"/>
      <c r="G1480" s="4"/>
      <c r="H1480" s="4"/>
      <c r="I1480" s="4"/>
      <c r="J1480" s="4"/>
      <c r="K1480" s="4"/>
    </row>
    <row r="1481" spans="2:11">
      <c r="B1481" s="6"/>
      <c r="C1481" s="24"/>
      <c r="D1481" s="5"/>
      <c r="E1481" s="5"/>
      <c r="F1481" s="4"/>
      <c r="G1481" s="4"/>
      <c r="H1481" s="4"/>
      <c r="I1481" s="4"/>
      <c r="J1481" s="4"/>
      <c r="K1481" s="4"/>
    </row>
    <row r="1482" spans="2:11">
      <c r="B1482" s="6"/>
      <c r="C1482" s="24"/>
      <c r="D1482" s="5"/>
      <c r="E1482" s="5"/>
      <c r="F1482" s="4"/>
      <c r="G1482" s="4"/>
      <c r="H1482" s="4"/>
      <c r="I1482" s="4"/>
      <c r="J1482" s="4"/>
      <c r="K1482" s="4"/>
    </row>
    <row r="1483" spans="2:11">
      <c r="B1483" s="6"/>
      <c r="C1483" s="24"/>
      <c r="D1483" s="5"/>
      <c r="E1483" s="5"/>
      <c r="F1483" s="4"/>
      <c r="G1483" s="4"/>
      <c r="H1483" s="4"/>
      <c r="I1483" s="4"/>
      <c r="J1483" s="4"/>
      <c r="K1483" s="4"/>
    </row>
    <row r="1484" spans="2:11">
      <c r="B1484" s="6"/>
      <c r="C1484" s="24"/>
      <c r="D1484" s="5"/>
      <c r="E1484" s="5"/>
      <c r="F1484" s="4"/>
      <c r="G1484" s="4"/>
      <c r="H1484" s="4"/>
      <c r="I1484" s="4"/>
      <c r="J1484" s="4"/>
      <c r="K1484" s="4"/>
    </row>
    <row r="1485" spans="2:11">
      <c r="B1485" s="6"/>
      <c r="C1485" s="24"/>
      <c r="D1485" s="5"/>
      <c r="E1485" s="5"/>
      <c r="F1485" s="4"/>
      <c r="G1485" s="4"/>
      <c r="H1485" s="4"/>
      <c r="I1485" s="4"/>
      <c r="J1485" s="4"/>
      <c r="K1485" s="4"/>
    </row>
    <row r="1486" spans="2:11">
      <c r="B1486" s="6"/>
      <c r="C1486" s="24"/>
      <c r="D1486" s="5"/>
      <c r="E1486" s="5"/>
      <c r="F1486" s="4"/>
      <c r="G1486" s="4"/>
      <c r="H1486" s="4"/>
      <c r="I1486" s="4"/>
      <c r="J1486" s="4"/>
      <c r="K1486" s="4"/>
    </row>
    <row r="1487" spans="2:11">
      <c r="B1487" s="6"/>
      <c r="C1487" s="24"/>
      <c r="D1487" s="5"/>
      <c r="E1487" s="5"/>
      <c r="F1487" s="4"/>
      <c r="G1487" s="4"/>
      <c r="H1487" s="4"/>
      <c r="I1487" s="4"/>
      <c r="J1487" s="4"/>
      <c r="K1487" s="4"/>
    </row>
    <row r="1488" spans="2:11">
      <c r="B1488" s="6"/>
      <c r="C1488" s="24"/>
      <c r="D1488" s="5"/>
      <c r="E1488" s="5"/>
      <c r="F1488" s="4"/>
      <c r="G1488" s="4"/>
      <c r="H1488" s="4"/>
      <c r="I1488" s="4"/>
      <c r="J1488" s="4"/>
      <c r="K1488" s="4"/>
    </row>
    <row r="1489" spans="2:11">
      <c r="B1489" s="6"/>
      <c r="C1489" s="24"/>
      <c r="D1489" s="5"/>
      <c r="E1489" s="5"/>
      <c r="F1489" s="4"/>
      <c r="G1489" s="4"/>
      <c r="H1489" s="4"/>
      <c r="I1489" s="4"/>
      <c r="J1489" s="4"/>
      <c r="K1489" s="4"/>
    </row>
    <row r="1490" spans="2:11">
      <c r="B1490" s="6"/>
      <c r="C1490" s="24"/>
      <c r="D1490" s="5"/>
      <c r="E1490" s="5"/>
      <c r="F1490" s="4"/>
      <c r="G1490" s="4"/>
      <c r="H1490" s="4"/>
      <c r="I1490" s="4"/>
      <c r="J1490" s="4"/>
      <c r="K1490" s="4"/>
    </row>
    <row r="1491" spans="2:11">
      <c r="B1491" s="6"/>
      <c r="C1491" s="24"/>
      <c r="D1491" s="5"/>
      <c r="E1491" s="5"/>
      <c r="F1491" s="4"/>
      <c r="G1491" s="4"/>
      <c r="H1491" s="4"/>
      <c r="I1491" s="4"/>
      <c r="J1491" s="4"/>
      <c r="K1491" s="4"/>
    </row>
    <row r="1492" spans="2:11">
      <c r="B1492" s="6"/>
      <c r="C1492" s="24"/>
      <c r="D1492" s="5"/>
      <c r="E1492" s="5"/>
      <c r="F1492" s="4"/>
      <c r="G1492" s="4"/>
      <c r="H1492" s="4"/>
      <c r="I1492" s="4"/>
      <c r="J1492" s="4"/>
      <c r="K1492" s="4"/>
    </row>
    <row r="1493" spans="2:11">
      <c r="B1493" s="6"/>
      <c r="C1493" s="24"/>
      <c r="D1493" s="5"/>
      <c r="E1493" s="5"/>
      <c r="F1493" s="4"/>
      <c r="G1493" s="4"/>
      <c r="H1493" s="4"/>
      <c r="I1493" s="4"/>
      <c r="J1493" s="4"/>
      <c r="K1493" s="4"/>
    </row>
    <row r="1494" spans="2:11">
      <c r="B1494" s="6"/>
      <c r="C1494" s="24"/>
      <c r="D1494" s="5"/>
      <c r="E1494" s="5"/>
      <c r="F1494" s="4"/>
      <c r="G1494" s="4"/>
      <c r="H1494" s="4"/>
      <c r="I1494" s="4"/>
      <c r="J1494" s="4"/>
      <c r="K1494" s="4"/>
    </row>
    <row r="1495" spans="2:11">
      <c r="B1495" s="6"/>
      <c r="C1495" s="24"/>
      <c r="D1495" s="5"/>
      <c r="E1495" s="5"/>
      <c r="F1495" s="4"/>
      <c r="G1495" s="4"/>
      <c r="H1495" s="4"/>
      <c r="I1495" s="4"/>
      <c r="J1495" s="4"/>
      <c r="K1495" s="4"/>
    </row>
    <row r="1496" spans="2:11">
      <c r="B1496" s="6"/>
      <c r="C1496" s="24"/>
      <c r="D1496" s="5"/>
      <c r="E1496" s="5"/>
      <c r="F1496" s="4"/>
      <c r="G1496" s="4"/>
      <c r="H1496" s="4"/>
      <c r="I1496" s="4"/>
      <c r="J1496" s="4"/>
      <c r="K1496" s="4"/>
    </row>
    <row r="1497" spans="2:11">
      <c r="B1497" s="6"/>
      <c r="C1497" s="24"/>
      <c r="D1497" s="5"/>
      <c r="E1497" s="5"/>
      <c r="F1497" s="4"/>
      <c r="G1497" s="4"/>
      <c r="H1497" s="4"/>
      <c r="I1497" s="4"/>
      <c r="J1497" s="4"/>
      <c r="K1497" s="4"/>
    </row>
    <row r="1498" spans="2:11">
      <c r="B1498" s="6"/>
      <c r="C1498" s="24"/>
      <c r="D1498" s="5"/>
      <c r="E1498" s="5"/>
      <c r="F1498" s="4"/>
      <c r="G1498" s="4"/>
      <c r="H1498" s="4"/>
      <c r="I1498" s="4"/>
      <c r="J1498" s="4"/>
      <c r="K1498" s="4"/>
    </row>
    <row r="1499" spans="2:11">
      <c r="B1499" s="6"/>
      <c r="C1499" s="24"/>
      <c r="D1499" s="5"/>
      <c r="E1499" s="5"/>
      <c r="F1499" s="4"/>
      <c r="G1499" s="4"/>
      <c r="H1499" s="4"/>
      <c r="I1499" s="4"/>
      <c r="J1499" s="4"/>
      <c r="K1499" s="4"/>
    </row>
    <row r="1500" spans="2:11">
      <c r="B1500" s="6"/>
      <c r="C1500" s="24"/>
      <c r="D1500" s="5"/>
      <c r="E1500" s="5"/>
      <c r="F1500" s="4"/>
      <c r="G1500" s="4"/>
      <c r="H1500" s="4"/>
      <c r="I1500" s="4"/>
      <c r="J1500" s="4"/>
      <c r="K1500" s="4"/>
    </row>
    <row r="1501" spans="2:11">
      <c r="B1501" s="6"/>
      <c r="C1501" s="24"/>
      <c r="D1501" s="5"/>
      <c r="E1501" s="5"/>
      <c r="F1501" s="4"/>
      <c r="G1501" s="4"/>
      <c r="H1501" s="4"/>
      <c r="I1501" s="4"/>
      <c r="J1501" s="4"/>
      <c r="K1501" s="4"/>
    </row>
    <row r="1502" spans="2:11">
      <c r="B1502" s="6"/>
      <c r="C1502" s="24"/>
      <c r="D1502" s="5"/>
      <c r="E1502" s="5"/>
      <c r="F1502" s="4"/>
      <c r="G1502" s="4"/>
      <c r="H1502" s="4"/>
      <c r="I1502" s="4"/>
      <c r="J1502" s="4"/>
      <c r="K1502" s="4"/>
    </row>
    <row r="1503" spans="2:11">
      <c r="B1503" s="6"/>
      <c r="C1503" s="24"/>
      <c r="D1503" s="5"/>
      <c r="E1503" s="5"/>
      <c r="F1503" s="4"/>
      <c r="G1503" s="4"/>
      <c r="H1503" s="4"/>
      <c r="I1503" s="4"/>
      <c r="J1503" s="4"/>
      <c r="K1503" s="4"/>
    </row>
    <row r="1504" spans="2:11">
      <c r="B1504" s="6"/>
      <c r="C1504" s="24"/>
      <c r="D1504" s="5"/>
      <c r="E1504" s="5"/>
      <c r="F1504" s="4"/>
      <c r="G1504" s="4"/>
      <c r="H1504" s="4"/>
      <c r="I1504" s="4"/>
      <c r="J1504" s="4"/>
      <c r="K1504" s="4"/>
    </row>
    <row r="1505" spans="2:11">
      <c r="B1505" s="6"/>
      <c r="C1505" s="24"/>
      <c r="D1505" s="5"/>
      <c r="E1505" s="5"/>
      <c r="F1505" s="4"/>
      <c r="G1505" s="4"/>
      <c r="H1505" s="4"/>
      <c r="I1505" s="4"/>
      <c r="J1505" s="4"/>
      <c r="K1505" s="4"/>
    </row>
    <row r="1506" spans="2:11">
      <c r="B1506" s="6"/>
      <c r="C1506" s="24"/>
      <c r="D1506" s="5"/>
      <c r="E1506" s="5"/>
      <c r="F1506" s="4"/>
      <c r="G1506" s="4"/>
      <c r="H1506" s="4"/>
      <c r="I1506" s="4"/>
      <c r="J1506" s="4"/>
      <c r="K1506" s="4"/>
    </row>
    <row r="1507" spans="2:11">
      <c r="B1507" s="6"/>
      <c r="C1507" s="24"/>
      <c r="D1507" s="5"/>
      <c r="E1507" s="5"/>
      <c r="F1507" s="4"/>
      <c r="G1507" s="4"/>
      <c r="H1507" s="4"/>
      <c r="I1507" s="4"/>
      <c r="J1507" s="4"/>
      <c r="K1507" s="4"/>
    </row>
    <row r="1508" spans="2:11">
      <c r="B1508" s="6"/>
      <c r="C1508" s="24"/>
      <c r="D1508" s="5"/>
      <c r="E1508" s="5"/>
      <c r="F1508" s="4"/>
      <c r="G1508" s="4"/>
      <c r="H1508" s="4"/>
      <c r="I1508" s="4"/>
      <c r="J1508" s="4"/>
      <c r="K1508" s="4"/>
    </row>
    <row r="1509" spans="2:11">
      <c r="B1509" s="6"/>
      <c r="C1509" s="24"/>
      <c r="D1509" s="5"/>
      <c r="E1509" s="5"/>
      <c r="F1509" s="4"/>
      <c r="G1509" s="4"/>
      <c r="H1509" s="4"/>
      <c r="I1509" s="4"/>
      <c r="J1509" s="4"/>
      <c r="K1509" s="4"/>
    </row>
    <row r="1510" spans="2:11">
      <c r="B1510" s="6"/>
      <c r="C1510" s="24"/>
      <c r="D1510" s="5"/>
      <c r="E1510" s="5"/>
      <c r="F1510" s="4"/>
      <c r="G1510" s="4"/>
      <c r="H1510" s="4"/>
      <c r="I1510" s="4"/>
      <c r="J1510" s="4"/>
      <c r="K1510" s="4"/>
    </row>
    <row r="1511" spans="2:11">
      <c r="B1511" s="6"/>
      <c r="C1511" s="24"/>
      <c r="D1511" s="5"/>
      <c r="E1511" s="5"/>
      <c r="F1511" s="4"/>
      <c r="G1511" s="4"/>
      <c r="H1511" s="4"/>
      <c r="I1511" s="4"/>
      <c r="J1511" s="4"/>
      <c r="K1511" s="4"/>
    </row>
    <row r="1512" spans="2:11">
      <c r="B1512" s="6"/>
      <c r="C1512" s="24"/>
      <c r="D1512" s="5"/>
      <c r="E1512" s="5"/>
      <c r="F1512" s="4"/>
      <c r="G1512" s="4"/>
      <c r="H1512" s="4"/>
      <c r="I1512" s="4"/>
      <c r="J1512" s="4"/>
      <c r="K1512" s="4"/>
    </row>
    <row r="1513" spans="2:11">
      <c r="B1513" s="6"/>
      <c r="C1513" s="24"/>
      <c r="D1513" s="5"/>
      <c r="E1513" s="5"/>
      <c r="F1513" s="4"/>
      <c r="G1513" s="4"/>
      <c r="H1513" s="4"/>
      <c r="I1513" s="4"/>
      <c r="J1513" s="4"/>
      <c r="K1513" s="4"/>
    </row>
    <row r="1514" spans="2:11">
      <c r="B1514" s="6"/>
      <c r="C1514" s="24"/>
      <c r="D1514" s="5"/>
      <c r="E1514" s="5"/>
      <c r="F1514" s="4"/>
      <c r="G1514" s="4"/>
      <c r="H1514" s="4"/>
      <c r="I1514" s="4"/>
      <c r="J1514" s="4"/>
      <c r="K1514" s="4"/>
    </row>
    <row r="1515" spans="2:11">
      <c r="B1515" s="6"/>
      <c r="C1515" s="24"/>
      <c r="D1515" s="5"/>
      <c r="E1515" s="5"/>
      <c r="F1515" s="4"/>
      <c r="G1515" s="4"/>
      <c r="H1515" s="4"/>
      <c r="I1515" s="4"/>
      <c r="J1515" s="4"/>
      <c r="K1515" s="4"/>
    </row>
    <row r="1516" spans="2:11">
      <c r="B1516" s="6"/>
      <c r="C1516" s="24"/>
      <c r="D1516" s="5"/>
      <c r="E1516" s="5"/>
      <c r="F1516" s="4"/>
      <c r="G1516" s="4"/>
      <c r="H1516" s="4"/>
      <c r="I1516" s="4"/>
      <c r="J1516" s="4"/>
      <c r="K1516" s="4"/>
    </row>
    <row r="1517" spans="2:11">
      <c r="B1517" s="6"/>
      <c r="C1517" s="24"/>
      <c r="D1517" s="5"/>
      <c r="E1517" s="5"/>
      <c r="F1517" s="4"/>
      <c r="G1517" s="4"/>
      <c r="H1517" s="4"/>
      <c r="I1517" s="4"/>
      <c r="J1517" s="4"/>
      <c r="K1517" s="4"/>
    </row>
    <row r="1518" spans="2:11">
      <c r="B1518" s="6"/>
      <c r="C1518" s="24"/>
      <c r="D1518" s="5"/>
      <c r="E1518" s="5"/>
      <c r="F1518" s="4"/>
      <c r="G1518" s="4"/>
      <c r="H1518" s="4"/>
      <c r="I1518" s="4"/>
      <c r="J1518" s="4"/>
      <c r="K1518" s="4"/>
    </row>
    <row r="1519" spans="2:11">
      <c r="B1519" s="6"/>
      <c r="C1519" s="24"/>
      <c r="D1519" s="5"/>
      <c r="E1519" s="5"/>
      <c r="F1519" s="4"/>
      <c r="G1519" s="4"/>
      <c r="H1519" s="4"/>
      <c r="I1519" s="4"/>
      <c r="J1519" s="4"/>
      <c r="K1519" s="4"/>
    </row>
    <row r="1520" spans="2:11">
      <c r="B1520" s="6"/>
      <c r="C1520" s="24"/>
      <c r="D1520" s="5"/>
      <c r="E1520" s="5"/>
      <c r="F1520" s="4"/>
      <c r="G1520" s="4"/>
      <c r="H1520" s="4"/>
      <c r="I1520" s="4"/>
      <c r="J1520" s="4"/>
      <c r="K1520" s="4"/>
    </row>
    <row r="1521" spans="2:11">
      <c r="B1521" s="6"/>
      <c r="C1521" s="24"/>
      <c r="D1521" s="5"/>
      <c r="E1521" s="5"/>
      <c r="F1521" s="4"/>
      <c r="G1521" s="4"/>
      <c r="H1521" s="4"/>
      <c r="I1521" s="4"/>
      <c r="J1521" s="4"/>
      <c r="K1521" s="4"/>
    </row>
    <row r="1522" spans="2:11">
      <c r="B1522" s="6"/>
      <c r="C1522" s="24"/>
      <c r="D1522" s="5"/>
      <c r="E1522" s="5"/>
      <c r="F1522" s="4"/>
      <c r="G1522" s="4"/>
      <c r="H1522" s="4"/>
      <c r="I1522" s="4"/>
      <c r="J1522" s="4"/>
      <c r="K1522" s="4"/>
    </row>
    <row r="1523" spans="2:11">
      <c r="B1523" s="6"/>
      <c r="C1523" s="24"/>
      <c r="D1523" s="5"/>
      <c r="E1523" s="5"/>
      <c r="F1523" s="4"/>
      <c r="G1523" s="4"/>
      <c r="H1523" s="4"/>
      <c r="I1523" s="4"/>
      <c r="J1523" s="4"/>
      <c r="K1523" s="4"/>
    </row>
    <row r="1524" spans="2:11">
      <c r="B1524" s="6"/>
      <c r="C1524" s="24"/>
      <c r="D1524" s="5"/>
      <c r="E1524" s="5"/>
      <c r="F1524" s="4"/>
      <c r="G1524" s="4"/>
      <c r="H1524" s="4"/>
      <c r="I1524" s="4"/>
      <c r="J1524" s="4"/>
      <c r="K1524" s="4"/>
    </row>
    <row r="1525" spans="2:11">
      <c r="B1525" s="6"/>
      <c r="C1525" s="24"/>
      <c r="D1525" s="5"/>
      <c r="E1525" s="5"/>
      <c r="F1525" s="4"/>
      <c r="G1525" s="4"/>
      <c r="H1525" s="4"/>
      <c r="I1525" s="4"/>
      <c r="J1525" s="4"/>
      <c r="K1525" s="4"/>
    </row>
    <row r="1526" spans="2:11">
      <c r="B1526" s="6"/>
      <c r="C1526" s="24"/>
      <c r="D1526" s="5"/>
      <c r="E1526" s="5"/>
      <c r="F1526" s="4"/>
      <c r="G1526" s="4"/>
      <c r="H1526" s="4"/>
      <c r="I1526" s="4"/>
      <c r="J1526" s="4"/>
      <c r="K1526" s="4"/>
    </row>
    <row r="1527" spans="2:11">
      <c r="B1527" s="6"/>
      <c r="C1527" s="24"/>
      <c r="D1527" s="5"/>
      <c r="E1527" s="5"/>
      <c r="F1527" s="4"/>
      <c r="G1527" s="4"/>
      <c r="H1527" s="4"/>
      <c r="I1527" s="4"/>
      <c r="J1527" s="4"/>
      <c r="K1527" s="4"/>
    </row>
    <row r="1528" spans="2:11">
      <c r="B1528" s="6"/>
      <c r="C1528" s="24"/>
      <c r="D1528" s="5"/>
      <c r="E1528" s="5"/>
      <c r="F1528" s="4"/>
      <c r="G1528" s="4"/>
      <c r="H1528" s="4"/>
      <c r="I1528" s="4"/>
      <c r="J1528" s="4"/>
      <c r="K1528" s="4"/>
    </row>
    <row r="1529" spans="2:11">
      <c r="B1529" s="6"/>
      <c r="C1529" s="24"/>
      <c r="D1529" s="5"/>
      <c r="E1529" s="5"/>
      <c r="F1529" s="4"/>
      <c r="G1529" s="4"/>
      <c r="H1529" s="4"/>
      <c r="I1529" s="4"/>
      <c r="J1529" s="4"/>
      <c r="K1529" s="4"/>
    </row>
    <row r="1530" spans="2:11">
      <c r="B1530" s="6"/>
      <c r="C1530" s="24"/>
      <c r="D1530" s="5"/>
      <c r="E1530" s="5"/>
      <c r="F1530" s="4"/>
      <c r="G1530" s="4"/>
      <c r="H1530" s="4"/>
      <c r="I1530" s="4"/>
      <c r="J1530" s="4"/>
      <c r="K1530" s="4"/>
    </row>
    <row r="1531" spans="2:11">
      <c r="B1531" s="6"/>
      <c r="C1531" s="24"/>
      <c r="D1531" s="5"/>
      <c r="E1531" s="5"/>
      <c r="F1531" s="4"/>
      <c r="G1531" s="4"/>
      <c r="H1531" s="4"/>
      <c r="I1531" s="4"/>
      <c r="J1531" s="4"/>
      <c r="K1531" s="4"/>
    </row>
    <row r="1532" spans="2:11">
      <c r="B1532" s="6"/>
      <c r="C1532" s="24"/>
      <c r="D1532" s="5"/>
      <c r="E1532" s="5"/>
      <c r="F1532" s="4"/>
      <c r="G1532" s="4"/>
      <c r="H1532" s="4"/>
      <c r="I1532" s="4"/>
      <c r="J1532" s="4"/>
      <c r="K1532" s="4"/>
    </row>
    <row r="1533" spans="2:11">
      <c r="B1533" s="6"/>
      <c r="C1533" s="24"/>
      <c r="D1533" s="5"/>
      <c r="E1533" s="5"/>
      <c r="F1533" s="4"/>
      <c r="G1533" s="4"/>
      <c r="H1533" s="4"/>
      <c r="I1533" s="4"/>
      <c r="J1533" s="4"/>
      <c r="K1533" s="4"/>
    </row>
    <row r="1534" spans="2:11">
      <c r="B1534" s="6"/>
      <c r="C1534" s="24"/>
      <c r="D1534" s="5"/>
      <c r="E1534" s="5"/>
      <c r="F1534" s="4"/>
      <c r="G1534" s="4"/>
      <c r="H1534" s="4"/>
      <c r="I1534" s="4"/>
      <c r="J1534" s="4"/>
      <c r="K1534" s="4"/>
    </row>
    <row r="1535" spans="2:11">
      <c r="B1535" s="6"/>
      <c r="C1535" s="24"/>
      <c r="D1535" s="5"/>
      <c r="E1535" s="5"/>
      <c r="F1535" s="4"/>
      <c r="G1535" s="4"/>
      <c r="H1535" s="4"/>
      <c r="I1535" s="4"/>
      <c r="J1535" s="4"/>
      <c r="K1535" s="4"/>
    </row>
    <row r="1536" spans="2:11">
      <c r="B1536" s="6"/>
      <c r="C1536" s="24"/>
      <c r="D1536" s="5"/>
      <c r="E1536" s="5"/>
      <c r="F1536" s="4"/>
      <c r="G1536" s="4"/>
      <c r="H1536" s="4"/>
      <c r="I1536" s="4"/>
      <c r="J1536" s="4"/>
      <c r="K1536" s="4"/>
    </row>
    <row r="1537" spans="2:11">
      <c r="B1537" s="6"/>
      <c r="C1537" s="24"/>
      <c r="D1537" s="5"/>
      <c r="E1537" s="5"/>
      <c r="F1537" s="4"/>
      <c r="G1537" s="4"/>
      <c r="H1537" s="4"/>
      <c r="I1537" s="4"/>
      <c r="J1537" s="4"/>
      <c r="K1537" s="4"/>
    </row>
    <row r="1538" spans="2:11">
      <c r="B1538" s="6"/>
      <c r="C1538" s="24"/>
      <c r="D1538" s="5"/>
      <c r="E1538" s="5"/>
      <c r="F1538" s="4"/>
      <c r="G1538" s="4"/>
      <c r="H1538" s="4"/>
      <c r="I1538" s="4"/>
      <c r="J1538" s="4"/>
      <c r="K1538" s="4"/>
    </row>
    <row r="1539" spans="2:11">
      <c r="B1539" s="6"/>
      <c r="C1539" s="24"/>
      <c r="D1539" s="5"/>
      <c r="E1539" s="5"/>
      <c r="F1539" s="4"/>
      <c r="G1539" s="4"/>
      <c r="H1539" s="4"/>
      <c r="I1539" s="4"/>
      <c r="J1539" s="4"/>
      <c r="K1539" s="4"/>
    </row>
    <row r="1540" spans="2:11">
      <c r="B1540" s="6"/>
      <c r="C1540" s="24"/>
      <c r="D1540" s="5"/>
      <c r="E1540" s="5"/>
      <c r="F1540" s="4"/>
      <c r="G1540" s="4"/>
      <c r="H1540" s="4"/>
      <c r="I1540" s="4"/>
      <c r="J1540" s="4"/>
      <c r="K1540" s="4"/>
    </row>
    <row r="1541" spans="2:11">
      <c r="B1541" s="6"/>
      <c r="C1541" s="24"/>
      <c r="D1541" s="5"/>
      <c r="E1541" s="5"/>
      <c r="F1541" s="4"/>
      <c r="G1541" s="4"/>
      <c r="H1541" s="4"/>
      <c r="I1541" s="4"/>
      <c r="J1541" s="4"/>
      <c r="K1541" s="4"/>
    </row>
    <row r="1542" spans="2:11">
      <c r="B1542" s="6"/>
      <c r="C1542" s="24"/>
      <c r="D1542" s="5"/>
      <c r="E1542" s="5"/>
      <c r="F1542" s="4"/>
      <c r="G1542" s="4"/>
      <c r="H1542" s="4"/>
      <c r="I1542" s="4"/>
      <c r="J1542" s="4"/>
      <c r="K1542" s="4"/>
    </row>
    <row r="1543" spans="2:11">
      <c r="B1543" s="6"/>
      <c r="C1543" s="24"/>
      <c r="D1543" s="5"/>
      <c r="E1543" s="5"/>
      <c r="F1543" s="4"/>
      <c r="G1543" s="4"/>
      <c r="H1543" s="4"/>
      <c r="I1543" s="4"/>
      <c r="J1543" s="4"/>
      <c r="K1543" s="4"/>
    </row>
    <row r="1544" spans="2:11">
      <c r="B1544" s="6"/>
      <c r="C1544" s="24"/>
      <c r="D1544" s="5"/>
      <c r="E1544" s="5"/>
      <c r="F1544" s="4"/>
      <c r="G1544" s="4"/>
      <c r="H1544" s="4"/>
      <c r="I1544" s="4"/>
      <c r="J1544" s="4"/>
      <c r="K1544" s="4"/>
    </row>
    <row r="1545" spans="2:11">
      <c r="B1545" s="6"/>
      <c r="C1545" s="24"/>
      <c r="D1545" s="5"/>
      <c r="E1545" s="5"/>
      <c r="F1545" s="4"/>
      <c r="G1545" s="4"/>
      <c r="H1545" s="4"/>
      <c r="I1545" s="4"/>
      <c r="J1545" s="4"/>
      <c r="K1545" s="4"/>
    </row>
    <row r="1546" spans="2:11">
      <c r="B1546" s="6"/>
      <c r="C1546" s="24"/>
      <c r="D1546" s="5"/>
      <c r="E1546" s="5"/>
      <c r="F1546" s="4"/>
      <c r="G1546" s="4"/>
      <c r="H1546" s="4"/>
      <c r="I1546" s="4"/>
      <c r="J1546" s="4"/>
      <c r="K1546" s="4"/>
    </row>
    <row r="1547" spans="2:11">
      <c r="B1547" s="6"/>
      <c r="C1547" s="24"/>
      <c r="D1547" s="5"/>
      <c r="E1547" s="5"/>
      <c r="F1547" s="4"/>
      <c r="G1547" s="4"/>
      <c r="H1547" s="4"/>
      <c r="I1547" s="4"/>
      <c r="J1547" s="4"/>
      <c r="K1547" s="4"/>
    </row>
    <row r="1548" spans="2:11">
      <c r="B1548" s="6"/>
      <c r="C1548" s="24"/>
      <c r="D1548" s="5"/>
      <c r="E1548" s="5"/>
      <c r="F1548" s="4"/>
      <c r="G1548" s="4"/>
      <c r="H1548" s="4"/>
      <c r="I1548" s="4"/>
      <c r="J1548" s="4"/>
      <c r="K1548" s="4"/>
    </row>
    <row r="1549" spans="2:11">
      <c r="B1549" s="6"/>
      <c r="C1549" s="24"/>
      <c r="D1549" s="5"/>
      <c r="E1549" s="5"/>
      <c r="F1549" s="4"/>
      <c r="G1549" s="4"/>
      <c r="H1549" s="4"/>
      <c r="I1549" s="4"/>
      <c r="J1549" s="4"/>
      <c r="K1549" s="4"/>
    </row>
    <row r="1550" spans="2:11">
      <c r="B1550" s="6"/>
      <c r="C1550" s="24"/>
      <c r="D1550" s="5"/>
      <c r="E1550" s="5"/>
      <c r="F1550" s="4"/>
      <c r="G1550" s="4"/>
      <c r="H1550" s="4"/>
      <c r="I1550" s="4"/>
      <c r="J1550" s="4"/>
      <c r="K1550" s="4"/>
    </row>
    <row r="1551" spans="2:11">
      <c r="B1551" s="6"/>
      <c r="C1551" s="24"/>
      <c r="D1551" s="5"/>
      <c r="E1551" s="5"/>
      <c r="F1551" s="4"/>
      <c r="G1551" s="4"/>
      <c r="H1551" s="4"/>
      <c r="I1551" s="4"/>
      <c r="J1551" s="4"/>
      <c r="K1551" s="4"/>
    </row>
    <row r="1552" spans="2:11">
      <c r="B1552" s="6"/>
      <c r="C1552" s="24"/>
      <c r="D1552" s="5"/>
      <c r="E1552" s="5"/>
      <c r="F1552" s="4"/>
      <c r="G1552" s="4"/>
      <c r="H1552" s="4"/>
      <c r="I1552" s="4"/>
      <c r="J1552" s="4"/>
      <c r="K1552" s="4"/>
    </row>
    <row r="1553" spans="2:11">
      <c r="B1553" s="6"/>
      <c r="C1553" s="24"/>
      <c r="D1553" s="5"/>
      <c r="E1553" s="5"/>
      <c r="F1553" s="4"/>
      <c r="G1553" s="4"/>
      <c r="H1553" s="4"/>
      <c r="I1553" s="4"/>
      <c r="J1553" s="4"/>
      <c r="K1553" s="4"/>
    </row>
    <row r="1554" spans="2:11">
      <c r="B1554" s="6"/>
      <c r="C1554" s="24"/>
      <c r="D1554" s="5"/>
      <c r="E1554" s="5"/>
      <c r="F1554" s="4"/>
      <c r="G1554" s="4"/>
      <c r="H1554" s="4"/>
      <c r="I1554" s="4"/>
      <c r="J1554" s="4"/>
      <c r="K1554" s="4"/>
    </row>
    <row r="1555" spans="2:11">
      <c r="B1555" s="6"/>
      <c r="C1555" s="24"/>
      <c r="D1555" s="5"/>
      <c r="E1555" s="5"/>
      <c r="F1555" s="4"/>
      <c r="G1555" s="4"/>
      <c r="H1555" s="4"/>
      <c r="I1555" s="4"/>
      <c r="J1555" s="4"/>
      <c r="K1555" s="4"/>
    </row>
    <row r="1556" spans="2:11">
      <c r="B1556" s="6"/>
      <c r="C1556" s="24"/>
      <c r="D1556" s="5"/>
      <c r="E1556" s="5"/>
      <c r="F1556" s="4"/>
      <c r="G1556" s="4"/>
      <c r="H1556" s="4"/>
      <c r="I1556" s="4"/>
      <c r="J1556" s="4"/>
      <c r="K1556" s="4"/>
    </row>
    <row r="1557" spans="2:11">
      <c r="B1557" s="6"/>
      <c r="C1557" s="24"/>
      <c r="D1557" s="5"/>
      <c r="E1557" s="5"/>
      <c r="F1557" s="4"/>
      <c r="G1557" s="4"/>
      <c r="H1557" s="4"/>
      <c r="I1557" s="4"/>
      <c r="J1557" s="4"/>
      <c r="K1557" s="4"/>
    </row>
    <row r="1558" spans="2:11">
      <c r="B1558" s="6"/>
      <c r="C1558" s="24"/>
      <c r="D1558" s="5"/>
      <c r="E1558" s="5"/>
      <c r="F1558" s="4"/>
      <c r="G1558" s="4"/>
      <c r="H1558" s="4"/>
      <c r="I1558" s="4"/>
      <c r="J1558" s="4"/>
      <c r="K1558" s="4"/>
    </row>
    <row r="1559" spans="2:11">
      <c r="B1559" s="6"/>
      <c r="C1559" s="24"/>
      <c r="D1559" s="5"/>
      <c r="E1559" s="5"/>
      <c r="F1559" s="4"/>
      <c r="G1559" s="4"/>
      <c r="H1559" s="4"/>
      <c r="I1559" s="4"/>
      <c r="J1559" s="4"/>
      <c r="K1559" s="4"/>
    </row>
    <row r="1560" spans="2:11">
      <c r="B1560" s="6"/>
      <c r="C1560" s="24"/>
      <c r="D1560" s="5"/>
      <c r="E1560" s="5"/>
      <c r="F1560" s="4"/>
      <c r="G1560" s="4"/>
      <c r="H1560" s="4"/>
      <c r="I1560" s="4"/>
      <c r="J1560" s="4"/>
      <c r="K1560" s="4"/>
    </row>
    <row r="1561" spans="2:11">
      <c r="B1561" s="6"/>
      <c r="C1561" s="24"/>
      <c r="D1561" s="5"/>
      <c r="E1561" s="5"/>
      <c r="F1561" s="4"/>
      <c r="G1561" s="4"/>
      <c r="H1561" s="4"/>
      <c r="I1561" s="4"/>
      <c r="J1561" s="4"/>
      <c r="K1561" s="4"/>
    </row>
    <row r="1562" spans="2:11">
      <c r="B1562" s="6"/>
      <c r="C1562" s="24"/>
      <c r="D1562" s="5"/>
      <c r="E1562" s="5"/>
      <c r="F1562" s="4"/>
      <c r="G1562" s="4"/>
      <c r="H1562" s="4"/>
      <c r="I1562" s="4"/>
      <c r="J1562" s="4"/>
      <c r="K1562" s="4"/>
    </row>
    <row r="1563" spans="2:11">
      <c r="B1563" s="6"/>
      <c r="C1563" s="24"/>
      <c r="D1563" s="5"/>
      <c r="E1563" s="5"/>
      <c r="F1563" s="4"/>
      <c r="G1563" s="4"/>
      <c r="H1563" s="4"/>
      <c r="I1563" s="4"/>
      <c r="J1563" s="4"/>
      <c r="K1563" s="4"/>
    </row>
    <row r="1564" spans="2:11">
      <c r="B1564" s="6"/>
      <c r="C1564" s="24"/>
      <c r="D1564" s="5"/>
      <c r="E1564" s="5"/>
      <c r="F1564" s="4"/>
      <c r="G1564" s="4"/>
      <c r="H1564" s="4"/>
      <c r="I1564" s="4"/>
      <c r="J1564" s="4"/>
      <c r="K1564" s="4"/>
    </row>
    <row r="1565" spans="2:11">
      <c r="B1565" s="6"/>
      <c r="C1565" s="24"/>
      <c r="D1565" s="5"/>
      <c r="E1565" s="5"/>
      <c r="F1565" s="4"/>
      <c r="G1565" s="4"/>
      <c r="H1565" s="4"/>
      <c r="I1565" s="4"/>
      <c r="J1565" s="4"/>
      <c r="K1565" s="4"/>
    </row>
    <row r="1566" spans="2:11">
      <c r="B1566" s="6"/>
      <c r="C1566" s="24"/>
      <c r="D1566" s="5"/>
      <c r="E1566" s="5"/>
      <c r="F1566" s="4"/>
      <c r="G1566" s="4"/>
      <c r="H1566" s="4"/>
      <c r="I1566" s="4"/>
      <c r="J1566" s="4"/>
      <c r="K1566" s="4"/>
    </row>
    <row r="1567" spans="2:11">
      <c r="B1567" s="6"/>
      <c r="C1567" s="24"/>
      <c r="D1567" s="5"/>
      <c r="E1567" s="5"/>
      <c r="F1567" s="4"/>
      <c r="G1567" s="4"/>
      <c r="H1567" s="4"/>
      <c r="I1567" s="4"/>
      <c r="J1567" s="4"/>
      <c r="K1567" s="4"/>
    </row>
    <row r="1568" spans="2:11">
      <c r="B1568" s="6"/>
      <c r="C1568" s="24"/>
      <c r="D1568" s="5"/>
      <c r="E1568" s="5"/>
      <c r="F1568" s="4"/>
      <c r="G1568" s="4"/>
      <c r="H1568" s="4"/>
      <c r="I1568" s="4"/>
      <c r="J1568" s="4"/>
      <c r="K1568" s="4"/>
    </row>
    <row r="1569" spans="2:11">
      <c r="B1569" s="6"/>
      <c r="C1569" s="24"/>
      <c r="D1569" s="5"/>
      <c r="E1569" s="5"/>
      <c r="F1569" s="4"/>
      <c r="G1569" s="4"/>
      <c r="H1569" s="4"/>
      <c r="I1569" s="4"/>
      <c r="J1569" s="4"/>
      <c r="K1569" s="4"/>
    </row>
    <row r="1570" spans="2:11">
      <c r="B1570" s="6"/>
      <c r="C1570" s="24"/>
      <c r="D1570" s="5"/>
      <c r="E1570" s="5"/>
      <c r="F1570" s="4"/>
      <c r="G1570" s="4"/>
      <c r="H1570" s="4"/>
      <c r="I1570" s="4"/>
      <c r="J1570" s="4"/>
      <c r="K1570" s="4"/>
    </row>
    <row r="1571" spans="2:11">
      <c r="B1571" s="6"/>
      <c r="C1571" s="24"/>
      <c r="D1571" s="5"/>
      <c r="E1571" s="5"/>
      <c r="F1571" s="4"/>
      <c r="G1571" s="4"/>
      <c r="H1571" s="4"/>
      <c r="I1571" s="4"/>
      <c r="J1571" s="4"/>
      <c r="K1571" s="4"/>
    </row>
    <row r="1572" spans="2:11">
      <c r="B1572" s="6"/>
      <c r="C1572" s="24"/>
      <c r="D1572" s="5"/>
      <c r="E1572" s="5"/>
      <c r="F1572" s="4"/>
      <c r="G1572" s="4"/>
      <c r="H1572" s="4"/>
      <c r="I1572" s="4"/>
      <c r="J1572" s="4"/>
      <c r="K1572" s="4"/>
    </row>
    <row r="1573" spans="2:11">
      <c r="B1573" s="6"/>
      <c r="C1573" s="24"/>
      <c r="D1573" s="5"/>
      <c r="E1573" s="5"/>
      <c r="F1573" s="4"/>
      <c r="G1573" s="4"/>
      <c r="H1573" s="4"/>
      <c r="I1573" s="4"/>
      <c r="J1573" s="4"/>
      <c r="K1573" s="4"/>
    </row>
    <row r="1574" spans="2:11">
      <c r="B1574" s="6"/>
      <c r="C1574" s="24"/>
      <c r="D1574" s="5"/>
      <c r="E1574" s="5"/>
      <c r="F1574" s="4"/>
      <c r="G1574" s="4"/>
      <c r="H1574" s="4"/>
      <c r="I1574" s="4"/>
      <c r="J1574" s="4"/>
      <c r="K1574" s="4"/>
    </row>
    <row r="1575" spans="2:11">
      <c r="B1575" s="6"/>
      <c r="C1575" s="24"/>
      <c r="D1575" s="5"/>
      <c r="E1575" s="5"/>
      <c r="F1575" s="4"/>
      <c r="G1575" s="4"/>
      <c r="H1575" s="4"/>
      <c r="I1575" s="4"/>
      <c r="J1575" s="4"/>
      <c r="K1575" s="4"/>
    </row>
    <row r="1576" spans="2:11">
      <c r="B1576" s="6"/>
      <c r="C1576" s="24"/>
      <c r="D1576" s="5"/>
      <c r="E1576" s="5"/>
      <c r="F1576" s="4"/>
      <c r="G1576" s="4"/>
      <c r="H1576" s="4"/>
      <c r="I1576" s="4"/>
      <c r="J1576" s="4"/>
      <c r="K1576" s="4"/>
    </row>
    <row r="1577" spans="2:11">
      <c r="B1577" s="6"/>
      <c r="C1577" s="24"/>
      <c r="D1577" s="5"/>
      <c r="E1577" s="5"/>
      <c r="F1577" s="4"/>
      <c r="G1577" s="4"/>
      <c r="H1577" s="4"/>
      <c r="I1577" s="4"/>
      <c r="J1577" s="4"/>
      <c r="K1577" s="4"/>
    </row>
    <row r="1578" spans="2:11">
      <c r="B1578" s="6"/>
      <c r="C1578" s="24"/>
      <c r="D1578" s="5"/>
      <c r="E1578" s="5"/>
      <c r="F1578" s="4"/>
      <c r="G1578" s="4"/>
      <c r="H1578" s="4"/>
      <c r="I1578" s="4"/>
      <c r="J1578" s="4"/>
      <c r="K1578" s="4"/>
    </row>
    <row r="1579" spans="2:11">
      <c r="B1579" s="6"/>
      <c r="C1579" s="24"/>
      <c r="D1579" s="5"/>
      <c r="E1579" s="5"/>
      <c r="F1579" s="4"/>
      <c r="G1579" s="4"/>
      <c r="H1579" s="4"/>
      <c r="I1579" s="4"/>
      <c r="J1579" s="4"/>
      <c r="K1579" s="4"/>
    </row>
    <row r="1580" spans="2:11">
      <c r="B1580" s="6"/>
      <c r="C1580" s="24"/>
      <c r="D1580" s="5"/>
      <c r="E1580" s="5"/>
      <c r="F1580" s="4"/>
      <c r="G1580" s="4"/>
      <c r="H1580" s="4"/>
      <c r="I1580" s="4"/>
      <c r="J1580" s="4"/>
      <c r="K1580" s="4"/>
    </row>
    <row r="1581" spans="2:11">
      <c r="B1581" s="6"/>
      <c r="C1581" s="24"/>
      <c r="D1581" s="5"/>
      <c r="E1581" s="5"/>
      <c r="F1581" s="4"/>
      <c r="G1581" s="4"/>
      <c r="H1581" s="4"/>
      <c r="I1581" s="4"/>
      <c r="J1581" s="4"/>
      <c r="K1581" s="4"/>
    </row>
    <row r="1582" spans="2:11">
      <c r="B1582" s="6"/>
      <c r="C1582" s="24"/>
      <c r="D1582" s="5"/>
      <c r="E1582" s="5"/>
      <c r="F1582" s="4"/>
      <c r="G1582" s="4"/>
      <c r="H1582" s="4"/>
      <c r="I1582" s="4"/>
      <c r="J1582" s="4"/>
      <c r="K1582" s="4"/>
    </row>
    <row r="1583" spans="2:11">
      <c r="B1583" s="6"/>
      <c r="C1583" s="24"/>
      <c r="D1583" s="5"/>
      <c r="E1583" s="5"/>
      <c r="F1583" s="4"/>
      <c r="G1583" s="4"/>
      <c r="H1583" s="4"/>
      <c r="I1583" s="4"/>
      <c r="J1583" s="4"/>
      <c r="K1583" s="4"/>
    </row>
    <row r="1584" spans="2:11">
      <c r="B1584" s="6"/>
      <c r="C1584" s="24"/>
      <c r="D1584" s="5"/>
      <c r="E1584" s="5"/>
      <c r="F1584" s="4"/>
      <c r="G1584" s="4"/>
      <c r="H1584" s="4"/>
      <c r="I1584" s="4"/>
      <c r="J1584" s="4"/>
      <c r="K1584" s="4"/>
    </row>
    <row r="1585" spans="2:11">
      <c r="B1585" s="6"/>
      <c r="C1585" s="24"/>
      <c r="D1585" s="5"/>
      <c r="E1585" s="5"/>
      <c r="F1585" s="4"/>
      <c r="G1585" s="4"/>
      <c r="H1585" s="4"/>
      <c r="I1585" s="4"/>
      <c r="J1585" s="4"/>
      <c r="K1585" s="4"/>
    </row>
    <row r="1586" spans="2:11">
      <c r="B1586" s="6"/>
      <c r="C1586" s="24"/>
      <c r="D1586" s="5"/>
      <c r="E1586" s="5"/>
      <c r="F1586" s="4"/>
      <c r="G1586" s="4"/>
      <c r="H1586" s="4"/>
      <c r="I1586" s="4"/>
      <c r="J1586" s="4"/>
      <c r="K1586" s="4"/>
    </row>
    <row r="1587" spans="2:11">
      <c r="B1587" s="6"/>
      <c r="C1587" s="24"/>
      <c r="D1587" s="5"/>
      <c r="E1587" s="5"/>
      <c r="F1587" s="4"/>
      <c r="G1587" s="4"/>
      <c r="H1587" s="4"/>
      <c r="I1587" s="4"/>
      <c r="J1587" s="4"/>
      <c r="K1587" s="4"/>
    </row>
    <row r="1588" spans="2:11">
      <c r="B1588" s="6"/>
      <c r="C1588" s="24"/>
      <c r="D1588" s="5"/>
      <c r="E1588" s="5"/>
      <c r="F1588" s="4"/>
      <c r="G1588" s="4"/>
      <c r="H1588" s="4"/>
      <c r="I1588" s="4"/>
      <c r="J1588" s="4"/>
      <c r="K1588" s="4"/>
    </row>
    <row r="1589" spans="2:11">
      <c r="B1589" s="6"/>
      <c r="C1589" s="24"/>
      <c r="D1589" s="5"/>
      <c r="E1589" s="5"/>
      <c r="F1589" s="4"/>
      <c r="G1589" s="4"/>
      <c r="H1589" s="4"/>
      <c r="I1589" s="4"/>
      <c r="J1589" s="4"/>
      <c r="K1589" s="4"/>
    </row>
    <row r="1590" spans="2:11">
      <c r="B1590" s="6"/>
      <c r="C1590" s="24"/>
      <c r="D1590" s="5"/>
      <c r="E1590" s="5"/>
      <c r="F1590" s="4"/>
      <c r="G1590" s="4"/>
      <c r="H1590" s="4"/>
      <c r="I1590" s="4"/>
      <c r="J1590" s="4"/>
      <c r="K1590" s="4"/>
    </row>
    <row r="1591" spans="2:11">
      <c r="B1591" s="6"/>
      <c r="C1591" s="24"/>
      <c r="D1591" s="5"/>
      <c r="E1591" s="5"/>
      <c r="F1591" s="4"/>
      <c r="G1591" s="4"/>
      <c r="H1591" s="4"/>
      <c r="I1591" s="4"/>
      <c r="J1591" s="4"/>
      <c r="K1591" s="4"/>
    </row>
    <row r="1592" spans="2:11">
      <c r="B1592" s="6"/>
      <c r="C1592" s="24"/>
      <c r="D1592" s="5"/>
      <c r="E1592" s="5"/>
      <c r="F1592" s="4"/>
      <c r="G1592" s="4"/>
      <c r="H1592" s="4"/>
      <c r="I1592" s="4"/>
      <c r="J1592" s="4"/>
      <c r="K1592" s="4"/>
    </row>
    <row r="1593" spans="2:11">
      <c r="B1593" s="6"/>
      <c r="C1593" s="24"/>
      <c r="D1593" s="5"/>
      <c r="E1593" s="5"/>
      <c r="F1593" s="4"/>
      <c r="G1593" s="4"/>
      <c r="H1593" s="4"/>
      <c r="I1593" s="4"/>
      <c r="J1593" s="4"/>
      <c r="K1593" s="4"/>
    </row>
    <row r="1594" spans="2:11">
      <c r="B1594" s="6"/>
      <c r="C1594" s="24"/>
      <c r="D1594" s="5"/>
      <c r="E1594" s="5"/>
      <c r="F1594" s="4"/>
      <c r="G1594" s="4"/>
      <c r="H1594" s="4"/>
      <c r="I1594" s="4"/>
      <c r="J1594" s="4"/>
      <c r="K1594" s="4"/>
    </row>
    <row r="1595" spans="2:11">
      <c r="B1595" s="6"/>
      <c r="C1595" s="24"/>
      <c r="D1595" s="5"/>
      <c r="E1595" s="5"/>
      <c r="F1595" s="4"/>
      <c r="G1595" s="4"/>
      <c r="H1595" s="4"/>
      <c r="I1595" s="4"/>
      <c r="J1595" s="4"/>
      <c r="K1595" s="4"/>
    </row>
    <row r="1596" spans="2:11">
      <c r="B1596" s="6"/>
      <c r="C1596" s="24"/>
      <c r="D1596" s="5"/>
      <c r="E1596" s="5"/>
      <c r="F1596" s="4"/>
      <c r="G1596" s="4"/>
      <c r="H1596" s="4"/>
      <c r="I1596" s="4"/>
      <c r="J1596" s="4"/>
      <c r="K1596" s="4"/>
    </row>
    <row r="1597" spans="2:11">
      <c r="B1597" s="6"/>
      <c r="C1597" s="24"/>
      <c r="D1597" s="5"/>
      <c r="E1597" s="5"/>
      <c r="F1597" s="4"/>
      <c r="G1597" s="4"/>
      <c r="H1597" s="4"/>
      <c r="I1597" s="4"/>
      <c r="J1597" s="4"/>
      <c r="K1597" s="4"/>
    </row>
    <row r="1598" spans="2:11">
      <c r="B1598" s="6"/>
      <c r="C1598" s="24"/>
      <c r="D1598" s="5"/>
      <c r="E1598" s="5"/>
      <c r="F1598" s="4"/>
      <c r="G1598" s="4"/>
      <c r="H1598" s="4"/>
      <c r="I1598" s="4"/>
      <c r="J1598" s="4"/>
      <c r="K1598" s="4"/>
    </row>
    <row r="1599" spans="2:11">
      <c r="B1599" s="6"/>
      <c r="C1599" s="24"/>
      <c r="D1599" s="5"/>
      <c r="E1599" s="5"/>
      <c r="F1599" s="4"/>
      <c r="G1599" s="4"/>
      <c r="H1599" s="4"/>
      <c r="I1599" s="4"/>
      <c r="J1599" s="4"/>
      <c r="K1599" s="4"/>
    </row>
    <row r="1600" spans="2:11">
      <c r="B1600" s="6"/>
      <c r="C1600" s="24"/>
      <c r="D1600" s="5"/>
      <c r="E1600" s="5"/>
      <c r="F1600" s="4"/>
      <c r="G1600" s="4"/>
      <c r="H1600" s="4"/>
      <c r="I1600" s="4"/>
      <c r="J1600" s="4"/>
      <c r="K1600" s="4"/>
    </row>
    <row r="1601" spans="2:11">
      <c r="B1601" s="6"/>
      <c r="C1601" s="24"/>
      <c r="D1601" s="5"/>
      <c r="E1601" s="5"/>
      <c r="F1601" s="4"/>
      <c r="G1601" s="4"/>
      <c r="H1601" s="4"/>
      <c r="I1601" s="4"/>
      <c r="J1601" s="4"/>
      <c r="K1601" s="4"/>
    </row>
    <row r="1602" spans="2:11">
      <c r="B1602" s="6"/>
      <c r="C1602" s="24"/>
      <c r="D1602" s="5"/>
      <c r="E1602" s="5"/>
      <c r="F1602" s="4"/>
      <c r="G1602" s="4"/>
      <c r="H1602" s="4"/>
      <c r="I1602" s="4"/>
      <c r="J1602" s="4"/>
      <c r="K1602" s="4"/>
    </row>
    <row r="1603" spans="2:11">
      <c r="B1603" s="6"/>
      <c r="C1603" s="24"/>
      <c r="D1603" s="5"/>
      <c r="E1603" s="5"/>
      <c r="F1603" s="4"/>
      <c r="G1603" s="4"/>
      <c r="H1603" s="4"/>
      <c r="I1603" s="4"/>
      <c r="J1603" s="4"/>
      <c r="K1603" s="4"/>
    </row>
    <row r="1604" spans="2:11">
      <c r="B1604" s="6"/>
      <c r="C1604" s="24"/>
      <c r="D1604" s="5"/>
      <c r="E1604" s="5"/>
      <c r="F1604" s="4"/>
      <c r="G1604" s="4"/>
      <c r="H1604" s="4"/>
      <c r="I1604" s="4"/>
      <c r="J1604" s="4"/>
      <c r="K1604" s="4"/>
    </row>
    <row r="1605" spans="2:11">
      <c r="B1605" s="6"/>
      <c r="C1605" s="24"/>
      <c r="D1605" s="5"/>
      <c r="E1605" s="5"/>
      <c r="F1605" s="4"/>
      <c r="G1605" s="4"/>
      <c r="H1605" s="4"/>
      <c r="I1605" s="4"/>
      <c r="J1605" s="4"/>
      <c r="K1605" s="4"/>
    </row>
    <row r="1606" spans="2:11">
      <c r="B1606" s="6"/>
      <c r="C1606" s="24"/>
      <c r="D1606" s="5"/>
      <c r="E1606" s="5"/>
      <c r="F1606" s="4"/>
      <c r="G1606" s="4"/>
      <c r="H1606" s="4"/>
      <c r="I1606" s="4"/>
      <c r="J1606" s="4"/>
      <c r="K1606" s="4"/>
    </row>
    <row r="1607" spans="2:11">
      <c r="B1607" s="6"/>
      <c r="C1607" s="24"/>
      <c r="D1607" s="5"/>
      <c r="E1607" s="5"/>
      <c r="F1607" s="4"/>
      <c r="G1607" s="4"/>
      <c r="H1607" s="4"/>
      <c r="I1607" s="4"/>
      <c r="J1607" s="4"/>
      <c r="K1607" s="4"/>
    </row>
    <row r="1608" spans="2:11">
      <c r="B1608" s="6"/>
      <c r="C1608" s="24"/>
      <c r="D1608" s="5"/>
      <c r="E1608" s="5"/>
      <c r="F1608" s="4"/>
      <c r="G1608" s="4"/>
      <c r="H1608" s="4"/>
      <c r="I1608" s="4"/>
      <c r="J1608" s="4"/>
      <c r="K1608" s="4"/>
    </row>
    <row r="1609" spans="2:11">
      <c r="B1609" s="6"/>
      <c r="C1609" s="24"/>
      <c r="D1609" s="5"/>
      <c r="E1609" s="5"/>
      <c r="F1609" s="4"/>
      <c r="G1609" s="4"/>
      <c r="H1609" s="4"/>
      <c r="I1609" s="4"/>
      <c r="J1609" s="4"/>
      <c r="K1609" s="4"/>
    </row>
    <row r="1610" spans="2:11">
      <c r="B1610" s="6"/>
      <c r="C1610" s="24"/>
      <c r="D1610" s="5"/>
      <c r="E1610" s="5"/>
      <c r="F1610" s="4"/>
      <c r="G1610" s="4"/>
      <c r="H1610" s="4"/>
      <c r="I1610" s="4"/>
      <c r="J1610" s="4"/>
      <c r="K1610" s="4"/>
    </row>
    <row r="1611" spans="2:11">
      <c r="B1611" s="6"/>
      <c r="C1611" s="24"/>
      <c r="D1611" s="5"/>
      <c r="E1611" s="5"/>
      <c r="F1611" s="4"/>
      <c r="G1611" s="4"/>
      <c r="H1611" s="4"/>
      <c r="I1611" s="4"/>
      <c r="J1611" s="4"/>
      <c r="K1611" s="4"/>
    </row>
    <row r="1612" spans="2:11">
      <c r="B1612" s="6"/>
      <c r="C1612" s="24"/>
      <c r="D1612" s="5"/>
      <c r="E1612" s="5"/>
      <c r="F1612" s="4"/>
      <c r="G1612" s="4"/>
      <c r="H1612" s="4"/>
      <c r="I1612" s="4"/>
      <c r="J1612" s="4"/>
      <c r="K1612" s="4"/>
    </row>
    <row r="1613" spans="2:11">
      <c r="B1613" s="6"/>
      <c r="C1613" s="24"/>
      <c r="D1613" s="5"/>
      <c r="E1613" s="5"/>
      <c r="F1613" s="4"/>
      <c r="G1613" s="4"/>
      <c r="H1613" s="4"/>
      <c r="I1613" s="4"/>
      <c r="J1613" s="4"/>
      <c r="K1613" s="4"/>
    </row>
    <row r="1614" spans="2:11">
      <c r="B1614" s="6"/>
      <c r="C1614" s="24"/>
      <c r="D1614" s="5"/>
      <c r="E1614" s="5"/>
      <c r="F1614" s="4"/>
      <c r="G1614" s="4"/>
      <c r="H1614" s="4"/>
      <c r="I1614" s="4"/>
      <c r="J1614" s="4"/>
      <c r="K1614" s="4"/>
    </row>
    <row r="1615" spans="2:11">
      <c r="B1615" s="6"/>
      <c r="C1615" s="24"/>
      <c r="D1615" s="5"/>
      <c r="E1615" s="5"/>
      <c r="F1615" s="4"/>
      <c r="G1615" s="4"/>
      <c r="H1615" s="4"/>
      <c r="I1615" s="4"/>
      <c r="J1615" s="4"/>
      <c r="K1615" s="4"/>
    </row>
    <row r="1616" spans="2:11">
      <c r="B1616" s="6"/>
      <c r="C1616" s="24"/>
      <c r="D1616" s="5"/>
      <c r="E1616" s="5"/>
      <c r="F1616" s="4"/>
      <c r="G1616" s="4"/>
      <c r="H1616" s="4"/>
      <c r="I1616" s="4"/>
      <c r="J1616" s="4"/>
      <c r="K1616" s="4"/>
    </row>
    <row r="1617" spans="2:11">
      <c r="B1617" s="6"/>
      <c r="C1617" s="24"/>
      <c r="D1617" s="5"/>
      <c r="E1617" s="5"/>
      <c r="F1617" s="4"/>
      <c r="G1617" s="4"/>
      <c r="H1617" s="4"/>
      <c r="I1617" s="4"/>
      <c r="J1617" s="4"/>
      <c r="K1617" s="4"/>
    </row>
    <row r="1618" spans="2:11">
      <c r="B1618" s="6"/>
      <c r="C1618" s="24"/>
      <c r="D1618" s="5"/>
      <c r="E1618" s="5"/>
      <c r="F1618" s="4"/>
      <c r="G1618" s="4"/>
      <c r="H1618" s="4"/>
      <c r="I1618" s="4"/>
      <c r="J1618" s="4"/>
      <c r="K1618" s="4"/>
    </row>
    <row r="1619" spans="2:11">
      <c r="B1619" s="6"/>
      <c r="C1619" s="24"/>
      <c r="D1619" s="5"/>
      <c r="E1619" s="5"/>
      <c r="F1619" s="4"/>
      <c r="G1619" s="4"/>
      <c r="H1619" s="4"/>
      <c r="I1619" s="4"/>
      <c r="J1619" s="4"/>
      <c r="K1619" s="4"/>
    </row>
    <row r="1620" spans="2:11">
      <c r="B1620" s="6"/>
      <c r="C1620" s="24"/>
      <c r="D1620" s="5"/>
      <c r="E1620" s="5"/>
      <c r="F1620" s="4"/>
      <c r="G1620" s="4"/>
      <c r="H1620" s="4"/>
      <c r="I1620" s="4"/>
      <c r="J1620" s="4"/>
      <c r="K1620" s="4"/>
    </row>
    <row r="1621" spans="2:11">
      <c r="B1621" s="6"/>
      <c r="C1621" s="24"/>
      <c r="D1621" s="5"/>
      <c r="E1621" s="5"/>
      <c r="F1621" s="4"/>
      <c r="G1621" s="4"/>
      <c r="H1621" s="4"/>
      <c r="I1621" s="4"/>
      <c r="J1621" s="4"/>
      <c r="K1621" s="4"/>
    </row>
    <row r="1622" spans="2:11">
      <c r="B1622" s="6"/>
      <c r="C1622" s="24"/>
      <c r="D1622" s="5"/>
      <c r="E1622" s="5"/>
      <c r="F1622" s="4"/>
      <c r="G1622" s="4"/>
      <c r="H1622" s="4"/>
      <c r="I1622" s="4"/>
      <c r="J1622" s="4"/>
      <c r="K1622" s="4"/>
    </row>
    <row r="1623" spans="2:11">
      <c r="B1623" s="6"/>
      <c r="C1623" s="24"/>
      <c r="D1623" s="5"/>
      <c r="E1623" s="5"/>
      <c r="F1623" s="4"/>
      <c r="G1623" s="4"/>
      <c r="H1623" s="4"/>
      <c r="I1623" s="4"/>
      <c r="J1623" s="4"/>
      <c r="K1623" s="4"/>
    </row>
    <row r="1624" spans="2:11">
      <c r="B1624" s="6"/>
      <c r="C1624" s="24"/>
      <c r="D1624" s="5"/>
      <c r="E1624" s="5"/>
      <c r="F1624" s="4"/>
      <c r="G1624" s="4"/>
      <c r="H1624" s="4"/>
      <c r="I1624" s="4"/>
      <c r="J1624" s="4"/>
      <c r="K1624" s="4"/>
    </row>
    <row r="1625" spans="2:11">
      <c r="B1625" s="6"/>
      <c r="C1625" s="24"/>
      <c r="D1625" s="5"/>
      <c r="E1625" s="5"/>
      <c r="F1625" s="4"/>
      <c r="G1625" s="4"/>
      <c r="H1625" s="4"/>
      <c r="I1625" s="4"/>
      <c r="J1625" s="4"/>
      <c r="K1625" s="4"/>
    </row>
    <row r="1626" spans="2:11">
      <c r="B1626" s="6"/>
      <c r="C1626" s="24"/>
      <c r="D1626" s="5"/>
      <c r="E1626" s="5"/>
      <c r="F1626" s="4"/>
      <c r="G1626" s="4"/>
      <c r="H1626" s="4"/>
      <c r="I1626" s="4"/>
      <c r="J1626" s="4"/>
      <c r="K1626" s="4"/>
    </row>
    <row r="1627" spans="2:11">
      <c r="B1627" s="6"/>
      <c r="C1627" s="24"/>
      <c r="D1627" s="5"/>
      <c r="E1627" s="5"/>
      <c r="F1627" s="4"/>
      <c r="G1627" s="4"/>
      <c r="H1627" s="4"/>
      <c r="I1627" s="4"/>
      <c r="J1627" s="4"/>
      <c r="K1627" s="4"/>
    </row>
    <row r="1628" spans="2:11">
      <c r="B1628" s="6"/>
      <c r="C1628" s="24"/>
      <c r="D1628" s="5"/>
      <c r="E1628" s="5"/>
      <c r="F1628" s="4"/>
      <c r="G1628" s="4"/>
      <c r="H1628" s="4"/>
      <c r="I1628" s="4"/>
      <c r="J1628" s="4"/>
      <c r="K1628" s="4"/>
    </row>
    <row r="1629" spans="2:11">
      <c r="B1629" s="6"/>
      <c r="C1629" s="24"/>
      <c r="D1629" s="5"/>
      <c r="E1629" s="5"/>
      <c r="F1629" s="4"/>
      <c r="G1629" s="4"/>
      <c r="H1629" s="4"/>
      <c r="I1629" s="4"/>
      <c r="J1629" s="4"/>
      <c r="K1629" s="4"/>
    </row>
    <row r="1630" spans="2:11">
      <c r="B1630" s="6"/>
      <c r="C1630" s="24"/>
      <c r="D1630" s="5"/>
      <c r="E1630" s="5"/>
      <c r="F1630" s="4"/>
      <c r="G1630" s="4"/>
      <c r="H1630" s="4"/>
      <c r="I1630" s="4"/>
      <c r="J1630" s="4"/>
      <c r="K1630" s="4"/>
    </row>
    <row r="1631" spans="2:11">
      <c r="B1631" s="6"/>
      <c r="C1631" s="24"/>
      <c r="D1631" s="5"/>
      <c r="E1631" s="5"/>
      <c r="F1631" s="4"/>
      <c r="G1631" s="4"/>
      <c r="H1631" s="4"/>
      <c r="I1631" s="4"/>
      <c r="J1631" s="4"/>
      <c r="K1631" s="4"/>
    </row>
    <row r="1632" spans="2:11">
      <c r="B1632" s="6"/>
      <c r="C1632" s="24"/>
      <c r="D1632" s="5"/>
      <c r="E1632" s="5"/>
      <c r="F1632" s="4"/>
      <c r="G1632" s="4"/>
      <c r="H1632" s="4"/>
      <c r="I1632" s="4"/>
      <c r="J1632" s="4"/>
      <c r="K1632" s="4"/>
    </row>
    <row r="1633" spans="2:11">
      <c r="B1633" s="6"/>
      <c r="C1633" s="24"/>
      <c r="D1633" s="5"/>
      <c r="E1633" s="5"/>
      <c r="F1633" s="4"/>
      <c r="G1633" s="4"/>
      <c r="H1633" s="4"/>
      <c r="I1633" s="4"/>
      <c r="J1633" s="4"/>
      <c r="K1633" s="4"/>
    </row>
    <row r="1634" spans="2:11">
      <c r="B1634" s="6"/>
      <c r="C1634" s="24"/>
      <c r="D1634" s="5"/>
      <c r="E1634" s="5"/>
      <c r="F1634" s="4"/>
      <c r="G1634" s="4"/>
      <c r="H1634" s="4"/>
      <c r="I1634" s="4"/>
      <c r="J1634" s="4"/>
      <c r="K1634" s="4"/>
    </row>
    <row r="1635" spans="2:11">
      <c r="B1635" s="6"/>
      <c r="C1635" s="24"/>
      <c r="D1635" s="5"/>
      <c r="E1635" s="5"/>
      <c r="F1635" s="4"/>
      <c r="G1635" s="4"/>
      <c r="H1635" s="4"/>
      <c r="I1635" s="4"/>
      <c r="J1635" s="4"/>
      <c r="K1635" s="4"/>
    </row>
    <row r="1636" spans="2:11">
      <c r="B1636" s="6"/>
      <c r="C1636" s="24"/>
      <c r="D1636" s="5"/>
      <c r="E1636" s="5"/>
      <c r="F1636" s="4"/>
      <c r="G1636" s="4"/>
      <c r="H1636" s="4"/>
      <c r="I1636" s="4"/>
      <c r="J1636" s="4"/>
      <c r="K1636" s="4"/>
    </row>
    <row r="1637" spans="2:11">
      <c r="B1637" s="6"/>
      <c r="C1637" s="24"/>
      <c r="D1637" s="5"/>
      <c r="E1637" s="5"/>
      <c r="F1637" s="4"/>
      <c r="G1637" s="4"/>
      <c r="H1637" s="4"/>
      <c r="I1637" s="4"/>
      <c r="J1637" s="4"/>
      <c r="K1637" s="4"/>
    </row>
    <row r="1638" spans="2:11">
      <c r="B1638" s="6"/>
      <c r="C1638" s="24"/>
      <c r="D1638" s="5"/>
      <c r="E1638" s="5"/>
      <c r="F1638" s="4"/>
      <c r="G1638" s="4"/>
      <c r="H1638" s="4"/>
      <c r="I1638" s="4"/>
      <c r="J1638" s="4"/>
      <c r="K1638" s="4"/>
    </row>
    <row r="1639" spans="2:11">
      <c r="B1639" s="6"/>
      <c r="C1639" s="24"/>
      <c r="D1639" s="5"/>
      <c r="E1639" s="5"/>
      <c r="F1639" s="4"/>
      <c r="G1639" s="4"/>
      <c r="H1639" s="4"/>
      <c r="I1639" s="4"/>
      <c r="J1639" s="4"/>
      <c r="K1639" s="4"/>
    </row>
    <row r="1640" spans="2:11">
      <c r="B1640" s="6"/>
      <c r="C1640" s="24"/>
      <c r="D1640" s="5"/>
      <c r="E1640" s="5"/>
      <c r="F1640" s="4"/>
      <c r="G1640" s="4"/>
      <c r="H1640" s="4"/>
      <c r="I1640" s="4"/>
      <c r="J1640" s="4"/>
      <c r="K1640" s="4"/>
    </row>
    <row r="1641" spans="2:11">
      <c r="B1641" s="6"/>
      <c r="C1641" s="24"/>
      <c r="D1641" s="5"/>
      <c r="E1641" s="5"/>
      <c r="F1641" s="4"/>
      <c r="G1641" s="4"/>
      <c r="H1641" s="4"/>
      <c r="I1641" s="4"/>
      <c r="J1641" s="4"/>
      <c r="K1641" s="4"/>
    </row>
    <row r="1642" spans="2:11">
      <c r="B1642" s="6"/>
      <c r="C1642" s="24"/>
      <c r="D1642" s="5"/>
      <c r="E1642" s="5"/>
      <c r="F1642" s="4"/>
      <c r="G1642" s="4"/>
      <c r="H1642" s="4"/>
      <c r="I1642" s="4"/>
      <c r="J1642" s="4"/>
      <c r="K1642" s="4"/>
    </row>
    <row r="1643" spans="2:11">
      <c r="B1643" s="6"/>
      <c r="C1643" s="24"/>
      <c r="D1643" s="5"/>
      <c r="E1643" s="5"/>
      <c r="F1643" s="4"/>
      <c r="G1643" s="4"/>
      <c r="H1643" s="4"/>
      <c r="I1643" s="4"/>
      <c r="J1643" s="4"/>
      <c r="K1643" s="4"/>
    </row>
    <row r="1644" spans="2:11">
      <c r="B1644" s="6"/>
      <c r="C1644" s="24"/>
      <c r="D1644" s="5"/>
      <c r="E1644" s="5"/>
      <c r="F1644" s="4"/>
      <c r="G1644" s="4"/>
      <c r="H1644" s="4"/>
      <c r="I1644" s="4"/>
      <c r="J1644" s="4"/>
      <c r="K1644" s="4"/>
    </row>
    <row r="1645" spans="2:11">
      <c r="B1645" s="6"/>
      <c r="C1645" s="24"/>
      <c r="D1645" s="5"/>
      <c r="E1645" s="5"/>
      <c r="F1645" s="4"/>
      <c r="G1645" s="4"/>
      <c r="H1645" s="4"/>
      <c r="I1645" s="4"/>
      <c r="J1645" s="4"/>
      <c r="K1645" s="4"/>
    </row>
    <row r="1646" spans="2:11">
      <c r="B1646" s="6"/>
      <c r="C1646" s="24"/>
      <c r="D1646" s="5"/>
      <c r="E1646" s="5"/>
      <c r="F1646" s="4"/>
      <c r="G1646" s="4"/>
      <c r="H1646" s="4"/>
      <c r="I1646" s="4"/>
      <c r="J1646" s="4"/>
      <c r="K1646" s="4"/>
    </row>
    <row r="1647" spans="2:11">
      <c r="B1647" s="6"/>
      <c r="C1647" s="24"/>
      <c r="D1647" s="5"/>
      <c r="E1647" s="5"/>
      <c r="F1647" s="4"/>
      <c r="G1647" s="4"/>
      <c r="H1647" s="4"/>
      <c r="I1647" s="4"/>
      <c r="J1647" s="4"/>
      <c r="K1647" s="4"/>
    </row>
    <row r="1648" spans="2:11">
      <c r="B1648" s="6"/>
      <c r="C1648" s="24"/>
      <c r="D1648" s="5"/>
      <c r="E1648" s="5"/>
      <c r="F1648" s="4"/>
      <c r="G1648" s="4"/>
      <c r="H1648" s="4"/>
      <c r="I1648" s="4"/>
      <c r="J1648" s="4"/>
      <c r="K1648" s="4"/>
    </row>
    <row r="1649" spans="2:11">
      <c r="B1649" s="6"/>
      <c r="C1649" s="24"/>
      <c r="D1649" s="5"/>
      <c r="E1649" s="5"/>
      <c r="F1649" s="4"/>
      <c r="G1649" s="4"/>
      <c r="H1649" s="4"/>
      <c r="I1649" s="4"/>
      <c r="J1649" s="4"/>
      <c r="K1649" s="4"/>
    </row>
    <row r="1650" spans="2:11">
      <c r="B1650" s="6"/>
      <c r="C1650" s="24"/>
      <c r="D1650" s="5"/>
      <c r="E1650" s="5"/>
      <c r="F1650" s="4"/>
      <c r="G1650" s="4"/>
      <c r="H1650" s="4"/>
      <c r="I1650" s="4"/>
      <c r="J1650" s="4"/>
      <c r="K1650" s="4"/>
    </row>
    <row r="1651" spans="2:11">
      <c r="B1651" s="6"/>
      <c r="C1651" s="24"/>
      <c r="D1651" s="5"/>
      <c r="E1651" s="5"/>
      <c r="F1651" s="4"/>
      <c r="G1651" s="4"/>
      <c r="H1651" s="4"/>
      <c r="I1651" s="4"/>
      <c r="J1651" s="4"/>
      <c r="K1651" s="4"/>
    </row>
    <row r="1652" spans="2:11">
      <c r="B1652" s="6"/>
      <c r="C1652" s="24"/>
      <c r="D1652" s="5"/>
      <c r="E1652" s="5"/>
      <c r="F1652" s="4"/>
      <c r="G1652" s="4"/>
      <c r="H1652" s="4"/>
      <c r="I1652" s="4"/>
      <c r="J1652" s="4"/>
      <c r="K1652" s="4"/>
    </row>
    <row r="1653" spans="2:11">
      <c r="B1653" s="6"/>
      <c r="C1653" s="24"/>
      <c r="D1653" s="5"/>
      <c r="E1653" s="5"/>
      <c r="F1653" s="4"/>
      <c r="G1653" s="4"/>
      <c r="H1653" s="4"/>
      <c r="I1653" s="4"/>
      <c r="J1653" s="4"/>
      <c r="K1653" s="4"/>
    </row>
    <row r="1654" spans="2:11">
      <c r="B1654" s="6"/>
      <c r="C1654" s="24"/>
      <c r="D1654" s="5"/>
      <c r="E1654" s="5"/>
      <c r="F1654" s="4"/>
      <c r="G1654" s="4"/>
      <c r="H1654" s="4"/>
      <c r="I1654" s="4"/>
      <c r="J1654" s="4"/>
      <c r="K1654" s="4"/>
    </row>
    <row r="1655" spans="2:11">
      <c r="B1655" s="6"/>
      <c r="C1655" s="24"/>
      <c r="D1655" s="5"/>
      <c r="E1655" s="5"/>
      <c r="F1655" s="4"/>
      <c r="G1655" s="4"/>
      <c r="H1655" s="4"/>
      <c r="I1655" s="4"/>
      <c r="J1655" s="4"/>
      <c r="K1655" s="4"/>
    </row>
    <row r="1656" spans="2:11">
      <c r="B1656" s="6"/>
      <c r="C1656" s="24"/>
      <c r="D1656" s="5"/>
      <c r="E1656" s="5"/>
      <c r="F1656" s="4"/>
      <c r="G1656" s="4"/>
      <c r="H1656" s="4"/>
      <c r="I1656" s="4"/>
      <c r="J1656" s="4"/>
      <c r="K1656" s="4"/>
    </row>
    <row r="1657" spans="2:11">
      <c r="B1657" s="6"/>
      <c r="C1657" s="24"/>
      <c r="D1657" s="5"/>
      <c r="E1657" s="5"/>
      <c r="F1657" s="4"/>
      <c r="G1657" s="4"/>
      <c r="H1657" s="4"/>
      <c r="I1657" s="4"/>
      <c r="J1657" s="4"/>
      <c r="K1657" s="4"/>
    </row>
    <row r="1658" spans="2:11">
      <c r="B1658" s="6"/>
      <c r="C1658" s="24"/>
      <c r="D1658" s="5"/>
      <c r="E1658" s="5"/>
      <c r="F1658" s="4"/>
      <c r="G1658" s="4"/>
      <c r="H1658" s="4"/>
      <c r="I1658" s="4"/>
      <c r="J1658" s="4"/>
      <c r="K1658" s="4"/>
    </row>
    <row r="1659" spans="2:11">
      <c r="B1659" s="6"/>
      <c r="C1659" s="24"/>
      <c r="D1659" s="5"/>
      <c r="E1659" s="5"/>
      <c r="F1659" s="4"/>
      <c r="G1659" s="4"/>
      <c r="H1659" s="4"/>
      <c r="I1659" s="4"/>
      <c r="J1659" s="4"/>
      <c r="K1659" s="4"/>
    </row>
    <row r="1660" spans="2:11">
      <c r="B1660" s="6"/>
      <c r="C1660" s="24"/>
      <c r="D1660" s="5"/>
      <c r="E1660" s="5"/>
      <c r="F1660" s="4"/>
      <c r="G1660" s="4"/>
      <c r="H1660" s="4"/>
      <c r="I1660" s="4"/>
      <c r="J1660" s="4"/>
      <c r="K1660" s="4"/>
    </row>
    <row r="1661" spans="2:11">
      <c r="B1661" s="6"/>
      <c r="C1661" s="24"/>
      <c r="D1661" s="5"/>
      <c r="E1661" s="5"/>
      <c r="F1661" s="4"/>
      <c r="G1661" s="4"/>
      <c r="H1661" s="4"/>
      <c r="I1661" s="4"/>
      <c r="J1661" s="4"/>
      <c r="K1661" s="4"/>
    </row>
    <row r="1662" spans="2:11">
      <c r="B1662" s="6"/>
      <c r="C1662" s="24"/>
      <c r="D1662" s="5"/>
      <c r="E1662" s="5"/>
      <c r="F1662" s="4"/>
      <c r="G1662" s="4"/>
      <c r="H1662" s="4"/>
      <c r="I1662" s="4"/>
      <c r="J1662" s="4"/>
      <c r="K1662" s="4"/>
    </row>
    <row r="1663" spans="2:11">
      <c r="B1663" s="6"/>
      <c r="C1663" s="24"/>
      <c r="D1663" s="5"/>
      <c r="E1663" s="5"/>
      <c r="F1663" s="4"/>
      <c r="G1663" s="4"/>
      <c r="H1663" s="4"/>
      <c r="I1663" s="4"/>
      <c r="J1663" s="4"/>
      <c r="K1663" s="4"/>
    </row>
    <row r="1664" spans="2:11">
      <c r="B1664" s="6"/>
      <c r="C1664" s="24"/>
      <c r="D1664" s="5"/>
      <c r="E1664" s="5"/>
      <c r="F1664" s="4"/>
      <c r="G1664" s="4"/>
      <c r="H1664" s="4"/>
      <c r="I1664" s="4"/>
      <c r="J1664" s="4"/>
      <c r="K1664" s="4"/>
    </row>
    <row r="1665" spans="2:11">
      <c r="B1665" s="6"/>
      <c r="C1665" s="24"/>
      <c r="D1665" s="5"/>
      <c r="E1665" s="5"/>
      <c r="F1665" s="4"/>
      <c r="G1665" s="4"/>
      <c r="H1665" s="4"/>
      <c r="I1665" s="4"/>
      <c r="J1665" s="4"/>
      <c r="K1665" s="4"/>
    </row>
    <row r="1666" spans="2:11">
      <c r="B1666" s="6"/>
      <c r="C1666" s="24"/>
      <c r="D1666" s="5"/>
      <c r="E1666" s="5"/>
      <c r="F1666" s="4"/>
      <c r="G1666" s="4"/>
      <c r="H1666" s="4"/>
      <c r="I1666" s="4"/>
      <c r="J1666" s="4"/>
      <c r="K1666" s="4"/>
    </row>
    <row r="1667" spans="2:11">
      <c r="B1667" s="6"/>
      <c r="C1667" s="24"/>
      <c r="D1667" s="5"/>
      <c r="E1667" s="5"/>
      <c r="F1667" s="4"/>
      <c r="G1667" s="4"/>
      <c r="H1667" s="4"/>
      <c r="I1667" s="4"/>
      <c r="J1667" s="4"/>
      <c r="K1667" s="4"/>
    </row>
    <row r="1668" spans="2:11">
      <c r="B1668" s="6"/>
      <c r="C1668" s="24"/>
      <c r="D1668" s="5"/>
      <c r="E1668" s="5"/>
      <c r="F1668" s="4"/>
      <c r="G1668" s="4"/>
      <c r="H1668" s="4"/>
      <c r="I1668" s="4"/>
      <c r="J1668" s="4"/>
      <c r="K1668" s="4"/>
    </row>
    <row r="1669" spans="2:11">
      <c r="B1669" s="6"/>
      <c r="C1669" s="24"/>
      <c r="D1669" s="5"/>
      <c r="E1669" s="5"/>
      <c r="F1669" s="4"/>
      <c r="G1669" s="4"/>
      <c r="H1669" s="4"/>
      <c r="I1669" s="4"/>
      <c r="J1669" s="4"/>
      <c r="K1669" s="4"/>
    </row>
    <row r="1670" spans="2:11">
      <c r="B1670" s="6"/>
      <c r="C1670" s="24"/>
      <c r="D1670" s="5"/>
      <c r="E1670" s="5"/>
      <c r="F1670" s="4"/>
      <c r="G1670" s="4"/>
      <c r="H1670" s="4"/>
      <c r="I1670" s="4"/>
      <c r="J1670" s="4"/>
      <c r="K1670" s="4"/>
    </row>
    <row r="1671" spans="2:11">
      <c r="B1671" s="6"/>
      <c r="C1671" s="24"/>
      <c r="D1671" s="5"/>
      <c r="E1671" s="5"/>
      <c r="F1671" s="4"/>
      <c r="G1671" s="4"/>
      <c r="H1671" s="4"/>
      <c r="I1671" s="4"/>
      <c r="J1671" s="4"/>
      <c r="K1671" s="4"/>
    </row>
    <row r="1672" spans="2:11">
      <c r="B1672" s="6"/>
      <c r="C1672" s="24"/>
      <c r="D1672" s="5"/>
      <c r="E1672" s="5"/>
      <c r="F1672" s="4"/>
      <c r="G1672" s="4"/>
      <c r="H1672" s="4"/>
      <c r="I1672" s="4"/>
      <c r="J1672" s="4"/>
      <c r="K1672" s="4"/>
    </row>
    <row r="1673" spans="2:11">
      <c r="B1673" s="6"/>
      <c r="C1673" s="24"/>
      <c r="D1673" s="5"/>
      <c r="E1673" s="5"/>
      <c r="F1673" s="4"/>
      <c r="G1673" s="4"/>
      <c r="H1673" s="4"/>
      <c r="I1673" s="4"/>
      <c r="J1673" s="4"/>
      <c r="K1673" s="4"/>
    </row>
    <row r="1674" spans="2:11">
      <c r="B1674" s="6"/>
      <c r="C1674" s="24"/>
      <c r="D1674" s="5"/>
      <c r="E1674" s="5"/>
      <c r="F1674" s="4"/>
      <c r="G1674" s="4"/>
      <c r="H1674" s="4"/>
      <c r="I1674" s="4"/>
      <c r="J1674" s="4"/>
      <c r="K1674" s="4"/>
    </row>
    <row r="1675" spans="2:11">
      <c r="B1675" s="6"/>
      <c r="C1675" s="24"/>
      <c r="D1675" s="5"/>
      <c r="E1675" s="5"/>
      <c r="F1675" s="4"/>
      <c r="G1675" s="4"/>
      <c r="H1675" s="4"/>
      <c r="I1675" s="4"/>
      <c r="J1675" s="4"/>
      <c r="K1675" s="4"/>
    </row>
    <row r="1676" spans="2:11">
      <c r="B1676" s="6"/>
      <c r="C1676" s="24"/>
      <c r="D1676" s="5"/>
      <c r="E1676" s="5"/>
      <c r="F1676" s="4"/>
      <c r="G1676" s="4"/>
      <c r="H1676" s="4"/>
      <c r="I1676" s="4"/>
      <c r="J1676" s="4"/>
      <c r="K1676" s="4"/>
    </row>
    <row r="1677" spans="2:11">
      <c r="B1677" s="6"/>
      <c r="C1677" s="24"/>
      <c r="D1677" s="5"/>
      <c r="E1677" s="5"/>
      <c r="F1677" s="4"/>
      <c r="G1677" s="4"/>
      <c r="H1677" s="4"/>
      <c r="I1677" s="4"/>
      <c r="J1677" s="4"/>
      <c r="K1677" s="4"/>
    </row>
    <row r="1678" spans="2:11">
      <c r="B1678" s="6"/>
      <c r="C1678" s="24"/>
      <c r="D1678" s="5"/>
      <c r="E1678" s="5"/>
      <c r="F1678" s="4"/>
      <c r="G1678" s="4"/>
      <c r="H1678" s="4"/>
      <c r="I1678" s="4"/>
      <c r="J1678" s="4"/>
      <c r="K1678" s="4"/>
    </row>
    <row r="1679" spans="2:11">
      <c r="B1679" s="6"/>
      <c r="C1679" s="24"/>
      <c r="D1679" s="5"/>
      <c r="E1679" s="5"/>
      <c r="F1679" s="4"/>
      <c r="G1679" s="4"/>
      <c r="H1679" s="4"/>
      <c r="I1679" s="4"/>
      <c r="J1679" s="4"/>
      <c r="K1679" s="4"/>
    </row>
    <row r="1680" spans="2:11">
      <c r="B1680" s="6"/>
      <c r="C1680" s="24"/>
      <c r="D1680" s="5"/>
      <c r="E1680" s="5"/>
      <c r="F1680" s="4"/>
      <c r="G1680" s="4"/>
      <c r="H1680" s="4"/>
      <c r="I1680" s="4"/>
      <c r="J1680" s="4"/>
      <c r="K1680" s="4"/>
    </row>
    <row r="1681" spans="2:11">
      <c r="B1681" s="6"/>
      <c r="C1681" s="24"/>
      <c r="D1681" s="5"/>
      <c r="E1681" s="5"/>
      <c r="F1681" s="4"/>
      <c r="G1681" s="4"/>
      <c r="H1681" s="4"/>
      <c r="I1681" s="4"/>
      <c r="J1681" s="4"/>
      <c r="K1681" s="4"/>
    </row>
    <row r="1682" spans="2:11">
      <c r="B1682" s="6"/>
      <c r="C1682" s="24"/>
      <c r="D1682" s="5"/>
      <c r="E1682" s="5"/>
      <c r="F1682" s="4"/>
      <c r="G1682" s="4"/>
      <c r="H1682" s="4"/>
      <c r="I1682" s="4"/>
      <c r="J1682" s="4"/>
      <c r="K1682" s="4"/>
    </row>
    <row r="1683" spans="2:11">
      <c r="B1683" s="6"/>
      <c r="C1683" s="24"/>
      <c r="D1683" s="5"/>
      <c r="E1683" s="5"/>
      <c r="F1683" s="4"/>
      <c r="G1683" s="4"/>
      <c r="H1683" s="4"/>
      <c r="I1683" s="4"/>
      <c r="J1683" s="4"/>
      <c r="K1683" s="4"/>
    </row>
    <row r="1684" spans="2:11">
      <c r="B1684" s="6"/>
      <c r="C1684" s="24"/>
      <c r="D1684" s="5"/>
      <c r="E1684" s="5"/>
      <c r="F1684" s="4"/>
      <c r="G1684" s="4"/>
      <c r="H1684" s="4"/>
      <c r="I1684" s="4"/>
      <c r="J1684" s="4"/>
      <c r="K1684" s="4"/>
    </row>
    <row r="1685" spans="2:11">
      <c r="B1685" s="6"/>
      <c r="C1685" s="24"/>
      <c r="D1685" s="5"/>
      <c r="E1685" s="5"/>
      <c r="F1685" s="4"/>
      <c r="G1685" s="4"/>
      <c r="H1685" s="4"/>
      <c r="I1685" s="4"/>
      <c r="J1685" s="4"/>
      <c r="K1685" s="4"/>
    </row>
    <row r="1686" spans="2:11">
      <c r="B1686" s="6"/>
      <c r="C1686" s="24"/>
      <c r="D1686" s="5"/>
      <c r="E1686" s="5"/>
      <c r="F1686" s="4"/>
      <c r="G1686" s="4"/>
      <c r="H1686" s="4"/>
      <c r="I1686" s="4"/>
      <c r="J1686" s="4"/>
      <c r="K1686" s="4"/>
    </row>
    <row r="1687" spans="2:11">
      <c r="B1687" s="6"/>
      <c r="C1687" s="24"/>
      <c r="D1687" s="5"/>
      <c r="E1687" s="5"/>
      <c r="F1687" s="4"/>
      <c r="G1687" s="4"/>
      <c r="H1687" s="4"/>
      <c r="I1687" s="4"/>
      <c r="J1687" s="4"/>
      <c r="K1687" s="4"/>
    </row>
    <row r="1688" spans="2:11">
      <c r="B1688" s="6"/>
      <c r="C1688" s="24"/>
      <c r="D1688" s="5"/>
      <c r="E1688" s="5"/>
      <c r="F1688" s="4"/>
      <c r="G1688" s="4"/>
      <c r="H1688" s="4"/>
      <c r="I1688" s="4"/>
      <c r="J1688" s="4"/>
      <c r="K1688" s="4"/>
    </row>
    <row r="1689" spans="2:11">
      <c r="B1689" s="6"/>
      <c r="C1689" s="24"/>
      <c r="D1689" s="5"/>
      <c r="E1689" s="5"/>
      <c r="F1689" s="4"/>
      <c r="G1689" s="4"/>
      <c r="H1689" s="4"/>
      <c r="I1689" s="4"/>
      <c r="J1689" s="4"/>
      <c r="K1689" s="4"/>
    </row>
    <row r="1690" spans="2:11">
      <c r="B1690" s="6"/>
      <c r="C1690" s="24"/>
      <c r="D1690" s="5"/>
      <c r="E1690" s="5"/>
      <c r="F1690" s="4"/>
      <c r="G1690" s="4"/>
      <c r="H1690" s="4"/>
      <c r="I1690" s="4"/>
      <c r="J1690" s="4"/>
      <c r="K1690" s="4"/>
    </row>
    <row r="1691" spans="2:11">
      <c r="B1691" s="6"/>
      <c r="C1691" s="24"/>
      <c r="D1691" s="5"/>
      <c r="E1691" s="5"/>
      <c r="F1691" s="4"/>
      <c r="G1691" s="4"/>
      <c r="H1691" s="4"/>
      <c r="I1691" s="4"/>
      <c r="J1691" s="4"/>
      <c r="K1691" s="4"/>
    </row>
    <row r="1692" spans="2:11">
      <c r="B1692" s="6"/>
      <c r="C1692" s="24"/>
      <c r="D1692" s="5"/>
      <c r="E1692" s="5"/>
      <c r="F1692" s="4"/>
      <c r="G1692" s="4"/>
      <c r="H1692" s="4"/>
      <c r="I1692" s="4"/>
      <c r="J1692" s="4"/>
      <c r="K1692" s="4"/>
    </row>
    <row r="1693" spans="2:11">
      <c r="B1693" s="6"/>
      <c r="C1693" s="24"/>
      <c r="D1693" s="5"/>
      <c r="E1693" s="5"/>
      <c r="F1693" s="4"/>
      <c r="G1693" s="4"/>
      <c r="H1693" s="4"/>
      <c r="I1693" s="4"/>
      <c r="J1693" s="4"/>
      <c r="K1693" s="4"/>
    </row>
    <row r="1694" spans="2:11">
      <c r="B1694" s="6"/>
      <c r="C1694" s="24"/>
      <c r="D1694" s="5"/>
      <c r="E1694" s="5"/>
      <c r="F1694" s="4"/>
      <c r="G1694" s="4"/>
      <c r="H1694" s="4"/>
      <c r="I1694" s="4"/>
      <c r="J1694" s="4"/>
      <c r="K1694" s="4"/>
    </row>
    <row r="1695" spans="2:11">
      <c r="B1695" s="6"/>
      <c r="C1695" s="24"/>
      <c r="D1695" s="5"/>
      <c r="E1695" s="5"/>
      <c r="F1695" s="4"/>
      <c r="G1695" s="4"/>
      <c r="H1695" s="4"/>
      <c r="I1695" s="4"/>
      <c r="J1695" s="4"/>
      <c r="K1695" s="4"/>
    </row>
    <row r="1696" spans="2:11">
      <c r="B1696" s="6"/>
      <c r="C1696" s="24"/>
      <c r="D1696" s="5"/>
      <c r="E1696" s="5"/>
      <c r="F1696" s="4"/>
      <c r="G1696" s="4"/>
      <c r="H1696" s="4"/>
      <c r="I1696" s="4"/>
      <c r="J1696" s="4"/>
      <c r="K1696" s="4"/>
    </row>
    <row r="1697" spans="2:11">
      <c r="B1697" s="6"/>
      <c r="C1697" s="24"/>
      <c r="D1697" s="5"/>
      <c r="E1697" s="5"/>
      <c r="F1697" s="4"/>
      <c r="G1697" s="4"/>
      <c r="H1697" s="4"/>
      <c r="I1697" s="4"/>
      <c r="J1697" s="4"/>
      <c r="K1697" s="4"/>
    </row>
    <row r="1698" spans="2:11">
      <c r="B1698" s="6"/>
      <c r="C1698" s="24"/>
      <c r="D1698" s="5"/>
      <c r="E1698" s="5"/>
      <c r="F1698" s="4"/>
      <c r="G1698" s="4"/>
      <c r="H1698" s="4"/>
      <c r="I1698" s="4"/>
      <c r="J1698" s="4"/>
      <c r="K1698" s="4"/>
    </row>
    <row r="1699" spans="2:11">
      <c r="B1699" s="6"/>
      <c r="C1699" s="24"/>
      <c r="D1699" s="5"/>
      <c r="E1699" s="5"/>
      <c r="F1699" s="4"/>
      <c r="G1699" s="4"/>
      <c r="H1699" s="4"/>
      <c r="I1699" s="4"/>
      <c r="J1699" s="4"/>
      <c r="K1699" s="4"/>
    </row>
    <row r="1700" spans="2:11">
      <c r="B1700" s="6"/>
      <c r="C1700" s="24"/>
      <c r="D1700" s="5"/>
      <c r="E1700" s="5"/>
      <c r="F1700" s="4"/>
      <c r="G1700" s="4"/>
      <c r="H1700" s="4"/>
      <c r="I1700" s="4"/>
      <c r="J1700" s="4"/>
      <c r="K1700" s="4"/>
    </row>
    <row r="1701" spans="2:11">
      <c r="B1701" s="6"/>
      <c r="C1701" s="24"/>
      <c r="D1701" s="5"/>
      <c r="E1701" s="5"/>
      <c r="F1701" s="4"/>
      <c r="G1701" s="4"/>
      <c r="H1701" s="4"/>
      <c r="I1701" s="4"/>
      <c r="J1701" s="4"/>
      <c r="K1701" s="4"/>
    </row>
    <row r="1702" spans="2:11">
      <c r="B1702" s="6"/>
      <c r="C1702" s="24"/>
      <c r="D1702" s="5"/>
      <c r="E1702" s="5"/>
      <c r="F1702" s="4"/>
      <c r="G1702" s="4"/>
      <c r="H1702" s="4"/>
      <c r="I1702" s="4"/>
      <c r="J1702" s="4"/>
      <c r="K1702" s="4"/>
    </row>
    <row r="1703" spans="2:11">
      <c r="B1703" s="6"/>
      <c r="C1703" s="24"/>
      <c r="D1703" s="5"/>
      <c r="E1703" s="5"/>
      <c r="F1703" s="4"/>
      <c r="G1703" s="4"/>
      <c r="H1703" s="4"/>
      <c r="I1703" s="4"/>
      <c r="J1703" s="4"/>
      <c r="K1703" s="4"/>
    </row>
    <row r="1704" spans="2:11">
      <c r="B1704" s="6"/>
      <c r="C1704" s="24"/>
      <c r="D1704" s="5"/>
      <c r="E1704" s="5"/>
      <c r="F1704" s="4"/>
      <c r="G1704" s="4"/>
      <c r="H1704" s="4"/>
      <c r="I1704" s="4"/>
      <c r="J1704" s="4"/>
      <c r="K1704" s="4"/>
    </row>
    <row r="1705" spans="2:11">
      <c r="B1705" s="6"/>
      <c r="C1705" s="24"/>
      <c r="D1705" s="5"/>
      <c r="E1705" s="5"/>
      <c r="F1705" s="4"/>
      <c r="G1705" s="4"/>
      <c r="H1705" s="4"/>
      <c r="I1705" s="4"/>
      <c r="J1705" s="4"/>
      <c r="K1705" s="4"/>
    </row>
    <row r="1706" spans="2:11">
      <c r="B1706" s="6"/>
      <c r="C1706" s="24"/>
      <c r="D1706" s="5"/>
      <c r="E1706" s="5"/>
      <c r="F1706" s="4"/>
      <c r="G1706" s="4"/>
      <c r="H1706" s="4"/>
      <c r="I1706" s="4"/>
      <c r="J1706" s="4"/>
      <c r="K1706" s="4"/>
    </row>
    <row r="1707" spans="2:11">
      <c r="B1707" s="6"/>
      <c r="C1707" s="24"/>
      <c r="D1707" s="5"/>
      <c r="E1707" s="5"/>
      <c r="F1707" s="4"/>
      <c r="G1707" s="4"/>
      <c r="H1707" s="4"/>
      <c r="I1707" s="4"/>
      <c r="J1707" s="4"/>
      <c r="K1707" s="4"/>
    </row>
    <row r="1708" spans="2:11">
      <c r="B1708" s="6"/>
      <c r="C1708" s="24"/>
      <c r="D1708" s="5"/>
      <c r="E1708" s="5"/>
      <c r="F1708" s="4"/>
      <c r="G1708" s="4"/>
      <c r="H1708" s="4"/>
      <c r="I1708" s="4"/>
      <c r="J1708" s="4"/>
      <c r="K1708" s="4"/>
    </row>
    <row r="1709" spans="2:11">
      <c r="B1709" s="6"/>
      <c r="C1709" s="24"/>
      <c r="D1709" s="5"/>
      <c r="E1709" s="5"/>
      <c r="F1709" s="4"/>
      <c r="G1709" s="4"/>
      <c r="H1709" s="4"/>
      <c r="I1709" s="4"/>
      <c r="J1709" s="4"/>
      <c r="K1709" s="4"/>
    </row>
    <row r="1710" spans="2:11">
      <c r="B1710" s="6"/>
      <c r="C1710" s="24"/>
      <c r="D1710" s="5"/>
      <c r="E1710" s="5"/>
      <c r="F1710" s="4"/>
      <c r="G1710" s="4"/>
      <c r="H1710" s="4"/>
      <c r="I1710" s="4"/>
      <c r="J1710" s="4"/>
      <c r="K1710" s="4"/>
    </row>
    <row r="1711" spans="2:11">
      <c r="B1711" s="6"/>
      <c r="C1711" s="24"/>
      <c r="D1711" s="5"/>
      <c r="E1711" s="5"/>
      <c r="F1711" s="4"/>
      <c r="G1711" s="4"/>
      <c r="H1711" s="4"/>
      <c r="I1711" s="4"/>
      <c r="J1711" s="4"/>
      <c r="K1711" s="4"/>
    </row>
    <row r="1712" spans="2:11">
      <c r="B1712" s="6"/>
      <c r="C1712" s="24"/>
      <c r="D1712" s="5"/>
      <c r="E1712" s="5"/>
      <c r="F1712" s="4"/>
      <c r="G1712" s="4"/>
      <c r="H1712" s="4"/>
      <c r="I1712" s="4"/>
      <c r="J1712" s="4"/>
      <c r="K1712" s="4"/>
    </row>
    <row r="1713" spans="2:11">
      <c r="B1713" s="6"/>
      <c r="C1713" s="24"/>
      <c r="D1713" s="5"/>
      <c r="E1713" s="5"/>
      <c r="F1713" s="4"/>
      <c r="G1713" s="4"/>
      <c r="H1713" s="4"/>
      <c r="I1713" s="4"/>
      <c r="J1713" s="4"/>
      <c r="K1713" s="4"/>
    </row>
    <row r="1714" spans="2:11">
      <c r="B1714" s="6"/>
      <c r="C1714" s="24"/>
      <c r="D1714" s="5"/>
      <c r="E1714" s="5"/>
      <c r="F1714" s="4"/>
      <c r="G1714" s="4"/>
      <c r="H1714" s="4"/>
      <c r="I1714" s="4"/>
      <c r="J1714" s="4"/>
      <c r="K1714" s="4"/>
    </row>
    <row r="1715" spans="2:11">
      <c r="B1715" s="6"/>
      <c r="C1715" s="24"/>
      <c r="D1715" s="5"/>
      <c r="E1715" s="5"/>
      <c r="F1715" s="4"/>
      <c r="G1715" s="4"/>
      <c r="H1715" s="4"/>
      <c r="I1715" s="4"/>
      <c r="J1715" s="4"/>
      <c r="K1715" s="4"/>
    </row>
    <row r="1716" spans="2:11">
      <c r="B1716" s="6"/>
      <c r="C1716" s="24"/>
      <c r="D1716" s="5"/>
      <c r="E1716" s="5"/>
      <c r="F1716" s="4"/>
      <c r="G1716" s="4"/>
      <c r="H1716" s="4"/>
      <c r="I1716" s="4"/>
      <c r="J1716" s="4"/>
      <c r="K1716" s="4"/>
    </row>
    <row r="1717" spans="2:11">
      <c r="B1717" s="6"/>
      <c r="C1717" s="24"/>
      <c r="D1717" s="5"/>
      <c r="E1717" s="5"/>
      <c r="F1717" s="4"/>
      <c r="G1717" s="4"/>
      <c r="H1717" s="4"/>
      <c r="I1717" s="4"/>
      <c r="J1717" s="4"/>
      <c r="K1717" s="4"/>
    </row>
    <row r="1718" spans="2:11">
      <c r="B1718" s="6"/>
      <c r="C1718" s="24"/>
      <c r="D1718" s="5"/>
      <c r="E1718" s="5"/>
      <c r="F1718" s="4"/>
      <c r="G1718" s="4"/>
      <c r="H1718" s="4"/>
      <c r="I1718" s="4"/>
      <c r="J1718" s="4"/>
      <c r="K1718" s="4"/>
    </row>
    <row r="1719" spans="2:11">
      <c r="B1719" s="6"/>
      <c r="C1719" s="24"/>
      <c r="D1719" s="5"/>
      <c r="E1719" s="5"/>
      <c r="F1719" s="4"/>
      <c r="G1719" s="4"/>
      <c r="H1719" s="4"/>
      <c r="I1719" s="4"/>
      <c r="J1719" s="4"/>
      <c r="K1719" s="4"/>
    </row>
    <row r="1720" spans="2:11">
      <c r="B1720" s="6"/>
      <c r="C1720" s="24"/>
      <c r="D1720" s="5"/>
      <c r="E1720" s="5"/>
      <c r="F1720" s="4"/>
      <c r="G1720" s="4"/>
      <c r="H1720" s="4"/>
      <c r="I1720" s="4"/>
      <c r="J1720" s="4"/>
      <c r="K1720" s="4"/>
    </row>
    <row r="1721" spans="2:11">
      <c r="B1721" s="6"/>
      <c r="C1721" s="24"/>
      <c r="D1721" s="5"/>
      <c r="E1721" s="5"/>
      <c r="F1721" s="4"/>
      <c r="G1721" s="4"/>
      <c r="H1721" s="4"/>
      <c r="I1721" s="4"/>
      <c r="J1721" s="4"/>
      <c r="K1721" s="4"/>
    </row>
    <row r="1722" spans="2:11">
      <c r="B1722" s="6"/>
      <c r="C1722" s="24"/>
      <c r="D1722" s="5"/>
      <c r="E1722" s="5"/>
      <c r="F1722" s="4"/>
      <c r="G1722" s="4"/>
      <c r="H1722" s="4"/>
      <c r="I1722" s="4"/>
      <c r="J1722" s="4"/>
      <c r="K1722" s="4"/>
    </row>
    <row r="1723" spans="2:11">
      <c r="B1723" s="6"/>
      <c r="C1723" s="24"/>
      <c r="D1723" s="5"/>
      <c r="E1723" s="5"/>
      <c r="F1723" s="4"/>
      <c r="G1723" s="4"/>
      <c r="H1723" s="4"/>
      <c r="I1723" s="4"/>
      <c r="J1723" s="4"/>
      <c r="K1723" s="4"/>
    </row>
    <row r="1724" spans="2:11">
      <c r="B1724" s="6"/>
      <c r="C1724" s="24"/>
      <c r="D1724" s="5"/>
      <c r="E1724" s="5"/>
      <c r="F1724" s="4"/>
      <c r="G1724" s="4"/>
      <c r="H1724" s="4"/>
      <c r="I1724" s="4"/>
      <c r="J1724" s="4"/>
      <c r="K1724" s="4"/>
    </row>
    <row r="1725" spans="2:11">
      <c r="B1725" s="6"/>
      <c r="C1725" s="24"/>
      <c r="D1725" s="5"/>
      <c r="E1725" s="5"/>
      <c r="F1725" s="4"/>
      <c r="G1725" s="4"/>
      <c r="H1725" s="4"/>
      <c r="I1725" s="4"/>
      <c r="J1725" s="4"/>
      <c r="K1725" s="4"/>
    </row>
    <row r="1726" spans="2:11">
      <c r="B1726" s="6"/>
      <c r="C1726" s="24"/>
      <c r="D1726" s="5"/>
      <c r="E1726" s="5"/>
      <c r="F1726" s="4"/>
      <c r="G1726" s="4"/>
      <c r="H1726" s="4"/>
      <c r="I1726" s="4"/>
      <c r="J1726" s="4"/>
      <c r="K1726" s="4"/>
    </row>
    <row r="1727" spans="2:11">
      <c r="B1727" s="6"/>
      <c r="C1727" s="24"/>
      <c r="D1727" s="5"/>
      <c r="E1727" s="5"/>
      <c r="F1727" s="4"/>
      <c r="G1727" s="4"/>
      <c r="H1727" s="4"/>
      <c r="I1727" s="4"/>
      <c r="J1727" s="4"/>
      <c r="K1727" s="4"/>
    </row>
    <row r="1728" spans="2:11">
      <c r="B1728" s="6"/>
      <c r="C1728" s="24"/>
      <c r="D1728" s="5"/>
      <c r="E1728" s="5"/>
      <c r="F1728" s="4"/>
      <c r="G1728" s="4"/>
      <c r="H1728" s="4"/>
      <c r="I1728" s="4"/>
      <c r="J1728" s="4"/>
      <c r="K1728" s="4"/>
    </row>
    <row r="1729" spans="2:11">
      <c r="B1729" s="6"/>
      <c r="C1729" s="24"/>
      <c r="D1729" s="5"/>
      <c r="E1729" s="5"/>
      <c r="F1729" s="4"/>
      <c r="G1729" s="4"/>
      <c r="H1729" s="4"/>
      <c r="I1729" s="4"/>
      <c r="J1729" s="4"/>
      <c r="K1729" s="4"/>
    </row>
    <row r="1730" spans="2:11">
      <c r="B1730" s="6"/>
      <c r="C1730" s="24"/>
      <c r="D1730" s="5"/>
      <c r="E1730" s="5"/>
      <c r="F1730" s="4"/>
      <c r="G1730" s="4"/>
      <c r="H1730" s="4"/>
      <c r="I1730" s="4"/>
      <c r="J1730" s="4"/>
      <c r="K1730" s="4"/>
    </row>
    <row r="1731" spans="2:11">
      <c r="B1731" s="6"/>
      <c r="C1731" s="24"/>
      <c r="D1731" s="5"/>
      <c r="E1731" s="5"/>
      <c r="F1731" s="4"/>
      <c r="G1731" s="4"/>
      <c r="H1731" s="4"/>
      <c r="I1731" s="4"/>
      <c r="J1731" s="4"/>
      <c r="K1731" s="4"/>
    </row>
    <row r="1732" spans="2:11">
      <c r="B1732" s="6"/>
      <c r="C1732" s="24"/>
      <c r="D1732" s="5"/>
      <c r="E1732" s="5"/>
      <c r="F1732" s="4"/>
      <c r="G1732" s="4"/>
      <c r="H1732" s="4"/>
      <c r="I1732" s="4"/>
      <c r="J1732" s="4"/>
      <c r="K1732" s="4"/>
    </row>
    <row r="1733" spans="2:11">
      <c r="B1733" s="6"/>
      <c r="C1733" s="24"/>
      <c r="D1733" s="5"/>
      <c r="E1733" s="5"/>
      <c r="F1733" s="4"/>
      <c r="G1733" s="4"/>
      <c r="H1733" s="4"/>
      <c r="I1733" s="4"/>
      <c r="J1733" s="4"/>
      <c r="K1733" s="4"/>
    </row>
    <row r="1734" spans="2:11">
      <c r="B1734" s="6"/>
      <c r="C1734" s="24"/>
      <c r="D1734" s="5"/>
      <c r="E1734" s="5"/>
      <c r="F1734" s="4"/>
      <c r="G1734" s="4"/>
      <c r="H1734" s="4"/>
      <c r="I1734" s="4"/>
      <c r="J1734" s="4"/>
      <c r="K1734" s="4"/>
    </row>
    <row r="1735" spans="2:11">
      <c r="B1735" s="6"/>
      <c r="C1735" s="24"/>
      <c r="D1735" s="5"/>
      <c r="E1735" s="5"/>
      <c r="F1735" s="4"/>
      <c r="G1735" s="4"/>
      <c r="H1735" s="4"/>
      <c r="I1735" s="4"/>
      <c r="J1735" s="4"/>
      <c r="K1735" s="4"/>
    </row>
    <row r="1736" spans="2:11">
      <c r="B1736" s="6"/>
      <c r="C1736" s="24"/>
      <c r="D1736" s="5"/>
      <c r="E1736" s="5"/>
      <c r="F1736" s="4"/>
      <c r="G1736" s="4"/>
      <c r="H1736" s="4"/>
      <c r="I1736" s="4"/>
      <c r="J1736" s="4"/>
      <c r="K1736" s="4"/>
    </row>
    <row r="1737" spans="2:11">
      <c r="B1737" s="6"/>
      <c r="C1737" s="24"/>
      <c r="D1737" s="5"/>
      <c r="E1737" s="5"/>
      <c r="F1737" s="4"/>
      <c r="G1737" s="4"/>
      <c r="H1737" s="4"/>
      <c r="I1737" s="4"/>
      <c r="J1737" s="4"/>
      <c r="K1737" s="4"/>
    </row>
    <row r="1738" spans="2:11">
      <c r="B1738" s="6"/>
      <c r="C1738" s="24"/>
      <c r="D1738" s="5"/>
      <c r="E1738" s="5"/>
      <c r="F1738" s="4"/>
      <c r="G1738" s="4"/>
      <c r="H1738" s="4"/>
      <c r="I1738" s="4"/>
      <c r="J1738" s="4"/>
      <c r="K1738" s="4"/>
    </row>
    <row r="1739" spans="2:11">
      <c r="B1739" s="6"/>
      <c r="C1739" s="24"/>
      <c r="D1739" s="5"/>
      <c r="E1739" s="5"/>
      <c r="F1739" s="4"/>
      <c r="G1739" s="4"/>
      <c r="H1739" s="4"/>
      <c r="I1739" s="4"/>
      <c r="J1739" s="4"/>
      <c r="K1739" s="4"/>
    </row>
    <row r="1740" spans="2:11">
      <c r="B1740" s="6"/>
      <c r="C1740" s="24"/>
      <c r="D1740" s="5"/>
      <c r="E1740" s="5"/>
      <c r="F1740" s="4"/>
      <c r="G1740" s="4"/>
      <c r="H1740" s="4"/>
      <c r="I1740" s="4"/>
      <c r="J1740" s="4"/>
      <c r="K1740" s="4"/>
    </row>
    <row r="1741" spans="2:11">
      <c r="B1741" s="6"/>
      <c r="C1741" s="24"/>
      <c r="D1741" s="5"/>
      <c r="E1741" s="5"/>
      <c r="F1741" s="4"/>
      <c r="G1741" s="4"/>
      <c r="H1741" s="4"/>
      <c r="I1741" s="4"/>
      <c r="J1741" s="4"/>
      <c r="K1741" s="4"/>
    </row>
    <row r="1742" spans="2:11">
      <c r="B1742" s="6"/>
      <c r="C1742" s="24"/>
      <c r="D1742" s="5"/>
      <c r="E1742" s="5"/>
      <c r="F1742" s="4"/>
      <c r="G1742" s="4"/>
      <c r="H1742" s="4"/>
      <c r="I1742" s="4"/>
      <c r="J1742" s="4"/>
      <c r="K1742" s="4"/>
    </row>
    <row r="1743" spans="2:11">
      <c r="B1743" s="6"/>
      <c r="C1743" s="24"/>
      <c r="D1743" s="5"/>
      <c r="E1743" s="5"/>
      <c r="F1743" s="4"/>
      <c r="G1743" s="4"/>
      <c r="H1743" s="4"/>
      <c r="I1743" s="4"/>
      <c r="J1743" s="4"/>
      <c r="K1743" s="4"/>
    </row>
    <row r="1744" spans="2:11">
      <c r="B1744" s="6"/>
      <c r="C1744" s="24"/>
      <c r="D1744" s="5"/>
      <c r="E1744" s="5"/>
      <c r="F1744" s="4"/>
      <c r="G1744" s="4"/>
      <c r="H1744" s="4"/>
      <c r="I1744" s="4"/>
      <c r="J1744" s="4"/>
      <c r="K1744" s="4"/>
    </row>
    <row r="1745" spans="2:11">
      <c r="B1745" s="6"/>
      <c r="C1745" s="24"/>
      <c r="D1745" s="5"/>
      <c r="E1745" s="5"/>
      <c r="F1745" s="4"/>
      <c r="G1745" s="4"/>
      <c r="H1745" s="4"/>
      <c r="I1745" s="4"/>
      <c r="J1745" s="4"/>
      <c r="K1745" s="4"/>
    </row>
    <row r="1746" spans="2:11">
      <c r="B1746" s="6"/>
      <c r="C1746" s="24"/>
      <c r="D1746" s="5"/>
      <c r="E1746" s="5"/>
      <c r="F1746" s="4"/>
      <c r="G1746" s="4"/>
      <c r="H1746" s="4"/>
      <c r="I1746" s="4"/>
      <c r="J1746" s="4"/>
      <c r="K1746" s="4"/>
    </row>
    <row r="1747" spans="2:11">
      <c r="B1747" s="6"/>
      <c r="C1747" s="24"/>
      <c r="D1747" s="5"/>
      <c r="E1747" s="5"/>
      <c r="F1747" s="4"/>
      <c r="G1747" s="4"/>
      <c r="H1747" s="4"/>
      <c r="I1747" s="4"/>
      <c r="J1747" s="4"/>
      <c r="K1747" s="4"/>
    </row>
    <row r="1748" spans="2:11">
      <c r="B1748" s="6"/>
      <c r="C1748" s="24"/>
      <c r="D1748" s="5"/>
      <c r="E1748" s="5"/>
      <c r="F1748" s="4"/>
      <c r="G1748" s="4"/>
      <c r="H1748" s="4"/>
      <c r="I1748" s="4"/>
      <c r="J1748" s="4"/>
      <c r="K1748" s="4"/>
    </row>
    <row r="1749" spans="2:11">
      <c r="B1749" s="6"/>
      <c r="C1749" s="24"/>
      <c r="D1749" s="5"/>
      <c r="E1749" s="5"/>
      <c r="F1749" s="4"/>
      <c r="G1749" s="4"/>
      <c r="H1749" s="4"/>
      <c r="I1749" s="4"/>
      <c r="J1749" s="4"/>
      <c r="K1749" s="4"/>
    </row>
    <row r="1750" spans="2:11">
      <c r="B1750" s="6"/>
      <c r="C1750" s="24"/>
      <c r="D1750" s="5"/>
      <c r="E1750" s="5"/>
      <c r="F1750" s="4"/>
      <c r="G1750" s="4"/>
      <c r="H1750" s="4"/>
      <c r="I1750" s="4"/>
      <c r="J1750" s="4"/>
      <c r="K1750" s="4"/>
    </row>
    <row r="1751" spans="2:11">
      <c r="B1751" s="6"/>
      <c r="C1751" s="24"/>
      <c r="D1751" s="5"/>
      <c r="E1751" s="5"/>
      <c r="F1751" s="4"/>
      <c r="G1751" s="4"/>
      <c r="H1751" s="4"/>
      <c r="I1751" s="4"/>
      <c r="J1751" s="4"/>
      <c r="K1751" s="4"/>
    </row>
    <row r="1752" spans="2:11">
      <c r="B1752" s="6"/>
      <c r="C1752" s="24"/>
      <c r="D1752" s="5"/>
      <c r="E1752" s="5"/>
      <c r="F1752" s="4"/>
      <c r="G1752" s="4"/>
      <c r="H1752" s="4"/>
      <c r="I1752" s="4"/>
      <c r="J1752" s="4"/>
      <c r="K1752" s="4"/>
    </row>
    <row r="1753" spans="2:11">
      <c r="B1753" s="6"/>
      <c r="C1753" s="24"/>
      <c r="D1753" s="5"/>
      <c r="E1753" s="5"/>
      <c r="F1753" s="4"/>
      <c r="G1753" s="4"/>
      <c r="H1753" s="4"/>
      <c r="I1753" s="4"/>
      <c r="J1753" s="4"/>
      <c r="K1753" s="4"/>
    </row>
    <row r="1754" spans="2:11">
      <c r="B1754" s="6"/>
      <c r="C1754" s="24"/>
      <c r="D1754" s="5"/>
      <c r="E1754" s="5"/>
      <c r="F1754" s="4"/>
      <c r="G1754" s="4"/>
      <c r="H1754" s="4"/>
      <c r="I1754" s="4"/>
      <c r="J1754" s="4"/>
      <c r="K1754" s="4"/>
    </row>
    <row r="1755" spans="2:11">
      <c r="B1755" s="6"/>
      <c r="C1755" s="24"/>
      <c r="D1755" s="5"/>
      <c r="E1755" s="5"/>
      <c r="F1755" s="4"/>
      <c r="G1755" s="4"/>
      <c r="H1755" s="4"/>
      <c r="I1755" s="4"/>
      <c r="J1755" s="4"/>
      <c r="K1755" s="4"/>
    </row>
    <row r="1756" spans="2:11">
      <c r="B1756" s="6"/>
      <c r="C1756" s="24"/>
      <c r="D1756" s="5"/>
      <c r="E1756" s="5"/>
      <c r="F1756" s="4"/>
      <c r="G1756" s="4"/>
      <c r="H1756" s="4"/>
      <c r="I1756" s="4"/>
      <c r="J1756" s="4"/>
      <c r="K1756" s="4"/>
    </row>
    <row r="1757" spans="2:11">
      <c r="B1757" s="6"/>
      <c r="C1757" s="24"/>
      <c r="D1757" s="5"/>
      <c r="E1757" s="5"/>
      <c r="F1757" s="4"/>
      <c r="G1757" s="4"/>
      <c r="H1757" s="4"/>
      <c r="I1757" s="4"/>
      <c r="J1757" s="4"/>
      <c r="K1757" s="4"/>
    </row>
    <row r="1758" spans="2:11">
      <c r="B1758" s="6"/>
      <c r="C1758" s="24"/>
      <c r="D1758" s="5"/>
      <c r="E1758" s="5"/>
      <c r="F1758" s="4"/>
      <c r="G1758" s="4"/>
      <c r="H1758" s="4"/>
      <c r="I1758" s="4"/>
      <c r="J1758" s="4"/>
      <c r="K1758" s="4"/>
    </row>
    <row r="1759" spans="2:11">
      <c r="B1759" s="6"/>
      <c r="C1759" s="24"/>
      <c r="D1759" s="5"/>
      <c r="E1759" s="5"/>
      <c r="F1759" s="4"/>
      <c r="G1759" s="4"/>
      <c r="H1759" s="4"/>
      <c r="I1759" s="4"/>
      <c r="J1759" s="4"/>
      <c r="K1759" s="4"/>
    </row>
    <row r="1760" spans="2:11">
      <c r="B1760" s="6"/>
      <c r="C1760" s="24"/>
      <c r="D1760" s="5"/>
      <c r="E1760" s="5"/>
      <c r="F1760" s="4"/>
      <c r="G1760" s="4"/>
      <c r="H1760" s="4"/>
      <c r="I1760" s="4"/>
      <c r="J1760" s="4"/>
      <c r="K1760" s="4"/>
    </row>
    <row r="1761" spans="2:11">
      <c r="B1761" s="6"/>
      <c r="C1761" s="24"/>
      <c r="D1761" s="5"/>
      <c r="E1761" s="5"/>
      <c r="F1761" s="4"/>
      <c r="G1761" s="4"/>
      <c r="H1761" s="4"/>
      <c r="I1761" s="4"/>
      <c r="J1761" s="4"/>
      <c r="K1761" s="4"/>
    </row>
    <row r="1762" spans="2:11">
      <c r="B1762" s="6"/>
      <c r="C1762" s="24"/>
      <c r="D1762" s="5"/>
      <c r="E1762" s="5"/>
      <c r="F1762" s="4"/>
      <c r="G1762" s="4"/>
      <c r="H1762" s="4"/>
      <c r="I1762" s="4"/>
      <c r="J1762" s="4"/>
      <c r="K1762" s="4"/>
    </row>
    <row r="1763" spans="2:11">
      <c r="B1763" s="6"/>
      <c r="C1763" s="24"/>
      <c r="D1763" s="5"/>
      <c r="E1763" s="5"/>
      <c r="F1763" s="4"/>
      <c r="G1763" s="4"/>
      <c r="H1763" s="4"/>
      <c r="I1763" s="4"/>
      <c r="J1763" s="4"/>
      <c r="K1763" s="4"/>
    </row>
    <row r="1764" spans="2:11">
      <c r="B1764" s="6"/>
      <c r="C1764" s="24"/>
      <c r="D1764" s="5"/>
      <c r="E1764" s="5"/>
      <c r="F1764" s="4"/>
      <c r="G1764" s="4"/>
      <c r="H1764" s="4"/>
      <c r="I1764" s="4"/>
      <c r="J1764" s="4"/>
      <c r="K1764" s="4"/>
    </row>
    <row r="1765" spans="2:11">
      <c r="B1765" s="6"/>
      <c r="C1765" s="24"/>
      <c r="D1765" s="5"/>
      <c r="E1765" s="5"/>
      <c r="F1765" s="4"/>
      <c r="G1765" s="4"/>
      <c r="H1765" s="4"/>
      <c r="I1765" s="4"/>
      <c r="J1765" s="4"/>
      <c r="K1765" s="4"/>
    </row>
    <row r="1766" spans="2:11">
      <c r="B1766" s="6"/>
      <c r="C1766" s="24"/>
      <c r="D1766" s="5"/>
      <c r="E1766" s="5"/>
      <c r="F1766" s="4"/>
      <c r="G1766" s="4"/>
      <c r="H1766" s="4"/>
      <c r="I1766" s="4"/>
      <c r="J1766" s="4"/>
      <c r="K1766" s="4"/>
    </row>
    <row r="1767" spans="2:11">
      <c r="B1767" s="6"/>
      <c r="C1767" s="24"/>
      <c r="D1767" s="5"/>
      <c r="E1767" s="5"/>
      <c r="F1767" s="4"/>
      <c r="G1767" s="4"/>
      <c r="H1767" s="4"/>
      <c r="I1767" s="4"/>
      <c r="J1767" s="4"/>
      <c r="K1767" s="4"/>
    </row>
    <row r="1768" spans="2:11">
      <c r="B1768" s="6"/>
      <c r="C1768" s="24"/>
      <c r="D1768" s="5"/>
      <c r="E1768" s="5"/>
      <c r="F1768" s="4"/>
      <c r="G1768" s="4"/>
      <c r="H1768" s="4"/>
      <c r="I1768" s="4"/>
      <c r="J1768" s="4"/>
      <c r="K1768" s="4"/>
    </row>
    <row r="1769" spans="2:11">
      <c r="B1769" s="6"/>
      <c r="C1769" s="24"/>
      <c r="D1769" s="5"/>
      <c r="E1769" s="5"/>
      <c r="F1769" s="4"/>
      <c r="G1769" s="4"/>
      <c r="H1769" s="4"/>
      <c r="I1769" s="4"/>
      <c r="J1769" s="4"/>
      <c r="K1769" s="4"/>
    </row>
    <row r="1770" spans="2:11">
      <c r="B1770" s="6"/>
      <c r="C1770" s="24"/>
      <c r="D1770" s="5"/>
      <c r="E1770" s="5"/>
      <c r="F1770" s="4"/>
      <c r="G1770" s="4"/>
      <c r="H1770" s="4"/>
      <c r="I1770" s="4"/>
      <c r="J1770" s="4"/>
      <c r="K1770" s="4"/>
    </row>
    <row r="1771" spans="2:11">
      <c r="B1771" s="6"/>
      <c r="C1771" s="24"/>
      <c r="D1771" s="5"/>
      <c r="E1771" s="5"/>
      <c r="F1771" s="4"/>
      <c r="G1771" s="4"/>
      <c r="H1771" s="4"/>
      <c r="I1771" s="4"/>
      <c r="J1771" s="4"/>
      <c r="K1771" s="4"/>
    </row>
    <row r="1772" spans="2:11">
      <c r="B1772" s="6"/>
      <c r="C1772" s="24"/>
      <c r="D1772" s="5"/>
      <c r="E1772" s="5"/>
      <c r="F1772" s="4"/>
      <c r="G1772" s="4"/>
      <c r="H1772" s="4"/>
      <c r="I1772" s="4"/>
      <c r="J1772" s="4"/>
      <c r="K1772" s="4"/>
    </row>
    <row r="1773" spans="2:11">
      <c r="B1773" s="6"/>
      <c r="C1773" s="24"/>
      <c r="D1773" s="5"/>
      <c r="E1773" s="5"/>
      <c r="F1773" s="4"/>
      <c r="G1773" s="4"/>
      <c r="H1773" s="4"/>
      <c r="I1773" s="4"/>
      <c r="J1773" s="4"/>
      <c r="K1773" s="4"/>
    </row>
    <row r="1774" spans="2:11">
      <c r="B1774" s="6"/>
      <c r="C1774" s="24"/>
      <c r="D1774" s="5"/>
      <c r="E1774" s="5"/>
      <c r="F1774" s="4"/>
      <c r="G1774" s="4"/>
      <c r="H1774" s="4"/>
      <c r="I1774" s="4"/>
      <c r="J1774" s="4"/>
      <c r="K1774" s="4"/>
    </row>
    <row r="1775" spans="2:11">
      <c r="B1775" s="6"/>
      <c r="C1775" s="24"/>
      <c r="D1775" s="5"/>
      <c r="E1775" s="5"/>
      <c r="F1775" s="4"/>
      <c r="G1775" s="4"/>
      <c r="H1775" s="4"/>
      <c r="I1775" s="4"/>
      <c r="J1775" s="4"/>
      <c r="K1775" s="4"/>
    </row>
    <row r="1776" spans="2:11">
      <c r="B1776" s="6"/>
      <c r="C1776" s="24"/>
      <c r="D1776" s="5"/>
      <c r="E1776" s="5"/>
      <c r="F1776" s="4"/>
      <c r="G1776" s="4"/>
      <c r="H1776" s="4"/>
      <c r="I1776" s="4"/>
      <c r="J1776" s="4"/>
      <c r="K1776" s="4"/>
    </row>
    <row r="1777" spans="2:11">
      <c r="B1777" s="6"/>
      <c r="C1777" s="24"/>
      <c r="D1777" s="5"/>
      <c r="E1777" s="5"/>
      <c r="F1777" s="4"/>
      <c r="G1777" s="4"/>
      <c r="H1777" s="4"/>
      <c r="I1777" s="4"/>
      <c r="J1777" s="4"/>
      <c r="K1777" s="4"/>
    </row>
    <row r="1778" spans="2:11">
      <c r="B1778" s="6"/>
      <c r="C1778" s="24"/>
      <c r="D1778" s="5"/>
      <c r="E1778" s="5"/>
      <c r="F1778" s="4"/>
      <c r="G1778" s="4"/>
      <c r="H1778" s="4"/>
      <c r="I1778" s="4"/>
      <c r="J1778" s="4"/>
      <c r="K1778" s="4"/>
    </row>
    <row r="1779" spans="2:11">
      <c r="B1779" s="6"/>
      <c r="C1779" s="24"/>
      <c r="D1779" s="5"/>
      <c r="E1779" s="5"/>
      <c r="F1779" s="4"/>
      <c r="G1779" s="4"/>
      <c r="H1779" s="4"/>
      <c r="I1779" s="4"/>
      <c r="J1779" s="4"/>
      <c r="K1779" s="4"/>
    </row>
    <row r="1780" spans="2:11">
      <c r="B1780" s="6"/>
      <c r="C1780" s="24"/>
      <c r="D1780" s="5"/>
      <c r="E1780" s="5"/>
      <c r="F1780" s="4"/>
      <c r="G1780" s="4"/>
      <c r="H1780" s="4"/>
      <c r="I1780" s="4"/>
      <c r="J1780" s="4"/>
      <c r="K1780" s="4"/>
    </row>
    <row r="1781" spans="2:11">
      <c r="B1781" s="6"/>
      <c r="C1781" s="24"/>
      <c r="D1781" s="5"/>
      <c r="E1781" s="5"/>
      <c r="F1781" s="4"/>
      <c r="G1781" s="4"/>
      <c r="H1781" s="4"/>
      <c r="I1781" s="4"/>
      <c r="J1781" s="4"/>
      <c r="K1781" s="4"/>
    </row>
    <row r="1782" spans="2:11">
      <c r="B1782" s="6"/>
      <c r="C1782" s="24"/>
      <c r="D1782" s="5"/>
      <c r="E1782" s="5"/>
      <c r="F1782" s="4"/>
      <c r="G1782" s="4"/>
      <c r="H1782" s="4"/>
      <c r="I1782" s="4"/>
      <c r="J1782" s="4"/>
      <c r="K1782" s="4"/>
    </row>
    <row r="1783" spans="2:11">
      <c r="B1783" s="6"/>
      <c r="C1783" s="24"/>
      <c r="D1783" s="5"/>
      <c r="E1783" s="5"/>
      <c r="F1783" s="4"/>
      <c r="G1783" s="4"/>
      <c r="H1783" s="4"/>
      <c r="I1783" s="4"/>
      <c r="J1783" s="4"/>
      <c r="K1783" s="4"/>
    </row>
    <row r="1784" spans="2:11">
      <c r="B1784" s="6"/>
      <c r="C1784" s="24"/>
      <c r="D1784" s="5"/>
      <c r="E1784" s="5"/>
      <c r="F1784" s="4"/>
      <c r="G1784" s="4"/>
      <c r="H1784" s="4"/>
      <c r="I1784" s="4"/>
      <c r="J1784" s="4"/>
      <c r="K1784" s="4"/>
    </row>
    <row r="1785" spans="2:11">
      <c r="B1785" s="6"/>
      <c r="C1785" s="24"/>
      <c r="D1785" s="5"/>
      <c r="E1785" s="5"/>
      <c r="F1785" s="4"/>
      <c r="G1785" s="4"/>
      <c r="H1785" s="4"/>
      <c r="I1785" s="4"/>
      <c r="J1785" s="4"/>
      <c r="K1785" s="4"/>
    </row>
    <row r="1786" spans="2:11">
      <c r="B1786" s="6"/>
      <c r="C1786" s="24"/>
      <c r="D1786" s="5"/>
      <c r="E1786" s="5"/>
      <c r="F1786" s="4"/>
      <c r="G1786" s="4"/>
      <c r="H1786" s="4"/>
      <c r="I1786" s="4"/>
      <c r="J1786" s="4"/>
      <c r="K1786" s="4"/>
    </row>
    <row r="1787" spans="2:11">
      <c r="B1787" s="6"/>
      <c r="C1787" s="24"/>
      <c r="D1787" s="5"/>
      <c r="E1787" s="5"/>
      <c r="F1787" s="4"/>
      <c r="G1787" s="4"/>
      <c r="H1787" s="4"/>
      <c r="I1787" s="4"/>
      <c r="J1787" s="4"/>
      <c r="K1787" s="4"/>
    </row>
    <row r="1788" spans="2:11">
      <c r="B1788" s="6"/>
      <c r="C1788" s="24"/>
      <c r="D1788" s="5"/>
      <c r="E1788" s="5"/>
      <c r="F1788" s="4"/>
      <c r="G1788" s="4"/>
      <c r="H1788" s="4"/>
      <c r="I1788" s="4"/>
      <c r="J1788" s="4"/>
      <c r="K1788" s="4"/>
    </row>
    <row r="1789" spans="2:11">
      <c r="B1789" s="6"/>
      <c r="C1789" s="24"/>
      <c r="D1789" s="5"/>
      <c r="E1789" s="5"/>
      <c r="F1789" s="4"/>
      <c r="G1789" s="4"/>
      <c r="H1789" s="4"/>
      <c r="I1789" s="4"/>
      <c r="J1789" s="4"/>
      <c r="K1789" s="4"/>
    </row>
    <row r="1790" spans="2:11">
      <c r="B1790" s="6"/>
      <c r="C1790" s="24"/>
      <c r="D1790" s="5"/>
      <c r="E1790" s="5"/>
      <c r="F1790" s="4"/>
      <c r="G1790" s="4"/>
      <c r="H1790" s="4"/>
      <c r="I1790" s="4"/>
      <c r="J1790" s="4"/>
      <c r="K1790" s="4"/>
    </row>
    <row r="1791" spans="2:11">
      <c r="B1791" s="6"/>
      <c r="C1791" s="24"/>
      <c r="D1791" s="5"/>
      <c r="E1791" s="5"/>
      <c r="F1791" s="4"/>
      <c r="G1791" s="4"/>
      <c r="H1791" s="4"/>
      <c r="I1791" s="4"/>
      <c r="J1791" s="4"/>
      <c r="K1791" s="4"/>
    </row>
    <row r="1792" spans="2:11">
      <c r="B1792" s="6"/>
      <c r="C1792" s="24"/>
      <c r="D1792" s="5"/>
      <c r="E1792" s="5"/>
      <c r="F1792" s="4"/>
      <c r="G1792" s="4"/>
      <c r="H1792" s="4"/>
      <c r="I1792" s="4"/>
      <c r="J1792" s="4"/>
      <c r="K1792" s="4"/>
    </row>
    <row r="1793" spans="2:11">
      <c r="B1793" s="6"/>
      <c r="C1793" s="24"/>
      <c r="D1793" s="5"/>
      <c r="E1793" s="5"/>
      <c r="F1793" s="4"/>
      <c r="G1793" s="4"/>
      <c r="H1793" s="4"/>
      <c r="I1793" s="4"/>
      <c r="J1793" s="4"/>
      <c r="K1793" s="4"/>
    </row>
    <row r="1794" spans="2:11">
      <c r="B1794" s="6"/>
      <c r="C1794" s="24"/>
      <c r="D1794" s="5"/>
      <c r="E1794" s="5"/>
      <c r="F1794" s="4"/>
      <c r="G1794" s="4"/>
      <c r="H1794" s="4"/>
      <c r="I1794" s="4"/>
      <c r="J1794" s="4"/>
      <c r="K1794" s="4"/>
    </row>
    <row r="1795" spans="2:11">
      <c r="B1795" s="6"/>
      <c r="C1795" s="24"/>
      <c r="D1795" s="5"/>
      <c r="E1795" s="5"/>
      <c r="F1795" s="4"/>
      <c r="G1795" s="4"/>
      <c r="H1795" s="4"/>
      <c r="I1795" s="4"/>
      <c r="J1795" s="4"/>
      <c r="K1795" s="4"/>
    </row>
    <row r="1796" spans="2:11">
      <c r="B1796" s="6"/>
      <c r="C1796" s="24"/>
      <c r="D1796" s="5"/>
      <c r="E1796" s="5"/>
      <c r="F1796" s="4"/>
      <c r="G1796" s="4"/>
      <c r="H1796" s="4"/>
      <c r="I1796" s="4"/>
      <c r="J1796" s="4"/>
      <c r="K1796" s="4"/>
    </row>
    <row r="1797" spans="2:11">
      <c r="B1797" s="6"/>
      <c r="C1797" s="24"/>
      <c r="D1797" s="5"/>
      <c r="E1797" s="5"/>
      <c r="F1797" s="4"/>
      <c r="G1797" s="4"/>
      <c r="H1797" s="4"/>
      <c r="I1797" s="4"/>
      <c r="J1797" s="4"/>
      <c r="K1797" s="4"/>
    </row>
    <row r="1798" spans="2:11">
      <c r="B1798" s="6"/>
      <c r="C1798" s="24"/>
      <c r="D1798" s="5"/>
      <c r="E1798" s="5"/>
      <c r="F1798" s="4"/>
      <c r="G1798" s="4"/>
      <c r="H1798" s="4"/>
      <c r="I1798" s="4"/>
      <c r="J1798" s="4"/>
      <c r="K1798" s="4"/>
    </row>
    <row r="1799" spans="2:11">
      <c r="B1799" s="6"/>
      <c r="C1799" s="24"/>
      <c r="D1799" s="5"/>
      <c r="E1799" s="5"/>
      <c r="F1799" s="4"/>
      <c r="G1799" s="4"/>
      <c r="H1799" s="4"/>
      <c r="I1799" s="4"/>
      <c r="J1799" s="4"/>
      <c r="K1799" s="4"/>
    </row>
    <row r="1800" spans="2:11">
      <c r="B1800" s="6"/>
      <c r="C1800" s="24"/>
      <c r="D1800" s="5"/>
      <c r="E1800" s="5"/>
      <c r="F1800" s="4"/>
      <c r="G1800" s="4"/>
      <c r="H1800" s="4"/>
      <c r="I1800" s="4"/>
      <c r="J1800" s="4"/>
      <c r="K1800" s="4"/>
    </row>
    <row r="1801" spans="2:11">
      <c r="B1801" s="6"/>
      <c r="C1801" s="24"/>
      <c r="D1801" s="5"/>
      <c r="E1801" s="5"/>
      <c r="F1801" s="4"/>
      <c r="G1801" s="4"/>
      <c r="H1801" s="4"/>
      <c r="I1801" s="4"/>
      <c r="J1801" s="4"/>
      <c r="K1801" s="4"/>
    </row>
    <row r="1802" spans="2:11">
      <c r="B1802" s="6"/>
      <c r="C1802" s="24"/>
      <c r="D1802" s="5"/>
      <c r="E1802" s="5"/>
      <c r="F1802" s="4"/>
      <c r="G1802" s="4"/>
      <c r="H1802" s="4"/>
      <c r="I1802" s="4"/>
      <c r="J1802" s="4"/>
      <c r="K1802" s="4"/>
    </row>
    <row r="1803" spans="2:11">
      <c r="B1803" s="6"/>
      <c r="C1803" s="24"/>
      <c r="D1803" s="5"/>
      <c r="E1803" s="5"/>
      <c r="F1803" s="4"/>
      <c r="G1803" s="4"/>
      <c r="H1803" s="4"/>
      <c r="I1803" s="4"/>
      <c r="J1803" s="4"/>
      <c r="K1803" s="4"/>
    </row>
    <row r="1804" spans="2:11">
      <c r="B1804" s="6"/>
      <c r="C1804" s="24"/>
      <c r="D1804" s="5"/>
      <c r="E1804" s="5"/>
      <c r="F1804" s="4"/>
      <c r="G1804" s="4"/>
      <c r="H1804" s="4"/>
      <c r="I1804" s="4"/>
      <c r="J1804" s="4"/>
      <c r="K1804" s="4"/>
    </row>
    <row r="1805" spans="2:11">
      <c r="B1805" s="6"/>
      <c r="C1805" s="24"/>
      <c r="D1805" s="5"/>
      <c r="E1805" s="5"/>
      <c r="F1805" s="4"/>
      <c r="G1805" s="4"/>
      <c r="H1805" s="4"/>
      <c r="I1805" s="4"/>
      <c r="J1805" s="4"/>
      <c r="K1805" s="4"/>
    </row>
    <row r="1806" spans="2:11">
      <c r="B1806" s="6"/>
      <c r="C1806" s="24"/>
      <c r="D1806" s="5"/>
      <c r="E1806" s="5"/>
      <c r="F1806" s="4"/>
      <c r="G1806" s="4"/>
      <c r="H1806" s="4"/>
      <c r="I1806" s="4"/>
      <c r="J1806" s="4"/>
      <c r="K1806" s="4"/>
    </row>
    <row r="1807" spans="2:11">
      <c r="B1807" s="6"/>
      <c r="C1807" s="24"/>
      <c r="D1807" s="5"/>
      <c r="E1807" s="5"/>
      <c r="F1807" s="4"/>
      <c r="G1807" s="4"/>
      <c r="H1807" s="4"/>
      <c r="I1807" s="4"/>
      <c r="J1807" s="4"/>
      <c r="K1807" s="4"/>
    </row>
    <row r="1808" spans="2:11">
      <c r="B1808" s="6"/>
      <c r="C1808" s="24"/>
      <c r="D1808" s="5"/>
      <c r="E1808" s="5"/>
      <c r="F1808" s="4"/>
      <c r="G1808" s="4"/>
      <c r="H1808" s="4"/>
      <c r="I1808" s="4"/>
      <c r="J1808" s="4"/>
      <c r="K1808" s="4"/>
    </row>
    <row r="1809" spans="2:11">
      <c r="B1809" s="6"/>
      <c r="C1809" s="24"/>
      <c r="D1809" s="5"/>
      <c r="E1809" s="5"/>
      <c r="F1809" s="4"/>
      <c r="G1809" s="4"/>
      <c r="H1809" s="4"/>
      <c r="I1809" s="4"/>
      <c r="J1809" s="4"/>
      <c r="K1809" s="4"/>
    </row>
    <row r="1810" spans="2:11">
      <c r="B1810" s="6"/>
      <c r="C1810" s="24"/>
      <c r="D1810" s="5"/>
      <c r="E1810" s="5"/>
      <c r="F1810" s="4"/>
      <c r="G1810" s="4"/>
      <c r="H1810" s="4"/>
      <c r="I1810" s="4"/>
      <c r="J1810" s="4"/>
      <c r="K1810" s="4"/>
    </row>
    <row r="1811" spans="2:11">
      <c r="B1811" s="6"/>
      <c r="C1811" s="24"/>
      <c r="D1811" s="5"/>
      <c r="E1811" s="5"/>
      <c r="F1811" s="4"/>
      <c r="G1811" s="4"/>
      <c r="H1811" s="4"/>
      <c r="I1811" s="4"/>
      <c r="J1811" s="4"/>
      <c r="K1811" s="4"/>
    </row>
    <row r="1812" spans="2:11">
      <c r="B1812" s="6"/>
      <c r="C1812" s="24"/>
      <c r="D1812" s="5"/>
      <c r="E1812" s="5"/>
      <c r="F1812" s="4"/>
      <c r="G1812" s="4"/>
      <c r="H1812" s="4"/>
      <c r="I1812" s="4"/>
      <c r="J1812" s="4"/>
      <c r="K1812" s="4"/>
    </row>
    <row r="1813" spans="2:11">
      <c r="B1813" s="6"/>
      <c r="C1813" s="24"/>
      <c r="D1813" s="5"/>
      <c r="E1813" s="5"/>
      <c r="F1813" s="4"/>
      <c r="G1813" s="4"/>
      <c r="H1813" s="4"/>
      <c r="I1813" s="4"/>
      <c r="J1813" s="4"/>
      <c r="K1813" s="4"/>
    </row>
    <row r="1814" spans="2:11">
      <c r="B1814" s="6"/>
      <c r="C1814" s="24"/>
      <c r="D1814" s="5"/>
      <c r="E1814" s="5"/>
      <c r="F1814" s="4"/>
      <c r="G1814" s="4"/>
      <c r="H1814" s="4"/>
      <c r="I1814" s="4"/>
      <c r="J1814" s="4"/>
      <c r="K1814" s="4"/>
    </row>
    <row r="1815" spans="2:11">
      <c r="B1815" s="6"/>
      <c r="C1815" s="24"/>
      <c r="D1815" s="5"/>
      <c r="E1815" s="5"/>
      <c r="F1815" s="4"/>
      <c r="G1815" s="4"/>
      <c r="H1815" s="4"/>
      <c r="I1815" s="4"/>
      <c r="J1815" s="4"/>
      <c r="K1815" s="4"/>
    </row>
    <row r="1816" spans="2:11">
      <c r="B1816" s="6"/>
      <c r="C1816" s="24"/>
      <c r="D1816" s="5"/>
      <c r="E1816" s="5"/>
      <c r="F1816" s="4"/>
      <c r="G1816" s="4"/>
      <c r="H1816" s="4"/>
      <c r="I1816" s="4"/>
      <c r="J1816" s="4"/>
      <c r="K1816" s="4"/>
    </row>
    <row r="1817" spans="2:11">
      <c r="B1817" s="6"/>
      <c r="C1817" s="24"/>
      <c r="D1817" s="5"/>
      <c r="E1817" s="5"/>
      <c r="F1817" s="4"/>
      <c r="G1817" s="4"/>
      <c r="H1817" s="4"/>
      <c r="I1817" s="4"/>
      <c r="J1817" s="4"/>
      <c r="K1817" s="4"/>
    </row>
    <row r="1818" spans="2:11">
      <c r="B1818" s="6"/>
      <c r="C1818" s="24"/>
      <c r="D1818" s="5"/>
      <c r="E1818" s="5"/>
      <c r="F1818" s="4"/>
      <c r="G1818" s="4"/>
      <c r="H1818" s="4"/>
      <c r="I1818" s="4"/>
      <c r="J1818" s="4"/>
      <c r="K1818" s="4"/>
    </row>
    <row r="1819" spans="2:11">
      <c r="B1819" s="6"/>
      <c r="C1819" s="24"/>
      <c r="D1819" s="5"/>
      <c r="E1819" s="5"/>
      <c r="F1819" s="4"/>
      <c r="G1819" s="4"/>
      <c r="H1819" s="4"/>
      <c r="I1819" s="4"/>
      <c r="J1819" s="4"/>
      <c r="K1819" s="4"/>
    </row>
    <row r="1820" spans="2:11">
      <c r="B1820" s="6"/>
      <c r="C1820" s="24"/>
      <c r="D1820" s="5"/>
      <c r="E1820" s="5"/>
      <c r="F1820" s="4"/>
      <c r="G1820" s="4"/>
      <c r="H1820" s="4"/>
      <c r="I1820" s="4"/>
      <c r="J1820" s="4"/>
      <c r="K1820" s="4"/>
    </row>
    <row r="1821" spans="2:11">
      <c r="B1821" s="6"/>
      <c r="C1821" s="24"/>
      <c r="D1821" s="5"/>
      <c r="E1821" s="5"/>
      <c r="F1821" s="4"/>
      <c r="G1821" s="4"/>
      <c r="H1821" s="4"/>
      <c r="I1821" s="4"/>
      <c r="J1821" s="4"/>
      <c r="K1821" s="4"/>
    </row>
    <row r="1822" spans="2:11">
      <c r="B1822" s="6"/>
      <c r="C1822" s="24"/>
      <c r="D1822" s="5"/>
      <c r="E1822" s="5"/>
      <c r="F1822" s="4"/>
      <c r="G1822" s="4"/>
      <c r="H1822" s="4"/>
      <c r="I1822" s="4"/>
      <c r="J1822" s="4"/>
      <c r="K1822" s="4"/>
    </row>
    <row r="1823" spans="2:11">
      <c r="B1823" s="6"/>
      <c r="C1823" s="24"/>
      <c r="D1823" s="5"/>
      <c r="E1823" s="5"/>
      <c r="F1823" s="4"/>
      <c r="G1823" s="4"/>
      <c r="H1823" s="4"/>
      <c r="I1823" s="4"/>
      <c r="J1823" s="4"/>
      <c r="K1823" s="4"/>
    </row>
    <row r="1824" spans="2:11">
      <c r="B1824" s="6"/>
      <c r="C1824" s="24"/>
      <c r="D1824" s="5"/>
      <c r="E1824" s="5"/>
      <c r="F1824" s="4"/>
      <c r="G1824" s="4"/>
      <c r="H1824" s="4"/>
      <c r="I1824" s="4"/>
      <c r="J1824" s="4"/>
      <c r="K1824" s="4"/>
    </row>
    <row r="1825" spans="2:11">
      <c r="B1825" s="6"/>
      <c r="C1825" s="24"/>
      <c r="D1825" s="5"/>
      <c r="E1825" s="5"/>
      <c r="F1825" s="4"/>
      <c r="G1825" s="4"/>
      <c r="H1825" s="4"/>
      <c r="I1825" s="4"/>
      <c r="J1825" s="4"/>
      <c r="K1825" s="4"/>
    </row>
    <row r="1826" spans="2:11">
      <c r="B1826" s="6"/>
      <c r="C1826" s="24"/>
      <c r="D1826" s="5"/>
      <c r="E1826" s="5"/>
      <c r="F1826" s="4"/>
      <c r="G1826" s="4"/>
      <c r="H1826" s="4"/>
      <c r="I1826" s="4"/>
      <c r="J1826" s="4"/>
      <c r="K1826" s="4"/>
    </row>
    <row r="1827" spans="2:11">
      <c r="B1827" s="6"/>
      <c r="C1827" s="24"/>
      <c r="D1827" s="5"/>
      <c r="E1827" s="5"/>
      <c r="F1827" s="4"/>
      <c r="G1827" s="4"/>
      <c r="H1827" s="4"/>
      <c r="I1827" s="4"/>
      <c r="J1827" s="4"/>
      <c r="K1827" s="4"/>
    </row>
    <row r="1828" spans="2:11">
      <c r="B1828" s="6"/>
      <c r="C1828" s="24"/>
      <c r="D1828" s="5"/>
      <c r="E1828" s="5"/>
      <c r="F1828" s="4"/>
      <c r="G1828" s="4"/>
      <c r="H1828" s="4"/>
      <c r="I1828" s="4"/>
      <c r="J1828" s="4"/>
      <c r="K1828" s="4"/>
    </row>
    <row r="1829" spans="2:11">
      <c r="B1829" s="6"/>
      <c r="C1829" s="24"/>
      <c r="D1829" s="5"/>
      <c r="E1829" s="5"/>
      <c r="F1829" s="4"/>
      <c r="G1829" s="4"/>
      <c r="H1829" s="4"/>
      <c r="I1829" s="4"/>
      <c r="J1829" s="4"/>
      <c r="K1829" s="4"/>
    </row>
    <row r="1830" spans="2:11">
      <c r="B1830" s="6"/>
      <c r="C1830" s="24"/>
      <c r="D1830" s="5"/>
      <c r="E1830" s="5"/>
      <c r="F1830" s="4"/>
      <c r="G1830" s="4"/>
      <c r="H1830" s="4"/>
      <c r="I1830" s="4"/>
      <c r="J1830" s="4"/>
      <c r="K1830" s="4"/>
    </row>
    <row r="1831" spans="2:11">
      <c r="B1831" s="6"/>
      <c r="C1831" s="24"/>
      <c r="D1831" s="5"/>
      <c r="E1831" s="5"/>
      <c r="F1831" s="4"/>
      <c r="G1831" s="4"/>
      <c r="H1831" s="4"/>
      <c r="I1831" s="4"/>
      <c r="J1831" s="4"/>
      <c r="K1831" s="4"/>
    </row>
    <row r="1832" spans="2:11">
      <c r="B1832" s="6"/>
      <c r="C1832" s="24"/>
      <c r="D1832" s="5"/>
      <c r="E1832" s="5"/>
      <c r="F1832" s="4"/>
      <c r="G1832" s="4"/>
      <c r="H1832" s="4"/>
      <c r="I1832" s="4"/>
      <c r="J1832" s="4"/>
      <c r="K1832" s="4"/>
    </row>
    <row r="1833" spans="2:11">
      <c r="B1833" s="6"/>
      <c r="C1833" s="24"/>
      <c r="D1833" s="5"/>
      <c r="E1833" s="5"/>
      <c r="F1833" s="4"/>
      <c r="G1833" s="4"/>
      <c r="H1833" s="4"/>
      <c r="I1833" s="4"/>
      <c r="J1833" s="4"/>
      <c r="K1833" s="4"/>
    </row>
    <row r="1834" spans="2:11">
      <c r="B1834" s="6"/>
      <c r="C1834" s="24"/>
      <c r="D1834" s="5"/>
      <c r="E1834" s="5"/>
      <c r="F1834" s="4"/>
      <c r="G1834" s="4"/>
      <c r="H1834" s="4"/>
      <c r="I1834" s="4"/>
      <c r="J1834" s="4"/>
      <c r="K1834" s="4"/>
    </row>
    <row r="1835" spans="2:11">
      <c r="B1835" s="6"/>
      <c r="C1835" s="24"/>
      <c r="D1835" s="5"/>
      <c r="E1835" s="5"/>
      <c r="F1835" s="4"/>
      <c r="G1835" s="4"/>
      <c r="H1835" s="4"/>
      <c r="I1835" s="4"/>
      <c r="J1835" s="4"/>
      <c r="K1835" s="4"/>
    </row>
    <row r="1836" spans="2:11">
      <c r="B1836" s="6"/>
      <c r="C1836" s="24"/>
      <c r="D1836" s="5"/>
      <c r="E1836" s="5"/>
      <c r="F1836" s="4"/>
      <c r="G1836" s="4"/>
      <c r="H1836" s="4"/>
      <c r="I1836" s="4"/>
      <c r="J1836" s="4"/>
      <c r="K1836" s="4"/>
    </row>
    <row r="1837" spans="2:11">
      <c r="B1837" s="6"/>
      <c r="C1837" s="24"/>
      <c r="D1837" s="5"/>
      <c r="E1837" s="5"/>
      <c r="F1837" s="4"/>
      <c r="G1837" s="4"/>
      <c r="H1837" s="4"/>
      <c r="I1837" s="4"/>
      <c r="J1837" s="4"/>
      <c r="K1837" s="4"/>
    </row>
    <row r="1838" spans="2:11">
      <c r="B1838" s="6"/>
      <c r="C1838" s="24"/>
      <c r="D1838" s="5"/>
      <c r="E1838" s="5"/>
      <c r="F1838" s="4"/>
      <c r="G1838" s="4"/>
      <c r="H1838" s="4"/>
      <c r="I1838" s="4"/>
      <c r="J1838" s="4"/>
      <c r="K1838" s="4"/>
    </row>
    <row r="1839" spans="2:11">
      <c r="B1839" s="6"/>
      <c r="C1839" s="24"/>
      <c r="D1839" s="5"/>
      <c r="E1839" s="5"/>
      <c r="F1839" s="4"/>
      <c r="G1839" s="4"/>
      <c r="H1839" s="4"/>
      <c r="I1839" s="4"/>
      <c r="J1839" s="4"/>
      <c r="K1839" s="4"/>
    </row>
    <row r="1840" spans="2:11">
      <c r="B1840" s="6"/>
      <c r="C1840" s="24"/>
      <c r="D1840" s="5"/>
      <c r="E1840" s="5"/>
      <c r="F1840" s="4"/>
      <c r="G1840" s="4"/>
      <c r="H1840" s="4"/>
      <c r="I1840" s="4"/>
      <c r="J1840" s="4"/>
      <c r="K1840" s="4"/>
    </row>
    <row r="1841" spans="2:11">
      <c r="B1841" s="6"/>
      <c r="C1841" s="24"/>
      <c r="D1841" s="5"/>
      <c r="E1841" s="5"/>
      <c r="F1841" s="4"/>
      <c r="G1841" s="4"/>
      <c r="H1841" s="4"/>
      <c r="I1841" s="4"/>
      <c r="J1841" s="4"/>
      <c r="K1841" s="4"/>
    </row>
    <row r="1842" spans="2:11">
      <c r="B1842" s="6"/>
      <c r="C1842" s="24"/>
      <c r="D1842" s="5"/>
      <c r="E1842" s="5"/>
      <c r="F1842" s="4"/>
      <c r="G1842" s="4"/>
      <c r="H1842" s="4"/>
      <c r="I1842" s="4"/>
      <c r="J1842" s="4"/>
      <c r="K1842" s="4"/>
    </row>
    <row r="1843" spans="2:11">
      <c r="B1843" s="6"/>
      <c r="C1843" s="24"/>
      <c r="D1843" s="5"/>
      <c r="E1843" s="5"/>
      <c r="F1843" s="4"/>
      <c r="G1843" s="4"/>
      <c r="H1843" s="4"/>
      <c r="I1843" s="4"/>
      <c r="J1843" s="4"/>
      <c r="K1843" s="4"/>
    </row>
    <row r="1844" spans="2:11">
      <c r="B1844" s="6"/>
      <c r="C1844" s="24"/>
      <c r="D1844" s="5"/>
      <c r="E1844" s="5"/>
      <c r="F1844" s="4"/>
      <c r="G1844" s="4"/>
      <c r="H1844" s="4"/>
      <c r="I1844" s="4"/>
      <c r="J1844" s="4"/>
      <c r="K1844" s="4"/>
    </row>
    <row r="1845" spans="2:11">
      <c r="B1845" s="6"/>
      <c r="C1845" s="24"/>
      <c r="D1845" s="5"/>
      <c r="E1845" s="5"/>
      <c r="F1845" s="4"/>
      <c r="G1845" s="4"/>
      <c r="H1845" s="4"/>
      <c r="I1845" s="4"/>
      <c r="J1845" s="4"/>
      <c r="K1845" s="4"/>
    </row>
    <row r="1846" spans="2:11">
      <c r="B1846" s="6"/>
      <c r="C1846" s="24"/>
      <c r="D1846" s="5"/>
      <c r="E1846" s="5"/>
      <c r="F1846" s="4"/>
      <c r="G1846" s="4"/>
      <c r="H1846" s="4"/>
      <c r="I1846" s="4"/>
      <c r="J1846" s="4"/>
      <c r="K1846" s="4"/>
    </row>
    <row r="1847" spans="2:11">
      <c r="B1847" s="6"/>
      <c r="C1847" s="24"/>
      <c r="D1847" s="5"/>
      <c r="E1847" s="5"/>
      <c r="F1847" s="4"/>
      <c r="G1847" s="4"/>
      <c r="H1847" s="4"/>
      <c r="I1847" s="4"/>
      <c r="J1847" s="4"/>
      <c r="K1847" s="4"/>
    </row>
    <row r="1848" spans="2:11">
      <c r="B1848" s="6"/>
      <c r="C1848" s="24"/>
      <c r="D1848" s="5"/>
      <c r="E1848" s="5"/>
      <c r="F1848" s="4"/>
      <c r="G1848" s="4"/>
      <c r="H1848" s="4"/>
      <c r="I1848" s="4"/>
      <c r="J1848" s="4"/>
      <c r="K1848" s="4"/>
    </row>
    <row r="1849" spans="2:11">
      <c r="B1849" s="6"/>
      <c r="C1849" s="24"/>
      <c r="D1849" s="5"/>
      <c r="E1849" s="5"/>
      <c r="F1849" s="4"/>
      <c r="G1849" s="4"/>
      <c r="H1849" s="4"/>
      <c r="I1849" s="4"/>
      <c r="J1849" s="4"/>
      <c r="K1849" s="4"/>
    </row>
    <row r="1850" spans="2:11">
      <c r="B1850" s="6"/>
      <c r="C1850" s="24"/>
      <c r="D1850" s="5"/>
      <c r="E1850" s="5"/>
      <c r="F1850" s="4"/>
      <c r="G1850" s="4"/>
      <c r="H1850" s="4"/>
      <c r="I1850" s="4"/>
      <c r="J1850" s="4"/>
      <c r="K1850" s="4"/>
    </row>
    <row r="1851" spans="2:11">
      <c r="B1851" s="6"/>
      <c r="C1851" s="24"/>
      <c r="D1851" s="5"/>
      <c r="E1851" s="5"/>
      <c r="F1851" s="4"/>
      <c r="G1851" s="4"/>
      <c r="H1851" s="4"/>
      <c r="I1851" s="4"/>
      <c r="J1851" s="4"/>
      <c r="K1851" s="4"/>
    </row>
    <row r="1852" spans="2:11">
      <c r="B1852" s="6"/>
      <c r="C1852" s="24"/>
      <c r="D1852" s="5"/>
      <c r="E1852" s="5"/>
      <c r="F1852" s="4"/>
      <c r="G1852" s="4"/>
      <c r="H1852" s="4"/>
      <c r="I1852" s="4"/>
      <c r="J1852" s="4"/>
      <c r="K1852" s="4"/>
    </row>
    <row r="1853" spans="2:11">
      <c r="B1853" s="6"/>
      <c r="C1853" s="24"/>
      <c r="D1853" s="5"/>
      <c r="E1853" s="5"/>
      <c r="F1853" s="4"/>
      <c r="G1853" s="4"/>
      <c r="H1853" s="4"/>
      <c r="I1853" s="4"/>
      <c r="J1853" s="4"/>
      <c r="K1853" s="4"/>
    </row>
    <row r="1854" spans="2:11">
      <c r="B1854" s="6"/>
      <c r="C1854" s="24"/>
      <c r="D1854" s="5"/>
      <c r="E1854" s="5"/>
      <c r="F1854" s="4"/>
      <c r="G1854" s="4"/>
      <c r="H1854" s="4"/>
      <c r="I1854" s="4"/>
      <c r="J1854" s="4"/>
      <c r="K1854" s="4"/>
    </row>
    <row r="1855" spans="2:11">
      <c r="B1855" s="6"/>
      <c r="C1855" s="24"/>
      <c r="D1855" s="5"/>
      <c r="E1855" s="5"/>
      <c r="F1855" s="4"/>
      <c r="G1855" s="4"/>
      <c r="H1855" s="4"/>
      <c r="I1855" s="4"/>
      <c r="J1855" s="4"/>
      <c r="K1855" s="4"/>
    </row>
    <row r="1856" spans="2:11">
      <c r="B1856" s="6"/>
      <c r="C1856" s="24"/>
      <c r="D1856" s="5"/>
      <c r="E1856" s="5"/>
      <c r="F1856" s="4"/>
      <c r="G1856" s="4"/>
      <c r="H1856" s="4"/>
      <c r="I1856" s="4"/>
      <c r="J1856" s="4"/>
      <c r="K1856" s="4"/>
    </row>
    <row r="1857" spans="2:11">
      <c r="B1857" s="6"/>
      <c r="C1857" s="24"/>
      <c r="D1857" s="5"/>
      <c r="E1857" s="5"/>
      <c r="F1857" s="4"/>
      <c r="G1857" s="4"/>
      <c r="H1857" s="4"/>
      <c r="I1857" s="4"/>
      <c r="J1857" s="4"/>
      <c r="K1857" s="4"/>
    </row>
    <row r="1858" spans="2:11">
      <c r="B1858" s="6"/>
      <c r="C1858" s="24"/>
      <c r="D1858" s="5"/>
      <c r="E1858" s="5"/>
      <c r="F1858" s="4"/>
      <c r="G1858" s="4"/>
      <c r="H1858" s="4"/>
      <c r="I1858" s="4"/>
      <c r="J1858" s="4"/>
      <c r="K1858" s="4"/>
    </row>
    <row r="1859" spans="2:11">
      <c r="B1859" s="6"/>
      <c r="C1859" s="24"/>
      <c r="D1859" s="5"/>
      <c r="E1859" s="5"/>
      <c r="F1859" s="4"/>
      <c r="G1859" s="4"/>
      <c r="H1859" s="4"/>
      <c r="I1859" s="4"/>
      <c r="J1859" s="4"/>
      <c r="K1859" s="4"/>
    </row>
    <row r="1860" spans="2:11">
      <c r="B1860" s="6"/>
      <c r="C1860" s="24"/>
      <c r="D1860" s="5"/>
      <c r="E1860" s="5"/>
      <c r="F1860" s="4"/>
      <c r="G1860" s="4"/>
      <c r="H1860" s="4"/>
      <c r="I1860" s="4"/>
      <c r="J1860" s="4"/>
      <c r="K1860" s="4"/>
    </row>
    <row r="1861" spans="2:11">
      <c r="B1861" s="6"/>
      <c r="C1861" s="24"/>
      <c r="D1861" s="5"/>
      <c r="E1861" s="5"/>
      <c r="F1861" s="4"/>
      <c r="G1861" s="4"/>
      <c r="H1861" s="4"/>
      <c r="I1861" s="4"/>
      <c r="J1861" s="4"/>
      <c r="K1861" s="4"/>
    </row>
    <row r="1862" spans="2:11">
      <c r="B1862" s="6"/>
      <c r="C1862" s="24"/>
      <c r="D1862" s="5"/>
      <c r="E1862" s="5"/>
      <c r="F1862" s="4"/>
      <c r="G1862" s="4"/>
      <c r="H1862" s="4"/>
      <c r="I1862" s="4"/>
      <c r="J1862" s="4"/>
      <c r="K1862" s="4"/>
    </row>
    <row r="1863" spans="2:11">
      <c r="B1863" s="6"/>
      <c r="C1863" s="24"/>
      <c r="D1863" s="5"/>
      <c r="E1863" s="5"/>
      <c r="F1863" s="4"/>
      <c r="G1863" s="4"/>
      <c r="H1863" s="4"/>
      <c r="I1863" s="4"/>
      <c r="J1863" s="4"/>
      <c r="K1863" s="4"/>
    </row>
    <row r="1864" spans="2:11">
      <c r="B1864" s="6"/>
      <c r="C1864" s="24"/>
      <c r="D1864" s="5"/>
      <c r="E1864" s="5"/>
      <c r="F1864" s="4"/>
      <c r="G1864" s="4"/>
      <c r="H1864" s="4"/>
      <c r="I1864" s="4"/>
      <c r="J1864" s="4"/>
      <c r="K1864" s="4"/>
    </row>
    <row r="1865" spans="2:11">
      <c r="B1865" s="6"/>
      <c r="C1865" s="24"/>
      <c r="D1865" s="5"/>
      <c r="E1865" s="5"/>
      <c r="F1865" s="4"/>
      <c r="G1865" s="4"/>
      <c r="H1865" s="4"/>
      <c r="I1865" s="4"/>
      <c r="J1865" s="4"/>
      <c r="K1865" s="4"/>
    </row>
    <row r="1866" spans="2:11">
      <c r="B1866" s="6"/>
      <c r="C1866" s="24"/>
      <c r="D1866" s="5"/>
      <c r="E1866" s="5"/>
      <c r="F1866" s="4"/>
      <c r="G1866" s="4"/>
      <c r="H1866" s="4"/>
      <c r="I1866" s="4"/>
      <c r="J1866" s="4"/>
      <c r="K1866" s="4"/>
    </row>
    <row r="1867" spans="2:11">
      <c r="B1867" s="6"/>
      <c r="C1867" s="24"/>
      <c r="D1867" s="5"/>
      <c r="E1867" s="5"/>
      <c r="F1867" s="4"/>
      <c r="G1867" s="4"/>
      <c r="H1867" s="4"/>
      <c r="I1867" s="4"/>
      <c r="J1867" s="4"/>
      <c r="K1867" s="4"/>
    </row>
    <row r="1868" spans="2:11">
      <c r="B1868" s="6"/>
      <c r="C1868" s="24"/>
      <c r="D1868" s="5"/>
      <c r="E1868" s="5"/>
      <c r="F1868" s="4"/>
      <c r="G1868" s="4"/>
      <c r="H1868" s="4"/>
      <c r="I1868" s="4"/>
      <c r="J1868" s="4"/>
      <c r="K1868" s="4"/>
    </row>
    <row r="1869" spans="2:11">
      <c r="B1869" s="6"/>
      <c r="C1869" s="24"/>
      <c r="D1869" s="5"/>
      <c r="E1869" s="5"/>
      <c r="F1869" s="4"/>
      <c r="G1869" s="4"/>
      <c r="H1869" s="4"/>
      <c r="I1869" s="4"/>
      <c r="J1869" s="4"/>
      <c r="K1869" s="4"/>
    </row>
    <row r="1870" spans="2:11">
      <c r="B1870" s="6"/>
      <c r="C1870" s="24"/>
      <c r="D1870" s="5"/>
      <c r="E1870" s="5"/>
      <c r="F1870" s="4"/>
      <c r="G1870" s="4"/>
      <c r="H1870" s="4"/>
      <c r="I1870" s="4"/>
      <c r="J1870" s="4"/>
      <c r="K1870" s="4"/>
    </row>
    <row r="1871" spans="2:11">
      <c r="B1871" s="6"/>
      <c r="C1871" s="24"/>
      <c r="D1871" s="5"/>
      <c r="E1871" s="5"/>
      <c r="F1871" s="4"/>
      <c r="G1871" s="4"/>
      <c r="H1871" s="4"/>
      <c r="I1871" s="4"/>
      <c r="J1871" s="4"/>
      <c r="K1871" s="4"/>
    </row>
    <row r="1872" spans="2:11">
      <c r="B1872" s="6"/>
      <c r="C1872" s="24"/>
      <c r="D1872" s="5"/>
      <c r="E1872" s="5"/>
      <c r="F1872" s="4"/>
      <c r="G1872" s="4"/>
      <c r="H1872" s="4"/>
      <c r="I1872" s="4"/>
      <c r="J1872" s="4"/>
      <c r="K1872" s="4"/>
    </row>
    <row r="1873" spans="2:11">
      <c r="B1873" s="6"/>
      <c r="C1873" s="24"/>
      <c r="D1873" s="5"/>
      <c r="E1873" s="5"/>
      <c r="F1873" s="4"/>
      <c r="G1873" s="4"/>
      <c r="H1873" s="4"/>
      <c r="I1873" s="4"/>
      <c r="J1873" s="4"/>
      <c r="K1873" s="4"/>
    </row>
    <row r="1874" spans="2:11">
      <c r="B1874" s="6"/>
      <c r="C1874" s="24"/>
      <c r="D1874" s="5"/>
      <c r="E1874" s="5"/>
      <c r="F1874" s="4"/>
      <c r="G1874" s="4"/>
      <c r="H1874" s="4"/>
      <c r="I1874" s="4"/>
      <c r="J1874" s="4"/>
      <c r="K1874" s="4"/>
    </row>
    <row r="1875" spans="2:11">
      <c r="B1875" s="6"/>
      <c r="C1875" s="24"/>
      <c r="D1875" s="5"/>
      <c r="E1875" s="5"/>
      <c r="F1875" s="4"/>
      <c r="G1875" s="4"/>
      <c r="H1875" s="4"/>
      <c r="I1875" s="4"/>
      <c r="J1875" s="4"/>
      <c r="K1875" s="4"/>
    </row>
    <row r="1876" spans="2:11">
      <c r="B1876" s="6"/>
      <c r="C1876" s="24"/>
      <c r="D1876" s="5"/>
      <c r="E1876" s="5"/>
      <c r="F1876" s="4"/>
      <c r="G1876" s="4"/>
      <c r="H1876" s="4"/>
      <c r="I1876" s="4"/>
      <c r="J1876" s="4"/>
      <c r="K1876" s="4"/>
    </row>
    <row r="1877" spans="2:11">
      <c r="B1877" s="6"/>
      <c r="C1877" s="24"/>
      <c r="D1877" s="5"/>
      <c r="E1877" s="5"/>
      <c r="F1877" s="4"/>
      <c r="G1877" s="4"/>
      <c r="H1877" s="4"/>
      <c r="I1877" s="4"/>
      <c r="J1877" s="4"/>
      <c r="K1877" s="4"/>
    </row>
    <row r="1878" spans="2:11">
      <c r="B1878" s="6"/>
      <c r="C1878" s="24"/>
      <c r="D1878" s="5"/>
      <c r="E1878" s="5"/>
      <c r="F1878" s="4"/>
      <c r="G1878" s="4"/>
      <c r="H1878" s="4"/>
      <c r="I1878" s="4"/>
      <c r="J1878" s="4"/>
      <c r="K1878" s="4"/>
    </row>
    <row r="1879" spans="2:11">
      <c r="B1879" s="6"/>
      <c r="C1879" s="24"/>
      <c r="D1879" s="5"/>
      <c r="E1879" s="5"/>
      <c r="F1879" s="4"/>
      <c r="G1879" s="4"/>
      <c r="H1879" s="4"/>
      <c r="I1879" s="4"/>
      <c r="J1879" s="4"/>
      <c r="K1879" s="4"/>
    </row>
    <row r="1880" spans="2:11">
      <c r="B1880" s="6"/>
      <c r="C1880" s="24"/>
      <c r="D1880" s="5"/>
      <c r="E1880" s="5"/>
      <c r="F1880" s="4"/>
      <c r="G1880" s="4"/>
      <c r="H1880" s="4"/>
      <c r="I1880" s="4"/>
      <c r="J1880" s="4"/>
      <c r="K1880" s="4"/>
    </row>
    <row r="1881" spans="2:11">
      <c r="B1881" s="6"/>
      <c r="C1881" s="24"/>
      <c r="D1881" s="5"/>
      <c r="E1881" s="5"/>
      <c r="F1881" s="4"/>
      <c r="G1881" s="4"/>
      <c r="H1881" s="4"/>
      <c r="I1881" s="4"/>
      <c r="J1881" s="4"/>
      <c r="K1881" s="4"/>
    </row>
    <row r="1882" spans="2:11">
      <c r="B1882" s="6"/>
      <c r="C1882" s="24"/>
      <c r="D1882" s="5"/>
      <c r="E1882" s="5"/>
      <c r="F1882" s="4"/>
      <c r="G1882" s="4"/>
      <c r="H1882" s="4"/>
      <c r="I1882" s="4"/>
      <c r="J1882" s="4"/>
      <c r="K1882" s="4"/>
    </row>
    <row r="1883" spans="2:11">
      <c r="B1883" s="6"/>
      <c r="C1883" s="24"/>
      <c r="D1883" s="5"/>
      <c r="E1883" s="5"/>
      <c r="F1883" s="4"/>
      <c r="G1883" s="4"/>
      <c r="H1883" s="4"/>
      <c r="I1883" s="4"/>
      <c r="J1883" s="4"/>
      <c r="K1883" s="4"/>
    </row>
    <row r="1884" spans="2:11">
      <c r="B1884" s="6"/>
      <c r="C1884" s="24"/>
      <c r="D1884" s="5"/>
      <c r="E1884" s="5"/>
      <c r="F1884" s="4"/>
      <c r="G1884" s="4"/>
      <c r="H1884" s="4"/>
      <c r="I1884" s="4"/>
      <c r="J1884" s="4"/>
      <c r="K1884" s="4"/>
    </row>
    <row r="1885" spans="2:11">
      <c r="B1885" s="6"/>
      <c r="C1885" s="24"/>
      <c r="D1885" s="5"/>
      <c r="E1885" s="5"/>
      <c r="F1885" s="4"/>
      <c r="G1885" s="4"/>
      <c r="H1885" s="4"/>
      <c r="I1885" s="4"/>
      <c r="J1885" s="4"/>
      <c r="K1885" s="4"/>
    </row>
    <row r="1886" spans="2:11">
      <c r="B1886" s="6"/>
      <c r="C1886" s="24"/>
      <c r="D1886" s="5"/>
      <c r="E1886" s="5"/>
      <c r="F1886" s="4"/>
      <c r="G1886" s="4"/>
      <c r="H1886" s="4"/>
      <c r="I1886" s="4"/>
      <c r="J1886" s="4"/>
      <c r="K1886" s="4"/>
    </row>
    <row r="1887" spans="2:11">
      <c r="B1887" s="6"/>
      <c r="C1887" s="24"/>
      <c r="D1887" s="5"/>
      <c r="E1887" s="5"/>
      <c r="F1887" s="4"/>
      <c r="G1887" s="4"/>
      <c r="H1887" s="4"/>
      <c r="I1887" s="4"/>
      <c r="J1887" s="4"/>
      <c r="K1887" s="4"/>
    </row>
    <row r="1888" spans="2:11">
      <c r="B1888" s="6"/>
      <c r="C1888" s="24"/>
      <c r="D1888" s="5"/>
      <c r="E1888" s="5"/>
      <c r="F1888" s="4"/>
      <c r="G1888" s="4"/>
      <c r="H1888" s="4"/>
      <c r="I1888" s="4"/>
      <c r="J1888" s="4"/>
      <c r="K1888" s="4"/>
    </row>
    <row r="1889" spans="2:11">
      <c r="B1889" s="6"/>
      <c r="C1889" s="24"/>
      <c r="D1889" s="5"/>
      <c r="E1889" s="5"/>
      <c r="F1889" s="4"/>
      <c r="G1889" s="4"/>
      <c r="H1889" s="4"/>
      <c r="I1889" s="4"/>
      <c r="J1889" s="4"/>
      <c r="K1889" s="4"/>
    </row>
    <row r="1890" spans="2:11">
      <c r="B1890" s="6"/>
      <c r="C1890" s="24"/>
      <c r="D1890" s="5"/>
      <c r="E1890" s="5"/>
      <c r="F1890" s="4"/>
      <c r="G1890" s="4"/>
      <c r="H1890" s="4"/>
      <c r="I1890" s="4"/>
      <c r="J1890" s="4"/>
      <c r="K1890" s="4"/>
    </row>
    <row r="1891" spans="2:11">
      <c r="B1891" s="6"/>
      <c r="C1891" s="24"/>
      <c r="D1891" s="5"/>
      <c r="E1891" s="5"/>
      <c r="F1891" s="4"/>
      <c r="G1891" s="4"/>
      <c r="H1891" s="4"/>
      <c r="I1891" s="4"/>
      <c r="J1891" s="4"/>
      <c r="K1891" s="4"/>
    </row>
    <row r="1892" spans="2:11">
      <c r="B1892" s="6"/>
      <c r="C1892" s="24"/>
      <c r="D1892" s="5"/>
      <c r="E1892" s="5"/>
      <c r="F1892" s="4"/>
      <c r="G1892" s="4"/>
      <c r="H1892" s="4"/>
      <c r="I1892" s="4"/>
      <c r="J1892" s="4"/>
      <c r="K1892" s="4"/>
    </row>
    <row r="1893" spans="2:11">
      <c r="B1893" s="6"/>
      <c r="C1893" s="24"/>
      <c r="D1893" s="5"/>
      <c r="E1893" s="5"/>
      <c r="F1893" s="4"/>
      <c r="G1893" s="4"/>
      <c r="H1893" s="4"/>
      <c r="I1893" s="4"/>
      <c r="J1893" s="4"/>
      <c r="K1893" s="4"/>
    </row>
    <row r="1894" spans="2:11">
      <c r="B1894" s="6"/>
      <c r="C1894" s="24"/>
      <c r="D1894" s="5"/>
      <c r="E1894" s="5"/>
      <c r="F1894" s="4"/>
      <c r="G1894" s="4"/>
      <c r="H1894" s="4"/>
      <c r="I1894" s="4"/>
      <c r="J1894" s="4"/>
      <c r="K1894" s="4"/>
    </row>
    <row r="1895" spans="2:11">
      <c r="B1895" s="6"/>
      <c r="C1895" s="24"/>
      <c r="D1895" s="5"/>
      <c r="E1895" s="5"/>
      <c r="F1895" s="4"/>
      <c r="G1895" s="4"/>
      <c r="H1895" s="4"/>
      <c r="I1895" s="4"/>
      <c r="J1895" s="4"/>
      <c r="K1895" s="4"/>
    </row>
    <row r="1896" spans="2:11">
      <c r="B1896" s="6"/>
      <c r="C1896" s="24"/>
      <c r="D1896" s="5"/>
      <c r="E1896" s="5"/>
      <c r="F1896" s="4"/>
      <c r="G1896" s="4"/>
      <c r="H1896" s="4"/>
      <c r="I1896" s="4"/>
      <c r="J1896" s="4"/>
      <c r="K1896" s="4"/>
    </row>
    <row r="1897" spans="2:11">
      <c r="B1897" s="6"/>
      <c r="C1897" s="24"/>
      <c r="D1897" s="5"/>
      <c r="E1897" s="5"/>
      <c r="F1897" s="4"/>
      <c r="G1897" s="4"/>
      <c r="H1897" s="4"/>
      <c r="I1897" s="4"/>
      <c r="J1897" s="4"/>
      <c r="K1897" s="4"/>
    </row>
    <row r="1898" spans="2:11">
      <c r="B1898" s="6"/>
      <c r="C1898" s="24"/>
      <c r="D1898" s="5"/>
      <c r="E1898" s="5"/>
      <c r="F1898" s="4"/>
      <c r="G1898" s="4"/>
      <c r="H1898" s="4"/>
      <c r="I1898" s="4"/>
      <c r="J1898" s="4"/>
      <c r="K1898" s="4"/>
    </row>
    <row r="1899" spans="2:11">
      <c r="B1899" s="6"/>
      <c r="C1899" s="24"/>
      <c r="D1899" s="5"/>
      <c r="E1899" s="5"/>
      <c r="F1899" s="4"/>
      <c r="G1899" s="4"/>
      <c r="H1899" s="4"/>
      <c r="I1899" s="4"/>
      <c r="J1899" s="4"/>
      <c r="K1899" s="4"/>
    </row>
    <row r="1900" spans="2:11">
      <c r="B1900" s="6"/>
      <c r="C1900" s="24"/>
      <c r="D1900" s="5"/>
      <c r="E1900" s="5"/>
      <c r="F1900" s="4"/>
      <c r="G1900" s="4"/>
      <c r="H1900" s="4"/>
      <c r="I1900" s="4"/>
      <c r="J1900" s="4"/>
      <c r="K1900" s="4"/>
    </row>
    <row r="1901" spans="2:11">
      <c r="B1901" s="6"/>
      <c r="C1901" s="24"/>
      <c r="D1901" s="5"/>
      <c r="E1901" s="5"/>
      <c r="F1901" s="4"/>
      <c r="G1901" s="4"/>
      <c r="H1901" s="4"/>
      <c r="I1901" s="4"/>
      <c r="J1901" s="4"/>
      <c r="K1901" s="4"/>
    </row>
    <row r="1902" spans="2:11">
      <c r="B1902" s="6"/>
      <c r="C1902" s="24"/>
      <c r="D1902" s="5"/>
      <c r="E1902" s="5"/>
      <c r="F1902" s="4"/>
      <c r="G1902" s="4"/>
      <c r="H1902" s="4"/>
      <c r="I1902" s="4"/>
      <c r="J1902" s="4"/>
      <c r="K1902" s="4"/>
    </row>
    <row r="1903" spans="2:11">
      <c r="B1903" s="6"/>
      <c r="C1903" s="24"/>
      <c r="D1903" s="5"/>
      <c r="E1903" s="5"/>
      <c r="F1903" s="4"/>
      <c r="G1903" s="4"/>
      <c r="H1903" s="4"/>
      <c r="I1903" s="4"/>
      <c r="J1903" s="4"/>
      <c r="K1903" s="4"/>
    </row>
    <row r="1904" spans="2:11">
      <c r="B1904" s="6"/>
      <c r="C1904" s="24"/>
      <c r="D1904" s="5"/>
      <c r="E1904" s="5"/>
      <c r="F1904" s="4"/>
      <c r="G1904" s="4"/>
      <c r="H1904" s="4"/>
      <c r="I1904" s="4"/>
      <c r="J1904" s="4"/>
      <c r="K1904" s="4"/>
    </row>
    <row r="1905" spans="2:11">
      <c r="B1905" s="6"/>
      <c r="C1905" s="24"/>
      <c r="D1905" s="5"/>
      <c r="E1905" s="5"/>
      <c r="F1905" s="4"/>
      <c r="G1905" s="4"/>
      <c r="H1905" s="4"/>
      <c r="I1905" s="4"/>
      <c r="J1905" s="4"/>
      <c r="K1905" s="4"/>
    </row>
    <row r="1906" spans="2:11">
      <c r="B1906" s="6"/>
      <c r="C1906" s="24"/>
      <c r="D1906" s="5"/>
      <c r="E1906" s="5"/>
      <c r="F1906" s="4"/>
      <c r="G1906" s="4"/>
      <c r="H1906" s="4"/>
      <c r="I1906" s="4"/>
      <c r="J1906" s="4"/>
      <c r="K1906" s="4"/>
    </row>
    <row r="1907" spans="2:11">
      <c r="B1907" s="6"/>
      <c r="C1907" s="24"/>
      <c r="D1907" s="5"/>
      <c r="E1907" s="5"/>
      <c r="F1907" s="4"/>
      <c r="G1907" s="4"/>
      <c r="H1907" s="4"/>
      <c r="I1907" s="4"/>
      <c r="J1907" s="4"/>
      <c r="K1907" s="4"/>
    </row>
    <row r="1908" spans="2:11">
      <c r="B1908" s="6"/>
      <c r="C1908" s="24"/>
      <c r="D1908" s="5"/>
      <c r="E1908" s="5"/>
      <c r="F1908" s="4"/>
      <c r="G1908" s="4"/>
      <c r="H1908" s="4"/>
      <c r="I1908" s="4"/>
      <c r="J1908" s="4"/>
      <c r="K1908" s="4"/>
    </row>
    <row r="1909" spans="2:11">
      <c r="B1909" s="6"/>
      <c r="C1909" s="24"/>
      <c r="D1909" s="5"/>
      <c r="E1909" s="5"/>
      <c r="F1909" s="4"/>
      <c r="G1909" s="4"/>
      <c r="H1909" s="4"/>
      <c r="I1909" s="4"/>
      <c r="J1909" s="4"/>
      <c r="K1909" s="4"/>
    </row>
    <row r="1910" spans="2:11">
      <c r="B1910" s="6"/>
      <c r="C1910" s="24"/>
      <c r="D1910" s="5"/>
      <c r="E1910" s="5"/>
      <c r="F1910" s="4"/>
      <c r="G1910" s="4"/>
      <c r="H1910" s="4"/>
      <c r="I1910" s="4"/>
      <c r="J1910" s="4"/>
      <c r="K1910" s="4"/>
    </row>
    <row r="1911" spans="2:11">
      <c r="B1911" s="6"/>
      <c r="C1911" s="24"/>
      <c r="D1911" s="5"/>
      <c r="E1911" s="5"/>
      <c r="F1911" s="4"/>
      <c r="G1911" s="4"/>
      <c r="H1911" s="4"/>
      <c r="I1911" s="4"/>
      <c r="J1911" s="4"/>
      <c r="K1911" s="4"/>
    </row>
    <row r="1912" spans="2:11">
      <c r="B1912" s="6"/>
      <c r="C1912" s="24"/>
      <c r="D1912" s="5"/>
      <c r="E1912" s="5"/>
      <c r="F1912" s="4"/>
      <c r="G1912" s="4"/>
      <c r="H1912" s="4"/>
      <c r="I1912" s="4"/>
      <c r="J1912" s="4"/>
      <c r="K1912" s="4"/>
    </row>
    <row r="1913" spans="2:11">
      <c r="B1913" s="6"/>
      <c r="C1913" s="24"/>
      <c r="D1913" s="5"/>
      <c r="E1913" s="5"/>
      <c r="F1913" s="4"/>
      <c r="G1913" s="4"/>
      <c r="H1913" s="4"/>
      <c r="I1913" s="4"/>
      <c r="J1913" s="4"/>
      <c r="K1913" s="4"/>
    </row>
    <row r="1914" spans="2:11">
      <c r="B1914" s="6"/>
      <c r="C1914" s="24"/>
      <c r="D1914" s="5"/>
      <c r="E1914" s="5"/>
      <c r="F1914" s="4"/>
      <c r="G1914" s="4"/>
      <c r="H1914" s="4"/>
      <c r="I1914" s="4"/>
      <c r="J1914" s="4"/>
      <c r="K1914" s="4"/>
    </row>
    <row r="1915" spans="2:11">
      <c r="B1915" s="6"/>
      <c r="C1915" s="24"/>
      <c r="D1915" s="5"/>
      <c r="E1915" s="5"/>
      <c r="F1915" s="4"/>
      <c r="G1915" s="4"/>
      <c r="H1915" s="4"/>
      <c r="I1915" s="4"/>
      <c r="J1915" s="4"/>
      <c r="K1915" s="4"/>
    </row>
    <row r="1916" spans="2:11">
      <c r="B1916" s="6"/>
      <c r="C1916" s="24"/>
      <c r="D1916" s="5"/>
      <c r="E1916" s="5"/>
      <c r="F1916" s="4"/>
      <c r="G1916" s="4"/>
      <c r="H1916" s="4"/>
      <c r="I1916" s="4"/>
      <c r="J1916" s="4"/>
      <c r="K1916" s="4"/>
    </row>
    <row r="1917" spans="2:11">
      <c r="B1917" s="6"/>
      <c r="C1917" s="24"/>
      <c r="D1917" s="5"/>
      <c r="E1917" s="5"/>
      <c r="F1917" s="4"/>
      <c r="G1917" s="4"/>
      <c r="H1917" s="4"/>
      <c r="I1917" s="4"/>
      <c r="J1917" s="4"/>
      <c r="K1917" s="4"/>
    </row>
    <row r="1918" spans="2:11">
      <c r="B1918" s="6"/>
      <c r="C1918" s="24"/>
      <c r="D1918" s="5"/>
      <c r="E1918" s="5"/>
      <c r="F1918" s="4"/>
      <c r="G1918" s="4"/>
      <c r="H1918" s="4"/>
      <c r="I1918" s="4"/>
      <c r="J1918" s="4"/>
      <c r="K1918" s="4"/>
    </row>
    <row r="1919" spans="2:11">
      <c r="B1919" s="6"/>
      <c r="C1919" s="24"/>
      <c r="D1919" s="5"/>
      <c r="E1919" s="5"/>
      <c r="F1919" s="4"/>
      <c r="G1919" s="4"/>
      <c r="H1919" s="4"/>
      <c r="I1919" s="4"/>
      <c r="J1919" s="4"/>
      <c r="K1919" s="4"/>
    </row>
    <row r="1920" spans="2:11">
      <c r="B1920" s="6"/>
      <c r="C1920" s="24"/>
      <c r="D1920" s="5"/>
      <c r="E1920" s="5"/>
      <c r="F1920" s="4"/>
      <c r="G1920" s="4"/>
      <c r="H1920" s="4"/>
      <c r="I1920" s="4"/>
      <c r="J1920" s="4"/>
      <c r="K1920" s="4"/>
    </row>
    <row r="1921" spans="2:11">
      <c r="B1921" s="6"/>
      <c r="C1921" s="24"/>
      <c r="D1921" s="5"/>
      <c r="E1921" s="5"/>
      <c r="F1921" s="4"/>
      <c r="G1921" s="4"/>
      <c r="H1921" s="4"/>
      <c r="I1921" s="4"/>
      <c r="J1921" s="4"/>
      <c r="K1921" s="4"/>
    </row>
    <row r="1922" spans="2:11">
      <c r="B1922" s="6"/>
      <c r="C1922" s="24"/>
      <c r="D1922" s="5"/>
      <c r="E1922" s="5"/>
      <c r="F1922" s="4"/>
      <c r="G1922" s="4"/>
      <c r="H1922" s="4"/>
      <c r="I1922" s="4"/>
      <c r="J1922" s="4"/>
      <c r="K1922" s="4"/>
    </row>
    <row r="1923" spans="2:11">
      <c r="B1923" s="6"/>
      <c r="C1923" s="24"/>
      <c r="D1923" s="5"/>
      <c r="E1923" s="5"/>
      <c r="F1923" s="4"/>
      <c r="G1923" s="4"/>
      <c r="H1923" s="4"/>
      <c r="I1923" s="4"/>
      <c r="J1923" s="4"/>
      <c r="K1923" s="4"/>
    </row>
    <row r="1924" spans="2:11">
      <c r="B1924" s="6"/>
      <c r="C1924" s="24"/>
      <c r="D1924" s="5"/>
      <c r="E1924" s="5"/>
      <c r="F1924" s="4"/>
      <c r="G1924" s="4"/>
      <c r="H1924" s="4"/>
      <c r="I1924" s="4"/>
      <c r="J1924" s="4"/>
      <c r="K1924" s="4"/>
    </row>
    <row r="1925" spans="2:11">
      <c r="B1925" s="6"/>
      <c r="C1925" s="24"/>
      <c r="D1925" s="5"/>
      <c r="E1925" s="5"/>
      <c r="F1925" s="4"/>
      <c r="G1925" s="4"/>
      <c r="H1925" s="4"/>
      <c r="I1925" s="4"/>
      <c r="J1925" s="4"/>
      <c r="K1925" s="4"/>
    </row>
    <row r="1926" spans="2:11">
      <c r="B1926" s="6"/>
      <c r="C1926" s="24"/>
      <c r="D1926" s="5"/>
      <c r="E1926" s="5"/>
      <c r="F1926" s="4"/>
      <c r="G1926" s="4"/>
      <c r="H1926" s="4"/>
      <c r="I1926" s="4"/>
      <c r="J1926" s="4"/>
      <c r="K1926" s="4"/>
    </row>
    <row r="1927" spans="2:11">
      <c r="B1927" s="6"/>
      <c r="C1927" s="24"/>
      <c r="D1927" s="5"/>
      <c r="E1927" s="5"/>
      <c r="F1927" s="4"/>
      <c r="G1927" s="4"/>
      <c r="H1927" s="4"/>
      <c r="I1927" s="4"/>
      <c r="J1927" s="4"/>
      <c r="K1927" s="4"/>
    </row>
    <row r="1928" spans="2:11">
      <c r="B1928" s="6"/>
      <c r="C1928" s="24"/>
      <c r="D1928" s="5"/>
      <c r="E1928" s="5"/>
      <c r="F1928" s="4"/>
      <c r="G1928" s="4"/>
      <c r="H1928" s="4"/>
      <c r="I1928" s="4"/>
      <c r="J1928" s="4"/>
      <c r="K1928" s="4"/>
    </row>
    <row r="1929" spans="2:11">
      <c r="B1929" s="6"/>
      <c r="C1929" s="24"/>
      <c r="D1929" s="5"/>
      <c r="E1929" s="5"/>
      <c r="F1929" s="4"/>
      <c r="G1929" s="4"/>
      <c r="H1929" s="4"/>
      <c r="I1929" s="4"/>
      <c r="J1929" s="4"/>
      <c r="K1929" s="4"/>
    </row>
    <row r="1930" spans="2:11">
      <c r="B1930" s="6"/>
      <c r="C1930" s="24"/>
      <c r="D1930" s="5"/>
      <c r="E1930" s="5"/>
      <c r="F1930" s="4"/>
      <c r="G1930" s="4"/>
      <c r="H1930" s="4"/>
      <c r="I1930" s="4"/>
      <c r="J1930" s="4"/>
      <c r="K1930" s="4"/>
    </row>
    <row r="1931" spans="2:11">
      <c r="B1931" s="6"/>
      <c r="C1931" s="24"/>
      <c r="D1931" s="5"/>
      <c r="E1931" s="5"/>
      <c r="F1931" s="4"/>
      <c r="G1931" s="4"/>
      <c r="H1931" s="4"/>
      <c r="I1931" s="4"/>
      <c r="J1931" s="4"/>
      <c r="K1931" s="4"/>
    </row>
    <row r="1932" spans="2:11">
      <c r="B1932" s="6"/>
      <c r="C1932" s="24"/>
      <c r="D1932" s="5"/>
      <c r="E1932" s="5"/>
      <c r="F1932" s="4"/>
      <c r="G1932" s="4"/>
      <c r="H1932" s="4"/>
      <c r="I1932" s="4"/>
      <c r="J1932" s="4"/>
      <c r="K1932" s="4"/>
    </row>
    <row r="1933" spans="2:11">
      <c r="B1933" s="6"/>
      <c r="C1933" s="24"/>
      <c r="D1933" s="5"/>
      <c r="E1933" s="5"/>
      <c r="F1933" s="4"/>
      <c r="G1933" s="4"/>
      <c r="H1933" s="4"/>
      <c r="I1933" s="4"/>
      <c r="J1933" s="4"/>
      <c r="K1933" s="4"/>
    </row>
    <row r="1934" spans="2:11">
      <c r="B1934" s="6"/>
      <c r="C1934" s="24"/>
      <c r="D1934" s="5"/>
      <c r="E1934" s="5"/>
      <c r="F1934" s="4"/>
      <c r="G1934" s="4"/>
      <c r="H1934" s="4"/>
      <c r="I1934" s="4"/>
      <c r="J1934" s="4"/>
      <c r="K1934" s="4"/>
    </row>
    <row r="1935" spans="2:11">
      <c r="B1935" s="6"/>
      <c r="C1935" s="24"/>
      <c r="D1935" s="5"/>
      <c r="E1935" s="5"/>
      <c r="F1935" s="4"/>
      <c r="G1935" s="4"/>
      <c r="H1935" s="4"/>
      <c r="I1935" s="4"/>
      <c r="J1935" s="4"/>
      <c r="K1935" s="4"/>
    </row>
    <row r="1936" spans="2:11">
      <c r="B1936" s="6"/>
      <c r="C1936" s="24"/>
      <c r="D1936" s="5"/>
      <c r="E1936" s="5"/>
      <c r="F1936" s="4"/>
      <c r="G1936" s="4"/>
      <c r="H1936" s="4"/>
      <c r="I1936" s="4"/>
      <c r="J1936" s="4"/>
      <c r="K1936" s="4"/>
    </row>
    <row r="1937" spans="2:11">
      <c r="B1937" s="6"/>
      <c r="C1937" s="24"/>
      <c r="D1937" s="5"/>
      <c r="E1937" s="5"/>
      <c r="F1937" s="4"/>
      <c r="G1937" s="4"/>
      <c r="H1937" s="4"/>
      <c r="I1937" s="4"/>
      <c r="J1937" s="4"/>
      <c r="K1937" s="4"/>
    </row>
    <row r="1938" spans="2:11">
      <c r="B1938" s="6"/>
      <c r="C1938" s="24"/>
      <c r="D1938" s="5"/>
      <c r="E1938" s="5"/>
      <c r="F1938" s="4"/>
      <c r="G1938" s="4"/>
      <c r="H1938" s="4"/>
      <c r="I1938" s="4"/>
      <c r="J1938" s="4"/>
      <c r="K1938" s="4"/>
    </row>
    <row r="1939" spans="2:11">
      <c r="B1939" s="6"/>
      <c r="C1939" s="24"/>
      <c r="D1939" s="5"/>
      <c r="E1939" s="5"/>
      <c r="F1939" s="4"/>
      <c r="G1939" s="4"/>
      <c r="H1939" s="4"/>
      <c r="I1939" s="4"/>
      <c r="J1939" s="4"/>
      <c r="K1939" s="4"/>
    </row>
    <row r="1940" spans="2:11">
      <c r="B1940" s="6"/>
      <c r="C1940" s="24"/>
      <c r="D1940" s="5"/>
      <c r="E1940" s="5"/>
      <c r="F1940" s="4"/>
      <c r="G1940" s="4"/>
      <c r="H1940" s="4"/>
      <c r="I1940" s="4"/>
      <c r="J1940" s="4"/>
      <c r="K1940" s="4"/>
    </row>
    <row r="1941" spans="2:11">
      <c r="B1941" s="6"/>
      <c r="C1941" s="24"/>
      <c r="D1941" s="5"/>
      <c r="E1941" s="5"/>
      <c r="F1941" s="4"/>
      <c r="G1941" s="4"/>
      <c r="H1941" s="4"/>
      <c r="I1941" s="4"/>
      <c r="J1941" s="4"/>
      <c r="K1941" s="4"/>
    </row>
    <row r="1942" spans="2:11">
      <c r="B1942" s="6"/>
      <c r="C1942" s="24"/>
      <c r="D1942" s="5"/>
      <c r="E1942" s="5"/>
      <c r="F1942" s="4"/>
      <c r="G1942" s="4"/>
      <c r="H1942" s="4"/>
      <c r="I1942" s="4"/>
      <c r="J1942" s="4"/>
      <c r="K1942" s="4"/>
    </row>
    <row r="1943" spans="2:11">
      <c r="B1943" s="6"/>
      <c r="C1943" s="24"/>
      <c r="D1943" s="5"/>
      <c r="E1943" s="5"/>
      <c r="F1943" s="4"/>
      <c r="G1943" s="4"/>
      <c r="H1943" s="4"/>
      <c r="I1943" s="4"/>
      <c r="J1943" s="4"/>
      <c r="K1943" s="4"/>
    </row>
    <row r="1944" spans="2:11">
      <c r="B1944" s="6"/>
      <c r="C1944" s="24"/>
      <c r="D1944" s="5"/>
      <c r="E1944" s="5"/>
      <c r="F1944" s="4"/>
      <c r="G1944" s="4"/>
      <c r="H1944" s="4"/>
      <c r="I1944" s="4"/>
      <c r="J1944" s="4"/>
      <c r="K1944" s="4"/>
    </row>
    <row r="1945" spans="2:11">
      <c r="B1945" s="6"/>
      <c r="C1945" s="24"/>
      <c r="D1945" s="5"/>
      <c r="E1945" s="5"/>
      <c r="F1945" s="4"/>
      <c r="G1945" s="4"/>
      <c r="H1945" s="4"/>
      <c r="I1945" s="4"/>
      <c r="J1945" s="4"/>
      <c r="K1945" s="4"/>
    </row>
    <row r="1946" spans="2:11">
      <c r="B1946" s="6"/>
      <c r="C1946" s="24"/>
      <c r="D1946" s="5"/>
      <c r="E1946" s="5"/>
      <c r="F1946" s="4"/>
      <c r="G1946" s="4"/>
      <c r="H1946" s="4"/>
      <c r="I1946" s="4"/>
      <c r="J1946" s="4"/>
      <c r="K1946" s="4"/>
    </row>
    <row r="1947" spans="2:11">
      <c r="B1947" s="6"/>
      <c r="C1947" s="24"/>
      <c r="D1947" s="5"/>
      <c r="E1947" s="5"/>
      <c r="F1947" s="4"/>
      <c r="G1947" s="4"/>
      <c r="H1947" s="4"/>
      <c r="I1947" s="4"/>
      <c r="J1947" s="4"/>
      <c r="K1947" s="4"/>
    </row>
    <row r="1948" spans="2:11">
      <c r="B1948" s="6"/>
      <c r="C1948" s="24"/>
      <c r="D1948" s="5"/>
      <c r="E1948" s="5"/>
      <c r="F1948" s="4"/>
      <c r="G1948" s="4"/>
      <c r="H1948" s="4"/>
      <c r="I1948" s="4"/>
      <c r="J1948" s="4"/>
      <c r="K1948" s="4"/>
    </row>
    <row r="1949" spans="2:11">
      <c r="B1949" s="6"/>
      <c r="C1949" s="24"/>
      <c r="D1949" s="5"/>
      <c r="E1949" s="5"/>
      <c r="F1949" s="4"/>
      <c r="G1949" s="4"/>
      <c r="H1949" s="4"/>
      <c r="I1949" s="4"/>
      <c r="J1949" s="4"/>
      <c r="K1949" s="4"/>
    </row>
    <row r="1950" spans="2:11">
      <c r="B1950" s="6"/>
      <c r="C1950" s="24"/>
      <c r="D1950" s="5"/>
      <c r="E1950" s="5"/>
      <c r="F1950" s="4"/>
      <c r="G1950" s="4"/>
      <c r="H1950" s="4"/>
      <c r="I1950" s="4"/>
      <c r="J1950" s="4"/>
      <c r="K1950" s="4"/>
    </row>
    <row r="1951" spans="2:11">
      <c r="B1951" s="6"/>
      <c r="C1951" s="24"/>
      <c r="D1951" s="5"/>
      <c r="E1951" s="5"/>
      <c r="F1951" s="4"/>
      <c r="G1951" s="4"/>
      <c r="H1951" s="4"/>
      <c r="I1951" s="4"/>
      <c r="J1951" s="4"/>
      <c r="K1951" s="4"/>
    </row>
    <row r="1952" spans="2:11">
      <c r="B1952" s="6"/>
      <c r="C1952" s="24"/>
      <c r="D1952" s="5"/>
      <c r="E1952" s="5"/>
      <c r="F1952" s="4"/>
      <c r="G1952" s="4"/>
      <c r="H1952" s="4"/>
      <c r="I1952" s="4"/>
      <c r="J1952" s="4"/>
      <c r="K1952" s="4"/>
    </row>
    <row r="1953" spans="2:11">
      <c r="B1953" s="6"/>
      <c r="C1953" s="24"/>
      <c r="D1953" s="5"/>
      <c r="E1953" s="5"/>
      <c r="F1953" s="4"/>
      <c r="G1953" s="4"/>
      <c r="H1953" s="4"/>
      <c r="I1953" s="4"/>
      <c r="J1953" s="4"/>
      <c r="K1953" s="4"/>
    </row>
    <row r="1954" spans="2:11">
      <c r="B1954" s="6"/>
      <c r="C1954" s="24"/>
      <c r="D1954" s="5"/>
      <c r="E1954" s="5"/>
      <c r="F1954" s="4"/>
      <c r="G1954" s="4"/>
      <c r="H1954" s="4"/>
      <c r="I1954" s="4"/>
      <c r="J1954" s="4"/>
      <c r="K1954" s="4"/>
    </row>
    <row r="1955" spans="2:11">
      <c r="B1955" s="6"/>
      <c r="C1955" s="24"/>
      <c r="D1955" s="5"/>
      <c r="E1955" s="5"/>
      <c r="F1955" s="4"/>
      <c r="G1955" s="4"/>
      <c r="H1955" s="4"/>
      <c r="I1955" s="4"/>
      <c r="J1955" s="4"/>
      <c r="K1955" s="4"/>
    </row>
    <row r="1956" spans="2:11">
      <c r="B1956" s="6"/>
      <c r="C1956" s="24"/>
      <c r="D1956" s="5"/>
      <c r="E1956" s="5"/>
      <c r="F1956" s="4"/>
      <c r="G1956" s="4"/>
      <c r="H1956" s="4"/>
      <c r="I1956" s="4"/>
      <c r="J1956" s="4"/>
      <c r="K1956" s="4"/>
    </row>
    <row r="1957" spans="2:11">
      <c r="B1957" s="6"/>
      <c r="C1957" s="24"/>
      <c r="D1957" s="5"/>
      <c r="E1957" s="5"/>
      <c r="F1957" s="4"/>
      <c r="G1957" s="4"/>
      <c r="H1957" s="4"/>
      <c r="I1957" s="4"/>
      <c r="J1957" s="4"/>
      <c r="K1957" s="4"/>
    </row>
    <row r="1958" spans="2:11">
      <c r="B1958" s="6"/>
      <c r="C1958" s="24"/>
      <c r="D1958" s="5"/>
      <c r="E1958" s="5"/>
      <c r="F1958" s="4"/>
      <c r="G1958" s="4"/>
      <c r="H1958" s="4"/>
      <c r="I1958" s="4"/>
      <c r="J1958" s="4"/>
      <c r="K1958" s="4"/>
    </row>
    <row r="1959" spans="2:11">
      <c r="B1959" s="6"/>
      <c r="C1959" s="24"/>
      <c r="D1959" s="5"/>
      <c r="E1959" s="5"/>
      <c r="F1959" s="4"/>
      <c r="G1959" s="4"/>
      <c r="H1959" s="4"/>
      <c r="I1959" s="4"/>
      <c r="J1959" s="4"/>
      <c r="K1959" s="4"/>
    </row>
    <row r="1960" spans="2:11">
      <c r="B1960" s="6"/>
      <c r="C1960" s="24"/>
      <c r="D1960" s="5"/>
      <c r="E1960" s="5"/>
      <c r="F1960" s="4"/>
      <c r="G1960" s="4"/>
      <c r="H1960" s="4"/>
      <c r="I1960" s="4"/>
      <c r="J1960" s="4"/>
      <c r="K1960" s="4"/>
    </row>
    <row r="1961" spans="2:11">
      <c r="B1961" s="6"/>
      <c r="C1961" s="24"/>
      <c r="D1961" s="5"/>
      <c r="E1961" s="5"/>
      <c r="F1961" s="4"/>
      <c r="G1961" s="4"/>
      <c r="H1961" s="4"/>
      <c r="I1961" s="4"/>
      <c r="J1961" s="4"/>
      <c r="K1961" s="4"/>
    </row>
    <row r="1962" spans="2:11">
      <c r="B1962" s="6"/>
      <c r="C1962" s="24"/>
      <c r="D1962" s="5"/>
      <c r="E1962" s="5"/>
      <c r="F1962" s="4"/>
      <c r="G1962" s="4"/>
      <c r="H1962" s="4"/>
      <c r="I1962" s="4"/>
      <c r="J1962" s="4"/>
      <c r="K1962" s="4"/>
    </row>
    <row r="1963" spans="2:11">
      <c r="B1963" s="6"/>
      <c r="C1963" s="24"/>
      <c r="D1963" s="5"/>
      <c r="E1963" s="5"/>
      <c r="F1963" s="4"/>
      <c r="G1963" s="4"/>
      <c r="H1963" s="4"/>
      <c r="I1963" s="4"/>
      <c r="J1963" s="4"/>
      <c r="K1963" s="4"/>
    </row>
    <row r="1964" spans="2:11">
      <c r="B1964" s="6"/>
      <c r="C1964" s="24"/>
      <c r="D1964" s="5"/>
      <c r="E1964" s="5"/>
      <c r="F1964" s="4"/>
      <c r="G1964" s="4"/>
      <c r="H1964" s="4"/>
      <c r="I1964" s="4"/>
      <c r="J1964" s="4"/>
      <c r="K1964" s="4"/>
    </row>
    <row r="1965" spans="2:11">
      <c r="B1965" s="6"/>
      <c r="C1965" s="24"/>
      <c r="D1965" s="5"/>
      <c r="E1965" s="5"/>
      <c r="F1965" s="4"/>
      <c r="G1965" s="4"/>
      <c r="H1965" s="4"/>
      <c r="I1965" s="4"/>
      <c r="J1965" s="4"/>
      <c r="K1965" s="4"/>
    </row>
    <row r="1966" spans="2:11">
      <c r="B1966" s="6"/>
      <c r="C1966" s="24"/>
      <c r="D1966" s="5"/>
      <c r="E1966" s="5"/>
      <c r="F1966" s="4"/>
      <c r="G1966" s="4"/>
      <c r="H1966" s="4"/>
      <c r="I1966" s="4"/>
      <c r="J1966" s="4"/>
      <c r="K1966" s="4"/>
    </row>
    <row r="1967" spans="2:11">
      <c r="B1967" s="6"/>
      <c r="C1967" s="24"/>
      <c r="D1967" s="5"/>
      <c r="E1967" s="5"/>
      <c r="F1967" s="4"/>
      <c r="G1967" s="4"/>
      <c r="H1967" s="4"/>
      <c r="I1967" s="4"/>
      <c r="J1967" s="4"/>
      <c r="K1967" s="4"/>
    </row>
    <row r="1968" spans="2:11">
      <c r="B1968" s="6"/>
      <c r="C1968" s="24"/>
      <c r="D1968" s="5"/>
      <c r="E1968" s="5"/>
      <c r="F1968" s="4"/>
      <c r="G1968" s="4"/>
      <c r="H1968" s="4"/>
      <c r="I1968" s="4"/>
      <c r="J1968" s="4"/>
      <c r="K1968" s="4"/>
    </row>
    <row r="1969" spans="2:11">
      <c r="B1969" s="6"/>
      <c r="C1969" s="24"/>
      <c r="D1969" s="5"/>
      <c r="E1969" s="5"/>
      <c r="F1969" s="4"/>
      <c r="G1969" s="4"/>
      <c r="H1969" s="4"/>
      <c r="I1969" s="4"/>
      <c r="J1969" s="4"/>
      <c r="K1969" s="4"/>
    </row>
    <row r="1970" spans="2:11">
      <c r="B1970" s="6"/>
      <c r="C1970" s="24"/>
      <c r="D1970" s="5"/>
      <c r="E1970" s="5"/>
      <c r="F1970" s="4"/>
      <c r="G1970" s="4"/>
      <c r="H1970" s="4"/>
      <c r="I1970" s="4"/>
      <c r="J1970" s="4"/>
      <c r="K1970" s="4"/>
    </row>
    <row r="1971" spans="2:11">
      <c r="B1971" s="6"/>
      <c r="C1971" s="24"/>
      <c r="D1971" s="5"/>
      <c r="E1971" s="5"/>
      <c r="F1971" s="4"/>
      <c r="G1971" s="4"/>
      <c r="H1971" s="4"/>
      <c r="I1971" s="4"/>
      <c r="J1971" s="4"/>
      <c r="K1971" s="4"/>
    </row>
    <row r="1972" spans="2:11">
      <c r="B1972" s="6"/>
      <c r="C1972" s="24"/>
      <c r="D1972" s="5"/>
      <c r="E1972" s="5"/>
      <c r="F1972" s="4"/>
      <c r="G1972" s="4"/>
      <c r="H1972" s="4"/>
      <c r="I1972" s="4"/>
      <c r="J1972" s="4"/>
      <c r="K1972" s="4"/>
    </row>
    <row r="1973" spans="2:11">
      <c r="B1973" s="6"/>
      <c r="C1973" s="24"/>
      <c r="D1973" s="5"/>
      <c r="E1973" s="5"/>
      <c r="F1973" s="4"/>
      <c r="G1973" s="4"/>
      <c r="H1973" s="4"/>
      <c r="I1973" s="4"/>
      <c r="J1973" s="4"/>
      <c r="K1973" s="4"/>
    </row>
    <row r="1974" spans="2:11">
      <c r="B1974" s="6"/>
      <c r="C1974" s="24"/>
      <c r="D1974" s="5"/>
      <c r="E1974" s="5"/>
      <c r="F1974" s="4"/>
      <c r="G1974" s="4"/>
      <c r="H1974" s="4"/>
      <c r="I1974" s="4"/>
      <c r="J1974" s="4"/>
      <c r="K1974" s="4"/>
    </row>
    <row r="1975" spans="2:11">
      <c r="B1975" s="6"/>
      <c r="C1975" s="24"/>
      <c r="D1975" s="5"/>
      <c r="E1975" s="5"/>
      <c r="F1975" s="4"/>
      <c r="G1975" s="4"/>
      <c r="H1975" s="4"/>
      <c r="I1975" s="4"/>
      <c r="J1975" s="4"/>
      <c r="K1975" s="4"/>
    </row>
    <row r="1976" spans="2:11">
      <c r="B1976" s="6"/>
      <c r="C1976" s="24"/>
      <c r="D1976" s="5"/>
      <c r="E1976" s="5"/>
      <c r="F1976" s="4"/>
      <c r="G1976" s="4"/>
      <c r="H1976" s="4"/>
      <c r="I1976" s="4"/>
      <c r="J1976" s="4"/>
      <c r="K1976" s="4"/>
    </row>
    <row r="1977" spans="2:11">
      <c r="B1977" s="6"/>
      <c r="C1977" s="24"/>
      <c r="D1977" s="5"/>
      <c r="E1977" s="5"/>
      <c r="F1977" s="4"/>
      <c r="G1977" s="4"/>
      <c r="H1977" s="4"/>
      <c r="I1977" s="4"/>
      <c r="J1977" s="4"/>
      <c r="K1977" s="4"/>
    </row>
    <row r="1978" spans="2:11">
      <c r="B1978" s="6"/>
      <c r="C1978" s="24"/>
      <c r="D1978" s="5"/>
      <c r="E1978" s="5"/>
      <c r="F1978" s="4"/>
      <c r="G1978" s="4"/>
      <c r="H1978" s="4"/>
      <c r="I1978" s="4"/>
      <c r="J1978" s="4"/>
      <c r="K1978" s="4"/>
    </row>
    <row r="1979" spans="2:11">
      <c r="B1979" s="6"/>
      <c r="C1979" s="24"/>
      <c r="D1979" s="5"/>
      <c r="E1979" s="5"/>
      <c r="F1979" s="4"/>
      <c r="G1979" s="4"/>
      <c r="H1979" s="4"/>
      <c r="I1979" s="4"/>
      <c r="J1979" s="4"/>
      <c r="K1979" s="4"/>
    </row>
    <row r="1980" spans="2:11">
      <c r="B1980" s="6"/>
      <c r="C1980" s="24"/>
      <c r="D1980" s="5"/>
      <c r="E1980" s="5"/>
      <c r="F1980" s="4"/>
      <c r="G1980" s="4"/>
      <c r="H1980" s="4"/>
      <c r="I1980" s="4"/>
      <c r="J1980" s="4"/>
      <c r="K1980" s="4"/>
    </row>
    <row r="1981" spans="2:11">
      <c r="B1981" s="6"/>
      <c r="C1981" s="24"/>
      <c r="D1981" s="5"/>
      <c r="E1981" s="5"/>
      <c r="F1981" s="4"/>
      <c r="G1981" s="4"/>
      <c r="H1981" s="4"/>
      <c r="I1981" s="4"/>
      <c r="J1981" s="4"/>
      <c r="K1981" s="4"/>
    </row>
    <row r="1982" spans="2:11">
      <c r="B1982" s="6"/>
      <c r="C1982" s="24"/>
      <c r="D1982" s="5"/>
      <c r="E1982" s="5"/>
      <c r="F1982" s="4"/>
      <c r="G1982" s="4"/>
      <c r="H1982" s="4"/>
      <c r="I1982" s="4"/>
      <c r="J1982" s="4"/>
      <c r="K1982" s="4"/>
    </row>
    <row r="1983" spans="2:11">
      <c r="B1983" s="6"/>
      <c r="C1983" s="24"/>
      <c r="D1983" s="5"/>
      <c r="E1983" s="5"/>
      <c r="F1983" s="4"/>
      <c r="G1983" s="4"/>
      <c r="H1983" s="4"/>
      <c r="I1983" s="4"/>
      <c r="J1983" s="4"/>
      <c r="K1983" s="4"/>
    </row>
    <row r="1984" spans="2:11">
      <c r="B1984" s="6"/>
      <c r="C1984" s="24"/>
      <c r="D1984" s="5"/>
      <c r="E1984" s="5"/>
      <c r="F1984" s="4"/>
      <c r="G1984" s="4"/>
      <c r="H1984" s="4"/>
      <c r="I1984" s="4"/>
      <c r="J1984" s="4"/>
      <c r="K1984" s="4"/>
    </row>
    <row r="1985" spans="2:11">
      <c r="B1985" s="6"/>
      <c r="C1985" s="24"/>
      <c r="D1985" s="5"/>
      <c r="E1985" s="5"/>
      <c r="F1985" s="4"/>
      <c r="G1985" s="4"/>
      <c r="H1985" s="4"/>
      <c r="I1985" s="4"/>
      <c r="J1985" s="4"/>
      <c r="K1985" s="4"/>
    </row>
    <row r="1986" spans="2:11">
      <c r="B1986" s="6"/>
      <c r="C1986" s="24"/>
      <c r="D1986" s="5"/>
      <c r="E1986" s="5"/>
      <c r="F1986" s="4"/>
      <c r="G1986" s="4"/>
      <c r="H1986" s="4"/>
      <c r="I1986" s="4"/>
      <c r="J1986" s="4"/>
      <c r="K1986" s="4"/>
    </row>
    <row r="1987" spans="2:11">
      <c r="B1987" s="6"/>
      <c r="C1987" s="24"/>
      <c r="D1987" s="5"/>
      <c r="E1987" s="5"/>
      <c r="F1987" s="4"/>
      <c r="G1987" s="4"/>
      <c r="H1987" s="4"/>
      <c r="I1987" s="4"/>
      <c r="J1987" s="4"/>
      <c r="K1987" s="4"/>
    </row>
    <row r="1988" spans="2:11">
      <c r="B1988" s="6"/>
      <c r="C1988" s="24"/>
      <c r="D1988" s="5"/>
      <c r="E1988" s="5"/>
      <c r="F1988" s="4"/>
      <c r="G1988" s="4"/>
      <c r="H1988" s="4"/>
      <c r="I1988" s="4"/>
      <c r="J1988" s="4"/>
      <c r="K1988" s="4"/>
    </row>
    <row r="1989" spans="2:11">
      <c r="B1989" s="6"/>
      <c r="C1989" s="24"/>
      <c r="D1989" s="5"/>
      <c r="E1989" s="5"/>
      <c r="F1989" s="4"/>
      <c r="G1989" s="4"/>
      <c r="H1989" s="4"/>
      <c r="I1989" s="4"/>
      <c r="J1989" s="4"/>
      <c r="K1989" s="4"/>
    </row>
    <row r="1990" spans="2:11">
      <c r="B1990" s="6"/>
      <c r="C1990" s="24"/>
      <c r="D1990" s="5"/>
      <c r="E1990" s="5"/>
      <c r="F1990" s="4"/>
      <c r="G1990" s="4"/>
      <c r="H1990" s="4"/>
      <c r="I1990" s="4"/>
      <c r="J1990" s="4"/>
      <c r="K1990" s="4"/>
    </row>
    <row r="1991" spans="2:11">
      <c r="B1991" s="6"/>
      <c r="C1991" s="24"/>
      <c r="D1991" s="5"/>
      <c r="E1991" s="5"/>
      <c r="F1991" s="4"/>
      <c r="G1991" s="4"/>
      <c r="H1991" s="4"/>
      <c r="I1991" s="4"/>
      <c r="J1991" s="4"/>
      <c r="K1991" s="4"/>
    </row>
    <row r="1992" spans="2:11">
      <c r="B1992" s="6"/>
      <c r="C1992" s="24"/>
      <c r="D1992" s="5"/>
      <c r="E1992" s="5"/>
      <c r="F1992" s="4"/>
      <c r="G1992" s="4"/>
      <c r="H1992" s="4"/>
      <c r="I1992" s="4"/>
      <c r="J1992" s="4"/>
      <c r="K1992" s="4"/>
    </row>
    <row r="1993" spans="2:11">
      <c r="B1993" s="6"/>
      <c r="C1993" s="24"/>
      <c r="D1993" s="5"/>
      <c r="E1993" s="5"/>
      <c r="F1993" s="4"/>
      <c r="G1993" s="4"/>
      <c r="H1993" s="4"/>
      <c r="I1993" s="4"/>
      <c r="J1993" s="4"/>
      <c r="K1993" s="4"/>
    </row>
    <row r="1994" spans="2:11">
      <c r="B1994" s="6"/>
      <c r="C1994" s="24"/>
      <c r="D1994" s="5"/>
      <c r="E1994" s="5"/>
      <c r="F1994" s="4"/>
      <c r="G1994" s="4"/>
      <c r="H1994" s="4"/>
      <c r="I1994" s="4"/>
      <c r="J1994" s="4"/>
      <c r="K1994" s="4"/>
    </row>
    <row r="1995" spans="2:11">
      <c r="B1995" s="6"/>
      <c r="C1995" s="24"/>
      <c r="D1995" s="5"/>
      <c r="E1995" s="5"/>
      <c r="F1995" s="4"/>
      <c r="G1995" s="4"/>
      <c r="H1995" s="4"/>
      <c r="I1995" s="4"/>
      <c r="J1995" s="4"/>
      <c r="K1995" s="4"/>
    </row>
    <row r="1996" spans="2:11">
      <c r="B1996" s="6"/>
      <c r="C1996" s="24"/>
      <c r="D1996" s="5"/>
      <c r="E1996" s="5"/>
      <c r="F1996" s="4"/>
      <c r="G1996" s="4"/>
      <c r="H1996" s="4"/>
      <c r="I1996" s="4"/>
      <c r="J1996" s="4"/>
      <c r="K1996" s="4"/>
    </row>
    <row r="1997" spans="2:11">
      <c r="B1997" s="6"/>
      <c r="C1997" s="24"/>
      <c r="D1997" s="5"/>
      <c r="E1997" s="5"/>
      <c r="F1997" s="4"/>
      <c r="G1997" s="4"/>
      <c r="H1997" s="4"/>
      <c r="I1997" s="4"/>
      <c r="J1997" s="4"/>
      <c r="K1997" s="4"/>
    </row>
    <row r="1998" spans="2:11">
      <c r="B1998" s="6"/>
      <c r="C1998" s="24"/>
      <c r="D1998" s="5"/>
      <c r="E1998" s="5"/>
      <c r="F1998" s="4"/>
      <c r="G1998" s="4"/>
      <c r="H1998" s="4"/>
      <c r="I1998" s="4"/>
      <c r="J1998" s="4"/>
      <c r="K1998" s="4"/>
    </row>
    <row r="1999" spans="2:11">
      <c r="B1999" s="6"/>
      <c r="C1999" s="24"/>
      <c r="D1999" s="5"/>
      <c r="E1999" s="5"/>
      <c r="F1999" s="4"/>
      <c r="G1999" s="4"/>
      <c r="H1999" s="4"/>
      <c r="I1999" s="4"/>
      <c r="J1999" s="4"/>
      <c r="K1999" s="4"/>
    </row>
    <row r="2000" spans="2:11">
      <c r="B2000" s="6"/>
      <c r="C2000" s="24"/>
      <c r="D2000" s="5"/>
      <c r="E2000" s="5"/>
      <c r="F2000" s="4"/>
      <c r="G2000" s="4"/>
      <c r="H2000" s="4"/>
      <c r="I2000" s="4"/>
      <c r="J2000" s="4"/>
      <c r="K2000" s="4"/>
    </row>
    <row r="2001" spans="2:11">
      <c r="B2001" s="6"/>
      <c r="C2001" s="24"/>
      <c r="D2001" s="5"/>
      <c r="E2001" s="5"/>
      <c r="F2001" s="4"/>
      <c r="G2001" s="4"/>
      <c r="H2001" s="4"/>
      <c r="I2001" s="4"/>
      <c r="J2001" s="4"/>
      <c r="K2001" s="4"/>
    </row>
    <row r="2002" spans="2:11">
      <c r="B2002" s="6"/>
      <c r="C2002" s="24"/>
      <c r="D2002" s="5"/>
      <c r="E2002" s="5"/>
      <c r="F2002" s="4"/>
      <c r="G2002" s="4"/>
      <c r="H2002" s="4"/>
      <c r="I2002" s="4"/>
      <c r="J2002" s="4"/>
      <c r="K2002" s="4"/>
    </row>
    <row r="2003" spans="2:11">
      <c r="B2003" s="6"/>
      <c r="C2003" s="24"/>
      <c r="D2003" s="5"/>
      <c r="E2003" s="5"/>
      <c r="F2003" s="4"/>
      <c r="G2003" s="4"/>
      <c r="H2003" s="4"/>
      <c r="I2003" s="4"/>
      <c r="J2003" s="4"/>
      <c r="K2003" s="4"/>
    </row>
    <row r="2004" spans="2:11">
      <c r="B2004" s="6"/>
      <c r="C2004" s="24"/>
      <c r="D2004" s="5"/>
      <c r="E2004" s="5"/>
      <c r="F2004" s="4"/>
      <c r="G2004" s="4"/>
      <c r="H2004" s="4"/>
      <c r="I2004" s="4"/>
      <c r="J2004" s="4"/>
      <c r="K2004" s="4"/>
    </row>
    <row r="2005" spans="2:11">
      <c r="B2005" s="6"/>
      <c r="C2005" s="24"/>
      <c r="D2005" s="5"/>
      <c r="E2005" s="5"/>
      <c r="F2005" s="4"/>
      <c r="G2005" s="4"/>
      <c r="H2005" s="4"/>
      <c r="I2005" s="4"/>
      <c r="J2005" s="4"/>
      <c r="K2005" s="4"/>
    </row>
    <row r="2006" spans="2:11">
      <c r="B2006" s="6"/>
      <c r="C2006" s="24"/>
      <c r="D2006" s="5"/>
      <c r="E2006" s="5"/>
      <c r="F2006" s="4"/>
      <c r="G2006" s="4"/>
      <c r="H2006" s="4"/>
      <c r="I2006" s="4"/>
      <c r="J2006" s="4"/>
      <c r="K2006" s="4"/>
    </row>
    <row r="2007" spans="2:11">
      <c r="B2007" s="6"/>
      <c r="C2007" s="24"/>
      <c r="D2007" s="5"/>
      <c r="E2007" s="5"/>
      <c r="F2007" s="4"/>
      <c r="G2007" s="4"/>
      <c r="H2007" s="4"/>
      <c r="I2007" s="4"/>
      <c r="J2007" s="4"/>
      <c r="K2007" s="4"/>
    </row>
    <row r="2008" spans="2:11">
      <c r="B2008" s="6"/>
      <c r="C2008" s="24"/>
      <c r="D2008" s="5"/>
      <c r="E2008" s="5"/>
      <c r="F2008" s="4"/>
      <c r="G2008" s="4"/>
      <c r="H2008" s="4"/>
      <c r="I2008" s="4"/>
      <c r="J2008" s="4"/>
      <c r="K2008" s="4"/>
    </row>
    <row r="2009" spans="2:11">
      <c r="B2009" s="6"/>
      <c r="C2009" s="24"/>
      <c r="D2009" s="5"/>
      <c r="E2009" s="5"/>
      <c r="F2009" s="4"/>
      <c r="G2009" s="4"/>
      <c r="H2009" s="4"/>
      <c r="I2009" s="4"/>
      <c r="J2009" s="4"/>
      <c r="K2009" s="4"/>
    </row>
    <row r="2010" spans="2:11">
      <c r="B2010" s="6"/>
      <c r="C2010" s="24"/>
      <c r="D2010" s="5"/>
      <c r="E2010" s="5"/>
      <c r="F2010" s="4"/>
      <c r="G2010" s="4"/>
      <c r="H2010" s="4"/>
      <c r="I2010" s="4"/>
      <c r="J2010" s="4"/>
      <c r="K2010" s="4"/>
    </row>
    <row r="2011" spans="2:11">
      <c r="B2011" s="6"/>
      <c r="C2011" s="24"/>
      <c r="D2011" s="5"/>
      <c r="E2011" s="5"/>
      <c r="F2011" s="4"/>
      <c r="G2011" s="4"/>
      <c r="H2011" s="4"/>
      <c r="I2011" s="4"/>
      <c r="J2011" s="4"/>
      <c r="K2011" s="4"/>
    </row>
    <row r="2012" spans="2:11">
      <c r="B2012" s="6"/>
      <c r="C2012" s="24"/>
      <c r="D2012" s="5"/>
      <c r="E2012" s="5"/>
      <c r="F2012" s="4"/>
      <c r="G2012" s="4"/>
      <c r="H2012" s="4"/>
      <c r="I2012" s="4"/>
      <c r="J2012" s="4"/>
      <c r="K2012" s="4"/>
    </row>
    <row r="2013" spans="2:11">
      <c r="B2013" s="6"/>
      <c r="C2013" s="24"/>
      <c r="D2013" s="5"/>
      <c r="E2013" s="5"/>
      <c r="F2013" s="4"/>
      <c r="G2013" s="4"/>
      <c r="H2013" s="4"/>
      <c r="I2013" s="4"/>
      <c r="J2013" s="4"/>
      <c r="K2013" s="4"/>
    </row>
    <row r="2014" spans="2:11">
      <c r="B2014" s="6"/>
      <c r="C2014" s="24"/>
      <c r="D2014" s="5"/>
      <c r="E2014" s="5"/>
      <c r="F2014" s="4"/>
      <c r="G2014" s="4"/>
      <c r="H2014" s="4"/>
      <c r="I2014" s="4"/>
      <c r="J2014" s="4"/>
      <c r="K2014" s="4"/>
    </row>
    <row r="2015" spans="2:11">
      <c r="B2015" s="6"/>
      <c r="C2015" s="24"/>
      <c r="D2015" s="5"/>
      <c r="E2015" s="5"/>
      <c r="F2015" s="4"/>
      <c r="G2015" s="4"/>
      <c r="H2015" s="4"/>
      <c r="I2015" s="4"/>
      <c r="J2015" s="4"/>
      <c r="K2015" s="4"/>
    </row>
    <row r="2016" spans="2:11">
      <c r="B2016" s="6"/>
      <c r="C2016" s="24"/>
      <c r="D2016" s="5"/>
      <c r="E2016" s="5"/>
      <c r="F2016" s="4"/>
      <c r="G2016" s="4"/>
      <c r="H2016" s="4"/>
      <c r="I2016" s="4"/>
      <c r="J2016" s="4"/>
      <c r="K2016" s="4"/>
    </row>
    <row r="2017" spans="2:11">
      <c r="B2017" s="6"/>
      <c r="C2017" s="24"/>
      <c r="D2017" s="5"/>
      <c r="E2017" s="5"/>
      <c r="F2017" s="4"/>
      <c r="G2017" s="4"/>
      <c r="H2017" s="4"/>
      <c r="I2017" s="4"/>
      <c r="J2017" s="4"/>
      <c r="K2017" s="4"/>
    </row>
    <row r="2018" spans="2:11">
      <c r="B2018" s="6"/>
      <c r="C2018" s="24"/>
      <c r="D2018" s="5"/>
      <c r="E2018" s="5"/>
      <c r="F2018" s="4"/>
      <c r="G2018" s="4"/>
      <c r="H2018" s="4"/>
      <c r="I2018" s="4"/>
      <c r="J2018" s="4"/>
      <c r="K2018" s="4"/>
    </row>
    <row r="2019" spans="2:11">
      <c r="B2019" s="6"/>
      <c r="C2019" s="24"/>
      <c r="D2019" s="5"/>
      <c r="E2019" s="5"/>
      <c r="F2019" s="4"/>
      <c r="G2019" s="4"/>
      <c r="H2019" s="4"/>
      <c r="I2019" s="4"/>
      <c r="J2019" s="4"/>
      <c r="K2019" s="4"/>
    </row>
    <row r="2020" spans="2:11">
      <c r="B2020" s="6"/>
      <c r="C2020" s="24"/>
      <c r="D2020" s="5"/>
      <c r="E2020" s="5"/>
      <c r="F2020" s="4"/>
      <c r="G2020" s="4"/>
      <c r="H2020" s="4"/>
      <c r="I2020" s="4"/>
      <c r="J2020" s="4"/>
      <c r="K2020" s="4"/>
    </row>
    <row r="2021" spans="2:11">
      <c r="B2021" s="6"/>
      <c r="C2021" s="24"/>
      <c r="D2021" s="5"/>
      <c r="E2021" s="5"/>
      <c r="F2021" s="4"/>
      <c r="G2021" s="4"/>
      <c r="H2021" s="4"/>
      <c r="I2021" s="4"/>
      <c r="J2021" s="4"/>
      <c r="K2021" s="4"/>
    </row>
    <row r="2022" spans="2:11">
      <c r="B2022" s="6"/>
      <c r="C2022" s="24"/>
      <c r="D2022" s="5"/>
      <c r="E2022" s="5"/>
      <c r="F2022" s="4"/>
      <c r="G2022" s="4"/>
      <c r="H2022" s="4"/>
      <c r="I2022" s="4"/>
      <c r="J2022" s="4"/>
      <c r="K2022" s="4"/>
    </row>
    <row r="2023" spans="2:11">
      <c r="B2023" s="6"/>
      <c r="C2023" s="24"/>
      <c r="D2023" s="5"/>
      <c r="E2023" s="5"/>
      <c r="F2023" s="4"/>
      <c r="G2023" s="4"/>
      <c r="H2023" s="4"/>
      <c r="I2023" s="4"/>
      <c r="J2023" s="4"/>
      <c r="K2023" s="4"/>
    </row>
    <row r="2024" spans="2:11">
      <c r="B2024" s="6"/>
      <c r="C2024" s="24"/>
      <c r="D2024" s="5"/>
      <c r="E2024" s="5"/>
      <c r="F2024" s="4"/>
      <c r="G2024" s="4"/>
      <c r="H2024" s="4"/>
      <c r="I2024" s="4"/>
      <c r="J2024" s="4"/>
      <c r="K2024" s="4"/>
    </row>
    <row r="2025" spans="2:11">
      <c r="B2025" s="6"/>
      <c r="C2025" s="24"/>
      <c r="D2025" s="5"/>
      <c r="E2025" s="5"/>
      <c r="F2025" s="4"/>
      <c r="G2025" s="4"/>
      <c r="H2025" s="4"/>
      <c r="I2025" s="4"/>
      <c r="J2025" s="4"/>
      <c r="K2025" s="4"/>
    </row>
    <row r="2026" spans="2:11">
      <c r="B2026" s="6"/>
      <c r="C2026" s="24"/>
      <c r="D2026" s="5"/>
      <c r="E2026" s="5"/>
      <c r="F2026" s="4"/>
      <c r="G2026" s="4"/>
      <c r="H2026" s="4"/>
      <c r="I2026" s="4"/>
      <c r="J2026" s="4"/>
      <c r="K2026" s="4"/>
    </row>
    <row r="2027" spans="2:11">
      <c r="B2027" s="6"/>
      <c r="C2027" s="24"/>
      <c r="D2027" s="5"/>
      <c r="E2027" s="5"/>
      <c r="F2027" s="4"/>
      <c r="G2027" s="4"/>
      <c r="H2027" s="4"/>
      <c r="I2027" s="4"/>
      <c r="J2027" s="4"/>
      <c r="K2027" s="4"/>
    </row>
    <row r="2028" spans="2:11">
      <c r="B2028" s="6"/>
      <c r="C2028" s="24"/>
      <c r="D2028" s="5"/>
      <c r="E2028" s="5"/>
      <c r="F2028" s="4"/>
      <c r="G2028" s="4"/>
      <c r="H2028" s="4"/>
      <c r="I2028" s="4"/>
      <c r="J2028" s="4"/>
      <c r="K2028" s="4"/>
    </row>
    <row r="2029" spans="2:11">
      <c r="B2029" s="6"/>
      <c r="C2029" s="24"/>
      <c r="D2029" s="5"/>
      <c r="E2029" s="5"/>
      <c r="F2029" s="4"/>
      <c r="G2029" s="4"/>
      <c r="H2029" s="4"/>
      <c r="I2029" s="4"/>
      <c r="J2029" s="4"/>
      <c r="K2029" s="4"/>
    </row>
    <row r="2030" spans="2:11">
      <c r="B2030" s="6"/>
      <c r="C2030" s="24"/>
      <c r="D2030" s="5"/>
      <c r="E2030" s="5"/>
      <c r="F2030" s="4"/>
      <c r="G2030" s="4"/>
      <c r="H2030" s="4"/>
      <c r="I2030" s="4"/>
      <c r="J2030" s="4"/>
      <c r="K2030" s="4"/>
    </row>
    <row r="2031" spans="2:11">
      <c r="B2031" s="6"/>
      <c r="C2031" s="24"/>
      <c r="D2031" s="5"/>
      <c r="E2031" s="5"/>
      <c r="F2031" s="4"/>
      <c r="G2031" s="4"/>
      <c r="H2031" s="4"/>
      <c r="I2031" s="4"/>
      <c r="J2031" s="4"/>
      <c r="K2031" s="4"/>
    </row>
    <row r="2032" spans="2:11">
      <c r="B2032" s="6"/>
      <c r="C2032" s="24"/>
      <c r="D2032" s="5"/>
      <c r="E2032" s="5"/>
      <c r="F2032" s="4"/>
      <c r="G2032" s="4"/>
      <c r="H2032" s="4"/>
      <c r="I2032" s="4"/>
      <c r="J2032" s="4"/>
      <c r="K2032" s="4"/>
    </row>
    <row r="2033" spans="2:11">
      <c r="B2033" s="6"/>
      <c r="C2033" s="24"/>
      <c r="D2033" s="5"/>
      <c r="E2033" s="5"/>
      <c r="F2033" s="4"/>
      <c r="G2033" s="4"/>
      <c r="H2033" s="4"/>
      <c r="I2033" s="4"/>
      <c r="J2033" s="4"/>
      <c r="K2033" s="4"/>
    </row>
    <row r="2034" spans="2:11">
      <c r="B2034" s="6"/>
      <c r="C2034" s="24"/>
      <c r="D2034" s="5"/>
      <c r="E2034" s="5"/>
      <c r="F2034" s="4"/>
      <c r="G2034" s="4"/>
      <c r="H2034" s="4"/>
      <c r="I2034" s="4"/>
      <c r="J2034" s="4"/>
      <c r="K2034" s="4"/>
    </row>
    <row r="2035" spans="2:11">
      <c r="B2035" s="6"/>
      <c r="C2035" s="24"/>
      <c r="D2035" s="5"/>
      <c r="E2035" s="5"/>
      <c r="F2035" s="4"/>
      <c r="G2035" s="4"/>
      <c r="H2035" s="4"/>
      <c r="I2035" s="4"/>
      <c r="J2035" s="4"/>
      <c r="K2035" s="4"/>
    </row>
    <row r="2036" spans="2:11">
      <c r="B2036" s="6"/>
      <c r="C2036" s="24"/>
      <c r="D2036" s="5"/>
      <c r="E2036" s="5"/>
      <c r="F2036" s="4"/>
      <c r="G2036" s="4"/>
      <c r="H2036" s="4"/>
      <c r="I2036" s="4"/>
      <c r="J2036" s="4"/>
      <c r="K2036" s="4"/>
    </row>
    <row r="2037" spans="2:11">
      <c r="B2037" s="6"/>
      <c r="C2037" s="24"/>
      <c r="D2037" s="5"/>
      <c r="E2037" s="5"/>
      <c r="F2037" s="4"/>
      <c r="G2037" s="4"/>
      <c r="H2037" s="4"/>
      <c r="I2037" s="4"/>
      <c r="J2037" s="4"/>
      <c r="K2037" s="4"/>
    </row>
    <row r="2038" spans="2:11">
      <c r="B2038" s="6"/>
      <c r="C2038" s="24"/>
      <c r="D2038" s="5"/>
      <c r="E2038" s="5"/>
      <c r="F2038" s="4"/>
      <c r="G2038" s="4"/>
      <c r="H2038" s="4"/>
      <c r="I2038" s="4"/>
      <c r="J2038" s="4"/>
      <c r="K2038" s="4"/>
    </row>
    <row r="2039" spans="2:11">
      <c r="B2039" s="6"/>
      <c r="C2039" s="24"/>
      <c r="D2039" s="5"/>
      <c r="E2039" s="5"/>
      <c r="F2039" s="4"/>
      <c r="G2039" s="4"/>
      <c r="H2039" s="4"/>
      <c r="I2039" s="4"/>
      <c r="J2039" s="4"/>
      <c r="K2039" s="4"/>
    </row>
    <row r="2040" spans="2:11">
      <c r="B2040" s="6"/>
      <c r="C2040" s="24"/>
      <c r="D2040" s="5"/>
      <c r="E2040" s="5"/>
      <c r="F2040" s="4"/>
      <c r="G2040" s="4"/>
      <c r="H2040" s="4"/>
      <c r="I2040" s="4"/>
      <c r="J2040" s="4"/>
      <c r="K2040" s="4"/>
    </row>
    <row r="2041" spans="2:11">
      <c r="B2041" s="6"/>
      <c r="C2041" s="24"/>
      <c r="D2041" s="5"/>
      <c r="E2041" s="5"/>
      <c r="F2041" s="4"/>
      <c r="G2041" s="4"/>
      <c r="H2041" s="4"/>
      <c r="I2041" s="4"/>
      <c r="J2041" s="4"/>
      <c r="K2041" s="4"/>
    </row>
    <row r="2042" spans="2:11">
      <c r="B2042" s="6"/>
      <c r="C2042" s="24"/>
      <c r="D2042" s="5"/>
      <c r="E2042" s="5"/>
      <c r="F2042" s="4"/>
      <c r="G2042" s="4"/>
      <c r="H2042" s="4"/>
      <c r="I2042" s="4"/>
      <c r="J2042" s="4"/>
      <c r="K2042" s="4"/>
    </row>
    <row r="2043" spans="2:11">
      <c r="B2043" s="6"/>
      <c r="C2043" s="24"/>
      <c r="D2043" s="5"/>
      <c r="E2043" s="5"/>
      <c r="F2043" s="4"/>
      <c r="G2043" s="4"/>
      <c r="H2043" s="4"/>
      <c r="I2043" s="4"/>
      <c r="J2043" s="4"/>
      <c r="K2043" s="4"/>
    </row>
    <row r="2044" spans="2:11">
      <c r="B2044" s="6"/>
      <c r="C2044" s="24"/>
      <c r="D2044" s="5"/>
      <c r="E2044" s="5"/>
      <c r="F2044" s="4"/>
      <c r="G2044" s="4"/>
      <c r="H2044" s="4"/>
      <c r="I2044" s="4"/>
      <c r="J2044" s="4"/>
      <c r="K2044" s="4"/>
    </row>
    <row r="2045" spans="2:11">
      <c r="B2045" s="6"/>
      <c r="C2045" s="24"/>
      <c r="D2045" s="5"/>
      <c r="E2045" s="5"/>
      <c r="F2045" s="4"/>
      <c r="G2045" s="4"/>
      <c r="H2045" s="4"/>
      <c r="I2045" s="4"/>
      <c r="J2045" s="4"/>
      <c r="K2045" s="4"/>
    </row>
    <row r="2046" spans="2:11">
      <c r="B2046" s="6"/>
      <c r="C2046" s="24"/>
      <c r="D2046" s="5"/>
      <c r="E2046" s="5"/>
      <c r="F2046" s="4"/>
      <c r="G2046" s="4"/>
      <c r="H2046" s="4"/>
      <c r="I2046" s="4"/>
      <c r="J2046" s="4"/>
      <c r="K2046" s="4"/>
    </row>
    <row r="2047" spans="2:11">
      <c r="B2047" s="6"/>
      <c r="C2047" s="24"/>
      <c r="D2047" s="5"/>
      <c r="E2047" s="5"/>
      <c r="F2047" s="4"/>
      <c r="G2047" s="4"/>
      <c r="H2047" s="4"/>
      <c r="I2047" s="4"/>
      <c r="J2047" s="4"/>
      <c r="K2047" s="4"/>
    </row>
    <row r="2048" spans="2:11">
      <c r="B2048" s="6"/>
      <c r="C2048" s="24"/>
      <c r="D2048" s="5"/>
      <c r="E2048" s="5"/>
      <c r="F2048" s="4"/>
      <c r="G2048" s="4"/>
      <c r="H2048" s="4"/>
      <c r="I2048" s="4"/>
      <c r="J2048" s="4"/>
      <c r="K2048" s="4"/>
    </row>
    <row r="2049" spans="2:11">
      <c r="B2049" s="6"/>
      <c r="C2049" s="24"/>
      <c r="D2049" s="5"/>
      <c r="E2049" s="5"/>
      <c r="F2049" s="4"/>
      <c r="G2049" s="4"/>
      <c r="H2049" s="4"/>
      <c r="I2049" s="4"/>
      <c r="J2049" s="4"/>
      <c r="K2049" s="4"/>
    </row>
    <row r="2050" spans="2:11">
      <c r="B2050" s="6"/>
      <c r="C2050" s="24"/>
      <c r="D2050" s="5"/>
      <c r="E2050" s="5"/>
      <c r="F2050" s="4"/>
      <c r="G2050" s="4"/>
      <c r="H2050" s="4"/>
      <c r="I2050" s="4"/>
      <c r="J2050" s="4"/>
      <c r="K2050" s="4"/>
    </row>
    <row r="2051" spans="2:11">
      <c r="B2051" s="6"/>
      <c r="C2051" s="24"/>
      <c r="D2051" s="5"/>
      <c r="E2051" s="5"/>
      <c r="F2051" s="4"/>
      <c r="G2051" s="4"/>
      <c r="H2051" s="4"/>
      <c r="I2051" s="4"/>
      <c r="J2051" s="4"/>
      <c r="K2051" s="4"/>
    </row>
    <row r="2052" spans="2:11">
      <c r="B2052" s="6"/>
      <c r="C2052" s="24"/>
      <c r="D2052" s="5"/>
      <c r="E2052" s="5"/>
      <c r="F2052" s="4"/>
      <c r="G2052" s="4"/>
      <c r="H2052" s="4"/>
      <c r="I2052" s="4"/>
      <c r="J2052" s="4"/>
      <c r="K2052" s="4"/>
    </row>
    <row r="2053" spans="2:11">
      <c r="B2053" s="6"/>
      <c r="C2053" s="24"/>
      <c r="D2053" s="5"/>
      <c r="E2053" s="5"/>
      <c r="F2053" s="4"/>
      <c r="G2053" s="4"/>
      <c r="H2053" s="4"/>
      <c r="I2053" s="4"/>
      <c r="J2053" s="4"/>
      <c r="K2053" s="4"/>
    </row>
    <row r="2054" spans="2:11">
      <c r="B2054" s="6"/>
      <c r="C2054" s="24"/>
      <c r="D2054" s="5"/>
      <c r="E2054" s="5"/>
      <c r="F2054" s="4"/>
      <c r="G2054" s="4"/>
      <c r="H2054" s="4"/>
      <c r="I2054" s="4"/>
      <c r="J2054" s="4"/>
      <c r="K2054" s="4"/>
    </row>
    <row r="2055" spans="2:11">
      <c r="B2055" s="6"/>
      <c r="C2055" s="24"/>
      <c r="D2055" s="5"/>
      <c r="E2055" s="5"/>
      <c r="F2055" s="4"/>
      <c r="G2055" s="4"/>
      <c r="H2055" s="4"/>
      <c r="I2055" s="4"/>
      <c r="J2055" s="4"/>
      <c r="K2055" s="4"/>
    </row>
    <row r="2056" spans="2:11">
      <c r="B2056" s="6"/>
      <c r="C2056" s="24"/>
      <c r="D2056" s="5"/>
      <c r="E2056" s="5"/>
      <c r="F2056" s="4"/>
      <c r="G2056" s="4"/>
      <c r="H2056" s="4"/>
      <c r="I2056" s="4"/>
      <c r="J2056" s="4"/>
      <c r="K2056" s="4"/>
    </row>
    <row r="2057" spans="2:11">
      <c r="B2057" s="6"/>
      <c r="C2057" s="24"/>
      <c r="D2057" s="5"/>
      <c r="E2057" s="5"/>
      <c r="F2057" s="4"/>
      <c r="G2057" s="4"/>
      <c r="H2057" s="4"/>
      <c r="I2057" s="4"/>
      <c r="J2057" s="4"/>
      <c r="K2057" s="4"/>
    </row>
    <row r="2058" spans="2:11">
      <c r="B2058" s="6"/>
      <c r="C2058" s="24"/>
      <c r="D2058" s="5"/>
      <c r="E2058" s="5"/>
      <c r="F2058" s="4"/>
      <c r="G2058" s="4"/>
      <c r="H2058" s="4"/>
      <c r="I2058" s="4"/>
      <c r="J2058" s="4"/>
      <c r="K2058" s="4"/>
    </row>
    <row r="2059" spans="2:11">
      <c r="B2059" s="6"/>
      <c r="C2059" s="24"/>
      <c r="D2059" s="5"/>
      <c r="E2059" s="5"/>
      <c r="F2059" s="4"/>
      <c r="G2059" s="4"/>
      <c r="H2059" s="4"/>
      <c r="I2059" s="4"/>
      <c r="J2059" s="4"/>
      <c r="K2059" s="4"/>
    </row>
    <row r="2060" spans="2:11">
      <c r="B2060" s="6"/>
      <c r="C2060" s="24"/>
      <c r="D2060" s="5"/>
      <c r="E2060" s="5"/>
      <c r="F2060" s="4"/>
      <c r="G2060" s="4"/>
      <c r="H2060" s="4"/>
      <c r="I2060" s="4"/>
      <c r="J2060" s="4"/>
      <c r="K2060" s="4"/>
    </row>
    <row r="2061" spans="2:11">
      <c r="B2061" s="6"/>
      <c r="C2061" s="24"/>
      <c r="D2061" s="5"/>
      <c r="E2061" s="5"/>
      <c r="F2061" s="4"/>
      <c r="G2061" s="4"/>
      <c r="H2061" s="4"/>
      <c r="I2061" s="4"/>
      <c r="J2061" s="4"/>
      <c r="K2061" s="4"/>
    </row>
    <row r="2062" spans="2:11">
      <c r="B2062" s="6"/>
      <c r="C2062" s="24"/>
      <c r="D2062" s="5"/>
      <c r="E2062" s="5"/>
      <c r="F2062" s="4"/>
      <c r="G2062" s="4"/>
      <c r="H2062" s="4"/>
      <c r="I2062" s="4"/>
      <c r="J2062" s="4"/>
      <c r="K2062" s="4"/>
    </row>
    <row r="2063" spans="2:11">
      <c r="B2063" s="6"/>
      <c r="C2063" s="24"/>
      <c r="D2063" s="5"/>
      <c r="E2063" s="5"/>
      <c r="F2063" s="4"/>
      <c r="G2063" s="4"/>
      <c r="H2063" s="4"/>
      <c r="I2063" s="4"/>
      <c r="J2063" s="4"/>
      <c r="K2063" s="4"/>
    </row>
    <row r="2064" spans="2:11">
      <c r="B2064" s="6"/>
      <c r="C2064" s="24"/>
      <c r="D2064" s="5"/>
      <c r="E2064" s="5"/>
      <c r="F2064" s="4"/>
      <c r="G2064" s="4"/>
      <c r="H2064" s="4"/>
      <c r="I2064" s="4"/>
      <c r="J2064" s="4"/>
      <c r="K2064" s="4"/>
    </row>
    <row r="2065" spans="2:11">
      <c r="B2065" s="6"/>
      <c r="C2065" s="24"/>
      <c r="D2065" s="5"/>
      <c r="E2065" s="5"/>
      <c r="F2065" s="4"/>
      <c r="G2065" s="4"/>
      <c r="H2065" s="4"/>
      <c r="I2065" s="4"/>
      <c r="J2065" s="4"/>
      <c r="K2065" s="4"/>
    </row>
    <row r="2066" spans="2:11">
      <c r="B2066" s="6"/>
      <c r="C2066" s="24"/>
      <c r="D2066" s="5"/>
      <c r="E2066" s="5"/>
      <c r="F2066" s="4"/>
      <c r="G2066" s="4"/>
      <c r="H2066" s="4"/>
      <c r="I2066" s="4"/>
      <c r="J2066" s="4"/>
      <c r="K2066" s="4"/>
    </row>
    <row r="2067" spans="2:11">
      <c r="B2067" s="6"/>
      <c r="C2067" s="24"/>
      <c r="D2067" s="5"/>
      <c r="E2067" s="5"/>
      <c r="F2067" s="4"/>
      <c r="G2067" s="4"/>
      <c r="H2067" s="4"/>
      <c r="I2067" s="4"/>
      <c r="J2067" s="4"/>
      <c r="K2067" s="4"/>
    </row>
    <row r="2068" spans="2:11">
      <c r="B2068" s="6"/>
      <c r="C2068" s="24"/>
      <c r="D2068" s="5"/>
      <c r="E2068" s="5"/>
      <c r="F2068" s="4"/>
      <c r="G2068" s="4"/>
      <c r="H2068" s="4"/>
      <c r="I2068" s="4"/>
      <c r="J2068" s="4"/>
      <c r="K2068" s="4"/>
    </row>
    <row r="2069" spans="2:11">
      <c r="B2069" s="6"/>
      <c r="C2069" s="24"/>
      <c r="D2069" s="5"/>
      <c r="E2069" s="5"/>
      <c r="F2069" s="4"/>
      <c r="G2069" s="4"/>
      <c r="H2069" s="4"/>
      <c r="I2069" s="4"/>
      <c r="J2069" s="4"/>
      <c r="K2069" s="4"/>
    </row>
    <row r="2070" spans="2:11">
      <c r="B2070" s="6"/>
      <c r="C2070" s="24"/>
      <c r="D2070" s="5"/>
      <c r="E2070" s="5"/>
      <c r="F2070" s="4"/>
      <c r="G2070" s="4"/>
      <c r="H2070" s="4"/>
      <c r="I2070" s="4"/>
      <c r="J2070" s="4"/>
      <c r="K2070" s="4"/>
    </row>
    <row r="2071" spans="2:11">
      <c r="B2071" s="6"/>
      <c r="C2071" s="24"/>
      <c r="D2071" s="5"/>
      <c r="E2071" s="5"/>
      <c r="F2071" s="4"/>
      <c r="G2071" s="4"/>
      <c r="H2071" s="4"/>
      <c r="I2071" s="4"/>
      <c r="J2071" s="4"/>
      <c r="K2071" s="4"/>
    </row>
    <row r="2072" spans="2:11">
      <c r="B2072" s="6"/>
      <c r="C2072" s="24"/>
      <c r="D2072" s="5"/>
      <c r="E2072" s="5"/>
      <c r="F2072" s="4"/>
      <c r="G2072" s="4"/>
      <c r="H2072" s="4"/>
      <c r="I2072" s="4"/>
      <c r="J2072" s="4"/>
      <c r="K2072" s="4"/>
    </row>
    <row r="2073" spans="2:11">
      <c r="B2073" s="6"/>
      <c r="C2073" s="24"/>
      <c r="D2073" s="5"/>
      <c r="E2073" s="5"/>
      <c r="F2073" s="4"/>
      <c r="G2073" s="4"/>
      <c r="H2073" s="4"/>
      <c r="I2073" s="4"/>
      <c r="J2073" s="4"/>
      <c r="K2073" s="4"/>
    </row>
    <row r="2074" spans="2:11">
      <c r="B2074" s="6"/>
      <c r="C2074" s="24"/>
      <c r="D2074" s="5"/>
      <c r="E2074" s="5"/>
      <c r="F2074" s="4"/>
      <c r="G2074" s="4"/>
      <c r="H2074" s="4"/>
      <c r="I2074" s="4"/>
      <c r="J2074" s="4"/>
      <c r="K2074" s="4"/>
    </row>
    <row r="2075" spans="2:11">
      <c r="B2075" s="6"/>
      <c r="C2075" s="24"/>
      <c r="D2075" s="5"/>
      <c r="E2075" s="5"/>
      <c r="F2075" s="4"/>
      <c r="G2075" s="4"/>
      <c r="H2075" s="4"/>
      <c r="I2075" s="4"/>
      <c r="J2075" s="4"/>
      <c r="K2075" s="4"/>
    </row>
    <row r="2076" spans="2:11">
      <c r="B2076" s="6"/>
      <c r="C2076" s="24"/>
      <c r="D2076" s="5"/>
      <c r="E2076" s="5"/>
      <c r="F2076" s="4"/>
      <c r="G2076" s="4"/>
      <c r="H2076" s="4"/>
      <c r="I2076" s="4"/>
      <c r="J2076" s="4"/>
      <c r="K2076" s="4"/>
    </row>
    <row r="2077" spans="2:11">
      <c r="B2077" s="6"/>
      <c r="C2077" s="24"/>
      <c r="D2077" s="5"/>
      <c r="E2077" s="5"/>
      <c r="F2077" s="4"/>
      <c r="G2077" s="4"/>
      <c r="H2077" s="4"/>
      <c r="I2077" s="4"/>
      <c r="J2077" s="4"/>
      <c r="K2077" s="4"/>
    </row>
    <row r="2078" spans="2:11">
      <c r="B2078" s="6"/>
      <c r="C2078" s="24"/>
      <c r="D2078" s="5"/>
      <c r="E2078" s="5"/>
      <c r="F2078" s="4"/>
      <c r="G2078" s="4"/>
      <c r="H2078" s="4"/>
      <c r="I2078" s="4"/>
      <c r="J2078" s="4"/>
      <c r="K2078" s="4"/>
    </row>
    <row r="2079" spans="2:11">
      <c r="B2079" s="6"/>
      <c r="C2079" s="24"/>
      <c r="D2079" s="5"/>
      <c r="E2079" s="5"/>
      <c r="F2079" s="4"/>
      <c r="G2079" s="4"/>
      <c r="H2079" s="4"/>
      <c r="I2079" s="4"/>
      <c r="J2079" s="4"/>
      <c r="K2079" s="4"/>
    </row>
    <row r="2080" spans="2:11">
      <c r="B2080" s="6"/>
      <c r="C2080" s="24"/>
      <c r="D2080" s="5"/>
      <c r="E2080" s="5"/>
      <c r="F2080" s="4"/>
      <c r="G2080" s="4"/>
      <c r="H2080" s="4"/>
      <c r="I2080" s="4"/>
      <c r="J2080" s="4"/>
      <c r="K2080" s="4"/>
    </row>
    <row r="2081" spans="2:11">
      <c r="B2081" s="6"/>
      <c r="C2081" s="24"/>
      <c r="D2081" s="5"/>
      <c r="E2081" s="5"/>
      <c r="F2081" s="4"/>
      <c r="G2081" s="4"/>
      <c r="H2081" s="4"/>
      <c r="I2081" s="4"/>
      <c r="J2081" s="4"/>
      <c r="K2081" s="4"/>
    </row>
    <row r="2082" spans="2:11">
      <c r="B2082" s="6"/>
      <c r="C2082" s="24"/>
      <c r="D2082" s="5"/>
      <c r="E2082" s="5"/>
      <c r="F2082" s="4"/>
      <c r="G2082" s="4"/>
      <c r="H2082" s="4"/>
      <c r="I2082" s="4"/>
      <c r="J2082" s="4"/>
      <c r="K2082" s="4"/>
    </row>
    <row r="2083" spans="2:11">
      <c r="B2083" s="6"/>
      <c r="C2083" s="24"/>
      <c r="D2083" s="5"/>
      <c r="E2083" s="5"/>
      <c r="F2083" s="4"/>
      <c r="G2083" s="4"/>
      <c r="H2083" s="4"/>
      <c r="I2083" s="4"/>
      <c r="J2083" s="4"/>
      <c r="K2083" s="4"/>
    </row>
    <row r="2084" spans="2:11">
      <c r="B2084" s="6"/>
      <c r="C2084" s="24"/>
      <c r="D2084" s="5"/>
      <c r="E2084" s="5"/>
      <c r="F2084" s="4"/>
      <c r="G2084" s="4"/>
      <c r="H2084" s="4"/>
      <c r="I2084" s="4"/>
      <c r="J2084" s="4"/>
      <c r="K2084" s="4"/>
    </row>
    <row r="2085" spans="2:11">
      <c r="B2085" s="6"/>
      <c r="C2085" s="24"/>
      <c r="D2085" s="5"/>
      <c r="E2085" s="5"/>
      <c r="F2085" s="4"/>
      <c r="G2085" s="4"/>
      <c r="H2085" s="4"/>
      <c r="I2085" s="4"/>
      <c r="J2085" s="4"/>
      <c r="K2085" s="4"/>
    </row>
    <row r="2086" spans="2:11">
      <c r="B2086" s="6"/>
      <c r="C2086" s="24"/>
      <c r="D2086" s="5"/>
      <c r="E2086" s="5"/>
      <c r="F2086" s="4"/>
      <c r="G2086" s="4"/>
      <c r="H2086" s="4"/>
      <c r="I2086" s="4"/>
      <c r="J2086" s="4"/>
      <c r="K2086" s="4"/>
    </row>
    <row r="2087" spans="2:11">
      <c r="B2087" s="6"/>
      <c r="C2087" s="24"/>
      <c r="D2087" s="5"/>
      <c r="E2087" s="5"/>
      <c r="F2087" s="4"/>
      <c r="G2087" s="4"/>
      <c r="H2087" s="4"/>
      <c r="I2087" s="4"/>
      <c r="J2087" s="4"/>
      <c r="K2087" s="4"/>
    </row>
    <row r="2088" spans="2:11">
      <c r="B2088" s="6"/>
      <c r="C2088" s="24"/>
      <c r="D2088" s="5"/>
      <c r="E2088" s="5"/>
      <c r="F2088" s="4"/>
      <c r="G2088" s="4"/>
      <c r="H2088" s="4"/>
      <c r="I2088" s="4"/>
      <c r="J2088" s="4"/>
      <c r="K2088" s="4"/>
    </row>
    <row r="2089" spans="2:11">
      <c r="B2089" s="6"/>
      <c r="C2089" s="24"/>
      <c r="D2089" s="5"/>
      <c r="E2089" s="5"/>
      <c r="F2089" s="4"/>
      <c r="G2089" s="4"/>
      <c r="H2089" s="4"/>
      <c r="I2089" s="4"/>
      <c r="J2089" s="4"/>
      <c r="K2089" s="4"/>
    </row>
    <row r="2090" spans="2:11">
      <c r="B2090" s="6"/>
      <c r="C2090" s="24"/>
      <c r="D2090" s="5"/>
      <c r="E2090" s="5"/>
      <c r="F2090" s="4"/>
      <c r="G2090" s="4"/>
      <c r="H2090" s="4"/>
      <c r="I2090" s="4"/>
      <c r="J2090" s="4"/>
      <c r="K2090" s="4"/>
    </row>
    <row r="2091" spans="2:11">
      <c r="B2091" s="6"/>
      <c r="C2091" s="24"/>
      <c r="D2091" s="5"/>
      <c r="E2091" s="5"/>
      <c r="F2091" s="4"/>
      <c r="G2091" s="4"/>
      <c r="H2091" s="4"/>
      <c r="I2091" s="4"/>
      <c r="J2091" s="4"/>
      <c r="K2091" s="4"/>
    </row>
    <row r="2092" spans="2:11">
      <c r="B2092" s="6"/>
      <c r="C2092" s="24"/>
      <c r="D2092" s="5"/>
      <c r="E2092" s="5"/>
      <c r="F2092" s="4"/>
      <c r="G2092" s="4"/>
      <c r="H2092" s="4"/>
      <c r="I2092" s="4"/>
      <c r="J2092" s="4"/>
      <c r="K2092" s="4"/>
    </row>
    <row r="2093" spans="2:11">
      <c r="B2093" s="6"/>
      <c r="C2093" s="24"/>
      <c r="D2093" s="5"/>
      <c r="E2093" s="5"/>
      <c r="F2093" s="4"/>
      <c r="G2093" s="4"/>
      <c r="H2093" s="4"/>
      <c r="I2093" s="4"/>
      <c r="J2093" s="4"/>
      <c r="K2093" s="4"/>
    </row>
    <row r="2094" spans="2:11">
      <c r="B2094" s="6"/>
      <c r="C2094" s="24"/>
      <c r="D2094" s="5"/>
      <c r="E2094" s="5"/>
      <c r="F2094" s="4"/>
      <c r="G2094" s="4"/>
      <c r="H2094" s="4"/>
      <c r="I2094" s="4"/>
      <c r="J2094" s="4"/>
      <c r="K2094" s="4"/>
    </row>
    <row r="2095" spans="2:11">
      <c r="B2095" s="6"/>
      <c r="C2095" s="24"/>
      <c r="D2095" s="5"/>
      <c r="E2095" s="5"/>
      <c r="F2095" s="4"/>
      <c r="G2095" s="4"/>
      <c r="H2095" s="4"/>
      <c r="I2095" s="4"/>
      <c r="J2095" s="4"/>
      <c r="K2095" s="4"/>
    </row>
    <row r="2096" spans="2:11">
      <c r="B2096" s="6"/>
      <c r="C2096" s="24"/>
      <c r="D2096" s="5"/>
      <c r="E2096" s="5"/>
      <c r="F2096" s="4"/>
      <c r="G2096" s="4"/>
      <c r="H2096" s="4"/>
      <c r="I2096" s="4"/>
      <c r="J2096" s="4"/>
      <c r="K2096" s="4"/>
    </row>
    <row r="2097" spans="2:11">
      <c r="B2097" s="6"/>
      <c r="C2097" s="24"/>
      <c r="D2097" s="5"/>
      <c r="E2097" s="5"/>
      <c r="F2097" s="4"/>
      <c r="G2097" s="4"/>
      <c r="H2097" s="4"/>
      <c r="I2097" s="4"/>
      <c r="J2097" s="4"/>
      <c r="K2097" s="4"/>
    </row>
    <row r="2098" spans="2:11">
      <c r="B2098" s="6"/>
      <c r="C2098" s="24"/>
      <c r="D2098" s="5"/>
      <c r="E2098" s="5"/>
      <c r="F2098" s="4"/>
      <c r="G2098" s="4"/>
      <c r="H2098" s="4"/>
      <c r="I2098" s="4"/>
      <c r="J2098" s="4"/>
      <c r="K2098" s="4"/>
    </row>
    <row r="2099" spans="2:11">
      <c r="B2099" s="6"/>
      <c r="C2099" s="24"/>
      <c r="D2099" s="5"/>
      <c r="E2099" s="5"/>
      <c r="F2099" s="4"/>
      <c r="G2099" s="4"/>
      <c r="H2099" s="4"/>
      <c r="I2099" s="4"/>
      <c r="J2099" s="4"/>
      <c r="K2099" s="4"/>
    </row>
    <row r="2100" spans="2:11">
      <c r="B2100" s="6"/>
      <c r="C2100" s="24"/>
      <c r="D2100" s="5"/>
      <c r="E2100" s="5"/>
      <c r="F2100" s="4"/>
      <c r="G2100" s="4"/>
      <c r="H2100" s="4"/>
      <c r="I2100" s="4"/>
      <c r="J2100" s="4"/>
      <c r="K2100" s="4"/>
    </row>
    <row r="2101" spans="2:11">
      <c r="B2101" s="6"/>
      <c r="C2101" s="24"/>
      <c r="D2101" s="5"/>
      <c r="E2101" s="5"/>
      <c r="F2101" s="4"/>
      <c r="G2101" s="4"/>
      <c r="H2101" s="4"/>
      <c r="I2101" s="4"/>
      <c r="J2101" s="4"/>
      <c r="K2101" s="4"/>
    </row>
    <row r="2102" spans="2:11">
      <c r="B2102" s="6"/>
      <c r="C2102" s="24"/>
      <c r="D2102" s="5"/>
      <c r="E2102" s="5"/>
      <c r="F2102" s="4"/>
      <c r="G2102" s="4"/>
      <c r="H2102" s="4"/>
      <c r="I2102" s="4"/>
      <c r="J2102" s="4"/>
      <c r="K2102" s="4"/>
    </row>
    <row r="2103" spans="2:11">
      <c r="B2103" s="6"/>
      <c r="C2103" s="24"/>
      <c r="D2103" s="5"/>
      <c r="E2103" s="5"/>
      <c r="F2103" s="4"/>
      <c r="G2103" s="4"/>
      <c r="H2103" s="4"/>
      <c r="I2103" s="4"/>
      <c r="J2103" s="4"/>
      <c r="K2103" s="4"/>
    </row>
    <row r="2104" spans="2:11">
      <c r="B2104" s="6"/>
      <c r="C2104" s="24"/>
      <c r="D2104" s="5"/>
      <c r="E2104" s="5"/>
      <c r="F2104" s="4"/>
      <c r="G2104" s="4"/>
      <c r="H2104" s="4"/>
      <c r="I2104" s="4"/>
      <c r="J2104" s="4"/>
      <c r="K2104" s="4"/>
    </row>
    <row r="2105" spans="2:11">
      <c r="B2105" s="6"/>
      <c r="C2105" s="24"/>
      <c r="D2105" s="5"/>
      <c r="E2105" s="5"/>
      <c r="F2105" s="4"/>
      <c r="G2105" s="4"/>
      <c r="H2105" s="4"/>
      <c r="I2105" s="4"/>
      <c r="J2105" s="4"/>
      <c r="K2105" s="4"/>
    </row>
    <row r="2106" spans="2:11">
      <c r="B2106" s="6"/>
      <c r="C2106" s="24"/>
      <c r="D2106" s="5"/>
      <c r="E2106" s="5"/>
      <c r="F2106" s="4"/>
      <c r="G2106" s="4"/>
      <c r="H2106" s="4"/>
      <c r="I2106" s="4"/>
      <c r="J2106" s="4"/>
      <c r="K2106" s="4"/>
    </row>
    <row r="2107" spans="2:11">
      <c r="B2107" s="6"/>
      <c r="C2107" s="24"/>
      <c r="D2107" s="5"/>
      <c r="E2107" s="5"/>
      <c r="F2107" s="4"/>
      <c r="G2107" s="4"/>
      <c r="H2107" s="4"/>
      <c r="I2107" s="4"/>
      <c r="J2107" s="4"/>
      <c r="K2107" s="4"/>
    </row>
    <row r="2108" spans="2:11">
      <c r="B2108" s="6"/>
      <c r="C2108" s="24"/>
      <c r="D2108" s="5"/>
      <c r="E2108" s="5"/>
      <c r="F2108" s="4"/>
      <c r="G2108" s="4"/>
      <c r="H2108" s="4"/>
      <c r="I2108" s="4"/>
      <c r="J2108" s="4"/>
      <c r="K2108" s="4"/>
    </row>
    <row r="2109" spans="2:11">
      <c r="B2109" s="6"/>
      <c r="C2109" s="24"/>
      <c r="D2109" s="5"/>
      <c r="E2109" s="5"/>
      <c r="F2109" s="4"/>
      <c r="G2109" s="4"/>
      <c r="H2109" s="4"/>
      <c r="I2109" s="4"/>
      <c r="J2109" s="4"/>
      <c r="K2109" s="4"/>
    </row>
    <row r="2110" spans="2:11">
      <c r="B2110" s="6"/>
      <c r="C2110" s="24"/>
      <c r="D2110" s="5"/>
      <c r="E2110" s="5"/>
      <c r="F2110" s="4"/>
      <c r="G2110" s="4"/>
      <c r="H2110" s="4"/>
      <c r="I2110" s="4"/>
      <c r="J2110" s="4"/>
      <c r="K2110" s="4"/>
    </row>
    <row r="2111" spans="2:11">
      <c r="B2111" s="6"/>
      <c r="C2111" s="24"/>
      <c r="D2111" s="5"/>
      <c r="E2111" s="5"/>
      <c r="F2111" s="4"/>
      <c r="G2111" s="4"/>
      <c r="H2111" s="4"/>
      <c r="I2111" s="4"/>
      <c r="J2111" s="4"/>
      <c r="K2111" s="4"/>
    </row>
    <row r="2112" spans="2:11">
      <c r="B2112" s="6"/>
      <c r="C2112" s="24"/>
      <c r="D2112" s="5"/>
      <c r="E2112" s="5"/>
      <c r="F2112" s="4"/>
      <c r="G2112" s="4"/>
      <c r="H2112" s="4"/>
      <c r="I2112" s="4"/>
      <c r="J2112" s="4"/>
      <c r="K2112" s="4"/>
    </row>
    <row r="2113" spans="2:11">
      <c r="B2113" s="6"/>
      <c r="C2113" s="24"/>
      <c r="D2113" s="5"/>
      <c r="E2113" s="5"/>
      <c r="F2113" s="4"/>
      <c r="G2113" s="4"/>
      <c r="H2113" s="4"/>
      <c r="I2113" s="4"/>
      <c r="J2113" s="4"/>
      <c r="K2113" s="4"/>
    </row>
    <row r="2114" spans="2:11">
      <c r="B2114" s="6"/>
      <c r="C2114" s="24"/>
      <c r="D2114" s="5"/>
      <c r="E2114" s="5"/>
      <c r="F2114" s="4"/>
      <c r="G2114" s="4"/>
      <c r="H2114" s="4"/>
      <c r="I2114" s="4"/>
      <c r="J2114" s="4"/>
      <c r="K2114" s="4"/>
    </row>
    <row r="2115" spans="2:11">
      <c r="B2115" s="6"/>
      <c r="C2115" s="24"/>
      <c r="D2115" s="5"/>
      <c r="E2115" s="5"/>
      <c r="F2115" s="4"/>
      <c r="G2115" s="4"/>
      <c r="H2115" s="4"/>
      <c r="I2115" s="4"/>
      <c r="J2115" s="4"/>
      <c r="K2115" s="4"/>
    </row>
    <row r="2116" spans="2:11">
      <c r="B2116" s="6"/>
      <c r="C2116" s="24"/>
      <c r="D2116" s="5"/>
      <c r="E2116" s="5"/>
      <c r="F2116" s="4"/>
      <c r="G2116" s="4"/>
      <c r="H2116" s="4"/>
      <c r="I2116" s="4"/>
      <c r="J2116" s="4"/>
      <c r="K2116" s="4"/>
    </row>
    <row r="2117" spans="2:11">
      <c r="B2117" s="6"/>
      <c r="C2117" s="24"/>
      <c r="D2117" s="5"/>
      <c r="E2117" s="5"/>
      <c r="F2117" s="4"/>
      <c r="G2117" s="4"/>
      <c r="H2117" s="4"/>
      <c r="I2117" s="4"/>
      <c r="J2117" s="4"/>
      <c r="K2117" s="4"/>
    </row>
    <row r="2118" spans="2:11">
      <c r="B2118" s="6"/>
      <c r="C2118" s="24"/>
      <c r="D2118" s="5"/>
      <c r="E2118" s="5"/>
      <c r="F2118" s="4"/>
      <c r="G2118" s="4"/>
      <c r="H2118" s="4"/>
      <c r="I2118" s="4"/>
      <c r="J2118" s="4"/>
      <c r="K2118" s="4"/>
    </row>
    <row r="2119" spans="2:11">
      <c r="B2119" s="6"/>
      <c r="C2119" s="24"/>
      <c r="D2119" s="5"/>
      <c r="E2119" s="5"/>
      <c r="F2119" s="4"/>
      <c r="G2119" s="4"/>
      <c r="H2119" s="4"/>
      <c r="I2119" s="4"/>
      <c r="J2119" s="4"/>
      <c r="K2119" s="4"/>
    </row>
    <row r="2120" spans="2:11">
      <c r="B2120" s="6"/>
      <c r="C2120" s="24"/>
      <c r="D2120" s="5"/>
      <c r="E2120" s="5"/>
      <c r="F2120" s="4"/>
      <c r="G2120" s="4"/>
      <c r="H2120" s="4"/>
      <c r="I2120" s="4"/>
      <c r="J2120" s="4"/>
      <c r="K2120" s="4"/>
    </row>
    <row r="2121" spans="2:11">
      <c r="B2121" s="6"/>
      <c r="C2121" s="24"/>
      <c r="D2121" s="5"/>
      <c r="E2121" s="5"/>
      <c r="F2121" s="4"/>
      <c r="G2121" s="4"/>
      <c r="H2121" s="4"/>
      <c r="I2121" s="4"/>
      <c r="J2121" s="4"/>
      <c r="K2121" s="4"/>
    </row>
    <row r="2122" spans="2:11">
      <c r="B2122" s="6"/>
      <c r="C2122" s="24"/>
      <c r="D2122" s="5"/>
      <c r="E2122" s="5"/>
      <c r="F2122" s="4"/>
      <c r="G2122" s="4"/>
      <c r="H2122" s="4"/>
      <c r="I2122" s="4"/>
      <c r="J2122" s="4"/>
      <c r="K2122" s="4"/>
    </row>
    <row r="2123" spans="2:11">
      <c r="B2123" s="6"/>
      <c r="C2123" s="24"/>
      <c r="D2123" s="5"/>
      <c r="E2123" s="5"/>
      <c r="F2123" s="4"/>
      <c r="G2123" s="4"/>
      <c r="H2123" s="4"/>
      <c r="I2123" s="4"/>
      <c r="J2123" s="4"/>
      <c r="K2123" s="4"/>
    </row>
    <row r="2124" spans="2:11">
      <c r="B2124" s="6"/>
      <c r="C2124" s="24"/>
      <c r="D2124" s="5"/>
      <c r="E2124" s="5"/>
      <c r="F2124" s="4"/>
      <c r="G2124" s="4"/>
      <c r="H2124" s="4"/>
      <c r="I2124" s="4"/>
      <c r="J2124" s="4"/>
      <c r="K2124" s="4"/>
    </row>
    <row r="2125" spans="2:11">
      <c r="B2125" s="6"/>
      <c r="C2125" s="24"/>
      <c r="D2125" s="5"/>
      <c r="E2125" s="5"/>
      <c r="F2125" s="4"/>
      <c r="G2125" s="4"/>
      <c r="H2125" s="4"/>
      <c r="I2125" s="4"/>
      <c r="J2125" s="4"/>
      <c r="K2125" s="4"/>
    </row>
    <row r="2126" spans="2:11">
      <c r="B2126" s="6"/>
      <c r="C2126" s="24"/>
      <c r="D2126" s="5"/>
      <c r="E2126" s="5"/>
      <c r="F2126" s="4"/>
      <c r="G2126" s="4"/>
      <c r="H2126" s="4"/>
      <c r="I2126" s="4"/>
      <c r="J2126" s="4"/>
      <c r="K2126" s="4"/>
    </row>
    <row r="2127" spans="2:11">
      <c r="B2127" s="6"/>
      <c r="C2127" s="24"/>
      <c r="D2127" s="5"/>
      <c r="E2127" s="5"/>
      <c r="F2127" s="4"/>
      <c r="G2127" s="4"/>
      <c r="H2127" s="4"/>
      <c r="I2127" s="4"/>
      <c r="J2127" s="4"/>
      <c r="K2127" s="4"/>
    </row>
    <row r="2128" spans="2:11">
      <c r="B2128" s="6"/>
      <c r="C2128" s="24"/>
      <c r="D2128" s="5"/>
      <c r="E2128" s="5"/>
      <c r="F2128" s="4"/>
      <c r="G2128" s="4"/>
      <c r="H2128" s="4"/>
      <c r="I2128" s="4"/>
      <c r="J2128" s="4"/>
      <c r="K2128" s="4"/>
    </row>
    <row r="2129" spans="2:11">
      <c r="B2129" s="6"/>
      <c r="C2129" s="24"/>
      <c r="D2129" s="5"/>
      <c r="E2129" s="5"/>
      <c r="F2129" s="4"/>
      <c r="G2129" s="4"/>
      <c r="H2129" s="4"/>
      <c r="I2129" s="4"/>
      <c r="J2129" s="4"/>
      <c r="K2129" s="4"/>
    </row>
    <row r="2130" spans="2:11">
      <c r="B2130" s="6"/>
      <c r="C2130" s="24"/>
      <c r="D2130" s="5"/>
      <c r="E2130" s="5"/>
      <c r="F2130" s="4"/>
      <c r="G2130" s="4"/>
      <c r="H2130" s="4"/>
      <c r="I2130" s="4"/>
      <c r="J2130" s="4"/>
      <c r="K2130" s="4"/>
    </row>
    <row r="2131" spans="2:11">
      <c r="B2131" s="6"/>
      <c r="C2131" s="24"/>
      <c r="D2131" s="5"/>
      <c r="E2131" s="5"/>
      <c r="F2131" s="4"/>
      <c r="G2131" s="4"/>
      <c r="H2131" s="4"/>
      <c r="I2131" s="4"/>
      <c r="J2131" s="4"/>
      <c r="K2131" s="4"/>
    </row>
    <row r="2132" spans="2:11">
      <c r="B2132" s="6"/>
      <c r="C2132" s="24"/>
      <c r="D2132" s="5"/>
      <c r="E2132" s="5"/>
      <c r="F2132" s="4"/>
      <c r="G2132" s="4"/>
      <c r="H2132" s="4"/>
      <c r="I2132" s="4"/>
      <c r="J2132" s="4"/>
      <c r="K2132" s="4"/>
    </row>
    <row r="2133" spans="2:11">
      <c r="B2133" s="6"/>
      <c r="C2133" s="24"/>
      <c r="D2133" s="5"/>
      <c r="E2133" s="5"/>
      <c r="F2133" s="4"/>
      <c r="G2133" s="4"/>
      <c r="H2133" s="4"/>
      <c r="I2133" s="4"/>
      <c r="J2133" s="4"/>
      <c r="K2133" s="4"/>
    </row>
    <row r="2134" spans="2:11">
      <c r="B2134" s="6"/>
      <c r="C2134" s="24"/>
      <c r="D2134" s="5"/>
      <c r="E2134" s="5"/>
      <c r="F2134" s="4"/>
      <c r="G2134" s="4"/>
      <c r="H2134" s="4"/>
      <c r="I2134" s="4"/>
      <c r="J2134" s="4"/>
      <c r="K2134" s="4"/>
    </row>
    <row r="2135" spans="2:11">
      <c r="B2135" s="6"/>
      <c r="C2135" s="24"/>
      <c r="D2135" s="5"/>
      <c r="E2135" s="5"/>
      <c r="F2135" s="4"/>
      <c r="G2135" s="4"/>
      <c r="H2135" s="4"/>
      <c r="I2135" s="4"/>
      <c r="J2135" s="4"/>
      <c r="K2135" s="4"/>
    </row>
    <row r="2136" spans="2:11">
      <c r="B2136" s="6"/>
      <c r="C2136" s="24"/>
      <c r="D2136" s="5"/>
      <c r="E2136" s="5"/>
      <c r="F2136" s="4"/>
      <c r="G2136" s="4"/>
      <c r="H2136" s="4"/>
      <c r="I2136" s="4"/>
      <c r="J2136" s="4"/>
      <c r="K2136" s="4"/>
    </row>
    <row r="2137" spans="2:11">
      <c r="B2137" s="6"/>
      <c r="C2137" s="24"/>
      <c r="D2137" s="5"/>
      <c r="E2137" s="5"/>
      <c r="F2137" s="4"/>
      <c r="G2137" s="4"/>
      <c r="H2137" s="4"/>
      <c r="I2137" s="4"/>
      <c r="J2137" s="4"/>
      <c r="K2137" s="4"/>
    </row>
    <row r="2138" spans="2:11">
      <c r="B2138" s="6"/>
      <c r="C2138" s="24"/>
      <c r="D2138" s="5"/>
      <c r="E2138" s="5"/>
      <c r="F2138" s="4"/>
      <c r="G2138" s="4"/>
      <c r="H2138" s="4"/>
      <c r="I2138" s="4"/>
      <c r="J2138" s="4"/>
      <c r="K2138" s="4"/>
    </row>
    <row r="2139" spans="2:11">
      <c r="B2139" s="6"/>
      <c r="C2139" s="24"/>
      <c r="D2139" s="5"/>
      <c r="E2139" s="5"/>
      <c r="F2139" s="4"/>
      <c r="G2139" s="4"/>
      <c r="H2139" s="4"/>
      <c r="I2139" s="4"/>
      <c r="J2139" s="4"/>
      <c r="K2139" s="4"/>
    </row>
    <row r="2140" spans="2:11">
      <c r="B2140" s="6"/>
      <c r="C2140" s="24"/>
      <c r="D2140" s="5"/>
      <c r="E2140" s="5"/>
      <c r="F2140" s="4"/>
      <c r="G2140" s="4"/>
      <c r="H2140" s="4"/>
      <c r="I2140" s="4"/>
      <c r="J2140" s="4"/>
      <c r="K2140" s="4"/>
    </row>
    <row r="2141" spans="2:11">
      <c r="B2141" s="6"/>
      <c r="C2141" s="24"/>
      <c r="D2141" s="5"/>
      <c r="E2141" s="5"/>
      <c r="F2141" s="4"/>
      <c r="G2141" s="4"/>
      <c r="H2141" s="4"/>
      <c r="I2141" s="4"/>
      <c r="J2141" s="4"/>
      <c r="K2141" s="4"/>
    </row>
    <row r="2142" spans="2:11">
      <c r="B2142" s="6"/>
      <c r="C2142" s="24"/>
      <c r="D2142" s="5"/>
      <c r="E2142" s="5"/>
      <c r="F2142" s="4"/>
      <c r="G2142" s="4"/>
      <c r="H2142" s="4"/>
      <c r="I2142" s="4"/>
      <c r="J2142" s="4"/>
      <c r="K2142" s="4"/>
    </row>
    <row r="2143" spans="2:11">
      <c r="B2143" s="6"/>
      <c r="C2143" s="24"/>
      <c r="D2143" s="5"/>
      <c r="E2143" s="5"/>
      <c r="F2143" s="4"/>
      <c r="G2143" s="4"/>
      <c r="H2143" s="4"/>
      <c r="I2143" s="4"/>
      <c r="J2143" s="4"/>
      <c r="K2143" s="4"/>
    </row>
    <row r="2144" spans="2:11">
      <c r="B2144" s="6"/>
      <c r="C2144" s="24"/>
      <c r="D2144" s="5"/>
      <c r="E2144" s="5"/>
      <c r="F2144" s="4"/>
      <c r="G2144" s="4"/>
      <c r="H2144" s="4"/>
      <c r="I2144" s="4"/>
      <c r="J2144" s="4"/>
      <c r="K2144" s="4"/>
    </row>
    <row r="2145" spans="2:11">
      <c r="B2145" s="6"/>
      <c r="C2145" s="24"/>
      <c r="D2145" s="5"/>
      <c r="E2145" s="5"/>
      <c r="F2145" s="4"/>
      <c r="G2145" s="4"/>
      <c r="H2145" s="4"/>
      <c r="I2145" s="4"/>
      <c r="J2145" s="4"/>
      <c r="K2145" s="4"/>
    </row>
    <row r="2146" spans="2:11">
      <c r="B2146" s="6"/>
      <c r="C2146" s="24"/>
      <c r="D2146" s="5"/>
      <c r="E2146" s="5"/>
      <c r="F2146" s="4"/>
      <c r="G2146" s="4"/>
      <c r="H2146" s="4"/>
      <c r="I2146" s="4"/>
      <c r="J2146" s="4"/>
      <c r="K2146" s="4"/>
    </row>
    <row r="2147" spans="2:11">
      <c r="B2147" s="6"/>
      <c r="C2147" s="24"/>
      <c r="D2147" s="5"/>
      <c r="E2147" s="5"/>
      <c r="F2147" s="4"/>
      <c r="G2147" s="4"/>
      <c r="H2147" s="4"/>
      <c r="I2147" s="4"/>
      <c r="J2147" s="4"/>
      <c r="K2147" s="4"/>
    </row>
    <row r="2148" spans="2:11">
      <c r="B2148" s="6"/>
      <c r="C2148" s="24"/>
      <c r="D2148" s="5"/>
      <c r="E2148" s="5"/>
      <c r="F2148" s="4"/>
      <c r="G2148" s="4"/>
      <c r="H2148" s="4"/>
      <c r="I2148" s="4"/>
      <c r="J2148" s="4"/>
      <c r="K2148" s="4"/>
    </row>
    <row r="2149" spans="2:11">
      <c r="B2149" s="6"/>
      <c r="C2149" s="24"/>
      <c r="D2149" s="5"/>
      <c r="E2149" s="5"/>
      <c r="F2149" s="4"/>
      <c r="G2149" s="4"/>
      <c r="H2149" s="4"/>
      <c r="I2149" s="4"/>
      <c r="J2149" s="4"/>
      <c r="K2149" s="4"/>
    </row>
    <row r="2150" spans="2:11">
      <c r="B2150" s="6"/>
      <c r="C2150" s="24"/>
      <c r="D2150" s="5"/>
      <c r="E2150" s="5"/>
      <c r="F2150" s="4"/>
      <c r="G2150" s="4"/>
      <c r="H2150" s="4"/>
      <c r="I2150" s="4"/>
      <c r="J2150" s="4"/>
      <c r="K2150" s="4"/>
    </row>
    <row r="2151" spans="2:11">
      <c r="B2151" s="6"/>
      <c r="C2151" s="24"/>
      <c r="D2151" s="5"/>
      <c r="E2151" s="5"/>
      <c r="F2151" s="4"/>
      <c r="G2151" s="4"/>
      <c r="H2151" s="4"/>
      <c r="I2151" s="4"/>
      <c r="J2151" s="4"/>
      <c r="K2151" s="4"/>
    </row>
    <row r="2152" spans="2:11">
      <c r="B2152" s="6"/>
      <c r="C2152" s="24"/>
      <c r="D2152" s="5"/>
      <c r="E2152" s="5"/>
      <c r="F2152" s="4"/>
      <c r="G2152" s="4"/>
      <c r="H2152" s="4"/>
      <c r="I2152" s="4"/>
      <c r="J2152" s="4"/>
      <c r="K2152" s="4"/>
    </row>
    <row r="2153" spans="2:11">
      <c r="B2153" s="6"/>
      <c r="C2153" s="24"/>
      <c r="D2153" s="5"/>
      <c r="E2153" s="5"/>
      <c r="F2153" s="4"/>
      <c r="G2153" s="4"/>
      <c r="H2153" s="4"/>
      <c r="I2153" s="4"/>
      <c r="J2153" s="4"/>
      <c r="K2153" s="4"/>
    </row>
    <row r="2154" spans="2:11">
      <c r="B2154" s="6"/>
      <c r="C2154" s="24"/>
      <c r="D2154" s="5"/>
      <c r="E2154" s="5"/>
      <c r="F2154" s="4"/>
      <c r="G2154" s="4"/>
      <c r="H2154" s="4"/>
      <c r="I2154" s="4"/>
      <c r="J2154" s="4"/>
      <c r="K2154" s="4"/>
    </row>
    <row r="2155" spans="2:11">
      <c r="B2155" s="6"/>
      <c r="C2155" s="24"/>
      <c r="D2155" s="5"/>
      <c r="E2155" s="5"/>
      <c r="F2155" s="4"/>
      <c r="G2155" s="4"/>
      <c r="H2155" s="4"/>
      <c r="I2155" s="4"/>
      <c r="J2155" s="4"/>
      <c r="K2155" s="4"/>
    </row>
    <row r="2156" spans="2:11">
      <c r="B2156" s="6"/>
      <c r="C2156" s="24"/>
      <c r="D2156" s="5"/>
      <c r="E2156" s="5"/>
      <c r="F2156" s="4"/>
      <c r="G2156" s="4"/>
      <c r="H2156" s="4"/>
      <c r="I2156" s="4"/>
      <c r="J2156" s="4"/>
      <c r="K2156" s="4"/>
    </row>
    <row r="2157" spans="2:11">
      <c r="B2157" s="6"/>
      <c r="C2157" s="24"/>
      <c r="D2157" s="5"/>
      <c r="E2157" s="5"/>
      <c r="F2157" s="4"/>
      <c r="G2157" s="4"/>
      <c r="H2157" s="4"/>
      <c r="I2157" s="4"/>
      <c r="J2157" s="4"/>
      <c r="K2157" s="4"/>
    </row>
    <row r="2158" spans="2:11">
      <c r="B2158" s="6"/>
      <c r="C2158" s="24"/>
      <c r="D2158" s="5"/>
      <c r="E2158" s="5"/>
      <c r="F2158" s="4"/>
      <c r="G2158" s="4"/>
      <c r="H2158" s="4"/>
      <c r="I2158" s="4"/>
      <c r="J2158" s="4"/>
      <c r="K2158" s="4"/>
    </row>
    <row r="2159" spans="2:11">
      <c r="B2159" s="6"/>
      <c r="C2159" s="24"/>
      <c r="D2159" s="5"/>
      <c r="E2159" s="5"/>
      <c r="F2159" s="4"/>
      <c r="G2159" s="4"/>
      <c r="H2159" s="4"/>
      <c r="I2159" s="4"/>
      <c r="J2159" s="4"/>
      <c r="K2159" s="4"/>
    </row>
    <row r="2160" spans="2:11">
      <c r="B2160" s="6"/>
      <c r="C2160" s="24"/>
      <c r="D2160" s="5"/>
      <c r="E2160" s="5"/>
      <c r="F2160" s="4"/>
      <c r="G2160" s="4"/>
      <c r="H2160" s="4"/>
      <c r="I2160" s="4"/>
      <c r="J2160" s="4"/>
      <c r="K2160" s="4"/>
    </row>
    <row r="2161" spans="2:11">
      <c r="B2161" s="6"/>
      <c r="C2161" s="24"/>
      <c r="D2161" s="5"/>
      <c r="E2161" s="5"/>
      <c r="F2161" s="4"/>
      <c r="G2161" s="4"/>
      <c r="H2161" s="4"/>
      <c r="I2161" s="4"/>
      <c r="J2161" s="4"/>
      <c r="K2161" s="4"/>
    </row>
    <row r="2162" spans="2:11">
      <c r="B2162" s="6"/>
      <c r="C2162" s="24"/>
      <c r="D2162" s="5"/>
      <c r="E2162" s="5"/>
      <c r="F2162" s="4"/>
      <c r="G2162" s="4"/>
      <c r="H2162" s="4"/>
      <c r="I2162" s="4"/>
      <c r="J2162" s="4"/>
      <c r="K2162" s="4"/>
    </row>
    <row r="2163" spans="2:11">
      <c r="B2163" s="6"/>
      <c r="C2163" s="24"/>
      <c r="D2163" s="5"/>
      <c r="E2163" s="5"/>
      <c r="F2163" s="4"/>
      <c r="G2163" s="4"/>
      <c r="H2163" s="4"/>
      <c r="I2163" s="4"/>
      <c r="J2163" s="4"/>
      <c r="K2163" s="4"/>
    </row>
    <row r="2164" spans="2:11">
      <c r="B2164" s="6"/>
      <c r="C2164" s="24"/>
      <c r="D2164" s="5"/>
      <c r="E2164" s="5"/>
      <c r="F2164" s="4"/>
      <c r="G2164" s="4"/>
      <c r="H2164" s="4"/>
      <c r="I2164" s="4"/>
      <c r="J2164" s="4"/>
      <c r="K2164" s="4"/>
    </row>
    <row r="2165" spans="2:11">
      <c r="B2165" s="6"/>
      <c r="C2165" s="24"/>
      <c r="D2165" s="5"/>
      <c r="E2165" s="5"/>
      <c r="F2165" s="4"/>
      <c r="G2165" s="4"/>
      <c r="H2165" s="4"/>
      <c r="I2165" s="4"/>
      <c r="J2165" s="4"/>
      <c r="K2165" s="4"/>
    </row>
    <row r="2166" spans="2:11">
      <c r="B2166" s="6"/>
      <c r="C2166" s="24"/>
      <c r="D2166" s="5"/>
      <c r="E2166" s="5"/>
      <c r="F2166" s="4"/>
      <c r="G2166" s="4"/>
      <c r="H2166" s="4"/>
      <c r="I2166" s="4"/>
      <c r="J2166" s="4"/>
      <c r="K2166" s="4"/>
    </row>
    <row r="2167" spans="2:11">
      <c r="B2167" s="6"/>
      <c r="C2167" s="24"/>
      <c r="D2167" s="5"/>
      <c r="E2167" s="5"/>
      <c r="F2167" s="4"/>
      <c r="G2167" s="4"/>
      <c r="H2167" s="4"/>
      <c r="I2167" s="4"/>
      <c r="J2167" s="4"/>
      <c r="K2167" s="4"/>
    </row>
    <row r="2168" spans="2:11">
      <c r="B2168" s="6"/>
      <c r="C2168" s="24"/>
      <c r="D2168" s="5"/>
      <c r="E2168" s="5"/>
      <c r="F2168" s="4"/>
      <c r="G2168" s="4"/>
      <c r="H2168" s="4"/>
      <c r="I2168" s="4"/>
      <c r="J2168" s="4"/>
      <c r="K2168" s="4"/>
    </row>
    <row r="2169" spans="2:11">
      <c r="B2169" s="6"/>
      <c r="C2169" s="24"/>
      <c r="D2169" s="5"/>
      <c r="E2169" s="5"/>
      <c r="F2169" s="4"/>
      <c r="G2169" s="4"/>
      <c r="H2169" s="4"/>
      <c r="I2169" s="4"/>
      <c r="J2169" s="4"/>
      <c r="K2169" s="4"/>
    </row>
    <row r="2170" spans="2:11">
      <c r="B2170" s="6"/>
      <c r="C2170" s="24"/>
      <c r="D2170" s="5"/>
      <c r="E2170" s="5"/>
      <c r="F2170" s="4"/>
      <c r="G2170" s="4"/>
      <c r="H2170" s="4"/>
      <c r="I2170" s="4"/>
      <c r="J2170" s="4"/>
      <c r="K2170" s="4"/>
    </row>
    <row r="2171" spans="2:11">
      <c r="B2171" s="6"/>
      <c r="C2171" s="24"/>
      <c r="D2171" s="5"/>
      <c r="E2171" s="5"/>
      <c r="F2171" s="4"/>
      <c r="G2171" s="4"/>
      <c r="H2171" s="4"/>
      <c r="I2171" s="4"/>
      <c r="J2171" s="4"/>
      <c r="K2171" s="4"/>
    </row>
    <row r="2172" spans="2:11">
      <c r="B2172" s="6"/>
      <c r="C2172" s="24"/>
      <c r="D2172" s="5"/>
      <c r="E2172" s="5"/>
      <c r="F2172" s="4"/>
      <c r="G2172" s="4"/>
      <c r="H2172" s="4"/>
      <c r="I2172" s="4"/>
      <c r="J2172" s="4"/>
      <c r="K2172" s="4"/>
    </row>
    <row r="2173" spans="2:11">
      <c r="B2173" s="6"/>
      <c r="C2173" s="24"/>
      <c r="D2173" s="5"/>
      <c r="E2173" s="5"/>
      <c r="F2173" s="4"/>
      <c r="G2173" s="4"/>
      <c r="H2173" s="4"/>
      <c r="I2173" s="4"/>
      <c r="J2173" s="4"/>
      <c r="K2173" s="4"/>
    </row>
    <row r="2174" spans="2:11">
      <c r="B2174" s="6"/>
      <c r="C2174" s="24"/>
      <c r="D2174" s="5"/>
      <c r="E2174" s="5"/>
      <c r="F2174" s="4"/>
      <c r="G2174" s="4"/>
      <c r="H2174" s="4"/>
      <c r="I2174" s="4"/>
      <c r="J2174" s="4"/>
      <c r="K2174" s="4"/>
    </row>
    <row r="2175" spans="2:11">
      <c r="B2175" s="6"/>
      <c r="C2175" s="24"/>
      <c r="D2175" s="5"/>
      <c r="E2175" s="5"/>
      <c r="F2175" s="4"/>
      <c r="G2175" s="4"/>
      <c r="H2175" s="4"/>
      <c r="I2175" s="4"/>
      <c r="J2175" s="4"/>
      <c r="K2175" s="4"/>
    </row>
    <row r="2176" spans="2:11">
      <c r="B2176" s="6"/>
      <c r="C2176" s="24"/>
      <c r="D2176" s="5"/>
      <c r="E2176" s="5"/>
      <c r="F2176" s="4"/>
      <c r="G2176" s="4"/>
      <c r="H2176" s="4"/>
      <c r="I2176" s="4"/>
      <c r="J2176" s="4"/>
      <c r="K2176" s="4"/>
    </row>
    <row r="2177" spans="2:11">
      <c r="B2177" s="6"/>
      <c r="C2177" s="24"/>
      <c r="D2177" s="5"/>
      <c r="E2177" s="5"/>
      <c r="F2177" s="4"/>
      <c r="G2177" s="4"/>
      <c r="H2177" s="4"/>
      <c r="I2177" s="4"/>
      <c r="J2177" s="4"/>
      <c r="K2177" s="4"/>
    </row>
    <row r="2178" spans="2:11">
      <c r="B2178" s="6"/>
      <c r="C2178" s="24"/>
      <c r="D2178" s="5"/>
      <c r="E2178" s="5"/>
      <c r="F2178" s="4"/>
      <c r="G2178" s="4"/>
      <c r="H2178" s="4"/>
      <c r="I2178" s="4"/>
      <c r="J2178" s="4"/>
      <c r="K2178" s="4"/>
    </row>
    <row r="2179" spans="2:11">
      <c r="B2179" s="6"/>
      <c r="C2179" s="24"/>
      <c r="D2179" s="5"/>
      <c r="E2179" s="5"/>
      <c r="F2179" s="4"/>
      <c r="G2179" s="4"/>
      <c r="H2179" s="4"/>
      <c r="I2179" s="4"/>
      <c r="J2179" s="4"/>
      <c r="K2179" s="4"/>
    </row>
    <row r="2180" spans="2:11">
      <c r="B2180" s="6"/>
      <c r="C2180" s="24"/>
      <c r="D2180" s="5"/>
      <c r="E2180" s="5"/>
      <c r="F2180" s="4"/>
      <c r="G2180" s="4"/>
      <c r="H2180" s="4"/>
      <c r="I2180" s="4"/>
      <c r="J2180" s="4"/>
      <c r="K2180" s="4"/>
    </row>
    <row r="2181" spans="2:11">
      <c r="B2181" s="6"/>
      <c r="C2181" s="24"/>
      <c r="D2181" s="5"/>
      <c r="E2181" s="5"/>
      <c r="F2181" s="4"/>
      <c r="G2181" s="4"/>
      <c r="H2181" s="4"/>
      <c r="I2181" s="4"/>
      <c r="J2181" s="4"/>
      <c r="K2181" s="4"/>
    </row>
    <row r="2182" spans="2:11">
      <c r="B2182" s="6"/>
      <c r="C2182" s="24"/>
      <c r="D2182" s="5"/>
      <c r="E2182" s="5"/>
      <c r="F2182" s="4"/>
      <c r="G2182" s="4"/>
      <c r="H2182" s="4"/>
      <c r="I2182" s="4"/>
      <c r="J2182" s="4"/>
      <c r="K2182" s="4"/>
    </row>
    <row r="2183" spans="2:11">
      <c r="B2183" s="6"/>
      <c r="C2183" s="24"/>
      <c r="D2183" s="5"/>
      <c r="E2183" s="5"/>
      <c r="F2183" s="4"/>
      <c r="G2183" s="4"/>
      <c r="H2183" s="4"/>
      <c r="I2183" s="4"/>
      <c r="J2183" s="4"/>
      <c r="K2183" s="4"/>
    </row>
    <row r="2184" spans="2:11">
      <c r="B2184" s="6"/>
      <c r="C2184" s="24"/>
      <c r="D2184" s="5"/>
      <c r="E2184" s="5"/>
      <c r="F2184" s="4"/>
      <c r="G2184" s="4"/>
      <c r="H2184" s="4"/>
      <c r="I2184" s="4"/>
      <c r="J2184" s="4"/>
      <c r="K2184" s="4"/>
    </row>
    <row r="2185" spans="2:11">
      <c r="B2185" s="6"/>
      <c r="C2185" s="24"/>
      <c r="D2185" s="5"/>
      <c r="E2185" s="5"/>
      <c r="F2185" s="4"/>
      <c r="G2185" s="4"/>
      <c r="H2185" s="4"/>
      <c r="I2185" s="4"/>
      <c r="J2185" s="4"/>
      <c r="K2185" s="4"/>
    </row>
    <row r="2186" spans="2:11">
      <c r="B2186" s="6"/>
      <c r="C2186" s="24"/>
      <c r="D2186" s="5"/>
      <c r="E2186" s="5"/>
      <c r="F2186" s="4"/>
      <c r="G2186" s="4"/>
      <c r="H2186" s="4"/>
      <c r="I2186" s="4"/>
      <c r="J2186" s="4"/>
      <c r="K2186" s="4"/>
    </row>
    <row r="2187" spans="2:11">
      <c r="B2187" s="6"/>
      <c r="C2187" s="24"/>
      <c r="D2187" s="5"/>
      <c r="E2187" s="5"/>
      <c r="F2187" s="4"/>
      <c r="G2187" s="4"/>
      <c r="H2187" s="4"/>
      <c r="I2187" s="4"/>
      <c r="J2187" s="4"/>
      <c r="K2187" s="4"/>
    </row>
    <row r="2188" spans="2:11">
      <c r="B2188" s="6"/>
      <c r="C2188" s="24"/>
      <c r="D2188" s="5"/>
      <c r="E2188" s="5"/>
      <c r="F2188" s="4"/>
      <c r="G2188" s="4"/>
      <c r="H2188" s="4"/>
      <c r="I2188" s="4"/>
      <c r="J2188" s="4"/>
      <c r="K2188" s="4"/>
    </row>
    <row r="2189" spans="2:11">
      <c r="B2189" s="6"/>
      <c r="C2189" s="24"/>
      <c r="D2189" s="5"/>
      <c r="E2189" s="5"/>
      <c r="F2189" s="4"/>
      <c r="G2189" s="4"/>
      <c r="H2189" s="4"/>
      <c r="I2189" s="4"/>
      <c r="J2189" s="4"/>
      <c r="K2189" s="4"/>
    </row>
    <row r="2190" spans="2:11">
      <c r="B2190" s="6"/>
      <c r="C2190" s="24"/>
      <c r="D2190" s="5"/>
      <c r="E2190" s="5"/>
      <c r="F2190" s="4"/>
      <c r="G2190" s="4"/>
      <c r="H2190" s="4"/>
      <c r="I2190" s="4"/>
      <c r="J2190" s="4"/>
      <c r="K2190" s="4"/>
    </row>
    <row r="2191" spans="2:11">
      <c r="B2191" s="6"/>
      <c r="C2191" s="24"/>
      <c r="D2191" s="5"/>
      <c r="E2191" s="5"/>
      <c r="F2191" s="4"/>
      <c r="G2191" s="4"/>
      <c r="H2191" s="4"/>
      <c r="I2191" s="4"/>
      <c r="J2191" s="4"/>
      <c r="K2191" s="4"/>
    </row>
    <row r="2192" spans="2:11">
      <c r="B2192" s="6"/>
      <c r="C2192" s="24"/>
      <c r="D2192" s="5"/>
      <c r="E2192" s="5"/>
      <c r="F2192" s="4"/>
      <c r="G2192" s="4"/>
      <c r="H2192" s="4"/>
      <c r="I2192" s="4"/>
      <c r="J2192" s="4"/>
      <c r="K2192" s="4"/>
    </row>
    <row r="2193" spans="2:11">
      <c r="B2193" s="6"/>
      <c r="C2193" s="24"/>
      <c r="D2193" s="5"/>
      <c r="E2193" s="5"/>
      <c r="F2193" s="4"/>
      <c r="G2193" s="4"/>
      <c r="H2193" s="4"/>
      <c r="I2193" s="4"/>
      <c r="J2193" s="4"/>
      <c r="K2193" s="4"/>
    </row>
    <row r="2194" spans="2:11">
      <c r="B2194" s="6"/>
      <c r="C2194" s="24"/>
      <c r="D2194" s="5"/>
      <c r="E2194" s="5"/>
      <c r="F2194" s="4"/>
      <c r="G2194" s="4"/>
      <c r="H2194" s="4"/>
      <c r="I2194" s="4"/>
      <c r="J2194" s="4"/>
      <c r="K2194" s="4"/>
    </row>
    <row r="2195" spans="2:11">
      <c r="B2195" s="6"/>
      <c r="C2195" s="24"/>
      <c r="D2195" s="5"/>
      <c r="E2195" s="5"/>
      <c r="F2195" s="4"/>
      <c r="G2195" s="4"/>
      <c r="H2195" s="4"/>
      <c r="I2195" s="4"/>
      <c r="J2195" s="4"/>
      <c r="K2195" s="4"/>
    </row>
    <row r="2196" spans="2:11">
      <c r="B2196" s="6"/>
      <c r="C2196" s="24"/>
      <c r="D2196" s="5"/>
      <c r="E2196" s="5"/>
      <c r="F2196" s="4"/>
      <c r="G2196" s="4"/>
      <c r="H2196" s="4"/>
      <c r="I2196" s="4"/>
      <c r="J2196" s="4"/>
      <c r="K2196" s="4"/>
    </row>
    <row r="2197" spans="2:11">
      <c r="B2197" s="6"/>
      <c r="C2197" s="24"/>
      <c r="D2197" s="5"/>
      <c r="E2197" s="5"/>
      <c r="F2197" s="4"/>
      <c r="G2197" s="4"/>
      <c r="H2197" s="4"/>
      <c r="I2197" s="4"/>
      <c r="J2197" s="4"/>
      <c r="K2197" s="4"/>
    </row>
    <row r="2198" spans="2:11">
      <c r="B2198" s="6"/>
      <c r="C2198" s="24"/>
      <c r="D2198" s="5"/>
      <c r="E2198" s="5"/>
      <c r="F2198" s="4"/>
      <c r="G2198" s="4"/>
      <c r="H2198" s="4"/>
      <c r="I2198" s="4"/>
      <c r="J2198" s="4"/>
      <c r="K2198" s="4"/>
    </row>
    <row r="2199" spans="2:11">
      <c r="B2199" s="6"/>
      <c r="C2199" s="24"/>
      <c r="D2199" s="5"/>
      <c r="E2199" s="5"/>
      <c r="F2199" s="4"/>
      <c r="G2199" s="4"/>
      <c r="H2199" s="4"/>
      <c r="I2199" s="4"/>
      <c r="J2199" s="4"/>
      <c r="K2199" s="4"/>
    </row>
    <row r="2200" spans="2:11">
      <c r="B2200" s="6"/>
      <c r="C2200" s="24"/>
      <c r="D2200" s="5"/>
      <c r="E2200" s="5"/>
      <c r="F2200" s="4"/>
      <c r="G2200" s="4"/>
      <c r="H2200" s="4"/>
      <c r="I2200" s="4"/>
      <c r="J2200" s="4"/>
      <c r="K2200" s="4"/>
    </row>
    <row r="2201" spans="2:11">
      <c r="B2201" s="6"/>
      <c r="C2201" s="24"/>
      <c r="D2201" s="5"/>
      <c r="E2201" s="5"/>
      <c r="F2201" s="4"/>
      <c r="G2201" s="4"/>
      <c r="H2201" s="4"/>
      <c r="I2201" s="4"/>
      <c r="J2201" s="4"/>
      <c r="K2201" s="4"/>
    </row>
    <row r="2202" spans="2:11">
      <c r="B2202" s="6"/>
      <c r="C2202" s="24"/>
      <c r="D2202" s="5"/>
      <c r="E2202" s="5"/>
      <c r="F2202" s="4"/>
      <c r="G2202" s="4"/>
      <c r="H2202" s="4"/>
      <c r="I2202" s="4"/>
      <c r="J2202" s="4"/>
      <c r="K2202" s="4"/>
    </row>
    <row r="2203" spans="2:11">
      <c r="B2203" s="6"/>
      <c r="C2203" s="24"/>
      <c r="D2203" s="5"/>
      <c r="E2203" s="5"/>
      <c r="F2203" s="4"/>
      <c r="G2203" s="4"/>
      <c r="H2203" s="4"/>
      <c r="I2203" s="4"/>
      <c r="J2203" s="4"/>
      <c r="K2203" s="4"/>
    </row>
    <row r="2204" spans="2:11">
      <c r="B2204" s="6"/>
      <c r="C2204" s="24"/>
      <c r="D2204" s="5"/>
      <c r="E2204" s="5"/>
      <c r="F2204" s="4"/>
      <c r="G2204" s="4"/>
      <c r="H2204" s="4"/>
      <c r="I2204" s="4"/>
      <c r="J2204" s="4"/>
      <c r="K2204" s="4"/>
    </row>
    <row r="2205" spans="2:11">
      <c r="B2205" s="6"/>
      <c r="C2205" s="24"/>
      <c r="D2205" s="5"/>
      <c r="E2205" s="5"/>
      <c r="F2205" s="4"/>
      <c r="G2205" s="4"/>
      <c r="H2205" s="4"/>
      <c r="I2205" s="4"/>
      <c r="J2205" s="4"/>
      <c r="K2205" s="4"/>
    </row>
    <row r="2206" spans="2:11">
      <c r="B2206" s="6"/>
      <c r="C2206" s="24"/>
      <c r="D2206" s="5"/>
      <c r="E2206" s="5"/>
      <c r="F2206" s="4"/>
      <c r="G2206" s="4"/>
      <c r="H2206" s="4"/>
      <c r="I2206" s="4"/>
      <c r="J2206" s="4"/>
      <c r="K2206" s="4"/>
    </row>
    <row r="2207" spans="2:11">
      <c r="B2207" s="6"/>
      <c r="C2207" s="24"/>
      <c r="D2207" s="5"/>
      <c r="E2207" s="5"/>
      <c r="F2207" s="4"/>
      <c r="G2207" s="4"/>
      <c r="H2207" s="4"/>
      <c r="I2207" s="4"/>
      <c r="J2207" s="4"/>
      <c r="K2207" s="4"/>
    </row>
    <row r="2208" spans="2:11">
      <c r="B2208" s="6"/>
      <c r="C2208" s="24"/>
      <c r="D2208" s="5"/>
      <c r="E2208" s="5"/>
      <c r="F2208" s="4"/>
      <c r="G2208" s="4"/>
      <c r="H2208" s="4"/>
      <c r="I2208" s="4"/>
      <c r="J2208" s="4"/>
      <c r="K2208" s="4"/>
    </row>
    <row r="2209" spans="2:11">
      <c r="B2209" s="6"/>
      <c r="C2209" s="24"/>
      <c r="D2209" s="5"/>
      <c r="E2209" s="5"/>
      <c r="F2209" s="4"/>
      <c r="G2209" s="4"/>
      <c r="H2209" s="4"/>
      <c r="I2209" s="4"/>
      <c r="J2209" s="4"/>
      <c r="K2209" s="4"/>
    </row>
    <row r="2210" spans="2:11">
      <c r="B2210" s="6"/>
      <c r="C2210" s="24"/>
      <c r="D2210" s="5"/>
      <c r="E2210" s="5"/>
      <c r="F2210" s="4"/>
      <c r="G2210" s="4"/>
      <c r="H2210" s="4"/>
      <c r="I2210" s="4"/>
      <c r="J2210" s="4"/>
      <c r="K2210" s="4"/>
    </row>
    <row r="2211" spans="2:11">
      <c r="B2211" s="6"/>
      <c r="C2211" s="24"/>
      <c r="D2211" s="5"/>
      <c r="E2211" s="5"/>
      <c r="F2211" s="4"/>
      <c r="G2211" s="4"/>
      <c r="H2211" s="4"/>
      <c r="I2211" s="4"/>
      <c r="J2211" s="4"/>
      <c r="K2211" s="4"/>
    </row>
    <row r="2212" spans="2:11">
      <c r="B2212" s="6"/>
      <c r="C2212" s="24"/>
      <c r="D2212" s="5"/>
      <c r="E2212" s="5"/>
      <c r="F2212" s="4"/>
      <c r="G2212" s="4"/>
      <c r="H2212" s="4"/>
      <c r="I2212" s="4"/>
      <c r="J2212" s="4"/>
      <c r="K2212" s="4"/>
    </row>
    <row r="2213" spans="2:11">
      <c r="B2213" s="6"/>
      <c r="C2213" s="24"/>
      <c r="D2213" s="5"/>
      <c r="E2213" s="5"/>
      <c r="F2213" s="4"/>
      <c r="G2213" s="4"/>
      <c r="H2213" s="4"/>
      <c r="I2213" s="4"/>
      <c r="J2213" s="4"/>
      <c r="K2213" s="4"/>
    </row>
    <row r="2214" spans="2:11">
      <c r="B2214" s="6"/>
      <c r="C2214" s="24"/>
      <c r="D2214" s="5"/>
      <c r="E2214" s="5"/>
      <c r="F2214" s="4"/>
      <c r="G2214" s="4"/>
      <c r="H2214" s="4"/>
      <c r="I2214" s="4"/>
      <c r="J2214" s="4"/>
      <c r="K2214" s="4"/>
    </row>
    <row r="2215" spans="2:11">
      <c r="B2215" s="6"/>
      <c r="C2215" s="24"/>
      <c r="D2215" s="5"/>
      <c r="E2215" s="5"/>
      <c r="F2215" s="4"/>
      <c r="G2215" s="4"/>
      <c r="H2215" s="4"/>
      <c r="I2215" s="4"/>
      <c r="J2215" s="4"/>
      <c r="K2215" s="4"/>
    </row>
    <row r="2216" spans="2:11">
      <c r="B2216" s="6"/>
      <c r="C2216" s="24"/>
      <c r="D2216" s="5"/>
      <c r="E2216" s="5"/>
      <c r="F2216" s="4"/>
      <c r="G2216" s="4"/>
      <c r="H2216" s="4"/>
      <c r="I2216" s="4"/>
      <c r="J2216" s="4"/>
      <c r="K2216" s="4"/>
    </row>
    <row r="2217" spans="2:11">
      <c r="B2217" s="6"/>
      <c r="C2217" s="24"/>
      <c r="D2217" s="5"/>
      <c r="E2217" s="5"/>
      <c r="F2217" s="4"/>
      <c r="G2217" s="4"/>
      <c r="H2217" s="4"/>
      <c r="I2217" s="4"/>
      <c r="J2217" s="4"/>
      <c r="K2217" s="4"/>
    </row>
    <row r="2218" spans="2:11">
      <c r="B2218" s="6"/>
      <c r="C2218" s="24"/>
      <c r="D2218" s="5"/>
      <c r="E2218" s="5"/>
      <c r="F2218" s="4"/>
      <c r="G2218" s="4"/>
      <c r="H2218" s="4"/>
      <c r="I2218" s="4"/>
      <c r="J2218" s="4"/>
      <c r="K2218" s="4"/>
    </row>
    <row r="2219" spans="2:11">
      <c r="B2219" s="6"/>
      <c r="C2219" s="24"/>
      <c r="D2219" s="5"/>
      <c r="E2219" s="5"/>
      <c r="F2219" s="4"/>
      <c r="G2219" s="4"/>
      <c r="H2219" s="4"/>
      <c r="I2219" s="4"/>
      <c r="J2219" s="4"/>
      <c r="K2219" s="4"/>
    </row>
    <row r="2220" spans="2:11">
      <c r="B2220" s="6"/>
      <c r="C2220" s="24"/>
      <c r="D2220" s="5"/>
      <c r="E2220" s="5"/>
      <c r="F2220" s="4"/>
      <c r="G2220" s="4"/>
      <c r="H2220" s="4"/>
      <c r="I2220" s="4"/>
      <c r="J2220" s="4"/>
      <c r="K2220" s="4"/>
    </row>
    <row r="2221" spans="2:11">
      <c r="B2221" s="6"/>
      <c r="C2221" s="24"/>
      <c r="D2221" s="5"/>
      <c r="E2221" s="5"/>
      <c r="F2221" s="4"/>
      <c r="G2221" s="4"/>
      <c r="H2221" s="4"/>
      <c r="I2221" s="4"/>
      <c r="J2221" s="4"/>
      <c r="K2221" s="4"/>
    </row>
    <row r="2222" spans="2:11">
      <c r="B2222" s="6"/>
      <c r="C2222" s="24"/>
      <c r="D2222" s="5"/>
      <c r="E2222" s="5"/>
      <c r="F2222" s="4"/>
      <c r="G2222" s="4"/>
      <c r="H2222" s="4"/>
      <c r="I2222" s="4"/>
      <c r="J2222" s="4"/>
      <c r="K2222" s="4"/>
    </row>
    <row r="2223" spans="2:11">
      <c r="B2223" s="6"/>
      <c r="C2223" s="24"/>
      <c r="D2223" s="5"/>
      <c r="E2223" s="5"/>
      <c r="F2223" s="4"/>
      <c r="G2223" s="4"/>
      <c r="H2223" s="4"/>
      <c r="I2223" s="4"/>
      <c r="J2223" s="4"/>
      <c r="K2223" s="4"/>
    </row>
    <row r="2224" spans="2:11">
      <c r="B2224" s="6"/>
      <c r="C2224" s="24"/>
      <c r="D2224" s="5"/>
      <c r="E2224" s="5"/>
      <c r="F2224" s="4"/>
      <c r="G2224" s="4"/>
      <c r="H2224" s="4"/>
      <c r="I2224" s="4"/>
      <c r="J2224" s="4"/>
      <c r="K2224" s="4"/>
    </row>
    <row r="2225" spans="2:11">
      <c r="B2225" s="6"/>
      <c r="C2225" s="24"/>
      <c r="D2225" s="5"/>
      <c r="E2225" s="5"/>
      <c r="F2225" s="4"/>
      <c r="G2225" s="4"/>
      <c r="H2225" s="4"/>
      <c r="I2225" s="4"/>
      <c r="J2225" s="4"/>
      <c r="K2225" s="4"/>
    </row>
    <row r="2226" spans="2:11">
      <c r="B2226" s="6"/>
      <c r="C2226" s="24"/>
      <c r="D2226" s="5"/>
      <c r="E2226" s="5"/>
      <c r="F2226" s="4"/>
      <c r="G2226" s="4"/>
      <c r="H2226" s="4"/>
      <c r="I2226" s="4"/>
      <c r="J2226" s="4"/>
      <c r="K2226" s="4"/>
    </row>
    <row r="2227" spans="2:11">
      <c r="B2227" s="6"/>
      <c r="C2227" s="24"/>
      <c r="D2227" s="5"/>
      <c r="E2227" s="5"/>
      <c r="F2227" s="4"/>
      <c r="G2227" s="4"/>
      <c r="H2227" s="4"/>
      <c r="I2227" s="4"/>
      <c r="J2227" s="4"/>
      <c r="K2227" s="4"/>
    </row>
    <row r="2228" spans="2:11">
      <c r="B2228" s="6"/>
      <c r="C2228" s="24"/>
      <c r="D2228" s="5"/>
      <c r="E2228" s="5"/>
      <c r="F2228" s="4"/>
      <c r="G2228" s="4"/>
      <c r="H2228" s="4"/>
      <c r="I2228" s="4"/>
      <c r="J2228" s="4"/>
      <c r="K2228" s="4"/>
    </row>
    <row r="2229" spans="2:11">
      <c r="B2229" s="6"/>
      <c r="C2229" s="24"/>
      <c r="D2229" s="5"/>
      <c r="E2229" s="5"/>
      <c r="F2229" s="4"/>
      <c r="G2229" s="4"/>
      <c r="H2229" s="4"/>
      <c r="I2229" s="4"/>
      <c r="J2229" s="4"/>
      <c r="K2229" s="4"/>
    </row>
    <row r="2230" spans="2:11">
      <c r="B2230" s="6"/>
      <c r="C2230" s="24"/>
      <c r="D2230" s="5"/>
      <c r="E2230" s="5"/>
      <c r="F2230" s="4"/>
      <c r="G2230" s="4"/>
      <c r="H2230" s="4"/>
      <c r="I2230" s="4"/>
      <c r="J2230" s="4"/>
      <c r="K2230" s="4"/>
    </row>
    <row r="2231" spans="2:11">
      <c r="B2231" s="6"/>
      <c r="C2231" s="24"/>
      <c r="D2231" s="5"/>
      <c r="E2231" s="5"/>
      <c r="F2231" s="4"/>
      <c r="G2231" s="4"/>
      <c r="H2231" s="4"/>
      <c r="I2231" s="4"/>
      <c r="J2231" s="4"/>
      <c r="K2231" s="4"/>
    </row>
    <row r="2232" spans="2:11">
      <c r="B2232" s="6"/>
      <c r="C2232" s="24"/>
      <c r="D2232" s="5"/>
      <c r="E2232" s="5"/>
      <c r="F2232" s="4"/>
      <c r="G2232" s="4"/>
      <c r="H2232" s="4"/>
      <c r="I2232" s="4"/>
      <c r="J2232" s="4"/>
      <c r="K2232" s="4"/>
    </row>
    <row r="2233" spans="2:11">
      <c r="B2233" s="6"/>
      <c r="C2233" s="24"/>
      <c r="D2233" s="5"/>
      <c r="E2233" s="5"/>
      <c r="F2233" s="4"/>
      <c r="G2233" s="4"/>
      <c r="H2233" s="4"/>
      <c r="I2233" s="4"/>
      <c r="J2233" s="4"/>
      <c r="K2233" s="4"/>
    </row>
    <row r="2234" spans="2:11">
      <c r="B2234" s="6"/>
      <c r="C2234" s="24"/>
      <c r="D2234" s="5"/>
      <c r="E2234" s="5"/>
      <c r="F2234" s="4"/>
      <c r="G2234" s="4"/>
      <c r="H2234" s="4"/>
      <c r="I2234" s="4"/>
      <c r="J2234" s="4"/>
      <c r="K2234" s="4"/>
    </row>
    <row r="2235" spans="2:11">
      <c r="B2235" s="6"/>
      <c r="C2235" s="24"/>
      <c r="D2235" s="5"/>
      <c r="E2235" s="5"/>
      <c r="F2235" s="4"/>
      <c r="G2235" s="4"/>
      <c r="H2235" s="4"/>
      <c r="I2235" s="4"/>
      <c r="J2235" s="4"/>
      <c r="K2235" s="4"/>
    </row>
    <row r="2236" spans="2:11">
      <c r="B2236" s="6"/>
      <c r="C2236" s="24"/>
      <c r="D2236" s="5"/>
      <c r="E2236" s="5"/>
      <c r="F2236" s="4"/>
      <c r="G2236" s="4"/>
      <c r="H2236" s="4"/>
      <c r="I2236" s="4"/>
      <c r="J2236" s="4"/>
      <c r="K2236" s="4"/>
    </row>
    <row r="2237" spans="2:11">
      <c r="B2237" s="6"/>
      <c r="C2237" s="24"/>
      <c r="D2237" s="5"/>
      <c r="E2237" s="5"/>
      <c r="F2237" s="4"/>
      <c r="G2237" s="4"/>
      <c r="H2237" s="4"/>
      <c r="I2237" s="4"/>
      <c r="J2237" s="4"/>
      <c r="K2237" s="4"/>
    </row>
    <row r="2238" spans="2:11">
      <c r="B2238" s="6"/>
      <c r="C2238" s="24"/>
      <c r="D2238" s="5"/>
      <c r="E2238" s="5"/>
      <c r="F2238" s="4"/>
      <c r="G2238" s="4"/>
      <c r="H2238" s="4"/>
      <c r="I2238" s="4"/>
      <c r="J2238" s="4"/>
      <c r="K2238" s="4"/>
    </row>
    <row r="2239" spans="2:11">
      <c r="B2239" s="6"/>
      <c r="C2239" s="24"/>
      <c r="D2239" s="5"/>
      <c r="E2239" s="5"/>
      <c r="F2239" s="4"/>
      <c r="G2239" s="4"/>
      <c r="H2239" s="4"/>
      <c r="I2239" s="4"/>
      <c r="J2239" s="4"/>
      <c r="K2239" s="4"/>
    </row>
    <row r="2240" spans="2:11">
      <c r="B2240" s="6"/>
      <c r="C2240" s="24"/>
      <c r="D2240" s="5"/>
      <c r="E2240" s="5"/>
      <c r="F2240" s="4"/>
      <c r="G2240" s="4"/>
      <c r="H2240" s="4"/>
      <c r="I2240" s="4"/>
      <c r="J2240" s="4"/>
      <c r="K2240" s="4"/>
    </row>
    <row r="2241" spans="2:11">
      <c r="B2241" s="6"/>
      <c r="C2241" s="24"/>
      <c r="D2241" s="5"/>
      <c r="E2241" s="5"/>
      <c r="F2241" s="4"/>
      <c r="G2241" s="4"/>
      <c r="H2241" s="4"/>
      <c r="I2241" s="4"/>
      <c r="J2241" s="4"/>
      <c r="K2241" s="4"/>
    </row>
    <row r="2242" spans="2:11">
      <c r="B2242" s="6"/>
      <c r="C2242" s="24"/>
      <c r="D2242" s="5"/>
      <c r="E2242" s="5"/>
      <c r="F2242" s="4"/>
      <c r="G2242" s="4"/>
      <c r="H2242" s="4"/>
      <c r="I2242" s="4"/>
      <c r="J2242" s="4"/>
      <c r="K2242" s="4"/>
    </row>
    <row r="2243" spans="2:11">
      <c r="B2243" s="6"/>
      <c r="C2243" s="24"/>
      <c r="D2243" s="5"/>
      <c r="E2243" s="5"/>
      <c r="F2243" s="4"/>
      <c r="G2243" s="4"/>
      <c r="H2243" s="4"/>
      <c r="I2243" s="4"/>
      <c r="J2243" s="4"/>
      <c r="K2243" s="4"/>
    </row>
    <row r="2244" spans="2:11">
      <c r="B2244" s="6"/>
      <c r="C2244" s="24"/>
      <c r="D2244" s="5"/>
      <c r="E2244" s="5"/>
      <c r="F2244" s="4"/>
      <c r="G2244" s="4"/>
      <c r="H2244" s="4"/>
      <c r="I2244" s="4"/>
      <c r="J2244" s="4"/>
      <c r="K2244" s="4"/>
    </row>
    <row r="2245" spans="2:11">
      <c r="B2245" s="6"/>
      <c r="C2245" s="24"/>
      <c r="D2245" s="5"/>
      <c r="E2245" s="5"/>
      <c r="F2245" s="4"/>
      <c r="G2245" s="4"/>
      <c r="H2245" s="4"/>
      <c r="I2245" s="4"/>
      <c r="J2245" s="4"/>
      <c r="K2245" s="4"/>
    </row>
    <row r="2246" spans="2:11">
      <c r="B2246" s="6"/>
      <c r="C2246" s="24"/>
      <c r="D2246" s="5"/>
      <c r="E2246" s="5"/>
      <c r="F2246" s="4"/>
      <c r="G2246" s="4"/>
      <c r="H2246" s="4"/>
      <c r="I2246" s="4"/>
      <c r="J2246" s="4"/>
      <c r="K2246" s="4"/>
    </row>
    <row r="2247" spans="2:11">
      <c r="B2247" s="6"/>
      <c r="C2247" s="24"/>
      <c r="D2247" s="5"/>
      <c r="E2247" s="5"/>
      <c r="F2247" s="4"/>
      <c r="G2247" s="4"/>
      <c r="H2247" s="4"/>
      <c r="I2247" s="4"/>
      <c r="J2247" s="4"/>
      <c r="K2247" s="4"/>
    </row>
    <row r="2248" spans="2:11">
      <c r="B2248" s="6"/>
      <c r="C2248" s="24"/>
      <c r="D2248" s="5"/>
      <c r="E2248" s="5"/>
      <c r="F2248" s="4"/>
      <c r="G2248" s="4"/>
      <c r="H2248" s="4"/>
      <c r="I2248" s="4"/>
      <c r="J2248" s="4"/>
      <c r="K2248" s="4"/>
    </row>
    <row r="2249" spans="2:11">
      <c r="B2249" s="6"/>
      <c r="C2249" s="24"/>
      <c r="D2249" s="5"/>
      <c r="E2249" s="5"/>
      <c r="F2249" s="4"/>
      <c r="G2249" s="4"/>
      <c r="H2249" s="4"/>
      <c r="I2249" s="4"/>
      <c r="J2249" s="4"/>
      <c r="K2249" s="4"/>
    </row>
    <row r="2250" spans="2:11">
      <c r="B2250" s="6"/>
      <c r="C2250" s="24"/>
      <c r="D2250" s="5"/>
      <c r="E2250" s="5"/>
      <c r="F2250" s="4"/>
      <c r="G2250" s="4"/>
      <c r="H2250" s="4"/>
      <c r="I2250" s="4"/>
      <c r="J2250" s="4"/>
      <c r="K2250" s="4"/>
    </row>
    <row r="2251" spans="2:11">
      <c r="B2251" s="6"/>
      <c r="C2251" s="24"/>
      <c r="D2251" s="5"/>
      <c r="E2251" s="5"/>
      <c r="F2251" s="4"/>
      <c r="G2251" s="4"/>
      <c r="H2251" s="4"/>
      <c r="I2251" s="4"/>
      <c r="J2251" s="4"/>
      <c r="K2251" s="4"/>
    </row>
    <row r="2252" spans="2:11">
      <c r="B2252" s="6"/>
      <c r="C2252" s="24"/>
      <c r="D2252" s="5"/>
      <c r="E2252" s="5"/>
      <c r="F2252" s="4"/>
      <c r="G2252" s="4"/>
      <c r="H2252" s="4"/>
      <c r="I2252" s="4"/>
      <c r="J2252" s="4"/>
      <c r="K2252" s="4"/>
    </row>
    <row r="2253" spans="2:11">
      <c r="B2253" s="6"/>
      <c r="C2253" s="24"/>
      <c r="D2253" s="5"/>
      <c r="E2253" s="5"/>
      <c r="F2253" s="4"/>
      <c r="G2253" s="4"/>
      <c r="H2253" s="4"/>
      <c r="I2253" s="4"/>
      <c r="J2253" s="4"/>
      <c r="K2253" s="4"/>
    </row>
    <row r="2254" spans="2:11">
      <c r="B2254" s="6"/>
      <c r="C2254" s="24"/>
      <c r="D2254" s="5"/>
      <c r="E2254" s="5"/>
      <c r="F2254" s="4"/>
      <c r="G2254" s="4"/>
      <c r="H2254" s="4"/>
      <c r="I2254" s="4"/>
      <c r="J2254" s="4"/>
      <c r="K2254" s="4"/>
    </row>
    <row r="2255" spans="2:11">
      <c r="B2255" s="6"/>
      <c r="C2255" s="24"/>
      <c r="D2255" s="5"/>
      <c r="E2255" s="5"/>
      <c r="F2255" s="4"/>
      <c r="G2255" s="4"/>
      <c r="H2255" s="4"/>
      <c r="I2255" s="4"/>
      <c r="J2255" s="4"/>
      <c r="K2255" s="4"/>
    </row>
    <row r="2256" spans="2:11">
      <c r="B2256" s="6"/>
      <c r="C2256" s="24"/>
      <c r="D2256" s="5"/>
      <c r="E2256" s="5"/>
      <c r="F2256" s="4"/>
      <c r="G2256" s="4"/>
      <c r="H2256" s="4"/>
      <c r="I2256" s="4"/>
      <c r="J2256" s="4"/>
      <c r="K2256" s="4"/>
    </row>
    <row r="2257" spans="2:11">
      <c r="B2257" s="6"/>
      <c r="C2257" s="24"/>
      <c r="D2257" s="5"/>
      <c r="E2257" s="5"/>
      <c r="F2257" s="4"/>
      <c r="G2257" s="4"/>
      <c r="H2257" s="4"/>
      <c r="I2257" s="4"/>
      <c r="J2257" s="4"/>
      <c r="K2257" s="4"/>
    </row>
    <row r="2258" spans="2:11">
      <c r="B2258" s="6"/>
      <c r="C2258" s="24"/>
      <c r="D2258" s="5"/>
      <c r="E2258" s="5"/>
      <c r="F2258" s="4"/>
      <c r="G2258" s="4"/>
      <c r="H2258" s="4"/>
      <c r="I2258" s="4"/>
      <c r="J2258" s="4"/>
      <c r="K2258" s="4"/>
    </row>
    <row r="2259" spans="2:11">
      <c r="B2259" s="6"/>
      <c r="C2259" s="24"/>
      <c r="D2259" s="5"/>
      <c r="E2259" s="5"/>
      <c r="F2259" s="4"/>
      <c r="G2259" s="4"/>
      <c r="H2259" s="4"/>
      <c r="I2259" s="4"/>
      <c r="J2259" s="4"/>
      <c r="K2259" s="4"/>
    </row>
    <row r="2260" spans="2:11">
      <c r="B2260" s="6"/>
      <c r="C2260" s="24"/>
      <c r="D2260" s="5"/>
      <c r="E2260" s="5"/>
      <c r="F2260" s="4"/>
      <c r="G2260" s="4"/>
      <c r="H2260" s="4"/>
      <c r="I2260" s="4"/>
      <c r="J2260" s="4"/>
      <c r="K2260" s="4"/>
    </row>
    <row r="2261" spans="2:11">
      <c r="B2261" s="6"/>
      <c r="C2261" s="24"/>
      <c r="D2261" s="5"/>
      <c r="E2261" s="5"/>
      <c r="F2261" s="4"/>
      <c r="G2261" s="4"/>
      <c r="H2261" s="4"/>
      <c r="I2261" s="4"/>
      <c r="J2261" s="4"/>
      <c r="K2261" s="4"/>
    </row>
    <row r="2262" spans="2:11">
      <c r="B2262" s="6"/>
      <c r="C2262" s="24"/>
      <c r="D2262" s="5"/>
      <c r="E2262" s="5"/>
      <c r="F2262" s="4"/>
      <c r="G2262" s="4"/>
      <c r="H2262" s="4"/>
      <c r="I2262" s="4"/>
      <c r="J2262" s="4"/>
      <c r="K2262" s="4"/>
    </row>
    <row r="2263" spans="2:11">
      <c r="B2263" s="6"/>
      <c r="C2263" s="24"/>
      <c r="D2263" s="5"/>
      <c r="E2263" s="5"/>
      <c r="F2263" s="4"/>
      <c r="G2263" s="4"/>
      <c r="H2263" s="4"/>
      <c r="I2263" s="4"/>
      <c r="J2263" s="4"/>
      <c r="K2263" s="4"/>
    </row>
    <row r="2264" spans="2:11">
      <c r="B2264" s="6"/>
      <c r="C2264" s="24"/>
      <c r="D2264" s="5"/>
      <c r="E2264" s="5"/>
      <c r="F2264" s="4"/>
      <c r="G2264" s="4"/>
      <c r="H2264" s="4"/>
      <c r="I2264" s="4"/>
      <c r="J2264" s="4"/>
      <c r="K2264" s="4"/>
    </row>
    <row r="2265" spans="2:11">
      <c r="B2265" s="6"/>
      <c r="C2265" s="24"/>
      <c r="D2265" s="5"/>
      <c r="E2265" s="5"/>
      <c r="F2265" s="4"/>
      <c r="G2265" s="4"/>
      <c r="H2265" s="4"/>
      <c r="I2265" s="4"/>
      <c r="J2265" s="4"/>
      <c r="K2265" s="4"/>
    </row>
    <row r="2266" spans="2:11">
      <c r="B2266" s="6"/>
      <c r="C2266" s="24"/>
      <c r="D2266" s="5"/>
      <c r="E2266" s="5"/>
      <c r="F2266" s="4"/>
      <c r="G2266" s="4"/>
      <c r="H2266" s="4"/>
      <c r="I2266" s="4"/>
      <c r="J2266" s="4"/>
      <c r="K2266" s="4"/>
    </row>
    <row r="2267" spans="2:11">
      <c r="B2267" s="6"/>
      <c r="C2267" s="24"/>
      <c r="D2267" s="5"/>
      <c r="E2267" s="5"/>
      <c r="F2267" s="4"/>
      <c r="G2267" s="4"/>
      <c r="H2267" s="4"/>
      <c r="I2267" s="4"/>
      <c r="J2267" s="4"/>
      <c r="K2267" s="4"/>
    </row>
    <row r="2268" spans="2:11">
      <c r="B2268" s="6"/>
      <c r="C2268" s="24"/>
      <c r="D2268" s="5"/>
      <c r="E2268" s="5"/>
      <c r="F2268" s="4"/>
      <c r="G2268" s="4"/>
      <c r="H2268" s="4"/>
      <c r="I2268" s="4"/>
      <c r="J2268" s="4"/>
      <c r="K2268" s="4"/>
    </row>
    <row r="2269" spans="2:11">
      <c r="B2269" s="6"/>
      <c r="C2269" s="24"/>
      <c r="D2269" s="5"/>
      <c r="E2269" s="5"/>
      <c r="F2269" s="4"/>
      <c r="G2269" s="4"/>
      <c r="H2269" s="4"/>
      <c r="I2269" s="4"/>
      <c r="J2269" s="4"/>
      <c r="K2269" s="4"/>
    </row>
    <row r="2270" spans="2:11">
      <c r="B2270" s="6"/>
      <c r="C2270" s="24"/>
      <c r="D2270" s="5"/>
      <c r="E2270" s="5"/>
      <c r="F2270" s="4"/>
      <c r="G2270" s="4"/>
      <c r="H2270" s="4"/>
      <c r="I2270" s="4"/>
      <c r="J2270" s="4"/>
      <c r="K2270" s="4"/>
    </row>
    <row r="2271" spans="2:11">
      <c r="B2271" s="6"/>
      <c r="C2271" s="24"/>
      <c r="D2271" s="5"/>
      <c r="E2271" s="5"/>
      <c r="F2271" s="4"/>
      <c r="G2271" s="4"/>
      <c r="H2271" s="4"/>
      <c r="I2271" s="4"/>
      <c r="J2271" s="4"/>
      <c r="K2271" s="4"/>
    </row>
    <row r="2272" spans="2:11">
      <c r="B2272" s="6"/>
      <c r="C2272" s="24"/>
      <c r="D2272" s="5"/>
      <c r="E2272" s="5"/>
      <c r="F2272" s="4"/>
      <c r="G2272" s="4"/>
      <c r="H2272" s="4"/>
      <c r="I2272" s="4"/>
      <c r="J2272" s="4"/>
      <c r="K2272" s="4"/>
    </row>
    <row r="2273" spans="2:11">
      <c r="B2273" s="6"/>
      <c r="C2273" s="24"/>
      <c r="D2273" s="5"/>
      <c r="E2273" s="5"/>
      <c r="F2273" s="4"/>
      <c r="G2273" s="4"/>
      <c r="H2273" s="4"/>
      <c r="I2273" s="4"/>
      <c r="J2273" s="4"/>
      <c r="K2273" s="4"/>
    </row>
    <row r="2274" spans="2:11">
      <c r="B2274" s="6"/>
      <c r="C2274" s="24"/>
      <c r="D2274" s="5"/>
      <c r="E2274" s="5"/>
      <c r="F2274" s="4"/>
      <c r="G2274" s="4"/>
      <c r="H2274" s="4"/>
      <c r="I2274" s="4"/>
      <c r="J2274" s="4"/>
      <c r="K2274" s="4"/>
    </row>
    <row r="2275" spans="2:11">
      <c r="B2275" s="6"/>
      <c r="C2275" s="24"/>
      <c r="D2275" s="5"/>
      <c r="E2275" s="5"/>
      <c r="F2275" s="4"/>
      <c r="G2275" s="4"/>
      <c r="H2275" s="4"/>
      <c r="I2275" s="4"/>
      <c r="J2275" s="4"/>
      <c r="K2275" s="4"/>
    </row>
    <row r="2276" spans="2:11">
      <c r="B2276" s="6"/>
      <c r="C2276" s="24"/>
      <c r="D2276" s="5"/>
      <c r="E2276" s="5"/>
      <c r="F2276" s="4"/>
      <c r="G2276" s="4"/>
      <c r="H2276" s="4"/>
      <c r="I2276" s="4"/>
      <c r="J2276" s="4"/>
      <c r="K2276" s="4"/>
    </row>
    <row r="2277" spans="2:11">
      <c r="B2277" s="6"/>
      <c r="C2277" s="24"/>
      <c r="D2277" s="5"/>
      <c r="E2277" s="5"/>
      <c r="F2277" s="4"/>
      <c r="G2277" s="4"/>
      <c r="H2277" s="4"/>
      <c r="I2277" s="4"/>
      <c r="J2277" s="4"/>
      <c r="K2277" s="4"/>
    </row>
    <row r="2278" spans="2:11">
      <c r="B2278" s="6"/>
      <c r="C2278" s="24"/>
      <c r="D2278" s="5"/>
      <c r="E2278" s="5"/>
      <c r="F2278" s="4"/>
      <c r="G2278" s="4"/>
      <c r="H2278" s="4"/>
      <c r="I2278" s="4"/>
      <c r="J2278" s="4"/>
      <c r="K2278" s="4"/>
    </row>
    <row r="2279" spans="2:11">
      <c r="B2279" s="6"/>
      <c r="C2279" s="24"/>
      <c r="D2279" s="5"/>
      <c r="E2279" s="5"/>
      <c r="F2279" s="4"/>
      <c r="G2279" s="4"/>
      <c r="H2279" s="4"/>
      <c r="I2279" s="4"/>
      <c r="J2279" s="4"/>
      <c r="K2279" s="4"/>
    </row>
    <row r="2280" spans="2:11">
      <c r="B2280" s="6"/>
      <c r="C2280" s="24"/>
      <c r="D2280" s="5"/>
      <c r="E2280" s="5"/>
      <c r="F2280" s="4"/>
      <c r="G2280" s="4"/>
      <c r="H2280" s="4"/>
      <c r="I2280" s="4"/>
      <c r="J2280" s="4"/>
      <c r="K2280" s="4"/>
    </row>
    <row r="2281" spans="2:11">
      <c r="B2281" s="6"/>
      <c r="C2281" s="24"/>
      <c r="D2281" s="5"/>
      <c r="E2281" s="5"/>
      <c r="F2281" s="4"/>
      <c r="G2281" s="4"/>
      <c r="H2281" s="4"/>
      <c r="I2281" s="4"/>
      <c r="J2281" s="4"/>
      <c r="K2281" s="4"/>
    </row>
    <row r="2282" spans="2:11">
      <c r="B2282" s="6"/>
      <c r="C2282" s="24"/>
      <c r="D2282" s="5"/>
      <c r="E2282" s="5"/>
      <c r="F2282" s="4"/>
      <c r="G2282" s="4"/>
      <c r="H2282" s="4"/>
      <c r="I2282" s="4"/>
      <c r="J2282" s="4"/>
      <c r="K2282" s="4"/>
    </row>
    <row r="2283" spans="2:11">
      <c r="B2283" s="6"/>
      <c r="C2283" s="24"/>
      <c r="D2283" s="5"/>
      <c r="E2283" s="5"/>
      <c r="F2283" s="4"/>
      <c r="G2283" s="4"/>
      <c r="H2283" s="4"/>
      <c r="I2283" s="4"/>
      <c r="J2283" s="4"/>
      <c r="K2283" s="4"/>
    </row>
    <row r="2284" spans="2:11">
      <c r="B2284" s="6"/>
      <c r="C2284" s="24"/>
      <c r="D2284" s="5"/>
      <c r="E2284" s="5"/>
      <c r="F2284" s="4"/>
      <c r="G2284" s="4"/>
      <c r="H2284" s="4"/>
      <c r="I2284" s="4"/>
      <c r="J2284" s="4"/>
      <c r="K2284" s="4"/>
    </row>
    <row r="2285" spans="2:11">
      <c r="B2285" s="6"/>
      <c r="C2285" s="24"/>
      <c r="D2285" s="5"/>
      <c r="E2285" s="5"/>
      <c r="F2285" s="4"/>
      <c r="G2285" s="4"/>
      <c r="H2285" s="4"/>
      <c r="I2285" s="4"/>
      <c r="J2285" s="4"/>
      <c r="K2285" s="4"/>
    </row>
    <row r="2286" spans="2:11">
      <c r="B2286" s="6"/>
      <c r="C2286" s="24"/>
      <c r="D2286" s="5"/>
      <c r="E2286" s="5"/>
      <c r="F2286" s="4"/>
      <c r="G2286" s="4"/>
      <c r="H2286" s="4"/>
      <c r="I2286" s="4"/>
      <c r="J2286" s="4"/>
      <c r="K2286" s="4"/>
    </row>
    <row r="2287" spans="2:11">
      <c r="B2287" s="6"/>
      <c r="C2287" s="24"/>
      <c r="D2287" s="5"/>
      <c r="E2287" s="5"/>
      <c r="F2287" s="4"/>
      <c r="G2287" s="4"/>
      <c r="H2287" s="4"/>
      <c r="I2287" s="4"/>
      <c r="J2287" s="4"/>
      <c r="K2287" s="4"/>
    </row>
    <row r="2288" spans="2:11">
      <c r="B2288" s="6"/>
      <c r="C2288" s="24"/>
      <c r="D2288" s="5"/>
      <c r="E2288" s="5"/>
      <c r="F2288" s="4"/>
      <c r="G2288" s="4"/>
      <c r="H2288" s="4"/>
      <c r="I2288" s="4"/>
      <c r="J2288" s="4"/>
      <c r="K2288" s="4"/>
    </row>
    <row r="2289" spans="2:11">
      <c r="B2289" s="6"/>
      <c r="C2289" s="24"/>
      <c r="D2289" s="5"/>
      <c r="E2289" s="5"/>
      <c r="F2289" s="4"/>
      <c r="G2289" s="4"/>
      <c r="H2289" s="4"/>
      <c r="I2289" s="4"/>
      <c r="J2289" s="4"/>
      <c r="K2289" s="4"/>
    </row>
    <row r="2290" spans="2:11">
      <c r="B2290" s="6"/>
      <c r="C2290" s="24"/>
      <c r="D2290" s="5"/>
      <c r="E2290" s="5"/>
      <c r="F2290" s="4"/>
      <c r="G2290" s="4"/>
      <c r="H2290" s="4"/>
      <c r="I2290" s="4"/>
      <c r="J2290" s="4"/>
      <c r="K2290" s="4"/>
    </row>
    <row r="2291" spans="2:11">
      <c r="B2291" s="6"/>
      <c r="C2291" s="24"/>
      <c r="D2291" s="5"/>
      <c r="E2291" s="5"/>
      <c r="F2291" s="4"/>
      <c r="G2291" s="4"/>
      <c r="H2291" s="4"/>
      <c r="I2291" s="4"/>
      <c r="J2291" s="4"/>
      <c r="K2291" s="4"/>
    </row>
    <row r="2292" spans="2:11">
      <c r="B2292" s="6"/>
      <c r="C2292" s="24"/>
      <c r="D2292" s="5"/>
      <c r="E2292" s="5"/>
      <c r="F2292" s="4"/>
      <c r="G2292" s="4"/>
      <c r="H2292" s="4"/>
      <c r="I2292" s="4"/>
      <c r="J2292" s="4"/>
      <c r="K2292" s="4"/>
    </row>
    <row r="2293" spans="2:11">
      <c r="B2293" s="6"/>
      <c r="C2293" s="24"/>
      <c r="D2293" s="5"/>
      <c r="E2293" s="5"/>
      <c r="F2293" s="4"/>
      <c r="G2293" s="4"/>
      <c r="H2293" s="4"/>
      <c r="I2293" s="4"/>
      <c r="J2293" s="4"/>
      <c r="K2293" s="4"/>
    </row>
    <row r="2294" spans="2:11">
      <c r="B2294" s="6"/>
      <c r="C2294" s="24"/>
      <c r="D2294" s="5"/>
      <c r="E2294" s="5"/>
      <c r="F2294" s="4"/>
      <c r="G2294" s="4"/>
      <c r="H2294" s="4"/>
      <c r="I2294" s="4"/>
      <c r="J2294" s="4"/>
      <c r="K2294" s="4"/>
    </row>
    <row r="2295" spans="2:11">
      <c r="B2295" s="6"/>
      <c r="C2295" s="24"/>
      <c r="D2295" s="5"/>
      <c r="E2295" s="5"/>
      <c r="F2295" s="4"/>
      <c r="G2295" s="4"/>
      <c r="H2295" s="4"/>
      <c r="I2295" s="4"/>
      <c r="J2295" s="4"/>
      <c r="K2295" s="4"/>
    </row>
    <row r="2296" spans="2:11">
      <c r="B2296" s="6"/>
      <c r="C2296" s="24"/>
      <c r="D2296" s="5"/>
      <c r="E2296" s="5"/>
      <c r="F2296" s="4"/>
      <c r="G2296" s="4"/>
      <c r="H2296" s="4"/>
      <c r="I2296" s="4"/>
      <c r="J2296" s="4"/>
      <c r="K2296" s="4"/>
    </row>
    <row r="2297" spans="2:11">
      <c r="B2297" s="6"/>
      <c r="C2297" s="24"/>
      <c r="D2297" s="5"/>
      <c r="E2297" s="5"/>
      <c r="F2297" s="4"/>
      <c r="G2297" s="4"/>
      <c r="H2297" s="4"/>
      <c r="I2297" s="4"/>
      <c r="J2297" s="4"/>
      <c r="K2297" s="4"/>
    </row>
    <row r="2298" spans="2:11">
      <c r="B2298" s="6"/>
      <c r="C2298" s="24"/>
      <c r="D2298" s="5"/>
      <c r="E2298" s="5"/>
      <c r="F2298" s="4"/>
      <c r="G2298" s="4"/>
      <c r="H2298" s="4"/>
      <c r="I2298" s="4"/>
      <c r="J2298" s="4"/>
      <c r="K2298" s="4"/>
    </row>
    <row r="2299" spans="2:11">
      <c r="B2299" s="6"/>
      <c r="C2299" s="24"/>
      <c r="D2299" s="5"/>
      <c r="E2299" s="5"/>
      <c r="F2299" s="4"/>
      <c r="G2299" s="4"/>
      <c r="H2299" s="4"/>
      <c r="I2299" s="4"/>
      <c r="J2299" s="4"/>
      <c r="K2299" s="4"/>
    </row>
    <row r="2300" spans="2:11">
      <c r="B2300" s="6"/>
      <c r="C2300" s="24"/>
      <c r="D2300" s="5"/>
      <c r="E2300" s="5"/>
      <c r="F2300" s="4"/>
      <c r="G2300" s="4"/>
      <c r="H2300" s="4"/>
      <c r="I2300" s="4"/>
      <c r="J2300" s="4"/>
      <c r="K2300" s="4"/>
    </row>
    <row r="2301" spans="2:11">
      <c r="B2301" s="6"/>
      <c r="C2301" s="24"/>
      <c r="D2301" s="5"/>
      <c r="E2301" s="5"/>
      <c r="F2301" s="4"/>
      <c r="G2301" s="4"/>
      <c r="H2301" s="4"/>
      <c r="I2301" s="4"/>
      <c r="J2301" s="4"/>
      <c r="K2301" s="4"/>
    </row>
    <row r="2302" spans="2:11">
      <c r="B2302" s="6"/>
      <c r="C2302" s="24"/>
      <c r="D2302" s="5"/>
      <c r="E2302" s="5"/>
      <c r="F2302" s="4"/>
      <c r="G2302" s="4"/>
      <c r="H2302" s="4"/>
      <c r="I2302" s="4"/>
      <c r="J2302" s="4"/>
      <c r="K2302" s="4"/>
    </row>
    <row r="2303" spans="2:11">
      <c r="B2303" s="6"/>
      <c r="C2303" s="24"/>
      <c r="D2303" s="5"/>
      <c r="E2303" s="5"/>
      <c r="F2303" s="4"/>
      <c r="G2303" s="4"/>
      <c r="H2303" s="4"/>
      <c r="I2303" s="4"/>
      <c r="J2303" s="4"/>
      <c r="K2303" s="4"/>
    </row>
    <row r="2304" spans="2:11">
      <c r="B2304" s="6"/>
      <c r="C2304" s="24"/>
      <c r="D2304" s="5"/>
      <c r="E2304" s="5"/>
      <c r="F2304" s="4"/>
      <c r="G2304" s="4"/>
      <c r="H2304" s="4"/>
      <c r="I2304" s="4"/>
      <c r="J2304" s="4"/>
      <c r="K2304" s="4"/>
    </row>
    <row r="2305" spans="2:11">
      <c r="B2305" s="6"/>
      <c r="C2305" s="24"/>
      <c r="D2305" s="5"/>
      <c r="E2305" s="5"/>
      <c r="F2305" s="4"/>
      <c r="G2305" s="4"/>
      <c r="H2305" s="4"/>
      <c r="I2305" s="4"/>
      <c r="J2305" s="4"/>
      <c r="K2305" s="4"/>
    </row>
    <row r="2306" spans="2:11">
      <c r="B2306" s="6"/>
      <c r="C2306" s="24"/>
      <c r="D2306" s="5"/>
      <c r="E2306" s="5"/>
      <c r="F2306" s="4"/>
      <c r="G2306" s="4"/>
      <c r="H2306" s="4"/>
      <c r="I2306" s="4"/>
      <c r="J2306" s="4"/>
      <c r="K2306" s="4"/>
    </row>
    <row r="2307" spans="2:11">
      <c r="B2307" s="6"/>
      <c r="C2307" s="24"/>
      <c r="D2307" s="5"/>
      <c r="E2307" s="5"/>
      <c r="F2307" s="4"/>
      <c r="G2307" s="4"/>
      <c r="H2307" s="4"/>
      <c r="I2307" s="4"/>
      <c r="J2307" s="4"/>
      <c r="K2307" s="4"/>
    </row>
    <row r="2308" spans="2:11">
      <c r="B2308" s="6"/>
      <c r="C2308" s="24"/>
      <c r="D2308" s="5"/>
      <c r="E2308" s="5"/>
      <c r="F2308" s="4"/>
      <c r="G2308" s="4"/>
      <c r="H2308" s="4"/>
      <c r="I2308" s="4"/>
      <c r="J2308" s="4"/>
      <c r="K2308" s="4"/>
    </row>
    <row r="2309" spans="2:11">
      <c r="B2309" s="6"/>
      <c r="C2309" s="24"/>
      <c r="D2309" s="5"/>
      <c r="E2309" s="5"/>
      <c r="F2309" s="4"/>
      <c r="G2309" s="4"/>
      <c r="H2309" s="4"/>
      <c r="I2309" s="4"/>
      <c r="J2309" s="4"/>
      <c r="K2309" s="4"/>
    </row>
    <row r="2310" spans="2:11">
      <c r="B2310" s="6"/>
      <c r="C2310" s="24"/>
      <c r="D2310" s="5"/>
      <c r="E2310" s="5"/>
      <c r="F2310" s="4"/>
      <c r="G2310" s="4"/>
      <c r="H2310" s="4"/>
      <c r="I2310" s="4"/>
      <c r="J2310" s="4"/>
      <c r="K2310" s="4"/>
    </row>
    <row r="2311" spans="2:11">
      <c r="B2311" s="6"/>
      <c r="C2311" s="24"/>
      <c r="D2311" s="5"/>
      <c r="E2311" s="5"/>
      <c r="F2311" s="4"/>
      <c r="G2311" s="4"/>
      <c r="H2311" s="4"/>
      <c r="I2311" s="4"/>
      <c r="J2311" s="4"/>
      <c r="K2311" s="4"/>
    </row>
    <row r="2312" spans="2:11">
      <c r="B2312" s="6"/>
      <c r="C2312" s="24"/>
      <c r="D2312" s="5"/>
      <c r="E2312" s="5"/>
      <c r="F2312" s="4"/>
      <c r="G2312" s="4"/>
      <c r="H2312" s="4"/>
      <c r="I2312" s="4"/>
      <c r="J2312" s="4"/>
      <c r="K2312" s="4"/>
    </row>
    <row r="2313" spans="2:11">
      <c r="B2313" s="6"/>
      <c r="C2313" s="24"/>
      <c r="D2313" s="5"/>
      <c r="E2313" s="5"/>
      <c r="F2313" s="4"/>
      <c r="G2313" s="4"/>
      <c r="H2313" s="4"/>
      <c r="I2313" s="4"/>
      <c r="J2313" s="4"/>
      <c r="K2313" s="4"/>
    </row>
    <row r="2314" spans="2:11">
      <c r="B2314" s="6"/>
      <c r="C2314" s="24"/>
      <c r="D2314" s="5"/>
      <c r="E2314" s="5"/>
      <c r="F2314" s="4"/>
      <c r="G2314" s="4"/>
      <c r="H2314" s="4"/>
      <c r="I2314" s="4"/>
      <c r="J2314" s="4"/>
      <c r="K2314" s="4"/>
    </row>
    <row r="2315" spans="2:11">
      <c r="B2315" s="6"/>
      <c r="C2315" s="24"/>
      <c r="D2315" s="5"/>
      <c r="E2315" s="5"/>
      <c r="F2315" s="4"/>
      <c r="G2315" s="4"/>
      <c r="H2315" s="4"/>
      <c r="I2315" s="4"/>
      <c r="J2315" s="4"/>
      <c r="K2315" s="4"/>
    </row>
    <row r="2316" spans="2:11">
      <c r="B2316" s="6"/>
      <c r="C2316" s="24"/>
      <c r="D2316" s="5"/>
      <c r="E2316" s="5"/>
      <c r="F2316" s="4"/>
      <c r="G2316" s="4"/>
      <c r="H2316" s="4"/>
      <c r="I2316" s="4"/>
      <c r="J2316" s="4"/>
      <c r="K2316" s="4"/>
    </row>
    <row r="2317" spans="2:11">
      <c r="B2317" s="6"/>
      <c r="C2317" s="24"/>
      <c r="D2317" s="5"/>
      <c r="E2317" s="5"/>
      <c r="F2317" s="4"/>
      <c r="G2317" s="4"/>
      <c r="H2317" s="4"/>
      <c r="I2317" s="4"/>
      <c r="J2317" s="4"/>
      <c r="K2317" s="4"/>
    </row>
    <row r="2318" spans="2:11">
      <c r="B2318" s="6"/>
      <c r="C2318" s="24"/>
      <c r="D2318" s="5"/>
      <c r="E2318" s="5"/>
      <c r="F2318" s="4"/>
      <c r="G2318" s="4"/>
      <c r="H2318" s="4"/>
      <c r="I2318" s="4"/>
      <c r="J2318" s="4"/>
      <c r="K2318" s="4"/>
    </row>
    <row r="2319" spans="2:11">
      <c r="B2319" s="6"/>
      <c r="C2319" s="24"/>
      <c r="D2319" s="5"/>
      <c r="E2319" s="5"/>
      <c r="F2319" s="4"/>
      <c r="G2319" s="4"/>
      <c r="H2319" s="4"/>
      <c r="I2319" s="4"/>
      <c r="J2319" s="4"/>
      <c r="K2319" s="4"/>
    </row>
    <row r="2320" spans="2:11">
      <c r="B2320" s="6"/>
      <c r="C2320" s="24"/>
      <c r="D2320" s="5"/>
      <c r="E2320" s="5"/>
      <c r="F2320" s="4"/>
      <c r="G2320" s="4"/>
      <c r="H2320" s="4"/>
      <c r="I2320" s="4"/>
      <c r="J2320" s="4"/>
      <c r="K2320" s="4"/>
    </row>
    <row r="2321" spans="2:11">
      <c r="B2321" s="6"/>
      <c r="C2321" s="24"/>
      <c r="D2321" s="5"/>
      <c r="E2321" s="5"/>
      <c r="F2321" s="4"/>
      <c r="G2321" s="4"/>
      <c r="H2321" s="4"/>
      <c r="I2321" s="4"/>
      <c r="J2321" s="4"/>
      <c r="K2321" s="4"/>
    </row>
    <row r="2322" spans="2:11">
      <c r="B2322" s="6"/>
      <c r="C2322" s="24"/>
      <c r="D2322" s="5"/>
      <c r="E2322" s="5"/>
      <c r="F2322" s="4"/>
      <c r="G2322" s="4"/>
      <c r="H2322" s="4"/>
      <c r="I2322" s="4"/>
      <c r="J2322" s="4"/>
      <c r="K2322" s="4"/>
    </row>
    <row r="2323" spans="2:11">
      <c r="B2323" s="6"/>
      <c r="C2323" s="24"/>
      <c r="D2323" s="5"/>
      <c r="E2323" s="5"/>
      <c r="F2323" s="4"/>
      <c r="G2323" s="4"/>
      <c r="H2323" s="4"/>
      <c r="I2323" s="4"/>
      <c r="J2323" s="4"/>
      <c r="K2323" s="4"/>
    </row>
    <row r="2324" spans="2:11">
      <c r="B2324" s="6"/>
      <c r="C2324" s="24"/>
      <c r="D2324" s="5"/>
      <c r="E2324" s="5"/>
      <c r="F2324" s="4"/>
      <c r="G2324" s="4"/>
      <c r="H2324" s="4"/>
      <c r="I2324" s="4"/>
      <c r="J2324" s="4"/>
      <c r="K2324" s="4"/>
    </row>
    <row r="2325" spans="2:11">
      <c r="B2325" s="6"/>
      <c r="C2325" s="24"/>
      <c r="D2325" s="5"/>
      <c r="E2325" s="5"/>
      <c r="F2325" s="4"/>
      <c r="G2325" s="4"/>
      <c r="H2325" s="4"/>
      <c r="I2325" s="4"/>
      <c r="J2325" s="4"/>
      <c r="K2325" s="4"/>
    </row>
    <row r="2326" spans="2:11">
      <c r="B2326" s="6"/>
      <c r="C2326" s="24"/>
      <c r="D2326" s="5"/>
      <c r="E2326" s="5"/>
      <c r="F2326" s="4"/>
      <c r="G2326" s="4"/>
      <c r="H2326" s="4"/>
      <c r="I2326" s="4"/>
      <c r="J2326" s="4"/>
      <c r="K2326" s="4"/>
    </row>
    <row r="2327" spans="2:11">
      <c r="B2327" s="6"/>
      <c r="C2327" s="24"/>
      <c r="D2327" s="5"/>
      <c r="E2327" s="5"/>
      <c r="F2327" s="4"/>
      <c r="G2327" s="4"/>
      <c r="H2327" s="4"/>
      <c r="I2327" s="4"/>
      <c r="J2327" s="4"/>
      <c r="K2327" s="4"/>
    </row>
    <row r="2328" spans="2:11">
      <c r="B2328" s="6"/>
      <c r="C2328" s="24"/>
      <c r="D2328" s="5"/>
      <c r="E2328" s="5"/>
      <c r="F2328" s="4"/>
      <c r="G2328" s="4"/>
      <c r="H2328" s="4"/>
      <c r="I2328" s="4"/>
      <c r="J2328" s="4"/>
      <c r="K2328" s="4"/>
    </row>
    <row r="2329" spans="2:11">
      <c r="B2329" s="6"/>
      <c r="C2329" s="24"/>
      <c r="D2329" s="5"/>
      <c r="E2329" s="5"/>
      <c r="F2329" s="4"/>
      <c r="G2329" s="4"/>
      <c r="H2329" s="4"/>
      <c r="I2329" s="4"/>
      <c r="J2329" s="4"/>
      <c r="K2329" s="4"/>
    </row>
    <row r="2330" spans="2:11">
      <c r="B2330" s="6"/>
      <c r="C2330" s="24"/>
      <c r="D2330" s="5"/>
      <c r="E2330" s="5"/>
      <c r="F2330" s="4"/>
      <c r="G2330" s="4"/>
      <c r="H2330" s="4"/>
      <c r="I2330" s="4"/>
      <c r="J2330" s="4"/>
      <c r="K2330" s="4"/>
    </row>
    <row r="2331" spans="2:11">
      <c r="B2331" s="6"/>
      <c r="C2331" s="24"/>
      <c r="D2331" s="5"/>
      <c r="E2331" s="5"/>
      <c r="F2331" s="4"/>
      <c r="G2331" s="4"/>
      <c r="H2331" s="4"/>
      <c r="I2331" s="4"/>
      <c r="J2331" s="4"/>
      <c r="K2331" s="4"/>
    </row>
    <row r="2332" spans="2:11">
      <c r="B2332" s="6"/>
      <c r="C2332" s="24"/>
      <c r="D2332" s="5"/>
      <c r="E2332" s="5"/>
      <c r="F2332" s="4"/>
      <c r="G2332" s="4"/>
      <c r="H2332" s="4"/>
      <c r="I2332" s="4"/>
      <c r="J2332" s="4"/>
      <c r="K2332" s="4"/>
    </row>
    <row r="2333" spans="2:11">
      <c r="B2333" s="6"/>
      <c r="C2333" s="24"/>
      <c r="D2333" s="5"/>
      <c r="E2333" s="5"/>
      <c r="F2333" s="4"/>
      <c r="G2333" s="4"/>
      <c r="H2333" s="4"/>
      <c r="I2333" s="4"/>
      <c r="J2333" s="4"/>
      <c r="K2333" s="4"/>
    </row>
    <row r="2334" spans="2:11">
      <c r="B2334" s="6"/>
      <c r="C2334" s="24"/>
      <c r="D2334" s="5"/>
      <c r="E2334" s="5"/>
      <c r="F2334" s="4"/>
      <c r="G2334" s="4"/>
      <c r="H2334" s="4"/>
      <c r="I2334" s="4"/>
      <c r="J2334" s="4"/>
      <c r="K2334" s="4"/>
    </row>
    <row r="2335" spans="2:11">
      <c r="B2335" s="6"/>
      <c r="C2335" s="24"/>
      <c r="D2335" s="5"/>
      <c r="E2335" s="5"/>
      <c r="F2335" s="4"/>
      <c r="G2335" s="4"/>
      <c r="H2335" s="4"/>
      <c r="I2335" s="4"/>
      <c r="J2335" s="4"/>
      <c r="K2335" s="4"/>
    </row>
    <row r="2336" spans="2:11">
      <c r="B2336" s="6"/>
      <c r="C2336" s="24"/>
      <c r="D2336" s="5"/>
      <c r="E2336" s="5"/>
      <c r="F2336" s="4"/>
      <c r="G2336" s="4"/>
      <c r="H2336" s="4"/>
      <c r="I2336" s="4"/>
      <c r="J2336" s="4"/>
      <c r="K2336" s="4"/>
    </row>
    <row r="2337" spans="2:11">
      <c r="B2337" s="6"/>
      <c r="C2337" s="24"/>
      <c r="D2337" s="5"/>
      <c r="E2337" s="5"/>
      <c r="F2337" s="4"/>
      <c r="G2337" s="4"/>
      <c r="H2337" s="4"/>
      <c r="I2337" s="4"/>
      <c r="J2337" s="4"/>
      <c r="K2337" s="4"/>
    </row>
    <row r="2338" spans="2:11">
      <c r="B2338" s="6"/>
      <c r="C2338" s="24"/>
      <c r="D2338" s="5"/>
      <c r="E2338" s="5"/>
      <c r="F2338" s="4"/>
      <c r="G2338" s="4"/>
      <c r="H2338" s="4"/>
      <c r="I2338" s="4"/>
      <c r="J2338" s="4"/>
      <c r="K2338" s="4"/>
    </row>
    <row r="2339" spans="2:11">
      <c r="B2339" s="6"/>
      <c r="C2339" s="24"/>
      <c r="D2339" s="5"/>
      <c r="E2339" s="5"/>
      <c r="F2339" s="4"/>
      <c r="G2339" s="4"/>
      <c r="H2339" s="4"/>
      <c r="I2339" s="4"/>
      <c r="J2339" s="4"/>
      <c r="K2339" s="4"/>
    </row>
    <row r="2340" spans="2:11">
      <c r="B2340" s="6"/>
      <c r="C2340" s="24"/>
      <c r="D2340" s="5"/>
      <c r="E2340" s="5"/>
      <c r="F2340" s="4"/>
      <c r="G2340" s="4"/>
      <c r="H2340" s="4"/>
      <c r="I2340" s="4"/>
      <c r="J2340" s="4"/>
      <c r="K2340" s="4"/>
    </row>
    <row r="2341" spans="2:11">
      <c r="B2341" s="6"/>
      <c r="C2341" s="24"/>
      <c r="D2341" s="5"/>
      <c r="E2341" s="5"/>
      <c r="F2341" s="4"/>
      <c r="G2341" s="4"/>
      <c r="H2341" s="4"/>
      <c r="I2341" s="4"/>
      <c r="J2341" s="4"/>
      <c r="K2341" s="4"/>
    </row>
    <row r="2342" spans="2:11">
      <c r="B2342" s="6"/>
      <c r="C2342" s="24"/>
      <c r="D2342" s="5"/>
      <c r="E2342" s="5"/>
      <c r="F2342" s="4"/>
      <c r="G2342" s="4"/>
      <c r="H2342" s="4"/>
      <c r="I2342" s="4"/>
      <c r="J2342" s="4"/>
      <c r="K2342" s="4"/>
    </row>
    <row r="2343" spans="2:11">
      <c r="B2343" s="6"/>
      <c r="C2343" s="24"/>
      <c r="D2343" s="5"/>
      <c r="E2343" s="5"/>
      <c r="F2343" s="4"/>
      <c r="G2343" s="4"/>
      <c r="H2343" s="4"/>
      <c r="I2343" s="4"/>
      <c r="J2343" s="4"/>
      <c r="K2343" s="4"/>
    </row>
    <row r="2344" spans="2:11">
      <c r="B2344" s="6"/>
      <c r="C2344" s="24"/>
      <c r="D2344" s="5"/>
      <c r="E2344" s="5"/>
      <c r="F2344" s="4"/>
      <c r="G2344" s="4"/>
      <c r="H2344" s="4"/>
      <c r="I2344" s="4"/>
      <c r="J2344" s="4"/>
      <c r="K2344" s="4"/>
    </row>
    <row r="2345" spans="2:11">
      <c r="B2345" s="6"/>
      <c r="C2345" s="24"/>
      <c r="D2345" s="5"/>
      <c r="E2345" s="5"/>
      <c r="F2345" s="4"/>
      <c r="G2345" s="4"/>
      <c r="H2345" s="4"/>
      <c r="I2345" s="4"/>
      <c r="J2345" s="4"/>
      <c r="K2345" s="4"/>
    </row>
    <row r="2346" spans="2:11">
      <c r="B2346" s="6"/>
      <c r="C2346" s="24"/>
      <c r="D2346" s="5"/>
      <c r="E2346" s="5"/>
      <c r="F2346" s="4"/>
      <c r="G2346" s="4"/>
      <c r="H2346" s="4"/>
      <c r="I2346" s="4"/>
      <c r="J2346" s="4"/>
      <c r="K2346" s="4"/>
    </row>
    <row r="2347" spans="2:11">
      <c r="B2347" s="6"/>
      <c r="C2347" s="24"/>
      <c r="D2347" s="5"/>
      <c r="E2347" s="5"/>
      <c r="F2347" s="4"/>
      <c r="G2347" s="4"/>
      <c r="H2347" s="4"/>
      <c r="I2347" s="4"/>
      <c r="J2347" s="4"/>
      <c r="K2347" s="4"/>
    </row>
    <row r="2348" spans="2:11">
      <c r="B2348" s="6"/>
      <c r="C2348" s="24"/>
      <c r="D2348" s="5"/>
      <c r="E2348" s="5"/>
      <c r="F2348" s="4"/>
      <c r="G2348" s="4"/>
      <c r="H2348" s="4"/>
      <c r="I2348" s="4"/>
      <c r="J2348" s="4"/>
      <c r="K2348" s="4"/>
    </row>
    <row r="2349" spans="2:11">
      <c r="B2349" s="6"/>
      <c r="C2349" s="24"/>
      <c r="D2349" s="5"/>
      <c r="E2349" s="5"/>
      <c r="F2349" s="4"/>
      <c r="G2349" s="4"/>
      <c r="H2349" s="4"/>
      <c r="I2349" s="4"/>
      <c r="J2349" s="4"/>
      <c r="K2349" s="4"/>
    </row>
    <row r="2350" spans="2:11">
      <c r="B2350" s="6"/>
      <c r="C2350" s="24"/>
      <c r="D2350" s="5"/>
      <c r="E2350" s="5"/>
      <c r="F2350" s="4"/>
      <c r="G2350" s="4"/>
      <c r="H2350" s="4"/>
      <c r="I2350" s="4"/>
      <c r="J2350" s="4"/>
      <c r="K2350" s="4"/>
    </row>
    <row r="2351" spans="2:11">
      <c r="B2351" s="6"/>
      <c r="C2351" s="24"/>
      <c r="D2351" s="5"/>
      <c r="E2351" s="5"/>
      <c r="F2351" s="4"/>
      <c r="G2351" s="4"/>
      <c r="H2351" s="4"/>
      <c r="I2351" s="4"/>
      <c r="J2351" s="4"/>
      <c r="K2351" s="4"/>
    </row>
    <row r="2352" spans="2:11">
      <c r="B2352" s="6"/>
      <c r="C2352" s="24"/>
      <c r="D2352" s="5"/>
      <c r="E2352" s="5"/>
      <c r="F2352" s="4"/>
      <c r="G2352" s="4"/>
      <c r="H2352" s="4"/>
      <c r="I2352" s="4"/>
      <c r="J2352" s="4"/>
      <c r="K2352" s="4"/>
    </row>
    <row r="2353" spans="2:11">
      <c r="B2353" s="6"/>
      <c r="C2353" s="24"/>
      <c r="D2353" s="5"/>
      <c r="E2353" s="5"/>
      <c r="F2353" s="4"/>
      <c r="G2353" s="4"/>
      <c r="H2353" s="4"/>
      <c r="I2353" s="4"/>
      <c r="J2353" s="4"/>
      <c r="K2353" s="4"/>
    </row>
    <row r="2354" spans="2:11">
      <c r="B2354" s="6"/>
      <c r="C2354" s="24"/>
      <c r="D2354" s="5"/>
      <c r="E2354" s="5"/>
      <c r="F2354" s="4"/>
      <c r="G2354" s="4"/>
      <c r="H2354" s="4"/>
      <c r="I2354" s="4"/>
      <c r="J2354" s="4"/>
      <c r="K2354" s="4"/>
    </row>
    <row r="2355" spans="2:11">
      <c r="B2355" s="6"/>
      <c r="C2355" s="24"/>
      <c r="D2355" s="5"/>
      <c r="E2355" s="5"/>
      <c r="F2355" s="4"/>
      <c r="G2355" s="4"/>
      <c r="H2355" s="4"/>
      <c r="I2355" s="4"/>
      <c r="J2355" s="4"/>
      <c r="K2355" s="4"/>
    </row>
    <row r="2356" spans="2:11">
      <c r="B2356" s="6"/>
      <c r="C2356" s="24"/>
      <c r="D2356" s="5"/>
      <c r="E2356" s="5"/>
      <c r="F2356" s="4"/>
      <c r="G2356" s="4"/>
      <c r="H2356" s="4"/>
      <c r="I2356" s="4"/>
      <c r="J2356" s="4"/>
      <c r="K2356" s="4"/>
    </row>
    <row r="2357" spans="2:11">
      <c r="B2357" s="6"/>
      <c r="C2357" s="24"/>
      <c r="D2357" s="5"/>
      <c r="E2357" s="5"/>
      <c r="F2357" s="4"/>
      <c r="G2357" s="4"/>
      <c r="H2357" s="4"/>
      <c r="I2357" s="4"/>
      <c r="J2357" s="4"/>
      <c r="K2357" s="4"/>
    </row>
    <row r="2358" spans="2:11">
      <c r="B2358" s="6"/>
      <c r="C2358" s="24"/>
      <c r="D2358" s="5"/>
      <c r="E2358" s="5"/>
      <c r="F2358" s="4"/>
      <c r="G2358" s="4"/>
      <c r="H2358" s="4"/>
      <c r="I2358" s="4"/>
      <c r="J2358" s="4"/>
      <c r="K2358" s="4"/>
    </row>
    <row r="2359" spans="2:11">
      <c r="B2359" s="6"/>
      <c r="C2359" s="24"/>
      <c r="D2359" s="5"/>
      <c r="E2359" s="5"/>
      <c r="F2359" s="4"/>
      <c r="G2359" s="4"/>
      <c r="H2359" s="4"/>
      <c r="I2359" s="4"/>
      <c r="J2359" s="4"/>
      <c r="K2359" s="4"/>
    </row>
    <row r="2360" spans="2:11">
      <c r="B2360" s="6"/>
      <c r="C2360" s="24"/>
      <c r="D2360" s="5"/>
      <c r="E2360" s="5"/>
      <c r="F2360" s="4"/>
      <c r="G2360" s="4"/>
      <c r="H2360" s="4"/>
      <c r="I2360" s="4"/>
      <c r="J2360" s="4"/>
      <c r="K2360" s="4"/>
    </row>
    <row r="2361" spans="2:11">
      <c r="B2361" s="6"/>
      <c r="C2361" s="24"/>
      <c r="D2361" s="5"/>
      <c r="E2361" s="5"/>
      <c r="F2361" s="4"/>
      <c r="G2361" s="4"/>
      <c r="H2361" s="4"/>
      <c r="I2361" s="4"/>
      <c r="J2361" s="4"/>
      <c r="K2361" s="4"/>
    </row>
    <row r="2362" spans="2:11">
      <c r="B2362" s="6"/>
      <c r="C2362" s="24"/>
      <c r="D2362" s="5"/>
      <c r="E2362" s="5"/>
      <c r="F2362" s="4"/>
      <c r="G2362" s="4"/>
      <c r="H2362" s="4"/>
      <c r="I2362" s="4"/>
      <c r="J2362" s="4"/>
      <c r="K2362" s="4"/>
    </row>
    <row r="2363" spans="2:11">
      <c r="B2363" s="6"/>
      <c r="C2363" s="24"/>
      <c r="D2363" s="5"/>
      <c r="E2363" s="5"/>
      <c r="F2363" s="4"/>
      <c r="G2363" s="4"/>
      <c r="H2363" s="4"/>
      <c r="I2363" s="4"/>
      <c r="J2363" s="4"/>
      <c r="K2363" s="4"/>
    </row>
    <row r="2364" spans="2:11">
      <c r="B2364" s="6"/>
      <c r="C2364" s="24"/>
      <c r="D2364" s="5"/>
      <c r="E2364" s="5"/>
      <c r="F2364" s="4"/>
      <c r="G2364" s="4"/>
      <c r="H2364" s="4"/>
      <c r="I2364" s="4"/>
      <c r="J2364" s="4"/>
      <c r="K2364" s="4"/>
    </row>
    <row r="2365" spans="2:11">
      <c r="B2365" s="6"/>
      <c r="C2365" s="24"/>
      <c r="D2365" s="5"/>
      <c r="E2365" s="5"/>
      <c r="F2365" s="4"/>
      <c r="G2365" s="4"/>
      <c r="H2365" s="4"/>
      <c r="I2365" s="4"/>
      <c r="J2365" s="4"/>
      <c r="K2365" s="4"/>
    </row>
    <row r="2366" spans="2:11">
      <c r="B2366" s="6"/>
      <c r="C2366" s="24"/>
      <c r="D2366" s="5"/>
      <c r="E2366" s="5"/>
      <c r="F2366" s="4"/>
      <c r="G2366" s="4"/>
      <c r="H2366" s="4"/>
      <c r="I2366" s="4"/>
      <c r="J2366" s="4"/>
      <c r="K2366" s="4"/>
    </row>
    <row r="2367" spans="2:11">
      <c r="B2367" s="6"/>
      <c r="C2367" s="24"/>
      <c r="D2367" s="5"/>
      <c r="E2367" s="5"/>
      <c r="F2367" s="4"/>
      <c r="G2367" s="4"/>
      <c r="H2367" s="4"/>
      <c r="I2367" s="4"/>
      <c r="J2367" s="4"/>
      <c r="K2367" s="4"/>
    </row>
    <row r="2368" spans="2:11">
      <c r="B2368" s="6"/>
      <c r="C2368" s="24"/>
      <c r="D2368" s="5"/>
      <c r="E2368" s="5"/>
      <c r="F2368" s="4"/>
      <c r="G2368" s="4"/>
      <c r="H2368" s="4"/>
      <c r="I2368" s="4"/>
      <c r="J2368" s="4"/>
      <c r="K2368" s="4"/>
    </row>
    <row r="2369" spans="2:11">
      <c r="B2369" s="6"/>
      <c r="C2369" s="24"/>
      <c r="D2369" s="5"/>
      <c r="E2369" s="5"/>
      <c r="F2369" s="4"/>
      <c r="G2369" s="4"/>
      <c r="H2369" s="4"/>
      <c r="I2369" s="4"/>
      <c r="J2369" s="4"/>
      <c r="K2369" s="4"/>
    </row>
    <row r="2370" spans="2:11">
      <c r="B2370" s="6"/>
      <c r="C2370" s="24"/>
      <c r="D2370" s="5"/>
      <c r="E2370" s="5"/>
      <c r="F2370" s="4"/>
      <c r="G2370" s="4"/>
      <c r="H2370" s="4"/>
      <c r="I2370" s="4"/>
      <c r="J2370" s="4"/>
      <c r="K2370" s="4"/>
    </row>
    <row r="2371" spans="2:11">
      <c r="B2371" s="6"/>
      <c r="C2371" s="24"/>
      <c r="D2371" s="5"/>
      <c r="E2371" s="5"/>
      <c r="F2371" s="4"/>
      <c r="G2371" s="4"/>
      <c r="H2371" s="4"/>
      <c r="I2371" s="4"/>
      <c r="J2371" s="4"/>
      <c r="K2371" s="4"/>
    </row>
    <row r="2372" spans="2:11">
      <c r="B2372" s="6"/>
      <c r="C2372" s="24"/>
      <c r="D2372" s="5"/>
      <c r="E2372" s="5"/>
      <c r="F2372" s="4"/>
      <c r="G2372" s="4"/>
      <c r="H2372" s="4"/>
      <c r="I2372" s="4"/>
      <c r="J2372" s="4"/>
      <c r="K2372" s="4"/>
    </row>
    <row r="2373" spans="2:11">
      <c r="B2373" s="6"/>
      <c r="C2373" s="24"/>
      <c r="D2373" s="5"/>
      <c r="E2373" s="5"/>
      <c r="F2373" s="4"/>
      <c r="G2373" s="4"/>
      <c r="H2373" s="4"/>
      <c r="I2373" s="4"/>
      <c r="J2373" s="4"/>
      <c r="K2373" s="4"/>
    </row>
    <row r="2374" spans="2:11">
      <c r="B2374" s="6"/>
      <c r="C2374" s="24"/>
      <c r="D2374" s="5"/>
      <c r="E2374" s="5"/>
      <c r="F2374" s="4"/>
      <c r="G2374" s="4"/>
      <c r="H2374" s="4"/>
      <c r="I2374" s="4"/>
      <c r="J2374" s="4"/>
      <c r="K2374" s="4"/>
    </row>
    <row r="2375" spans="2:11">
      <c r="B2375" s="6"/>
      <c r="C2375" s="24"/>
      <c r="D2375" s="5"/>
      <c r="E2375" s="5"/>
      <c r="F2375" s="4"/>
      <c r="G2375" s="4"/>
      <c r="H2375" s="4"/>
      <c r="I2375" s="4"/>
      <c r="J2375" s="4"/>
      <c r="K2375" s="4"/>
    </row>
    <row r="2376" spans="2:11">
      <c r="B2376" s="6"/>
      <c r="C2376" s="24"/>
      <c r="D2376" s="5"/>
      <c r="E2376" s="5"/>
      <c r="F2376" s="4"/>
      <c r="G2376" s="4"/>
      <c r="H2376" s="4"/>
      <c r="I2376" s="4"/>
      <c r="J2376" s="4"/>
      <c r="K2376" s="4"/>
    </row>
    <row r="2377" spans="2:11">
      <c r="B2377" s="6"/>
      <c r="C2377" s="24"/>
      <c r="D2377" s="5"/>
      <c r="E2377" s="5"/>
      <c r="F2377" s="4"/>
      <c r="G2377" s="4"/>
      <c r="H2377" s="4"/>
      <c r="I2377" s="4"/>
      <c r="J2377" s="4"/>
      <c r="K2377" s="4"/>
    </row>
    <row r="2378" spans="2:11">
      <c r="B2378" s="6"/>
      <c r="C2378" s="24"/>
      <c r="D2378" s="5"/>
      <c r="E2378" s="5"/>
      <c r="F2378" s="4"/>
      <c r="G2378" s="4"/>
      <c r="H2378" s="4"/>
      <c r="I2378" s="4"/>
      <c r="J2378" s="4"/>
      <c r="K2378" s="4"/>
    </row>
    <row r="2379" spans="2:11">
      <c r="B2379" s="6"/>
      <c r="C2379" s="24"/>
      <c r="D2379" s="5"/>
      <c r="E2379" s="5"/>
      <c r="F2379" s="4"/>
      <c r="G2379" s="4"/>
      <c r="H2379" s="4"/>
      <c r="I2379" s="4"/>
      <c r="J2379" s="4"/>
      <c r="K2379" s="4"/>
    </row>
    <row r="2380" spans="2:11">
      <c r="B2380" s="6"/>
      <c r="C2380" s="24"/>
      <c r="D2380" s="5"/>
      <c r="E2380" s="5"/>
      <c r="F2380" s="4"/>
      <c r="G2380" s="4"/>
      <c r="H2380" s="4"/>
      <c r="I2380" s="4"/>
      <c r="J2380" s="4"/>
      <c r="K2380" s="4"/>
    </row>
    <row r="2381" spans="2:11">
      <c r="B2381" s="6"/>
      <c r="C2381" s="24"/>
      <c r="D2381" s="5"/>
      <c r="E2381" s="5"/>
      <c r="F2381" s="4"/>
      <c r="G2381" s="4"/>
      <c r="H2381" s="4"/>
      <c r="I2381" s="4"/>
      <c r="J2381" s="4"/>
      <c r="K2381" s="4"/>
    </row>
    <row r="2382" spans="2:11">
      <c r="B2382" s="6"/>
      <c r="C2382" s="24"/>
      <c r="D2382" s="5"/>
      <c r="E2382" s="5"/>
      <c r="F2382" s="4"/>
      <c r="G2382" s="4"/>
      <c r="H2382" s="4"/>
      <c r="I2382" s="4"/>
      <c r="J2382" s="4"/>
      <c r="K2382" s="4"/>
    </row>
    <row r="2383" spans="2:11">
      <c r="B2383" s="6"/>
      <c r="C2383" s="24"/>
      <c r="D2383" s="5"/>
      <c r="E2383" s="5"/>
      <c r="F2383" s="4"/>
      <c r="G2383" s="4"/>
      <c r="H2383" s="4"/>
      <c r="I2383" s="4"/>
      <c r="J2383" s="4"/>
      <c r="K2383" s="4"/>
    </row>
    <row r="2384" spans="2:11">
      <c r="B2384" s="6"/>
      <c r="C2384" s="24"/>
      <c r="D2384" s="5"/>
      <c r="E2384" s="5"/>
      <c r="F2384" s="4"/>
      <c r="G2384" s="4"/>
      <c r="H2384" s="4"/>
      <c r="I2384" s="4"/>
      <c r="J2384" s="4"/>
      <c r="K2384" s="4"/>
    </row>
    <row r="2385" spans="2:11">
      <c r="B2385" s="6"/>
      <c r="C2385" s="24"/>
      <c r="D2385" s="5"/>
      <c r="E2385" s="5"/>
      <c r="F2385" s="4"/>
      <c r="G2385" s="4"/>
      <c r="H2385" s="4"/>
      <c r="I2385" s="4"/>
      <c r="J2385" s="4"/>
      <c r="K2385" s="4"/>
    </row>
    <row r="2386" spans="2:11">
      <c r="B2386" s="6"/>
      <c r="C2386" s="24"/>
      <c r="D2386" s="5"/>
      <c r="E2386" s="5"/>
      <c r="F2386" s="4"/>
      <c r="G2386" s="4"/>
      <c r="H2386" s="4"/>
      <c r="I2386" s="4"/>
      <c r="J2386" s="4"/>
      <c r="K2386" s="4"/>
    </row>
    <row r="2387" spans="2:11">
      <c r="B2387" s="6"/>
      <c r="C2387" s="24"/>
      <c r="D2387" s="5"/>
      <c r="E2387" s="5"/>
      <c r="F2387" s="4"/>
      <c r="G2387" s="4"/>
      <c r="H2387" s="4"/>
      <c r="I2387" s="4"/>
      <c r="J2387" s="4"/>
      <c r="K2387" s="4"/>
    </row>
    <row r="2388" spans="2:11">
      <c r="B2388" s="6"/>
      <c r="C2388" s="24"/>
      <c r="D2388" s="5"/>
      <c r="E2388" s="5"/>
      <c r="F2388" s="4"/>
      <c r="G2388" s="4"/>
      <c r="H2388" s="4"/>
      <c r="I2388" s="4"/>
      <c r="J2388" s="4"/>
      <c r="K2388" s="4"/>
    </row>
    <row r="2389" spans="2:11">
      <c r="B2389" s="6"/>
      <c r="C2389" s="24"/>
      <c r="D2389" s="5"/>
      <c r="E2389" s="5"/>
      <c r="F2389" s="4"/>
      <c r="G2389" s="4"/>
      <c r="H2389" s="4"/>
      <c r="I2389" s="4"/>
      <c r="J2389" s="4"/>
      <c r="K2389" s="4"/>
    </row>
    <row r="2390" spans="2:11">
      <c r="B2390" s="6"/>
      <c r="C2390" s="24"/>
      <c r="D2390" s="5"/>
      <c r="E2390" s="5"/>
      <c r="F2390" s="4"/>
      <c r="G2390" s="4"/>
      <c r="H2390" s="4"/>
      <c r="I2390" s="4"/>
      <c r="J2390" s="4"/>
      <c r="K2390" s="4"/>
    </row>
    <row r="2391" spans="2:11">
      <c r="B2391" s="6"/>
      <c r="C2391" s="24"/>
      <c r="D2391" s="5"/>
      <c r="E2391" s="5"/>
      <c r="F2391" s="4"/>
      <c r="G2391" s="4"/>
      <c r="H2391" s="4"/>
      <c r="I2391" s="4"/>
      <c r="J2391" s="4"/>
      <c r="K2391" s="4"/>
    </row>
    <row r="2392" spans="2:11">
      <c r="B2392" s="6"/>
      <c r="C2392" s="24"/>
      <c r="D2392" s="5"/>
      <c r="E2392" s="5"/>
      <c r="F2392" s="4"/>
      <c r="G2392" s="4"/>
      <c r="H2392" s="4"/>
      <c r="I2392" s="4"/>
      <c r="J2392" s="4"/>
      <c r="K2392" s="4"/>
    </row>
    <row r="2393" spans="2:11">
      <c r="B2393" s="6"/>
      <c r="C2393" s="24"/>
      <c r="D2393" s="5"/>
      <c r="E2393" s="5"/>
      <c r="F2393" s="4"/>
      <c r="G2393" s="4"/>
      <c r="H2393" s="4"/>
      <c r="I2393" s="4"/>
      <c r="J2393" s="4"/>
      <c r="K2393" s="4"/>
    </row>
    <row r="2394" spans="2:11">
      <c r="B2394" s="6"/>
      <c r="C2394" s="24"/>
      <c r="D2394" s="5"/>
      <c r="E2394" s="5"/>
      <c r="F2394" s="4"/>
      <c r="G2394" s="4"/>
      <c r="H2394" s="4"/>
      <c r="I2394" s="4"/>
      <c r="J2394" s="4"/>
      <c r="K2394" s="4"/>
    </row>
    <row r="2395" spans="2:11">
      <c r="B2395" s="6"/>
      <c r="C2395" s="24"/>
      <c r="D2395" s="5"/>
      <c r="E2395" s="5"/>
      <c r="F2395" s="4"/>
      <c r="G2395" s="4"/>
      <c r="H2395" s="4"/>
      <c r="I2395" s="4"/>
      <c r="J2395" s="4"/>
      <c r="K2395" s="4"/>
    </row>
    <row r="2396" spans="2:11">
      <c r="B2396" s="6"/>
      <c r="C2396" s="24"/>
      <c r="D2396" s="5"/>
      <c r="E2396" s="5"/>
      <c r="F2396" s="4"/>
      <c r="G2396" s="4"/>
      <c r="H2396" s="4"/>
      <c r="I2396" s="4"/>
      <c r="J2396" s="4"/>
      <c r="K2396" s="4"/>
    </row>
    <row r="2397" spans="2:11">
      <c r="B2397" s="6"/>
      <c r="C2397" s="24"/>
      <c r="D2397" s="5"/>
      <c r="E2397" s="5"/>
      <c r="F2397" s="4"/>
      <c r="G2397" s="4"/>
      <c r="H2397" s="4"/>
      <c r="I2397" s="4"/>
      <c r="J2397" s="4"/>
      <c r="K2397" s="4"/>
    </row>
    <row r="2398" spans="2:11">
      <c r="B2398" s="6"/>
      <c r="C2398" s="24"/>
      <c r="D2398" s="5"/>
      <c r="E2398" s="5"/>
      <c r="F2398" s="4"/>
      <c r="G2398" s="4"/>
      <c r="H2398" s="4"/>
      <c r="I2398" s="4"/>
      <c r="J2398" s="4"/>
      <c r="K2398" s="4"/>
    </row>
    <row r="2399" spans="2:11">
      <c r="B2399" s="6"/>
      <c r="C2399" s="24"/>
      <c r="D2399" s="5"/>
      <c r="E2399" s="5"/>
      <c r="F2399" s="4"/>
      <c r="G2399" s="4"/>
      <c r="H2399" s="4"/>
      <c r="I2399" s="4"/>
      <c r="J2399" s="4"/>
      <c r="K2399" s="4"/>
    </row>
    <row r="2400" spans="2:11">
      <c r="B2400" s="6"/>
      <c r="C2400" s="24"/>
      <c r="D2400" s="5"/>
      <c r="E2400" s="5"/>
      <c r="F2400" s="4"/>
      <c r="G2400" s="4"/>
      <c r="H2400" s="4"/>
      <c r="I2400" s="4"/>
      <c r="J2400" s="4"/>
      <c r="K2400" s="4"/>
    </row>
    <row r="2401" spans="2:11">
      <c r="B2401" s="6"/>
      <c r="C2401" s="24"/>
      <c r="D2401" s="5"/>
      <c r="E2401" s="5"/>
      <c r="F2401" s="4"/>
      <c r="G2401" s="4"/>
      <c r="H2401" s="4"/>
      <c r="I2401" s="4"/>
      <c r="J2401" s="4"/>
      <c r="K2401" s="4"/>
    </row>
    <row r="2402" spans="2:11">
      <c r="B2402" s="6"/>
      <c r="C2402" s="24"/>
      <c r="D2402" s="5"/>
      <c r="E2402" s="5"/>
      <c r="F2402" s="4"/>
      <c r="G2402" s="4"/>
      <c r="H2402" s="4"/>
      <c r="I2402" s="4"/>
      <c r="J2402" s="4"/>
      <c r="K2402" s="4"/>
    </row>
    <row r="2403" spans="2:11">
      <c r="B2403" s="6"/>
      <c r="C2403" s="24"/>
      <c r="D2403" s="5"/>
      <c r="E2403" s="5"/>
      <c r="F2403" s="4"/>
      <c r="G2403" s="4"/>
      <c r="H2403" s="4"/>
      <c r="I2403" s="4"/>
      <c r="J2403" s="4"/>
      <c r="K2403" s="4"/>
    </row>
    <row r="2404" spans="2:11">
      <c r="B2404" s="6"/>
      <c r="C2404" s="24"/>
      <c r="D2404" s="5"/>
      <c r="E2404" s="5"/>
      <c r="F2404" s="4"/>
      <c r="G2404" s="4"/>
      <c r="H2404" s="4"/>
      <c r="I2404" s="4"/>
      <c r="J2404" s="4"/>
      <c r="K2404" s="4"/>
    </row>
    <row r="2405" spans="2:11">
      <c r="B2405" s="6"/>
      <c r="C2405" s="24"/>
      <c r="D2405" s="5"/>
      <c r="E2405" s="5"/>
      <c r="F2405" s="4"/>
      <c r="G2405" s="4"/>
      <c r="H2405" s="4"/>
      <c r="I2405" s="4"/>
      <c r="J2405" s="4"/>
      <c r="K2405" s="4"/>
    </row>
    <row r="2406" spans="2:11">
      <c r="B2406" s="6"/>
      <c r="C2406" s="24"/>
      <c r="D2406" s="5"/>
      <c r="E2406" s="5"/>
      <c r="F2406" s="4"/>
      <c r="G2406" s="4"/>
      <c r="H2406" s="4"/>
      <c r="I2406" s="4"/>
      <c r="J2406" s="4"/>
      <c r="K2406" s="4"/>
    </row>
    <row r="2407" spans="2:11">
      <c r="B2407" s="6"/>
      <c r="C2407" s="24"/>
      <c r="D2407" s="5"/>
      <c r="E2407" s="5"/>
      <c r="F2407" s="4"/>
      <c r="G2407" s="4"/>
      <c r="H2407" s="4"/>
      <c r="I2407" s="4"/>
      <c r="J2407" s="4"/>
      <c r="K2407" s="4"/>
    </row>
    <row r="2408" spans="2:11">
      <c r="B2408" s="6"/>
      <c r="C2408" s="24"/>
      <c r="D2408" s="5"/>
      <c r="E2408" s="5"/>
      <c r="F2408" s="4"/>
      <c r="G2408" s="4"/>
      <c r="H2408" s="4"/>
      <c r="I2408" s="4"/>
      <c r="J2408" s="4"/>
      <c r="K2408" s="4"/>
    </row>
    <row r="2409" spans="2:11">
      <c r="B2409" s="6"/>
      <c r="C2409" s="24"/>
      <c r="D2409" s="5"/>
      <c r="E2409" s="5"/>
      <c r="F2409" s="4"/>
      <c r="G2409" s="4"/>
      <c r="H2409" s="4"/>
      <c r="I2409" s="4"/>
      <c r="J2409" s="4"/>
      <c r="K2409" s="4"/>
    </row>
    <row r="2410" spans="2:11">
      <c r="B2410" s="6"/>
      <c r="C2410" s="24"/>
      <c r="D2410" s="5"/>
      <c r="E2410" s="5"/>
      <c r="F2410" s="4"/>
      <c r="G2410" s="4"/>
      <c r="H2410" s="4"/>
      <c r="I2410" s="4"/>
      <c r="J2410" s="4"/>
      <c r="K2410" s="4"/>
    </row>
    <row r="2411" spans="2:11">
      <c r="B2411" s="6"/>
      <c r="C2411" s="24"/>
      <c r="D2411" s="5"/>
      <c r="E2411" s="5"/>
      <c r="F2411" s="4"/>
      <c r="G2411" s="4"/>
      <c r="H2411" s="4"/>
      <c r="I2411" s="4"/>
      <c r="J2411" s="4"/>
      <c r="K2411" s="4"/>
    </row>
    <row r="2412" spans="2:11">
      <c r="B2412" s="6"/>
      <c r="C2412" s="24"/>
      <c r="D2412" s="5"/>
      <c r="E2412" s="5"/>
      <c r="F2412" s="4"/>
      <c r="G2412" s="4"/>
      <c r="H2412" s="4"/>
      <c r="I2412" s="4"/>
      <c r="J2412" s="4"/>
      <c r="K2412" s="4"/>
    </row>
    <row r="2413" spans="2:11">
      <c r="B2413" s="6"/>
      <c r="C2413" s="24"/>
      <c r="D2413" s="5"/>
      <c r="E2413" s="5"/>
      <c r="F2413" s="4"/>
      <c r="G2413" s="4"/>
      <c r="H2413" s="4"/>
      <c r="I2413" s="4"/>
      <c r="J2413" s="4"/>
      <c r="K2413" s="4"/>
    </row>
    <row r="2414" spans="2:11">
      <c r="B2414" s="6"/>
      <c r="C2414" s="24"/>
      <c r="D2414" s="5"/>
      <c r="E2414" s="5"/>
      <c r="F2414" s="4"/>
      <c r="G2414" s="4"/>
      <c r="H2414" s="4"/>
      <c r="I2414" s="4"/>
      <c r="J2414" s="4"/>
      <c r="K2414" s="4"/>
    </row>
    <row r="2415" spans="2:11">
      <c r="B2415" s="6"/>
      <c r="C2415" s="24"/>
      <c r="D2415" s="5"/>
      <c r="E2415" s="5"/>
      <c r="F2415" s="4"/>
      <c r="G2415" s="4"/>
      <c r="H2415" s="4"/>
      <c r="I2415" s="4"/>
      <c r="J2415" s="4"/>
      <c r="K2415" s="4"/>
    </row>
    <row r="2416" spans="2:11">
      <c r="B2416" s="6"/>
      <c r="C2416" s="24"/>
      <c r="D2416" s="5"/>
      <c r="E2416" s="5"/>
      <c r="F2416" s="4"/>
      <c r="G2416" s="4"/>
      <c r="H2416" s="4"/>
      <c r="I2416" s="4"/>
      <c r="J2416" s="4"/>
      <c r="K2416" s="4"/>
    </row>
    <row r="2417" spans="2:11">
      <c r="B2417" s="6"/>
      <c r="C2417" s="24"/>
      <c r="D2417" s="5"/>
      <c r="E2417" s="5"/>
      <c r="F2417" s="4"/>
      <c r="G2417" s="4"/>
      <c r="H2417" s="4"/>
      <c r="I2417" s="4"/>
      <c r="J2417" s="4"/>
      <c r="K2417" s="4"/>
    </row>
    <row r="2418" spans="2:11">
      <c r="B2418" s="6"/>
      <c r="C2418" s="24"/>
      <c r="D2418" s="5"/>
      <c r="E2418" s="5"/>
      <c r="F2418" s="4"/>
      <c r="G2418" s="4"/>
      <c r="H2418" s="4"/>
      <c r="I2418" s="4"/>
      <c r="J2418" s="4"/>
      <c r="K2418" s="4"/>
    </row>
    <row r="2419" spans="2:11">
      <c r="B2419" s="6"/>
      <c r="C2419" s="24"/>
      <c r="D2419" s="5"/>
      <c r="E2419" s="5"/>
      <c r="F2419" s="4"/>
      <c r="G2419" s="4"/>
      <c r="H2419" s="4"/>
      <c r="I2419" s="4"/>
      <c r="J2419" s="4"/>
      <c r="K2419" s="4"/>
    </row>
    <row r="2420" spans="2:11">
      <c r="B2420" s="6"/>
      <c r="C2420" s="24"/>
      <c r="D2420" s="5"/>
      <c r="E2420" s="5"/>
      <c r="F2420" s="4"/>
      <c r="G2420" s="4"/>
      <c r="H2420" s="4"/>
      <c r="I2420" s="4"/>
      <c r="J2420" s="4"/>
      <c r="K2420" s="4"/>
    </row>
    <row r="2421" spans="2:11">
      <c r="B2421" s="6"/>
      <c r="C2421" s="24"/>
      <c r="D2421" s="5"/>
      <c r="E2421" s="5"/>
      <c r="F2421" s="4"/>
      <c r="G2421" s="4"/>
      <c r="H2421" s="4"/>
      <c r="I2421" s="4"/>
      <c r="J2421" s="4"/>
      <c r="K2421" s="4"/>
    </row>
    <row r="2422" spans="2:11">
      <c r="B2422" s="6"/>
      <c r="C2422" s="24"/>
      <c r="D2422" s="5"/>
      <c r="E2422" s="5"/>
      <c r="F2422" s="4"/>
      <c r="G2422" s="4"/>
      <c r="H2422" s="4"/>
      <c r="I2422" s="4"/>
      <c r="J2422" s="4"/>
      <c r="K2422" s="4"/>
    </row>
    <row r="2423" spans="2:11">
      <c r="B2423" s="6"/>
      <c r="C2423" s="24"/>
      <c r="D2423" s="5"/>
      <c r="E2423" s="5"/>
      <c r="F2423" s="4"/>
      <c r="G2423" s="4"/>
      <c r="H2423" s="4"/>
      <c r="I2423" s="4"/>
      <c r="J2423" s="4"/>
      <c r="K2423" s="4"/>
    </row>
    <row r="2424" spans="2:11">
      <c r="B2424" s="6"/>
      <c r="C2424" s="24"/>
      <c r="D2424" s="5"/>
      <c r="E2424" s="5"/>
      <c r="F2424" s="4"/>
      <c r="G2424" s="4"/>
      <c r="H2424" s="4"/>
      <c r="I2424" s="4"/>
      <c r="J2424" s="4"/>
      <c r="K2424" s="4"/>
    </row>
    <row r="2425" spans="2:11">
      <c r="B2425" s="6"/>
      <c r="C2425" s="24"/>
      <c r="D2425" s="5"/>
      <c r="E2425" s="5"/>
      <c r="F2425" s="4"/>
      <c r="G2425" s="4"/>
      <c r="H2425" s="4"/>
      <c r="I2425" s="4"/>
      <c r="J2425" s="4"/>
      <c r="K2425" s="4"/>
    </row>
    <row r="2426" spans="2:11">
      <c r="B2426" s="6"/>
      <c r="C2426" s="24"/>
      <c r="D2426" s="5"/>
      <c r="E2426" s="5"/>
      <c r="F2426" s="4"/>
      <c r="G2426" s="4"/>
      <c r="H2426" s="4"/>
      <c r="I2426" s="4"/>
      <c r="J2426" s="4"/>
      <c r="K2426" s="4"/>
    </row>
    <row r="2427" spans="2:11">
      <c r="B2427" s="6"/>
      <c r="C2427" s="24"/>
      <c r="D2427" s="5"/>
      <c r="E2427" s="5"/>
      <c r="F2427" s="4"/>
      <c r="G2427" s="4"/>
      <c r="H2427" s="4"/>
      <c r="I2427" s="4"/>
      <c r="J2427" s="4"/>
      <c r="K2427" s="4"/>
    </row>
    <row r="2428" spans="2:11">
      <c r="B2428" s="6"/>
      <c r="C2428" s="24"/>
      <c r="D2428" s="5"/>
      <c r="E2428" s="5"/>
      <c r="F2428" s="4"/>
      <c r="G2428" s="4"/>
      <c r="H2428" s="4"/>
      <c r="I2428" s="4"/>
      <c r="J2428" s="4"/>
      <c r="K2428" s="4"/>
    </row>
    <row r="2429" spans="2:11">
      <c r="B2429" s="6"/>
      <c r="C2429" s="24"/>
      <c r="D2429" s="5"/>
      <c r="E2429" s="5"/>
      <c r="F2429" s="4"/>
      <c r="G2429" s="4"/>
      <c r="H2429" s="4"/>
      <c r="I2429" s="4"/>
      <c r="J2429" s="4"/>
      <c r="K2429" s="4"/>
    </row>
    <row r="2430" spans="2:11">
      <c r="B2430" s="6"/>
      <c r="C2430" s="24"/>
      <c r="D2430" s="5"/>
      <c r="E2430" s="5"/>
      <c r="F2430" s="4"/>
      <c r="G2430" s="4"/>
      <c r="H2430" s="4"/>
      <c r="I2430" s="4"/>
      <c r="J2430" s="4"/>
      <c r="K2430" s="4"/>
    </row>
    <row r="2431" spans="2:11">
      <c r="B2431" s="6"/>
      <c r="C2431" s="24"/>
      <c r="D2431" s="5"/>
      <c r="E2431" s="5"/>
      <c r="F2431" s="4"/>
      <c r="G2431" s="4"/>
      <c r="H2431" s="4"/>
      <c r="I2431" s="4"/>
      <c r="J2431" s="4"/>
      <c r="K2431" s="4"/>
    </row>
    <row r="2432" spans="2:11">
      <c r="B2432" s="6"/>
      <c r="C2432" s="24"/>
      <c r="D2432" s="5"/>
      <c r="E2432" s="5"/>
      <c r="F2432" s="4"/>
      <c r="G2432" s="4"/>
      <c r="H2432" s="4"/>
      <c r="I2432" s="4"/>
      <c r="J2432" s="4"/>
      <c r="K2432" s="4"/>
    </row>
    <row r="2433" spans="2:11">
      <c r="B2433" s="6"/>
      <c r="C2433" s="24"/>
      <c r="D2433" s="5"/>
      <c r="E2433" s="5"/>
      <c r="F2433" s="4"/>
      <c r="G2433" s="4"/>
      <c r="H2433" s="4"/>
      <c r="I2433" s="4"/>
      <c r="J2433" s="4"/>
      <c r="K2433" s="4"/>
    </row>
    <row r="2434" spans="2:11">
      <c r="B2434" s="6"/>
      <c r="C2434" s="24"/>
      <c r="D2434" s="5"/>
      <c r="E2434" s="5"/>
      <c r="F2434" s="4"/>
      <c r="G2434" s="4"/>
      <c r="H2434" s="4"/>
      <c r="I2434" s="4"/>
      <c r="J2434" s="4"/>
      <c r="K2434" s="4"/>
    </row>
    <row r="2435" spans="2:11">
      <c r="B2435" s="6"/>
      <c r="C2435" s="24"/>
      <c r="D2435" s="5"/>
      <c r="E2435" s="5"/>
      <c r="F2435" s="4"/>
      <c r="G2435" s="4"/>
      <c r="H2435" s="4"/>
      <c r="I2435" s="4"/>
      <c r="J2435" s="4"/>
      <c r="K2435" s="4"/>
    </row>
    <row r="2436" spans="2:11">
      <c r="B2436" s="6"/>
      <c r="C2436" s="24"/>
      <c r="D2436" s="5"/>
      <c r="E2436" s="5"/>
      <c r="F2436" s="4"/>
      <c r="G2436" s="4"/>
      <c r="H2436" s="4"/>
      <c r="I2436" s="4"/>
      <c r="J2436" s="4"/>
      <c r="K2436" s="4"/>
    </row>
    <row r="2437" spans="2:11">
      <c r="B2437" s="6"/>
      <c r="C2437" s="24"/>
      <c r="D2437" s="5"/>
      <c r="E2437" s="5"/>
      <c r="F2437" s="4"/>
      <c r="G2437" s="4"/>
      <c r="H2437" s="4"/>
      <c r="I2437" s="4"/>
      <c r="J2437" s="4"/>
      <c r="K2437" s="4"/>
    </row>
    <row r="2438" spans="2:11">
      <c r="B2438" s="6"/>
      <c r="C2438" s="24"/>
      <c r="D2438" s="5"/>
      <c r="E2438" s="5"/>
      <c r="F2438" s="4"/>
      <c r="G2438" s="4"/>
      <c r="H2438" s="4"/>
      <c r="I2438" s="4"/>
      <c r="J2438" s="4"/>
      <c r="K2438" s="4"/>
    </row>
    <row r="2439" spans="2:11">
      <c r="B2439" s="6"/>
      <c r="C2439" s="24"/>
      <c r="D2439" s="5"/>
      <c r="E2439" s="5"/>
      <c r="F2439" s="4"/>
      <c r="G2439" s="4"/>
      <c r="H2439" s="4"/>
      <c r="I2439" s="4"/>
      <c r="J2439" s="4"/>
      <c r="K2439" s="4"/>
    </row>
    <row r="2440" spans="2:11">
      <c r="B2440" s="6"/>
      <c r="C2440" s="24"/>
      <c r="D2440" s="5"/>
      <c r="E2440" s="5"/>
      <c r="F2440" s="4"/>
      <c r="G2440" s="4"/>
      <c r="H2440" s="4"/>
      <c r="I2440" s="4"/>
      <c r="J2440" s="4"/>
      <c r="K2440" s="4"/>
    </row>
    <row r="2441" spans="2:11">
      <c r="B2441" s="6"/>
      <c r="C2441" s="24"/>
      <c r="D2441" s="5"/>
      <c r="E2441" s="5"/>
      <c r="F2441" s="4"/>
      <c r="G2441" s="4"/>
      <c r="H2441" s="4"/>
      <c r="I2441" s="4"/>
      <c r="J2441" s="4"/>
      <c r="K2441" s="4"/>
    </row>
    <row r="2442" spans="2:11">
      <c r="B2442" s="6"/>
      <c r="C2442" s="24"/>
      <c r="D2442" s="5"/>
      <c r="E2442" s="5"/>
      <c r="F2442" s="4"/>
      <c r="G2442" s="4"/>
      <c r="H2442" s="4"/>
      <c r="I2442" s="4"/>
      <c r="J2442" s="4"/>
      <c r="K2442" s="4"/>
    </row>
    <row r="2443" spans="2:11">
      <c r="B2443" s="6"/>
      <c r="C2443" s="24"/>
      <c r="D2443" s="5"/>
      <c r="E2443" s="5"/>
      <c r="F2443" s="4"/>
      <c r="G2443" s="4"/>
      <c r="H2443" s="4"/>
      <c r="I2443" s="4"/>
      <c r="J2443" s="4"/>
      <c r="K2443" s="4"/>
    </row>
    <row r="2444" spans="2:11">
      <c r="B2444" s="6"/>
      <c r="C2444" s="24"/>
      <c r="D2444" s="5"/>
      <c r="E2444" s="5"/>
      <c r="F2444" s="4"/>
      <c r="G2444" s="4"/>
      <c r="H2444" s="4"/>
      <c r="I2444" s="4"/>
      <c r="J2444" s="4"/>
      <c r="K2444" s="4"/>
    </row>
    <row r="2445" spans="2:11">
      <c r="B2445" s="6"/>
      <c r="C2445" s="24"/>
      <c r="D2445" s="5"/>
      <c r="E2445" s="5"/>
      <c r="F2445" s="4"/>
      <c r="G2445" s="4"/>
      <c r="H2445" s="4"/>
      <c r="I2445" s="4"/>
      <c r="J2445" s="4"/>
      <c r="K2445" s="4"/>
    </row>
    <row r="2446" spans="2:11">
      <c r="B2446" s="6"/>
      <c r="C2446" s="24"/>
      <c r="D2446" s="5"/>
      <c r="E2446" s="5"/>
      <c r="F2446" s="4"/>
      <c r="G2446" s="4"/>
      <c r="H2446" s="4"/>
      <c r="I2446" s="4"/>
      <c r="J2446" s="4"/>
      <c r="K2446" s="4"/>
    </row>
    <row r="2447" spans="2:11">
      <c r="B2447" s="6"/>
      <c r="C2447" s="24"/>
      <c r="D2447" s="5"/>
      <c r="E2447" s="5"/>
      <c r="F2447" s="4"/>
      <c r="G2447" s="4"/>
      <c r="H2447" s="4"/>
      <c r="I2447" s="4"/>
      <c r="J2447" s="4"/>
      <c r="K2447" s="4"/>
    </row>
    <row r="2448" spans="2:11">
      <c r="B2448" s="6"/>
      <c r="C2448" s="24"/>
      <c r="D2448" s="5"/>
      <c r="E2448" s="5"/>
      <c r="F2448" s="4"/>
      <c r="G2448" s="4"/>
      <c r="H2448" s="4"/>
      <c r="I2448" s="4"/>
      <c r="J2448" s="4"/>
      <c r="K2448" s="4"/>
    </row>
    <row r="2449" spans="2:11">
      <c r="B2449" s="6"/>
      <c r="C2449" s="24"/>
      <c r="D2449" s="5"/>
      <c r="E2449" s="5"/>
      <c r="F2449" s="4"/>
      <c r="G2449" s="4"/>
      <c r="H2449" s="4"/>
      <c r="I2449" s="4"/>
      <c r="J2449" s="4"/>
      <c r="K2449" s="4"/>
    </row>
    <row r="2450" spans="2:11">
      <c r="B2450" s="6"/>
      <c r="C2450" s="24"/>
      <c r="D2450" s="5"/>
      <c r="E2450" s="5"/>
      <c r="F2450" s="4"/>
      <c r="G2450" s="4"/>
      <c r="H2450" s="4"/>
      <c r="I2450" s="4"/>
      <c r="J2450" s="4"/>
      <c r="K2450" s="4"/>
    </row>
    <row r="2451" spans="2:11">
      <c r="B2451" s="6"/>
      <c r="C2451" s="24"/>
      <c r="D2451" s="5"/>
      <c r="E2451" s="5"/>
      <c r="F2451" s="4"/>
      <c r="G2451" s="4"/>
      <c r="H2451" s="4"/>
      <c r="I2451" s="4"/>
      <c r="J2451" s="4"/>
      <c r="K2451" s="4"/>
    </row>
    <row r="2452" spans="2:11">
      <c r="B2452" s="6"/>
      <c r="C2452" s="24"/>
      <c r="D2452" s="5"/>
      <c r="E2452" s="5"/>
      <c r="F2452" s="4"/>
      <c r="G2452" s="4"/>
      <c r="H2452" s="4"/>
      <c r="I2452" s="4"/>
      <c r="J2452" s="4"/>
      <c r="K2452" s="4"/>
    </row>
    <row r="2453" spans="2:11">
      <c r="B2453" s="6"/>
      <c r="C2453" s="24"/>
      <c r="D2453" s="5"/>
      <c r="E2453" s="5"/>
      <c r="F2453" s="4"/>
      <c r="G2453" s="4"/>
      <c r="H2453" s="4"/>
      <c r="I2453" s="4"/>
      <c r="J2453" s="4"/>
      <c r="K2453" s="4"/>
    </row>
    <row r="2454" spans="2:11">
      <c r="B2454" s="6"/>
      <c r="C2454" s="24"/>
      <c r="D2454" s="5"/>
      <c r="E2454" s="5"/>
      <c r="F2454" s="4"/>
      <c r="G2454" s="4"/>
      <c r="H2454" s="4"/>
      <c r="I2454" s="4"/>
      <c r="J2454" s="4"/>
      <c r="K2454" s="4"/>
    </row>
    <row r="2455" spans="2:11">
      <c r="B2455" s="6"/>
      <c r="C2455" s="24"/>
      <c r="D2455" s="5"/>
      <c r="E2455" s="5"/>
      <c r="F2455" s="4"/>
      <c r="G2455" s="4"/>
      <c r="H2455" s="4"/>
      <c r="I2455" s="4"/>
      <c r="J2455" s="4"/>
      <c r="K2455" s="4"/>
    </row>
    <row r="2456" spans="2:11">
      <c r="B2456" s="6"/>
      <c r="C2456" s="24"/>
      <c r="D2456" s="5"/>
      <c r="E2456" s="5"/>
      <c r="F2456" s="4"/>
      <c r="G2456" s="4"/>
      <c r="H2456" s="4"/>
      <c r="I2456" s="4"/>
      <c r="J2456" s="4"/>
      <c r="K2456" s="4"/>
    </row>
    <row r="2457" spans="2:11">
      <c r="B2457" s="6"/>
      <c r="C2457" s="24"/>
      <c r="D2457" s="5"/>
      <c r="E2457" s="5"/>
      <c r="F2457" s="4"/>
      <c r="G2457" s="4"/>
      <c r="H2457" s="4"/>
      <c r="I2457" s="4"/>
      <c r="J2457" s="4"/>
      <c r="K2457" s="4"/>
    </row>
    <row r="2458" spans="2:11">
      <c r="B2458" s="6"/>
      <c r="C2458" s="24"/>
      <c r="D2458" s="5"/>
      <c r="E2458" s="5"/>
      <c r="F2458" s="4"/>
      <c r="G2458" s="4"/>
      <c r="H2458" s="4"/>
      <c r="I2458" s="4"/>
      <c r="J2458" s="4"/>
      <c r="K2458" s="4"/>
    </row>
    <row r="2459" spans="2:11">
      <c r="B2459" s="6"/>
      <c r="C2459" s="24"/>
      <c r="D2459" s="5"/>
      <c r="E2459" s="5"/>
      <c r="F2459" s="4"/>
      <c r="G2459" s="4"/>
      <c r="H2459" s="4"/>
      <c r="I2459" s="4"/>
      <c r="J2459" s="4"/>
      <c r="K2459" s="4"/>
    </row>
    <row r="2460" spans="2:11">
      <c r="B2460" s="6"/>
      <c r="C2460" s="24"/>
      <c r="D2460" s="5"/>
      <c r="E2460" s="5"/>
      <c r="F2460" s="4"/>
      <c r="G2460" s="4"/>
      <c r="H2460" s="4"/>
      <c r="I2460" s="4"/>
      <c r="J2460" s="4"/>
      <c r="K2460" s="4"/>
    </row>
    <row r="2461" spans="2:11">
      <c r="B2461" s="6"/>
      <c r="C2461" s="24"/>
      <c r="D2461" s="5"/>
      <c r="E2461" s="5"/>
      <c r="F2461" s="4"/>
      <c r="G2461" s="4"/>
      <c r="H2461" s="4"/>
      <c r="I2461" s="4"/>
      <c r="J2461" s="4"/>
      <c r="K2461" s="4"/>
    </row>
    <row r="2462" spans="2:11">
      <c r="B2462" s="6"/>
      <c r="C2462" s="24"/>
      <c r="D2462" s="5"/>
      <c r="E2462" s="5"/>
      <c r="F2462" s="4"/>
      <c r="G2462" s="4"/>
      <c r="H2462" s="4"/>
      <c r="I2462" s="4"/>
      <c r="J2462" s="4"/>
      <c r="K2462" s="4"/>
    </row>
    <row r="2463" spans="2:11">
      <c r="B2463" s="6"/>
      <c r="C2463" s="24"/>
      <c r="D2463" s="5"/>
      <c r="E2463" s="5"/>
      <c r="F2463" s="4"/>
      <c r="G2463" s="4"/>
      <c r="H2463" s="4"/>
      <c r="I2463" s="4"/>
      <c r="J2463" s="4"/>
      <c r="K2463" s="4"/>
    </row>
    <row r="2464" spans="2:11">
      <c r="B2464" s="6"/>
      <c r="C2464" s="24"/>
      <c r="D2464" s="5"/>
      <c r="E2464" s="5"/>
      <c r="F2464" s="4"/>
      <c r="G2464" s="4"/>
      <c r="H2464" s="4"/>
      <c r="I2464" s="4"/>
      <c r="J2464" s="4"/>
      <c r="K2464" s="4"/>
    </row>
    <row r="2465" spans="2:11">
      <c r="B2465" s="6"/>
      <c r="C2465" s="24"/>
      <c r="D2465" s="5"/>
      <c r="E2465" s="5"/>
      <c r="F2465" s="4"/>
      <c r="G2465" s="4"/>
      <c r="H2465" s="4"/>
      <c r="I2465" s="4"/>
      <c r="J2465" s="4"/>
      <c r="K2465" s="4"/>
    </row>
    <row r="2466" spans="2:11">
      <c r="B2466" s="6"/>
      <c r="C2466" s="24"/>
      <c r="D2466" s="5"/>
      <c r="E2466" s="5"/>
      <c r="F2466" s="4"/>
      <c r="G2466" s="4"/>
      <c r="H2466" s="4"/>
      <c r="I2466" s="4"/>
      <c r="J2466" s="4"/>
      <c r="K2466" s="4"/>
    </row>
    <row r="2467" spans="2:11">
      <c r="B2467" s="6"/>
      <c r="C2467" s="24"/>
      <c r="D2467" s="5"/>
      <c r="E2467" s="5"/>
      <c r="F2467" s="4"/>
      <c r="G2467" s="4"/>
      <c r="H2467" s="4"/>
      <c r="I2467" s="4"/>
      <c r="J2467" s="4"/>
      <c r="K2467" s="4"/>
    </row>
    <row r="2468" spans="2:11">
      <c r="B2468" s="6"/>
      <c r="C2468" s="24"/>
      <c r="D2468" s="5"/>
      <c r="E2468" s="5"/>
      <c r="F2468" s="4"/>
      <c r="G2468" s="4"/>
      <c r="H2468" s="4"/>
      <c r="I2468" s="4"/>
      <c r="J2468" s="4"/>
      <c r="K2468" s="4"/>
    </row>
    <row r="2469" spans="2:11">
      <c r="B2469" s="6"/>
      <c r="C2469" s="24"/>
      <c r="D2469" s="5"/>
      <c r="E2469" s="5"/>
      <c r="F2469" s="4"/>
      <c r="G2469" s="4"/>
      <c r="H2469" s="4"/>
      <c r="I2469" s="4"/>
      <c r="J2469" s="4"/>
      <c r="K2469" s="4"/>
    </row>
    <row r="2470" spans="2:11">
      <c r="B2470" s="6"/>
      <c r="C2470" s="24"/>
      <c r="D2470" s="5"/>
      <c r="E2470" s="5"/>
      <c r="F2470" s="4"/>
      <c r="G2470" s="4"/>
      <c r="H2470" s="4"/>
      <c r="I2470" s="4"/>
      <c r="J2470" s="4"/>
      <c r="K2470" s="4"/>
    </row>
    <row r="2471" spans="2:11">
      <c r="B2471" s="6"/>
      <c r="C2471" s="24"/>
      <c r="D2471" s="5"/>
      <c r="E2471" s="5"/>
      <c r="F2471" s="4"/>
      <c r="G2471" s="4"/>
      <c r="H2471" s="4"/>
      <c r="I2471" s="4"/>
      <c r="J2471" s="4"/>
      <c r="K2471" s="4"/>
    </row>
    <row r="2472" spans="2:11">
      <c r="B2472" s="6"/>
      <c r="C2472" s="24"/>
      <c r="D2472" s="5"/>
      <c r="E2472" s="5"/>
      <c r="F2472" s="4"/>
      <c r="G2472" s="4"/>
      <c r="H2472" s="4"/>
      <c r="I2472" s="4"/>
      <c r="J2472" s="4"/>
      <c r="K2472" s="4"/>
    </row>
    <row r="2473" spans="2:11">
      <c r="B2473" s="6"/>
      <c r="C2473" s="24"/>
      <c r="D2473" s="5"/>
      <c r="E2473" s="5"/>
      <c r="F2473" s="4"/>
      <c r="G2473" s="4"/>
      <c r="H2473" s="4"/>
      <c r="I2473" s="4"/>
      <c r="J2473" s="4"/>
      <c r="K2473" s="4"/>
    </row>
    <row r="2474" spans="2:11">
      <c r="B2474" s="6"/>
      <c r="C2474" s="24"/>
      <c r="D2474" s="5"/>
      <c r="E2474" s="5"/>
      <c r="F2474" s="4"/>
      <c r="G2474" s="4"/>
      <c r="H2474" s="4"/>
      <c r="I2474" s="4"/>
      <c r="J2474" s="4"/>
      <c r="K2474" s="4"/>
    </row>
    <row r="2475" spans="2:11">
      <c r="B2475" s="6"/>
      <c r="C2475" s="24"/>
      <c r="D2475" s="5"/>
      <c r="E2475" s="5"/>
      <c r="F2475" s="4"/>
      <c r="G2475" s="4"/>
      <c r="H2475" s="4"/>
      <c r="I2475" s="4"/>
      <c r="J2475" s="4"/>
      <c r="K2475" s="4"/>
    </row>
    <row r="2476" spans="2:11">
      <c r="B2476" s="6"/>
      <c r="C2476" s="24"/>
      <c r="D2476" s="5"/>
      <c r="E2476" s="5"/>
      <c r="F2476" s="4"/>
      <c r="G2476" s="4"/>
      <c r="H2476" s="4"/>
      <c r="I2476" s="4"/>
      <c r="J2476" s="4"/>
      <c r="K2476" s="4"/>
    </row>
    <row r="2477" spans="2:11">
      <c r="B2477" s="6"/>
      <c r="C2477" s="24"/>
      <c r="D2477" s="5"/>
      <c r="E2477" s="5"/>
      <c r="F2477" s="4"/>
      <c r="G2477" s="4"/>
      <c r="H2477" s="4"/>
      <c r="I2477" s="4"/>
      <c r="J2477" s="4"/>
      <c r="K2477" s="4"/>
    </row>
    <row r="2478" spans="2:11">
      <c r="B2478" s="6"/>
      <c r="C2478" s="24"/>
      <c r="D2478" s="5"/>
      <c r="E2478" s="5"/>
      <c r="F2478" s="4"/>
      <c r="G2478" s="4"/>
      <c r="H2478" s="4"/>
      <c r="I2478" s="4"/>
      <c r="J2478" s="4"/>
      <c r="K2478" s="4"/>
    </row>
    <row r="2479" spans="2:11">
      <c r="B2479" s="6"/>
      <c r="C2479" s="24"/>
      <c r="D2479" s="5"/>
      <c r="E2479" s="5"/>
      <c r="F2479" s="4"/>
      <c r="G2479" s="4"/>
      <c r="H2479" s="4"/>
      <c r="I2479" s="4"/>
      <c r="J2479" s="4"/>
      <c r="K2479" s="4"/>
    </row>
    <row r="2480" spans="2:11">
      <c r="B2480" s="6"/>
      <c r="C2480" s="24"/>
      <c r="D2480" s="5"/>
      <c r="E2480" s="5"/>
      <c r="F2480" s="4"/>
      <c r="G2480" s="4"/>
      <c r="H2480" s="4"/>
      <c r="I2480" s="4"/>
      <c r="J2480" s="4"/>
      <c r="K2480" s="4"/>
    </row>
    <row r="2481" spans="2:11">
      <c r="B2481" s="6"/>
      <c r="C2481" s="24"/>
      <c r="D2481" s="5"/>
      <c r="E2481" s="5"/>
      <c r="F2481" s="4"/>
      <c r="G2481" s="4"/>
      <c r="H2481" s="4"/>
      <c r="I2481" s="4"/>
      <c r="J2481" s="4"/>
      <c r="K2481" s="4"/>
    </row>
    <row r="2482" spans="2:11">
      <c r="B2482" s="6"/>
      <c r="C2482" s="24"/>
      <c r="D2482" s="5"/>
      <c r="E2482" s="5"/>
      <c r="F2482" s="4"/>
      <c r="G2482" s="4"/>
      <c r="H2482" s="4"/>
      <c r="I2482" s="4"/>
      <c r="J2482" s="4"/>
      <c r="K2482" s="4"/>
    </row>
    <row r="2483" spans="2:11">
      <c r="B2483" s="6"/>
      <c r="C2483" s="24"/>
      <c r="D2483" s="5"/>
      <c r="E2483" s="5"/>
      <c r="F2483" s="4"/>
      <c r="G2483" s="4"/>
      <c r="H2483" s="4"/>
      <c r="I2483" s="4"/>
      <c r="J2483" s="4"/>
      <c r="K2483" s="4"/>
    </row>
    <row r="2484" spans="2:11">
      <c r="B2484" s="6"/>
      <c r="C2484" s="24"/>
      <c r="D2484" s="5"/>
      <c r="E2484" s="5"/>
      <c r="F2484" s="4"/>
      <c r="G2484" s="4"/>
      <c r="H2484" s="4"/>
      <c r="I2484" s="4"/>
      <c r="J2484" s="4"/>
      <c r="K2484" s="4"/>
    </row>
    <row r="2485" spans="2:11">
      <c r="B2485" s="6"/>
      <c r="C2485" s="24"/>
      <c r="D2485" s="5"/>
      <c r="E2485" s="5"/>
      <c r="F2485" s="4"/>
      <c r="G2485" s="4"/>
      <c r="H2485" s="4"/>
      <c r="I2485" s="4"/>
      <c r="J2485" s="4"/>
      <c r="K2485" s="4"/>
    </row>
    <row r="2486" spans="2:11">
      <c r="B2486" s="6"/>
      <c r="C2486" s="24"/>
      <c r="D2486" s="5"/>
      <c r="E2486" s="5"/>
      <c r="F2486" s="4"/>
      <c r="G2486" s="4"/>
      <c r="H2486" s="4"/>
      <c r="I2486" s="4"/>
      <c r="J2486" s="4"/>
      <c r="K2486" s="4"/>
    </row>
    <row r="2487" spans="2:11">
      <c r="B2487" s="6"/>
      <c r="C2487" s="24"/>
      <c r="D2487" s="5"/>
      <c r="E2487" s="5"/>
      <c r="F2487" s="4"/>
      <c r="G2487" s="4"/>
      <c r="H2487" s="4"/>
      <c r="I2487" s="4"/>
      <c r="J2487" s="4"/>
      <c r="K2487" s="4"/>
    </row>
    <row r="2488" spans="2:11">
      <c r="B2488" s="6"/>
      <c r="C2488" s="24"/>
      <c r="D2488" s="5"/>
      <c r="E2488" s="5"/>
      <c r="F2488" s="4"/>
      <c r="G2488" s="4"/>
      <c r="H2488" s="4"/>
      <c r="I2488" s="4"/>
      <c r="J2488" s="4"/>
      <c r="K2488" s="4"/>
    </row>
    <row r="2489" spans="2:11">
      <c r="B2489" s="6"/>
      <c r="C2489" s="24"/>
      <c r="D2489" s="5"/>
      <c r="E2489" s="5"/>
      <c r="F2489" s="4"/>
      <c r="G2489" s="4"/>
      <c r="H2489" s="4"/>
      <c r="I2489" s="4"/>
      <c r="J2489" s="4"/>
      <c r="K2489" s="4"/>
    </row>
    <row r="2490" spans="2:11">
      <c r="B2490" s="6"/>
      <c r="C2490" s="24"/>
      <c r="D2490" s="5"/>
      <c r="E2490" s="5"/>
      <c r="F2490" s="4"/>
      <c r="G2490" s="4"/>
      <c r="H2490" s="4"/>
      <c r="I2490" s="4"/>
      <c r="J2490" s="4"/>
      <c r="K2490" s="4"/>
    </row>
    <row r="2491" spans="2:11">
      <c r="B2491" s="6"/>
      <c r="C2491" s="24"/>
      <c r="D2491" s="5"/>
      <c r="E2491" s="5"/>
      <c r="F2491" s="4"/>
      <c r="G2491" s="4"/>
      <c r="H2491" s="4"/>
      <c r="I2491" s="4"/>
      <c r="J2491" s="4"/>
      <c r="K2491" s="4"/>
    </row>
    <row r="2492" spans="2:11">
      <c r="B2492" s="6"/>
      <c r="C2492" s="24"/>
      <c r="D2492" s="5"/>
      <c r="E2492" s="5"/>
      <c r="F2492" s="4"/>
      <c r="G2492" s="4"/>
      <c r="H2492" s="4"/>
      <c r="I2492" s="4"/>
      <c r="J2492" s="4"/>
      <c r="K2492" s="4"/>
    </row>
    <row r="2493" spans="2:11">
      <c r="B2493" s="6"/>
      <c r="C2493" s="24"/>
      <c r="D2493" s="5"/>
      <c r="E2493" s="5"/>
      <c r="F2493" s="4"/>
      <c r="G2493" s="4"/>
      <c r="H2493" s="4"/>
      <c r="I2493" s="4"/>
      <c r="J2493" s="4"/>
      <c r="K2493" s="4"/>
    </row>
    <row r="2494" spans="2:11">
      <c r="B2494" s="6"/>
      <c r="C2494" s="24"/>
      <c r="D2494" s="5"/>
      <c r="E2494" s="5"/>
      <c r="F2494" s="4"/>
      <c r="G2494" s="4"/>
      <c r="H2494" s="4"/>
      <c r="I2494" s="4"/>
      <c r="J2494" s="4"/>
      <c r="K2494" s="4"/>
    </row>
    <row r="2495" spans="2:11">
      <c r="B2495" s="6"/>
      <c r="C2495" s="24"/>
      <c r="D2495" s="5"/>
      <c r="E2495" s="5"/>
      <c r="F2495" s="4"/>
      <c r="G2495" s="4"/>
      <c r="H2495" s="4"/>
      <c r="I2495" s="4"/>
      <c r="J2495" s="4"/>
      <c r="K2495" s="4"/>
    </row>
    <row r="2496" spans="2:11">
      <c r="B2496" s="6"/>
      <c r="C2496" s="24"/>
      <c r="D2496" s="5"/>
      <c r="E2496" s="5"/>
      <c r="F2496" s="4"/>
      <c r="G2496" s="4"/>
      <c r="H2496" s="4"/>
      <c r="I2496" s="4"/>
      <c r="J2496" s="4"/>
      <c r="K2496" s="4"/>
    </row>
    <row r="2497" spans="2:11">
      <c r="B2497" s="6"/>
      <c r="C2497" s="24"/>
      <c r="D2497" s="5"/>
      <c r="E2497" s="5"/>
      <c r="F2497" s="4"/>
      <c r="G2497" s="4"/>
      <c r="H2497" s="4"/>
      <c r="I2497" s="4"/>
      <c r="J2497" s="4"/>
      <c r="K2497" s="4"/>
    </row>
    <row r="2498" spans="2:11">
      <c r="B2498" s="6"/>
      <c r="C2498" s="24"/>
      <c r="D2498" s="5"/>
      <c r="E2498" s="5"/>
      <c r="F2498" s="4"/>
      <c r="G2498" s="4"/>
      <c r="H2498" s="4"/>
      <c r="I2498" s="4"/>
      <c r="J2498" s="4"/>
      <c r="K2498" s="4"/>
    </row>
    <row r="2499" spans="2:11">
      <c r="B2499" s="6"/>
      <c r="C2499" s="24"/>
      <c r="D2499" s="5"/>
      <c r="E2499" s="5"/>
      <c r="F2499" s="4"/>
      <c r="G2499" s="4"/>
      <c r="H2499" s="4"/>
      <c r="I2499" s="4"/>
      <c r="J2499" s="4"/>
      <c r="K2499" s="4"/>
    </row>
    <row r="2500" spans="2:11">
      <c r="B2500" s="6"/>
      <c r="C2500" s="24"/>
      <c r="D2500" s="5"/>
      <c r="E2500" s="5"/>
      <c r="F2500" s="4"/>
      <c r="G2500" s="4"/>
      <c r="H2500" s="4"/>
      <c r="I2500" s="4"/>
      <c r="J2500" s="4"/>
      <c r="K2500" s="4"/>
    </row>
    <row r="2501" spans="2:11">
      <c r="B2501" s="6"/>
      <c r="C2501" s="24"/>
      <c r="D2501" s="5"/>
      <c r="E2501" s="5"/>
      <c r="F2501" s="4"/>
      <c r="G2501" s="4"/>
      <c r="H2501" s="4"/>
      <c r="I2501" s="4"/>
      <c r="J2501" s="4"/>
      <c r="K2501" s="4"/>
    </row>
    <row r="2502" spans="2:11">
      <c r="B2502" s="6"/>
      <c r="C2502" s="24"/>
      <c r="D2502" s="5"/>
      <c r="E2502" s="5"/>
      <c r="F2502" s="4"/>
      <c r="G2502" s="4"/>
      <c r="H2502" s="4"/>
      <c r="I2502" s="4"/>
      <c r="J2502" s="4"/>
      <c r="K2502" s="4"/>
    </row>
    <row r="2503" spans="2:11">
      <c r="B2503" s="6"/>
      <c r="C2503" s="24"/>
      <c r="D2503" s="5"/>
      <c r="E2503" s="5"/>
      <c r="F2503" s="4"/>
      <c r="G2503" s="4"/>
      <c r="H2503" s="4"/>
      <c r="I2503" s="4"/>
      <c r="J2503" s="4"/>
      <c r="K2503" s="4"/>
    </row>
    <row r="2504" spans="2:11">
      <c r="B2504" s="6"/>
      <c r="C2504" s="24"/>
      <c r="D2504" s="5"/>
      <c r="E2504" s="5"/>
      <c r="F2504" s="4"/>
      <c r="G2504" s="4"/>
      <c r="H2504" s="4"/>
      <c r="I2504" s="4"/>
      <c r="J2504" s="4"/>
      <c r="K2504" s="4"/>
    </row>
    <row r="2505" spans="2:11">
      <c r="B2505" s="6"/>
      <c r="C2505" s="24"/>
      <c r="D2505" s="5"/>
      <c r="E2505" s="5"/>
      <c r="F2505" s="4"/>
      <c r="G2505" s="4"/>
      <c r="H2505" s="4"/>
      <c r="I2505" s="4"/>
      <c r="J2505" s="4"/>
      <c r="K2505" s="4"/>
    </row>
    <row r="2506" spans="2:11">
      <c r="B2506" s="6"/>
      <c r="C2506" s="24"/>
      <c r="D2506" s="5"/>
      <c r="E2506" s="5"/>
      <c r="F2506" s="4"/>
      <c r="G2506" s="4"/>
      <c r="H2506" s="4"/>
      <c r="I2506" s="4"/>
      <c r="J2506" s="4"/>
      <c r="K2506" s="4"/>
    </row>
    <row r="2507" spans="2:11">
      <c r="B2507" s="6"/>
      <c r="C2507" s="24"/>
      <c r="D2507" s="5"/>
      <c r="E2507" s="5"/>
      <c r="F2507" s="4"/>
      <c r="G2507" s="4"/>
      <c r="H2507" s="4"/>
      <c r="I2507" s="4"/>
      <c r="J2507" s="4"/>
      <c r="K2507" s="4"/>
    </row>
    <row r="2508" spans="2:11">
      <c r="B2508" s="6"/>
      <c r="C2508" s="24"/>
      <c r="D2508" s="5"/>
      <c r="E2508" s="5"/>
      <c r="F2508" s="4"/>
      <c r="G2508" s="4"/>
      <c r="H2508" s="4"/>
      <c r="I2508" s="4"/>
      <c r="J2508" s="4"/>
      <c r="K2508" s="4"/>
    </row>
    <row r="2509" spans="2:11">
      <c r="B2509" s="6"/>
      <c r="C2509" s="24"/>
      <c r="D2509" s="5"/>
      <c r="E2509" s="5"/>
      <c r="F2509" s="4"/>
      <c r="G2509" s="4"/>
      <c r="H2509" s="4"/>
      <c r="I2509" s="4"/>
      <c r="J2509" s="4"/>
      <c r="K2509" s="4"/>
    </row>
    <row r="2510" spans="2:11">
      <c r="B2510" s="6"/>
      <c r="C2510" s="24"/>
      <c r="D2510" s="5"/>
      <c r="E2510" s="5"/>
      <c r="F2510" s="4"/>
      <c r="G2510" s="4"/>
      <c r="H2510" s="4"/>
      <c r="I2510" s="4"/>
      <c r="J2510" s="4"/>
      <c r="K2510" s="4"/>
    </row>
    <row r="2511" spans="2:11">
      <c r="B2511" s="6"/>
      <c r="C2511" s="24"/>
      <c r="D2511" s="5"/>
      <c r="E2511" s="5"/>
      <c r="F2511" s="4"/>
      <c r="G2511" s="4"/>
      <c r="H2511" s="4"/>
      <c r="I2511" s="4"/>
      <c r="J2511" s="4"/>
      <c r="K2511" s="4"/>
    </row>
    <row r="2512" spans="2:11">
      <c r="B2512" s="6"/>
      <c r="C2512" s="24"/>
      <c r="D2512" s="5"/>
      <c r="E2512" s="5"/>
      <c r="F2512" s="4"/>
      <c r="G2512" s="4"/>
      <c r="H2512" s="4"/>
      <c r="I2512" s="4"/>
      <c r="J2512" s="4"/>
      <c r="K2512" s="4"/>
    </row>
    <row r="2513" spans="2:11">
      <c r="B2513" s="6"/>
      <c r="C2513" s="24"/>
      <c r="D2513" s="5"/>
      <c r="E2513" s="5"/>
      <c r="F2513" s="4"/>
      <c r="G2513" s="4"/>
      <c r="H2513" s="4"/>
      <c r="I2513" s="4"/>
      <c r="J2513" s="4"/>
      <c r="K2513" s="4"/>
    </row>
    <row r="2514" spans="2:11">
      <c r="B2514" s="6"/>
      <c r="C2514" s="24"/>
      <c r="D2514" s="5"/>
      <c r="E2514" s="5"/>
      <c r="F2514" s="4"/>
      <c r="G2514" s="4"/>
      <c r="H2514" s="4"/>
      <c r="I2514" s="4"/>
      <c r="J2514" s="4"/>
      <c r="K2514" s="4"/>
    </row>
    <row r="2515" spans="2:11">
      <c r="B2515" s="6"/>
      <c r="C2515" s="24"/>
      <c r="D2515" s="5"/>
      <c r="E2515" s="5"/>
      <c r="F2515" s="4"/>
      <c r="G2515" s="4"/>
      <c r="H2515" s="4"/>
      <c r="I2515" s="4"/>
      <c r="J2515" s="4"/>
      <c r="K2515" s="4"/>
    </row>
    <row r="2516" spans="2:11">
      <c r="B2516" s="6"/>
      <c r="C2516" s="24"/>
      <c r="D2516" s="5"/>
      <c r="E2516" s="5"/>
      <c r="F2516" s="4"/>
      <c r="G2516" s="4"/>
      <c r="H2516" s="4"/>
      <c r="I2516" s="4"/>
      <c r="J2516" s="4"/>
      <c r="K2516" s="4"/>
    </row>
    <row r="2517" spans="2:11">
      <c r="B2517" s="6"/>
      <c r="C2517" s="24"/>
      <c r="D2517" s="5"/>
      <c r="E2517" s="5"/>
      <c r="F2517" s="4"/>
      <c r="G2517" s="4"/>
      <c r="H2517" s="4"/>
      <c r="I2517" s="4"/>
      <c r="J2517" s="4"/>
      <c r="K2517" s="4"/>
    </row>
    <row r="2518" spans="2:11">
      <c r="B2518" s="6"/>
      <c r="C2518" s="24"/>
      <c r="D2518" s="5"/>
      <c r="E2518" s="5"/>
      <c r="F2518" s="4"/>
      <c r="G2518" s="4"/>
      <c r="H2518" s="4"/>
      <c r="I2518" s="4"/>
      <c r="J2518" s="4"/>
      <c r="K2518" s="4"/>
    </row>
    <row r="2519" spans="2:11">
      <c r="B2519" s="6"/>
      <c r="C2519" s="24"/>
      <c r="D2519" s="5"/>
      <c r="E2519" s="5"/>
      <c r="F2519" s="4"/>
      <c r="G2519" s="4"/>
      <c r="H2519" s="4"/>
      <c r="I2519" s="4"/>
      <c r="J2519" s="4"/>
      <c r="K2519" s="4"/>
    </row>
    <row r="2520" spans="2:11">
      <c r="B2520" s="6"/>
      <c r="C2520" s="24"/>
      <c r="D2520" s="5"/>
      <c r="E2520" s="5"/>
      <c r="F2520" s="4"/>
      <c r="G2520" s="4"/>
      <c r="H2520" s="4"/>
      <c r="I2520" s="4"/>
      <c r="J2520" s="4"/>
      <c r="K2520" s="4"/>
    </row>
    <row r="2521" spans="2:11">
      <c r="B2521" s="6"/>
      <c r="C2521" s="24"/>
      <c r="D2521" s="5"/>
      <c r="E2521" s="5"/>
      <c r="F2521" s="4"/>
      <c r="G2521" s="4"/>
      <c r="H2521" s="4"/>
      <c r="I2521" s="4"/>
      <c r="J2521" s="4"/>
      <c r="K2521" s="4"/>
    </row>
    <row r="2522" spans="2:11">
      <c r="B2522" s="6"/>
      <c r="C2522" s="24"/>
      <c r="D2522" s="5"/>
      <c r="E2522" s="5"/>
      <c r="F2522" s="4"/>
      <c r="G2522" s="4"/>
      <c r="H2522" s="4"/>
      <c r="I2522" s="4"/>
      <c r="J2522" s="4"/>
      <c r="K2522" s="4"/>
    </row>
    <row r="2523" spans="2:11">
      <c r="B2523" s="6"/>
      <c r="C2523" s="24"/>
      <c r="D2523" s="5"/>
      <c r="E2523" s="5"/>
      <c r="F2523" s="4"/>
      <c r="G2523" s="4"/>
      <c r="H2523" s="4"/>
      <c r="I2523" s="4"/>
      <c r="J2523" s="4"/>
      <c r="K2523" s="4"/>
    </row>
    <row r="2524" spans="2:11">
      <c r="B2524" s="6"/>
      <c r="C2524" s="24"/>
      <c r="D2524" s="5"/>
      <c r="E2524" s="5"/>
      <c r="F2524" s="4"/>
      <c r="G2524" s="4"/>
      <c r="H2524" s="4"/>
      <c r="I2524" s="4"/>
      <c r="J2524" s="4"/>
      <c r="K2524" s="4"/>
    </row>
    <row r="2525" spans="2:11">
      <c r="B2525" s="6"/>
      <c r="C2525" s="24"/>
      <c r="D2525" s="5"/>
      <c r="E2525" s="5"/>
      <c r="F2525" s="4"/>
      <c r="G2525" s="4"/>
      <c r="H2525" s="4"/>
      <c r="I2525" s="4"/>
      <c r="J2525" s="4"/>
      <c r="K2525" s="4"/>
    </row>
    <row r="2526" spans="2:11">
      <c r="B2526" s="6"/>
      <c r="C2526" s="24"/>
      <c r="D2526" s="5"/>
      <c r="E2526" s="5"/>
      <c r="F2526" s="4"/>
      <c r="G2526" s="4"/>
      <c r="H2526" s="4"/>
      <c r="I2526" s="4"/>
      <c r="J2526" s="4"/>
      <c r="K2526" s="4"/>
    </row>
    <row r="2527" spans="2:11">
      <c r="B2527" s="6"/>
      <c r="C2527" s="24"/>
      <c r="D2527" s="5"/>
      <c r="E2527" s="5"/>
      <c r="F2527" s="4"/>
      <c r="G2527" s="4"/>
      <c r="H2527" s="4"/>
      <c r="I2527" s="4"/>
      <c r="J2527" s="4"/>
      <c r="K2527" s="4"/>
    </row>
    <row r="2528" spans="2:11">
      <c r="B2528" s="6"/>
      <c r="C2528" s="24"/>
      <c r="D2528" s="5"/>
      <c r="E2528" s="5"/>
      <c r="F2528" s="4"/>
      <c r="G2528" s="4"/>
      <c r="H2528" s="4"/>
      <c r="I2528" s="4"/>
      <c r="J2528" s="4"/>
      <c r="K2528" s="4"/>
    </row>
    <row r="2529" spans="2:11">
      <c r="B2529" s="6"/>
      <c r="C2529" s="24"/>
      <c r="D2529" s="5"/>
      <c r="E2529" s="5"/>
      <c r="F2529" s="4"/>
      <c r="G2529" s="4"/>
      <c r="H2529" s="4"/>
      <c r="I2529" s="4"/>
      <c r="J2529" s="4"/>
      <c r="K2529" s="4"/>
    </row>
    <row r="2530" spans="2:11">
      <c r="B2530" s="6"/>
      <c r="C2530" s="24"/>
      <c r="D2530" s="5"/>
      <c r="E2530" s="5"/>
      <c r="F2530" s="4"/>
      <c r="G2530" s="4"/>
      <c r="H2530" s="4"/>
      <c r="I2530" s="4"/>
      <c r="J2530" s="4"/>
      <c r="K2530" s="4"/>
    </row>
    <row r="2531" spans="2:11">
      <c r="B2531" s="6"/>
      <c r="C2531" s="24"/>
      <c r="D2531" s="5"/>
      <c r="E2531" s="5"/>
      <c r="F2531" s="4"/>
      <c r="G2531" s="4"/>
      <c r="H2531" s="4"/>
      <c r="I2531" s="4"/>
      <c r="J2531" s="4"/>
      <c r="K2531" s="4"/>
    </row>
    <row r="2532" spans="2:11">
      <c r="B2532" s="6"/>
      <c r="C2532" s="24"/>
      <c r="D2532" s="5"/>
      <c r="E2532" s="5"/>
      <c r="F2532" s="4"/>
      <c r="G2532" s="4"/>
      <c r="H2532" s="4"/>
      <c r="I2532" s="4"/>
      <c r="J2532" s="4"/>
      <c r="K2532" s="4"/>
    </row>
    <row r="2533" spans="2:11">
      <c r="B2533" s="6"/>
      <c r="C2533" s="24"/>
      <c r="D2533" s="5"/>
      <c r="E2533" s="5"/>
      <c r="F2533" s="4"/>
      <c r="G2533" s="4"/>
      <c r="H2533" s="4"/>
      <c r="I2533" s="4"/>
      <c r="J2533" s="4"/>
      <c r="K2533" s="4"/>
    </row>
    <row r="2534" spans="2:11">
      <c r="B2534" s="6"/>
      <c r="C2534" s="24"/>
      <c r="D2534" s="5"/>
      <c r="E2534" s="5"/>
      <c r="F2534" s="4"/>
      <c r="G2534" s="4"/>
      <c r="H2534" s="4"/>
      <c r="I2534" s="4"/>
      <c r="J2534" s="4"/>
      <c r="K2534" s="4"/>
    </row>
    <row r="2535" spans="2:11">
      <c r="B2535" s="6"/>
      <c r="C2535" s="24"/>
      <c r="D2535" s="5"/>
      <c r="E2535" s="5"/>
      <c r="F2535" s="4"/>
      <c r="G2535" s="4"/>
      <c r="H2535" s="4"/>
      <c r="I2535" s="4"/>
      <c r="J2535" s="4"/>
      <c r="K2535" s="4"/>
    </row>
    <row r="2536" spans="2:11">
      <c r="B2536" s="6"/>
      <c r="C2536" s="24"/>
      <c r="D2536" s="5"/>
      <c r="E2536" s="5"/>
      <c r="F2536" s="4"/>
      <c r="G2536" s="4"/>
      <c r="H2536" s="4"/>
      <c r="I2536" s="4"/>
      <c r="J2536" s="4"/>
      <c r="K2536" s="4"/>
    </row>
    <row r="2537" spans="2:11">
      <c r="B2537" s="6"/>
      <c r="C2537" s="24"/>
      <c r="D2537" s="5"/>
      <c r="E2537" s="5"/>
      <c r="F2537" s="4"/>
      <c r="G2537" s="4"/>
      <c r="H2537" s="4"/>
      <c r="I2537" s="4"/>
      <c r="J2537" s="4"/>
      <c r="K2537" s="4"/>
    </row>
    <row r="2538" spans="2:11">
      <c r="B2538" s="6"/>
      <c r="C2538" s="24"/>
      <c r="D2538" s="5"/>
      <c r="E2538" s="5"/>
      <c r="F2538" s="4"/>
      <c r="G2538" s="4"/>
      <c r="H2538" s="4"/>
      <c r="I2538" s="4"/>
      <c r="J2538" s="4"/>
      <c r="K2538" s="4"/>
    </row>
    <row r="2539" spans="2:11">
      <c r="B2539" s="6"/>
      <c r="C2539" s="24"/>
      <c r="D2539" s="5"/>
      <c r="E2539" s="5"/>
      <c r="F2539" s="4"/>
      <c r="G2539" s="4"/>
      <c r="H2539" s="4"/>
      <c r="I2539" s="4"/>
      <c r="J2539" s="4"/>
      <c r="K2539" s="4"/>
    </row>
    <row r="2540" spans="2:11">
      <c r="B2540" s="6"/>
      <c r="C2540" s="24"/>
      <c r="D2540" s="5"/>
      <c r="E2540" s="5"/>
      <c r="F2540" s="4"/>
      <c r="G2540" s="4"/>
      <c r="H2540" s="4"/>
      <c r="I2540" s="4"/>
      <c r="J2540" s="4"/>
      <c r="K2540" s="4"/>
    </row>
    <row r="2541" spans="2:11">
      <c r="B2541" s="6"/>
      <c r="C2541" s="24"/>
      <c r="D2541" s="5"/>
      <c r="E2541" s="5"/>
      <c r="F2541" s="4"/>
      <c r="G2541" s="4"/>
      <c r="H2541" s="4"/>
      <c r="I2541" s="4"/>
      <c r="J2541" s="4"/>
      <c r="K2541" s="4"/>
    </row>
    <row r="2542" spans="2:11">
      <c r="B2542" s="6"/>
      <c r="C2542" s="24"/>
      <c r="D2542" s="5"/>
      <c r="E2542" s="5"/>
      <c r="F2542" s="4"/>
      <c r="G2542" s="4"/>
      <c r="H2542" s="4"/>
      <c r="I2542" s="4"/>
      <c r="J2542" s="4"/>
      <c r="K2542" s="4"/>
    </row>
    <row r="2543" spans="2:11">
      <c r="B2543" s="6"/>
      <c r="C2543" s="24"/>
      <c r="D2543" s="5"/>
      <c r="E2543" s="5"/>
      <c r="F2543" s="4"/>
      <c r="G2543" s="4"/>
      <c r="H2543" s="4"/>
      <c r="I2543" s="4"/>
      <c r="J2543" s="4"/>
      <c r="K2543" s="4"/>
    </row>
    <row r="2544" spans="2:11">
      <c r="B2544" s="6"/>
      <c r="C2544" s="24"/>
      <c r="D2544" s="5"/>
      <c r="E2544" s="5"/>
      <c r="F2544" s="4"/>
      <c r="G2544" s="4"/>
      <c r="H2544" s="4"/>
      <c r="I2544" s="4"/>
      <c r="J2544" s="4"/>
      <c r="K2544" s="4"/>
    </row>
    <row r="2545" spans="2:11">
      <c r="B2545" s="6"/>
      <c r="C2545" s="24"/>
      <c r="D2545" s="5"/>
      <c r="E2545" s="5"/>
      <c r="F2545" s="4"/>
      <c r="G2545" s="4"/>
      <c r="H2545" s="4"/>
      <c r="I2545" s="4"/>
      <c r="J2545" s="4"/>
      <c r="K2545" s="4"/>
    </row>
    <row r="2546" spans="2:11">
      <c r="B2546" s="6"/>
      <c r="C2546" s="24"/>
      <c r="D2546" s="5"/>
      <c r="E2546" s="5"/>
      <c r="F2546" s="4"/>
      <c r="G2546" s="4"/>
      <c r="H2546" s="4"/>
      <c r="I2546" s="4"/>
      <c r="J2546" s="4"/>
      <c r="K2546" s="4"/>
    </row>
    <row r="2547" spans="2:11">
      <c r="B2547" s="6"/>
      <c r="C2547" s="24"/>
      <c r="D2547" s="5"/>
      <c r="E2547" s="5"/>
      <c r="F2547" s="4"/>
      <c r="G2547" s="4"/>
      <c r="H2547" s="4"/>
      <c r="I2547" s="4"/>
      <c r="J2547" s="4"/>
      <c r="K2547" s="4"/>
    </row>
    <row r="2548" spans="2:11">
      <c r="B2548" s="6"/>
      <c r="C2548" s="24"/>
      <c r="D2548" s="5"/>
      <c r="E2548" s="5"/>
      <c r="F2548" s="4"/>
      <c r="G2548" s="4"/>
      <c r="H2548" s="4"/>
      <c r="I2548" s="4"/>
      <c r="J2548" s="4"/>
      <c r="K2548" s="4"/>
    </row>
    <row r="2549" spans="2:11">
      <c r="B2549" s="6"/>
      <c r="C2549" s="24"/>
      <c r="D2549" s="5"/>
      <c r="E2549" s="5"/>
      <c r="F2549" s="4"/>
      <c r="G2549" s="4"/>
      <c r="H2549" s="4"/>
      <c r="I2549" s="4"/>
      <c r="J2549" s="4"/>
      <c r="K2549" s="4"/>
    </row>
    <row r="2550" spans="2:11">
      <c r="B2550" s="6"/>
      <c r="C2550" s="24"/>
      <c r="D2550" s="5"/>
      <c r="E2550" s="5"/>
      <c r="F2550" s="4"/>
      <c r="G2550" s="4"/>
      <c r="H2550" s="4"/>
      <c r="I2550" s="4"/>
      <c r="J2550" s="4"/>
      <c r="K2550" s="4"/>
    </row>
    <row r="2551" spans="2:11">
      <c r="B2551" s="6"/>
      <c r="C2551" s="24"/>
      <c r="D2551" s="5"/>
      <c r="E2551" s="5"/>
      <c r="F2551" s="4"/>
      <c r="G2551" s="4"/>
      <c r="H2551" s="4"/>
      <c r="I2551" s="4"/>
      <c r="J2551" s="4"/>
      <c r="K2551" s="4"/>
    </row>
    <row r="2552" spans="2:11">
      <c r="B2552" s="6"/>
      <c r="C2552" s="24"/>
      <c r="D2552" s="5"/>
      <c r="E2552" s="5"/>
      <c r="F2552" s="4"/>
      <c r="G2552" s="4"/>
      <c r="H2552" s="4"/>
      <c r="I2552" s="4"/>
      <c r="J2552" s="4"/>
      <c r="K2552" s="4"/>
    </row>
    <row r="2553" spans="2:11">
      <c r="B2553" s="6"/>
      <c r="C2553" s="24"/>
      <c r="D2553" s="5"/>
      <c r="E2553" s="5"/>
      <c r="F2553" s="4"/>
      <c r="G2553" s="4"/>
      <c r="H2553" s="4"/>
      <c r="I2553" s="4"/>
      <c r="J2553" s="4"/>
      <c r="K2553" s="4"/>
    </row>
    <row r="2554" spans="2:11">
      <c r="B2554" s="6"/>
      <c r="C2554" s="24"/>
      <c r="D2554" s="5"/>
      <c r="E2554" s="5"/>
      <c r="F2554" s="4"/>
      <c r="G2554" s="4"/>
      <c r="H2554" s="4"/>
      <c r="I2554" s="4"/>
      <c r="J2554" s="4"/>
      <c r="K2554" s="4"/>
    </row>
    <row r="2555" spans="2:11">
      <c r="B2555" s="6"/>
      <c r="C2555" s="24"/>
      <c r="D2555" s="5"/>
      <c r="E2555" s="5"/>
      <c r="F2555" s="4"/>
      <c r="G2555" s="4"/>
      <c r="H2555" s="4"/>
      <c r="I2555" s="4"/>
      <c r="J2555" s="4"/>
      <c r="K2555" s="4"/>
    </row>
    <row r="2556" spans="2:11">
      <c r="B2556" s="6"/>
      <c r="C2556" s="24"/>
      <c r="D2556" s="5"/>
      <c r="E2556" s="5"/>
      <c r="F2556" s="4"/>
      <c r="G2556" s="4"/>
      <c r="H2556" s="4"/>
      <c r="I2556" s="4"/>
      <c r="J2556" s="4"/>
      <c r="K2556" s="4"/>
    </row>
    <row r="2557" spans="2:11">
      <c r="B2557" s="6"/>
      <c r="C2557" s="24"/>
      <c r="D2557" s="5"/>
      <c r="E2557" s="5"/>
      <c r="F2557" s="4"/>
      <c r="G2557" s="4"/>
      <c r="H2557" s="4"/>
      <c r="I2557" s="4"/>
      <c r="J2557" s="4"/>
      <c r="K2557" s="4"/>
    </row>
    <row r="2558" spans="2:11">
      <c r="B2558" s="6"/>
      <c r="C2558" s="24"/>
      <c r="D2558" s="5"/>
      <c r="E2558" s="5"/>
      <c r="F2558" s="4"/>
      <c r="G2558" s="4"/>
      <c r="H2558" s="4"/>
      <c r="I2558" s="4"/>
      <c r="J2558" s="4"/>
      <c r="K2558" s="4"/>
    </row>
    <row r="2559" spans="2:11">
      <c r="B2559" s="6"/>
      <c r="C2559" s="24"/>
      <c r="D2559" s="5"/>
      <c r="E2559" s="5"/>
      <c r="F2559" s="4"/>
      <c r="G2559" s="4"/>
      <c r="H2559" s="4"/>
      <c r="I2559" s="4"/>
      <c r="J2559" s="4"/>
      <c r="K2559" s="4"/>
    </row>
    <row r="2560" spans="2:11">
      <c r="B2560" s="6"/>
      <c r="C2560" s="24"/>
      <c r="D2560" s="5"/>
      <c r="E2560" s="5"/>
      <c r="F2560" s="4"/>
      <c r="G2560" s="4"/>
      <c r="H2560" s="4"/>
      <c r="I2560" s="4"/>
      <c r="J2560" s="4"/>
      <c r="K2560" s="4"/>
    </row>
    <row r="2561" spans="2:11">
      <c r="B2561" s="6"/>
      <c r="C2561" s="24"/>
      <c r="D2561" s="5"/>
      <c r="E2561" s="5"/>
      <c r="F2561" s="4"/>
      <c r="G2561" s="4"/>
      <c r="H2561" s="4"/>
      <c r="I2561" s="4"/>
      <c r="J2561" s="4"/>
      <c r="K2561" s="4"/>
    </row>
    <row r="2562" spans="2:11">
      <c r="B2562" s="6"/>
      <c r="C2562" s="24"/>
      <c r="D2562" s="5"/>
      <c r="E2562" s="5"/>
      <c r="F2562" s="4"/>
      <c r="G2562" s="4"/>
      <c r="H2562" s="4"/>
      <c r="I2562" s="4"/>
      <c r="J2562" s="4"/>
      <c r="K2562" s="4"/>
    </row>
    <row r="2563" spans="2:11">
      <c r="B2563" s="6"/>
      <c r="C2563" s="24"/>
      <c r="D2563" s="5"/>
      <c r="E2563" s="5"/>
      <c r="F2563" s="4"/>
      <c r="G2563" s="4"/>
      <c r="H2563" s="4"/>
      <c r="I2563" s="4"/>
      <c r="J2563" s="4"/>
      <c r="K2563" s="4"/>
    </row>
    <row r="2564" spans="2:11">
      <c r="B2564" s="6"/>
      <c r="C2564" s="24"/>
      <c r="D2564" s="5"/>
      <c r="E2564" s="5"/>
      <c r="F2564" s="4"/>
      <c r="G2564" s="4"/>
      <c r="H2564" s="4"/>
      <c r="I2564" s="4"/>
      <c r="J2564" s="4"/>
      <c r="K2564" s="4"/>
    </row>
    <row r="2565" spans="2:11">
      <c r="B2565" s="6"/>
      <c r="C2565" s="24"/>
      <c r="D2565" s="5"/>
      <c r="E2565" s="5"/>
      <c r="F2565" s="4"/>
      <c r="G2565" s="4"/>
      <c r="H2565" s="4"/>
      <c r="I2565" s="4"/>
      <c r="J2565" s="4"/>
      <c r="K2565" s="4"/>
    </row>
    <row r="2566" spans="2:11">
      <c r="B2566" s="6"/>
      <c r="C2566" s="24"/>
      <c r="D2566" s="5"/>
      <c r="E2566" s="5"/>
      <c r="F2566" s="4"/>
      <c r="G2566" s="4"/>
      <c r="H2566" s="4"/>
      <c r="I2566" s="4"/>
      <c r="J2566" s="4"/>
      <c r="K2566" s="4"/>
    </row>
    <row r="2567" spans="2:11">
      <c r="B2567" s="6"/>
      <c r="C2567" s="24"/>
      <c r="D2567" s="5"/>
      <c r="E2567" s="5"/>
      <c r="F2567" s="4"/>
      <c r="G2567" s="4"/>
      <c r="H2567" s="4"/>
      <c r="I2567" s="4"/>
      <c r="J2567" s="4"/>
      <c r="K2567" s="4"/>
    </row>
    <row r="2568" spans="2:11">
      <c r="B2568" s="6"/>
      <c r="C2568" s="24"/>
      <c r="D2568" s="5"/>
      <c r="E2568" s="5"/>
      <c r="F2568" s="4"/>
      <c r="G2568" s="4"/>
      <c r="H2568" s="4"/>
      <c r="I2568" s="4"/>
      <c r="J2568" s="4"/>
      <c r="K2568" s="4"/>
    </row>
    <row r="2569" spans="2:11">
      <c r="B2569" s="6"/>
      <c r="C2569" s="24"/>
      <c r="D2569" s="5"/>
      <c r="E2569" s="5"/>
      <c r="F2569" s="4"/>
      <c r="G2569" s="4"/>
      <c r="H2569" s="4"/>
      <c r="I2569" s="4"/>
      <c r="J2569" s="4"/>
      <c r="K2569" s="4"/>
    </row>
    <row r="2570" spans="2:11">
      <c r="B2570" s="6"/>
      <c r="C2570" s="24"/>
      <c r="D2570" s="5"/>
      <c r="E2570" s="5"/>
      <c r="F2570" s="4"/>
      <c r="G2570" s="4"/>
      <c r="H2570" s="4"/>
      <c r="I2570" s="4"/>
      <c r="J2570" s="4"/>
      <c r="K2570" s="4"/>
    </row>
    <row r="2571" spans="2:11">
      <c r="B2571" s="6"/>
      <c r="C2571" s="24"/>
      <c r="D2571" s="5"/>
      <c r="E2571" s="5"/>
      <c r="F2571" s="4"/>
      <c r="G2571" s="4"/>
      <c r="H2571" s="4"/>
      <c r="I2571" s="4"/>
      <c r="J2571" s="4"/>
      <c r="K2571" s="4"/>
    </row>
    <row r="2572" spans="2:11">
      <c r="B2572" s="6"/>
      <c r="C2572" s="24"/>
      <c r="D2572" s="5"/>
      <c r="E2572" s="5"/>
      <c r="F2572" s="4"/>
      <c r="G2572" s="4"/>
      <c r="H2572" s="4"/>
      <c r="I2572" s="4"/>
      <c r="J2572" s="4"/>
      <c r="K2572" s="4"/>
    </row>
    <row r="2573" spans="2:11">
      <c r="B2573" s="6"/>
      <c r="C2573" s="24"/>
      <c r="D2573" s="5"/>
      <c r="E2573" s="5"/>
      <c r="F2573" s="4"/>
      <c r="G2573" s="4"/>
      <c r="H2573" s="4"/>
      <c r="I2573" s="4"/>
      <c r="J2573" s="4"/>
      <c r="K2573" s="4"/>
    </row>
    <row r="2574" spans="2:11">
      <c r="B2574" s="6"/>
      <c r="C2574" s="24"/>
      <c r="D2574" s="5"/>
      <c r="E2574" s="5"/>
      <c r="F2574" s="4"/>
      <c r="G2574" s="4"/>
      <c r="H2574" s="4"/>
      <c r="I2574" s="4"/>
      <c r="J2574" s="4"/>
      <c r="K2574" s="4"/>
    </row>
    <row r="2575" spans="2:11">
      <c r="B2575" s="6"/>
      <c r="C2575" s="24"/>
      <c r="D2575" s="5"/>
      <c r="E2575" s="5"/>
      <c r="F2575" s="4"/>
      <c r="G2575" s="4"/>
      <c r="H2575" s="4"/>
      <c r="I2575" s="4"/>
      <c r="J2575" s="4"/>
      <c r="K2575" s="4"/>
    </row>
    <row r="2576" spans="2:11">
      <c r="B2576" s="6"/>
      <c r="C2576" s="24"/>
      <c r="D2576" s="5"/>
      <c r="E2576" s="5"/>
      <c r="F2576" s="4"/>
      <c r="G2576" s="4"/>
      <c r="H2576" s="4"/>
      <c r="I2576" s="4"/>
      <c r="J2576" s="4"/>
      <c r="K2576" s="4"/>
    </row>
    <row r="2577" spans="2:11">
      <c r="B2577" s="6"/>
      <c r="C2577" s="24"/>
      <c r="D2577" s="5"/>
      <c r="E2577" s="5"/>
      <c r="F2577" s="4"/>
      <c r="G2577" s="4"/>
      <c r="H2577" s="4"/>
      <c r="I2577" s="4"/>
      <c r="J2577" s="4"/>
      <c r="K2577" s="4"/>
    </row>
    <row r="2578" spans="2:11">
      <c r="B2578" s="6"/>
      <c r="C2578" s="24"/>
      <c r="D2578" s="5"/>
      <c r="E2578" s="5"/>
      <c r="F2578" s="4"/>
      <c r="G2578" s="4"/>
      <c r="H2578" s="4"/>
      <c r="I2578" s="4"/>
      <c r="J2578" s="4"/>
      <c r="K2578" s="4"/>
    </row>
    <row r="2579" spans="2:11">
      <c r="B2579" s="6"/>
      <c r="C2579" s="24"/>
      <c r="D2579" s="5"/>
      <c r="E2579" s="5"/>
      <c r="F2579" s="4"/>
      <c r="G2579" s="4"/>
      <c r="H2579" s="4"/>
      <c r="I2579" s="4"/>
      <c r="J2579" s="4"/>
      <c r="K2579" s="4"/>
    </row>
    <row r="2580" spans="2:11">
      <c r="B2580" s="6"/>
      <c r="C2580" s="24"/>
      <c r="D2580" s="5"/>
      <c r="E2580" s="5"/>
      <c r="F2580" s="4"/>
      <c r="G2580" s="4"/>
      <c r="H2580" s="4"/>
      <c r="I2580" s="4"/>
      <c r="J2580" s="4"/>
      <c r="K2580" s="4"/>
    </row>
    <row r="2581" spans="2:11">
      <c r="B2581" s="6"/>
      <c r="C2581" s="24"/>
      <c r="D2581" s="5"/>
      <c r="E2581" s="5"/>
      <c r="F2581" s="4"/>
      <c r="G2581" s="4"/>
      <c r="H2581" s="4"/>
      <c r="I2581" s="4"/>
      <c r="J2581" s="4"/>
      <c r="K2581" s="4"/>
    </row>
    <row r="2582" spans="2:11">
      <c r="B2582" s="6"/>
      <c r="C2582" s="24"/>
      <c r="D2582" s="5"/>
      <c r="E2582" s="5"/>
      <c r="F2582" s="4"/>
      <c r="G2582" s="4"/>
      <c r="H2582" s="4"/>
      <c r="I2582" s="4"/>
      <c r="J2582" s="4"/>
      <c r="K2582" s="4"/>
    </row>
    <row r="2583" spans="2:11">
      <c r="B2583" s="6"/>
      <c r="C2583" s="24"/>
      <c r="D2583" s="5"/>
      <c r="E2583" s="5"/>
      <c r="F2583" s="4"/>
      <c r="G2583" s="4"/>
      <c r="H2583" s="4"/>
      <c r="I2583" s="4"/>
      <c r="J2583" s="4"/>
      <c r="K2583" s="4"/>
    </row>
    <row r="2584" spans="2:11">
      <c r="B2584" s="6"/>
      <c r="C2584" s="24"/>
      <c r="D2584" s="5"/>
      <c r="E2584" s="5"/>
      <c r="F2584" s="4"/>
      <c r="G2584" s="4"/>
      <c r="H2584" s="4"/>
      <c r="I2584" s="4"/>
      <c r="J2584" s="4"/>
      <c r="K2584" s="4"/>
    </row>
    <row r="2585" spans="2:11">
      <c r="B2585" s="6"/>
      <c r="C2585" s="24"/>
      <c r="D2585" s="5"/>
      <c r="E2585" s="5"/>
      <c r="F2585" s="4"/>
      <c r="G2585" s="4"/>
      <c r="H2585" s="4"/>
      <c r="I2585" s="4"/>
      <c r="J2585" s="4"/>
      <c r="K2585" s="4"/>
    </row>
    <row r="2586" spans="2:11">
      <c r="B2586" s="6"/>
      <c r="C2586" s="24"/>
      <c r="D2586" s="5"/>
      <c r="E2586" s="5"/>
      <c r="F2586" s="4"/>
      <c r="G2586" s="4"/>
      <c r="H2586" s="4"/>
      <c r="I2586" s="4"/>
      <c r="J2586" s="4"/>
      <c r="K2586" s="4"/>
    </row>
    <row r="2587" spans="2:11">
      <c r="B2587" s="6"/>
      <c r="C2587" s="24"/>
      <c r="D2587" s="5"/>
      <c r="E2587" s="5"/>
      <c r="F2587" s="4"/>
      <c r="G2587" s="4"/>
      <c r="H2587" s="4"/>
      <c r="I2587" s="4"/>
      <c r="J2587" s="4"/>
      <c r="K2587" s="4"/>
    </row>
    <row r="2588" spans="2:11">
      <c r="B2588" s="6"/>
      <c r="C2588" s="24"/>
      <c r="D2588" s="5"/>
      <c r="E2588" s="5"/>
      <c r="F2588" s="4"/>
      <c r="G2588" s="4"/>
      <c r="H2588" s="4"/>
      <c r="I2588" s="4"/>
      <c r="J2588" s="4"/>
      <c r="K2588" s="4"/>
    </row>
    <row r="2589" spans="2:11">
      <c r="B2589" s="6"/>
      <c r="C2589" s="24"/>
      <c r="D2589" s="5"/>
      <c r="E2589" s="5"/>
      <c r="F2589" s="4"/>
      <c r="G2589" s="4"/>
      <c r="H2589" s="4"/>
      <c r="I2589" s="4"/>
      <c r="J2589" s="4"/>
      <c r="K2589" s="4"/>
    </row>
    <row r="2590" spans="2:11">
      <c r="B2590" s="6"/>
      <c r="C2590" s="24"/>
      <c r="D2590" s="5"/>
      <c r="E2590" s="5"/>
      <c r="F2590" s="4"/>
      <c r="G2590" s="4"/>
      <c r="H2590" s="4"/>
      <c r="I2590" s="4"/>
      <c r="J2590" s="4"/>
      <c r="K2590" s="4"/>
    </row>
    <row r="2591" spans="2:11">
      <c r="B2591" s="6"/>
      <c r="C2591" s="24"/>
      <c r="D2591" s="5"/>
      <c r="E2591" s="5"/>
      <c r="F2591" s="4"/>
      <c r="G2591" s="4"/>
      <c r="H2591" s="4"/>
      <c r="I2591" s="4"/>
      <c r="J2591" s="4"/>
      <c r="K2591" s="4"/>
    </row>
    <row r="2592" spans="2:11">
      <c r="B2592" s="6"/>
      <c r="C2592" s="24"/>
      <c r="D2592" s="5"/>
      <c r="E2592" s="5"/>
      <c r="F2592" s="4"/>
      <c r="G2592" s="4"/>
      <c r="H2592" s="4"/>
      <c r="I2592" s="4"/>
      <c r="J2592" s="4"/>
      <c r="K2592" s="4"/>
    </row>
    <row r="2593" spans="2:11">
      <c r="B2593" s="6"/>
      <c r="C2593" s="24"/>
      <c r="D2593" s="5"/>
      <c r="E2593" s="5"/>
      <c r="F2593" s="4"/>
      <c r="G2593" s="4"/>
      <c r="H2593" s="4"/>
      <c r="I2593" s="4"/>
      <c r="J2593" s="4"/>
      <c r="K2593" s="4"/>
    </row>
    <row r="2594" spans="2:11">
      <c r="B2594" s="6"/>
      <c r="C2594" s="24"/>
      <c r="D2594" s="5"/>
      <c r="E2594" s="5"/>
      <c r="F2594" s="4"/>
      <c r="G2594" s="4"/>
      <c r="H2594" s="4"/>
      <c r="I2594" s="4"/>
      <c r="J2594" s="4"/>
      <c r="K2594" s="4"/>
    </row>
    <row r="2595" spans="2:11">
      <c r="B2595" s="6"/>
      <c r="C2595" s="24"/>
      <c r="D2595" s="5"/>
      <c r="E2595" s="5"/>
      <c r="F2595" s="4"/>
      <c r="G2595" s="4"/>
      <c r="H2595" s="4"/>
      <c r="I2595" s="4"/>
      <c r="J2595" s="4"/>
      <c r="K2595" s="4"/>
    </row>
    <row r="2596" spans="2:11">
      <c r="B2596" s="6"/>
      <c r="C2596" s="24"/>
      <c r="D2596" s="5"/>
      <c r="E2596" s="5"/>
      <c r="F2596" s="4"/>
      <c r="G2596" s="4"/>
      <c r="H2596" s="4"/>
      <c r="I2596" s="4"/>
      <c r="J2596" s="4"/>
      <c r="K2596" s="4"/>
    </row>
    <row r="2597" spans="2:11">
      <c r="B2597" s="6"/>
      <c r="C2597" s="24"/>
      <c r="D2597" s="5"/>
      <c r="E2597" s="5"/>
      <c r="F2597" s="4"/>
      <c r="G2597" s="4"/>
      <c r="H2597" s="4"/>
      <c r="I2597" s="4"/>
      <c r="J2597" s="4"/>
      <c r="K2597" s="4"/>
    </row>
    <row r="2598" spans="2:11">
      <c r="B2598" s="6"/>
      <c r="C2598" s="24"/>
      <c r="D2598" s="5"/>
      <c r="E2598" s="5"/>
      <c r="F2598" s="4"/>
      <c r="G2598" s="4"/>
      <c r="H2598" s="4"/>
      <c r="I2598" s="4"/>
      <c r="J2598" s="4"/>
      <c r="K2598" s="4"/>
    </row>
    <row r="2599" spans="2:11">
      <c r="B2599" s="6"/>
      <c r="C2599" s="24"/>
      <c r="D2599" s="5"/>
      <c r="E2599" s="5"/>
      <c r="F2599" s="4"/>
      <c r="G2599" s="4"/>
      <c r="H2599" s="4"/>
      <c r="I2599" s="4"/>
      <c r="J2599" s="4"/>
      <c r="K2599" s="4"/>
    </row>
    <row r="2600" spans="2:11">
      <c r="B2600" s="6"/>
      <c r="C2600" s="24"/>
      <c r="D2600" s="5"/>
      <c r="E2600" s="5"/>
      <c r="F2600" s="4"/>
      <c r="G2600" s="4"/>
      <c r="H2600" s="4"/>
      <c r="I2600" s="4"/>
      <c r="J2600" s="4"/>
      <c r="K2600" s="4"/>
    </row>
    <row r="2601" spans="2:11">
      <c r="B2601" s="6"/>
      <c r="C2601" s="24"/>
      <c r="D2601" s="5"/>
      <c r="E2601" s="5"/>
      <c r="F2601" s="4"/>
      <c r="G2601" s="4"/>
      <c r="H2601" s="4"/>
      <c r="I2601" s="4"/>
      <c r="J2601" s="4"/>
      <c r="K2601" s="4"/>
    </row>
    <row r="2602" spans="2:11">
      <c r="B2602" s="6"/>
      <c r="C2602" s="24"/>
      <c r="D2602" s="5"/>
      <c r="E2602" s="5"/>
      <c r="F2602" s="4"/>
      <c r="G2602" s="4"/>
      <c r="H2602" s="4"/>
      <c r="I2602" s="4"/>
      <c r="J2602" s="4"/>
      <c r="K2602" s="4"/>
    </row>
    <row r="2603" spans="2:11">
      <c r="B2603" s="6"/>
      <c r="C2603" s="24"/>
      <c r="D2603" s="5"/>
      <c r="E2603" s="5"/>
      <c r="F2603" s="4"/>
      <c r="G2603" s="4"/>
      <c r="H2603" s="4"/>
      <c r="I2603" s="4"/>
      <c r="J2603" s="4"/>
      <c r="K2603" s="4"/>
    </row>
    <row r="2604" spans="2:11">
      <c r="B2604" s="6"/>
      <c r="C2604" s="24"/>
      <c r="D2604" s="5"/>
      <c r="E2604" s="5"/>
      <c r="F2604" s="4"/>
      <c r="G2604" s="4"/>
      <c r="H2604" s="4"/>
      <c r="I2604" s="4"/>
      <c r="J2604" s="4"/>
      <c r="K2604" s="4"/>
    </row>
    <row r="2605" spans="2:11">
      <c r="B2605" s="6"/>
      <c r="C2605" s="24"/>
      <c r="D2605" s="5"/>
      <c r="E2605" s="5"/>
      <c r="F2605" s="4"/>
      <c r="G2605" s="4"/>
      <c r="H2605" s="4"/>
      <c r="I2605" s="4"/>
      <c r="J2605" s="4"/>
      <c r="K2605" s="4"/>
    </row>
    <row r="2606" spans="2:11">
      <c r="B2606" s="6"/>
      <c r="C2606" s="24"/>
      <c r="D2606" s="5"/>
      <c r="E2606" s="5"/>
      <c r="F2606" s="4"/>
      <c r="G2606" s="4"/>
      <c r="H2606" s="4"/>
      <c r="I2606" s="4"/>
      <c r="J2606" s="4"/>
      <c r="K2606" s="4"/>
    </row>
    <row r="2607" spans="2:11">
      <c r="B2607" s="6"/>
      <c r="C2607" s="24"/>
      <c r="D2607" s="5"/>
      <c r="E2607" s="5"/>
      <c r="F2607" s="4"/>
      <c r="G2607" s="4"/>
      <c r="H2607" s="4"/>
      <c r="I2607" s="4"/>
      <c r="J2607" s="4"/>
      <c r="K2607" s="4"/>
    </row>
    <row r="2608" spans="2:11">
      <c r="B2608" s="6"/>
      <c r="C2608" s="24"/>
      <c r="D2608" s="5"/>
      <c r="E2608" s="5"/>
      <c r="F2608" s="4"/>
      <c r="G2608" s="4"/>
      <c r="H2608" s="4"/>
      <c r="I2608" s="4"/>
      <c r="J2608" s="4"/>
      <c r="K2608" s="4"/>
    </row>
    <row r="2609" spans="2:11">
      <c r="B2609" s="6"/>
      <c r="C2609" s="24"/>
      <c r="D2609" s="5"/>
      <c r="E2609" s="5"/>
      <c r="F2609" s="4"/>
      <c r="G2609" s="4"/>
      <c r="H2609" s="4"/>
      <c r="I2609" s="4"/>
      <c r="J2609" s="4"/>
      <c r="K2609" s="4"/>
    </row>
    <row r="2610" spans="2:11">
      <c r="B2610" s="6"/>
      <c r="C2610" s="24"/>
      <c r="D2610" s="5"/>
      <c r="E2610" s="5"/>
      <c r="F2610" s="4"/>
      <c r="G2610" s="4"/>
      <c r="H2610" s="4"/>
      <c r="I2610" s="4"/>
      <c r="J2610" s="4"/>
      <c r="K2610" s="4"/>
    </row>
    <row r="2611" spans="2:11">
      <c r="B2611" s="6"/>
      <c r="C2611" s="24"/>
      <c r="D2611" s="5"/>
      <c r="E2611" s="5"/>
      <c r="F2611" s="4"/>
      <c r="G2611" s="4"/>
      <c r="H2611" s="4"/>
      <c r="I2611" s="4"/>
      <c r="J2611" s="4"/>
      <c r="K2611" s="4"/>
    </row>
    <row r="2612" spans="2:11">
      <c r="B2612" s="6"/>
      <c r="C2612" s="24"/>
      <c r="D2612" s="5"/>
      <c r="E2612" s="5"/>
      <c r="F2612" s="4"/>
      <c r="G2612" s="4"/>
      <c r="H2612" s="4"/>
      <c r="I2612" s="4"/>
      <c r="J2612" s="4"/>
      <c r="K2612" s="4"/>
    </row>
    <row r="2613" spans="2:11">
      <c r="B2613" s="6"/>
      <c r="C2613" s="24"/>
      <c r="D2613" s="5"/>
      <c r="E2613" s="5"/>
      <c r="F2613" s="4"/>
      <c r="G2613" s="4"/>
      <c r="H2613" s="4"/>
      <c r="I2613" s="4"/>
      <c r="J2613" s="4"/>
      <c r="K2613" s="4"/>
    </row>
    <row r="2614" spans="2:11">
      <c r="B2614" s="6"/>
      <c r="C2614" s="24"/>
      <c r="D2614" s="5"/>
      <c r="E2614" s="5"/>
      <c r="F2614" s="4"/>
      <c r="G2614" s="4"/>
      <c r="H2614" s="4"/>
      <c r="I2614" s="4"/>
      <c r="J2614" s="4"/>
      <c r="K2614" s="4"/>
    </row>
    <row r="2615" spans="2:11">
      <c r="B2615" s="6"/>
      <c r="C2615" s="24"/>
      <c r="D2615" s="5"/>
      <c r="E2615" s="5"/>
      <c r="F2615" s="4"/>
      <c r="G2615" s="4"/>
      <c r="H2615" s="4"/>
      <c r="I2615" s="4"/>
      <c r="J2615" s="4"/>
      <c r="K2615" s="4"/>
    </row>
    <row r="2616" spans="2:11">
      <c r="B2616" s="6"/>
      <c r="C2616" s="24"/>
      <c r="D2616" s="5"/>
      <c r="E2616" s="5"/>
      <c r="F2616" s="4"/>
      <c r="G2616" s="4"/>
      <c r="H2616" s="4"/>
      <c r="I2616" s="4"/>
      <c r="J2616" s="4"/>
      <c r="K2616" s="4"/>
    </row>
    <row r="2617" spans="2:11">
      <c r="B2617" s="6"/>
      <c r="C2617" s="24"/>
      <c r="D2617" s="5"/>
      <c r="E2617" s="5"/>
      <c r="F2617" s="4"/>
      <c r="G2617" s="4"/>
      <c r="H2617" s="4"/>
      <c r="I2617" s="4"/>
      <c r="J2617" s="4"/>
      <c r="K2617" s="4"/>
    </row>
    <row r="2618" spans="2:11">
      <c r="B2618" s="6"/>
      <c r="C2618" s="24"/>
      <c r="D2618" s="5"/>
      <c r="E2618" s="5"/>
      <c r="F2618" s="4"/>
      <c r="G2618" s="4"/>
      <c r="H2618" s="4"/>
      <c r="I2618" s="4"/>
      <c r="J2618" s="4"/>
      <c r="K2618" s="4"/>
    </row>
    <row r="2619" spans="2:11">
      <c r="B2619" s="6"/>
      <c r="C2619" s="24"/>
      <c r="D2619" s="5"/>
      <c r="E2619" s="5"/>
      <c r="F2619" s="4"/>
      <c r="G2619" s="4"/>
      <c r="H2619" s="4"/>
      <c r="I2619" s="4"/>
      <c r="J2619" s="4"/>
      <c r="K2619" s="4"/>
    </row>
    <row r="2620" spans="2:11">
      <c r="B2620" s="6"/>
      <c r="C2620" s="24"/>
      <c r="D2620" s="5"/>
      <c r="E2620" s="5"/>
      <c r="F2620" s="4"/>
      <c r="G2620" s="4"/>
      <c r="H2620" s="4"/>
      <c r="I2620" s="4"/>
      <c r="J2620" s="4"/>
      <c r="K2620" s="4"/>
    </row>
    <row r="2621" spans="2:11">
      <c r="B2621" s="6"/>
      <c r="C2621" s="24"/>
      <c r="D2621" s="5"/>
      <c r="E2621" s="5"/>
      <c r="F2621" s="4"/>
      <c r="G2621" s="4"/>
      <c r="H2621" s="4"/>
      <c r="I2621" s="4"/>
      <c r="J2621" s="4"/>
      <c r="K2621" s="4"/>
    </row>
    <row r="2622" spans="2:11">
      <c r="B2622" s="6"/>
      <c r="C2622" s="24"/>
      <c r="D2622" s="5"/>
      <c r="E2622" s="5"/>
      <c r="F2622" s="4"/>
      <c r="G2622" s="4"/>
      <c r="H2622" s="4"/>
      <c r="I2622" s="4"/>
      <c r="J2622" s="4"/>
      <c r="K2622" s="4"/>
    </row>
    <row r="2623" spans="2:11">
      <c r="B2623" s="6"/>
      <c r="C2623" s="24"/>
      <c r="D2623" s="5"/>
      <c r="E2623" s="5"/>
      <c r="F2623" s="4"/>
      <c r="G2623" s="4"/>
      <c r="H2623" s="4"/>
      <c r="I2623" s="4"/>
      <c r="J2623" s="4"/>
      <c r="K2623" s="4"/>
    </row>
    <row r="2624" spans="2:11">
      <c r="B2624" s="6"/>
      <c r="C2624" s="24"/>
      <c r="D2624" s="5"/>
      <c r="E2624" s="5"/>
      <c r="F2624" s="4"/>
      <c r="G2624" s="4"/>
      <c r="H2624" s="4"/>
      <c r="I2624" s="4"/>
      <c r="J2624" s="4"/>
      <c r="K2624" s="4"/>
    </row>
    <row r="2625" spans="2:11">
      <c r="B2625" s="6"/>
      <c r="C2625" s="24"/>
      <c r="D2625" s="5"/>
      <c r="E2625" s="5"/>
      <c r="F2625" s="4"/>
      <c r="G2625" s="4"/>
      <c r="H2625" s="4"/>
      <c r="I2625" s="4"/>
      <c r="J2625" s="4"/>
      <c r="K2625" s="4"/>
    </row>
    <row r="2626" spans="2:11">
      <c r="B2626" s="6"/>
      <c r="C2626" s="24"/>
      <c r="D2626" s="5"/>
      <c r="E2626" s="5"/>
      <c r="F2626" s="4"/>
      <c r="G2626" s="4"/>
      <c r="H2626" s="4"/>
      <c r="I2626" s="4"/>
      <c r="J2626" s="4"/>
      <c r="K2626" s="4"/>
    </row>
    <row r="2627" spans="2:11">
      <c r="B2627" s="6"/>
      <c r="C2627" s="24"/>
      <c r="D2627" s="5"/>
      <c r="E2627" s="5"/>
      <c r="F2627" s="4"/>
      <c r="G2627" s="4"/>
      <c r="H2627" s="4"/>
      <c r="I2627" s="4"/>
      <c r="J2627" s="4"/>
      <c r="K2627" s="4"/>
    </row>
    <row r="2628" spans="2:11">
      <c r="B2628" s="6"/>
      <c r="C2628" s="24"/>
      <c r="D2628" s="5"/>
      <c r="E2628" s="5"/>
      <c r="F2628" s="4"/>
      <c r="G2628" s="4"/>
      <c r="H2628" s="4"/>
      <c r="I2628" s="4"/>
      <c r="J2628" s="4"/>
      <c r="K2628" s="4"/>
    </row>
    <row r="2629" spans="2:11">
      <c r="B2629" s="6"/>
      <c r="C2629" s="24"/>
      <c r="D2629" s="5"/>
      <c r="E2629" s="5"/>
      <c r="F2629" s="4"/>
      <c r="G2629" s="4"/>
      <c r="H2629" s="4"/>
      <c r="I2629" s="4"/>
      <c r="J2629" s="4"/>
      <c r="K2629" s="4"/>
    </row>
    <row r="2630" spans="2:11">
      <c r="B2630" s="6"/>
      <c r="C2630" s="24"/>
      <c r="D2630" s="5"/>
      <c r="E2630" s="5"/>
      <c r="F2630" s="4"/>
      <c r="G2630" s="4"/>
      <c r="H2630" s="4"/>
      <c r="I2630" s="4"/>
      <c r="J2630" s="4"/>
      <c r="K2630" s="4"/>
    </row>
    <row r="2631" spans="2:11">
      <c r="B2631" s="6"/>
      <c r="C2631" s="24"/>
      <c r="D2631" s="5"/>
      <c r="E2631" s="5"/>
      <c r="F2631" s="4"/>
      <c r="G2631" s="4"/>
      <c r="H2631" s="4"/>
      <c r="I2631" s="4"/>
      <c r="J2631" s="4"/>
      <c r="K2631" s="4"/>
    </row>
    <row r="2632" spans="2:11">
      <c r="B2632" s="6"/>
      <c r="C2632" s="24"/>
      <c r="D2632" s="5"/>
      <c r="E2632" s="5"/>
      <c r="F2632" s="4"/>
      <c r="G2632" s="4"/>
      <c r="H2632" s="4"/>
      <c r="I2632" s="4"/>
      <c r="J2632" s="4"/>
      <c r="K2632" s="4"/>
    </row>
    <row r="2633" spans="2:11">
      <c r="B2633" s="6"/>
      <c r="C2633" s="24"/>
      <c r="D2633" s="5"/>
      <c r="E2633" s="5"/>
      <c r="F2633" s="4"/>
      <c r="G2633" s="4"/>
      <c r="H2633" s="4"/>
      <c r="I2633" s="4"/>
      <c r="J2633" s="4"/>
      <c r="K2633" s="4"/>
    </row>
    <row r="2634" spans="2:11">
      <c r="B2634" s="6"/>
      <c r="C2634" s="24"/>
      <c r="D2634" s="5"/>
      <c r="E2634" s="5"/>
      <c r="F2634" s="4"/>
      <c r="G2634" s="4"/>
      <c r="H2634" s="4"/>
      <c r="I2634" s="4"/>
      <c r="J2634" s="4"/>
      <c r="K2634" s="4"/>
    </row>
    <row r="2635" spans="2:11">
      <c r="B2635" s="6"/>
      <c r="C2635" s="24"/>
      <c r="D2635" s="5"/>
      <c r="E2635" s="5"/>
      <c r="F2635" s="4"/>
      <c r="G2635" s="4"/>
      <c r="H2635" s="4"/>
      <c r="I2635" s="4"/>
      <c r="J2635" s="4"/>
      <c r="K2635" s="4"/>
    </row>
    <row r="2636" spans="2:11">
      <c r="B2636" s="6"/>
      <c r="C2636" s="24"/>
      <c r="D2636" s="5"/>
      <c r="E2636" s="5"/>
      <c r="F2636" s="4"/>
      <c r="G2636" s="4"/>
      <c r="H2636" s="4"/>
      <c r="I2636" s="4"/>
      <c r="J2636" s="4"/>
      <c r="K2636" s="4"/>
    </row>
    <row r="2637" spans="2:11">
      <c r="B2637" s="6"/>
      <c r="C2637" s="24"/>
      <c r="D2637" s="5"/>
      <c r="E2637" s="5"/>
      <c r="F2637" s="4"/>
      <c r="G2637" s="4"/>
      <c r="H2637" s="4"/>
      <c r="I2637" s="4"/>
      <c r="J2637" s="4"/>
      <c r="K2637" s="4"/>
    </row>
    <row r="2638" spans="2:11">
      <c r="B2638" s="6"/>
      <c r="C2638" s="24"/>
      <c r="D2638" s="5"/>
      <c r="E2638" s="5"/>
      <c r="F2638" s="4"/>
      <c r="G2638" s="4"/>
      <c r="H2638" s="4"/>
      <c r="I2638" s="4"/>
      <c r="J2638" s="4"/>
      <c r="K2638" s="4"/>
    </row>
    <row r="2639" spans="2:11">
      <c r="B2639" s="6"/>
      <c r="C2639" s="24"/>
      <c r="D2639" s="5"/>
      <c r="E2639" s="5"/>
      <c r="F2639" s="4"/>
      <c r="G2639" s="4"/>
      <c r="H2639" s="4"/>
      <c r="I2639" s="4"/>
      <c r="J2639" s="4"/>
      <c r="K2639" s="4"/>
    </row>
    <row r="2640" spans="2:11">
      <c r="B2640" s="6"/>
      <c r="C2640" s="24"/>
      <c r="D2640" s="5"/>
      <c r="E2640" s="5"/>
      <c r="F2640" s="4"/>
      <c r="G2640" s="4"/>
      <c r="H2640" s="4"/>
      <c r="I2640" s="4"/>
      <c r="J2640" s="4"/>
      <c r="K2640" s="4"/>
    </row>
    <row r="2641" spans="2:11">
      <c r="B2641" s="6"/>
      <c r="C2641" s="24"/>
      <c r="D2641" s="5"/>
      <c r="E2641" s="5"/>
      <c r="F2641" s="4"/>
      <c r="G2641" s="4"/>
      <c r="H2641" s="4"/>
      <c r="I2641" s="4"/>
      <c r="J2641" s="4"/>
      <c r="K2641" s="4"/>
    </row>
    <row r="2642" spans="2:11">
      <c r="B2642" s="6"/>
      <c r="C2642" s="24"/>
      <c r="D2642" s="5"/>
      <c r="E2642" s="5"/>
      <c r="F2642" s="4"/>
      <c r="G2642" s="4"/>
      <c r="H2642" s="4"/>
      <c r="I2642" s="4"/>
      <c r="J2642" s="4"/>
      <c r="K2642" s="4"/>
    </row>
    <row r="2643" spans="2:11">
      <c r="B2643" s="6"/>
      <c r="C2643" s="24"/>
      <c r="D2643" s="5"/>
      <c r="E2643" s="5"/>
      <c r="F2643" s="4"/>
      <c r="G2643" s="4"/>
      <c r="H2643" s="4"/>
      <c r="I2643" s="4"/>
      <c r="J2643" s="4"/>
      <c r="K2643" s="4"/>
    </row>
    <row r="2644" spans="2:11">
      <c r="B2644" s="6"/>
      <c r="C2644" s="24"/>
      <c r="D2644" s="5"/>
      <c r="E2644" s="5"/>
      <c r="F2644" s="4"/>
      <c r="G2644" s="4"/>
      <c r="H2644" s="4"/>
      <c r="I2644" s="4"/>
      <c r="J2644" s="4"/>
      <c r="K2644" s="4"/>
    </row>
    <row r="2645" spans="2:11">
      <c r="B2645" s="6"/>
      <c r="C2645" s="24"/>
      <c r="D2645" s="5"/>
      <c r="E2645" s="5"/>
      <c r="F2645" s="4"/>
      <c r="G2645" s="4"/>
      <c r="H2645" s="4"/>
      <c r="I2645" s="4"/>
      <c r="J2645" s="4"/>
      <c r="K2645" s="4"/>
    </row>
    <row r="2646" spans="2:11">
      <c r="B2646" s="6"/>
      <c r="C2646" s="24"/>
      <c r="D2646" s="5"/>
      <c r="E2646" s="5"/>
      <c r="F2646" s="4"/>
      <c r="G2646" s="4"/>
      <c r="H2646" s="4"/>
      <c r="I2646" s="4"/>
      <c r="J2646" s="4"/>
      <c r="K2646" s="4"/>
    </row>
    <row r="2647" spans="2:11">
      <c r="B2647" s="6"/>
      <c r="C2647" s="24"/>
      <c r="D2647" s="5"/>
      <c r="E2647" s="5"/>
      <c r="F2647" s="4"/>
      <c r="G2647" s="4"/>
      <c r="H2647" s="4"/>
      <c r="I2647" s="4"/>
      <c r="J2647" s="4"/>
      <c r="K2647" s="4"/>
    </row>
    <row r="2648" spans="2:11">
      <c r="B2648" s="6"/>
      <c r="C2648" s="24"/>
      <c r="D2648" s="5"/>
      <c r="E2648" s="5"/>
      <c r="F2648" s="4"/>
      <c r="G2648" s="4"/>
      <c r="H2648" s="4"/>
      <c r="I2648" s="4"/>
      <c r="J2648" s="4"/>
      <c r="K2648" s="4"/>
    </row>
    <row r="2649" spans="2:11">
      <c r="B2649" s="6"/>
      <c r="C2649" s="24"/>
      <c r="D2649" s="5"/>
      <c r="E2649" s="5"/>
      <c r="F2649" s="4"/>
      <c r="G2649" s="4"/>
      <c r="H2649" s="4"/>
      <c r="I2649" s="4"/>
      <c r="J2649" s="4"/>
      <c r="K2649" s="4"/>
    </row>
    <row r="2650" spans="2:11">
      <c r="B2650" s="6"/>
      <c r="C2650" s="24"/>
      <c r="D2650" s="5"/>
      <c r="E2650" s="5"/>
      <c r="F2650" s="4"/>
      <c r="G2650" s="4"/>
      <c r="H2650" s="4"/>
      <c r="I2650" s="4"/>
      <c r="J2650" s="4"/>
      <c r="K2650" s="4"/>
    </row>
    <row r="2651" spans="2:11">
      <c r="B2651" s="6"/>
      <c r="C2651" s="24"/>
      <c r="D2651" s="5"/>
      <c r="E2651" s="5"/>
      <c r="F2651" s="4"/>
      <c r="G2651" s="4"/>
      <c r="H2651" s="4"/>
      <c r="I2651" s="4"/>
      <c r="J2651" s="4"/>
      <c r="K2651" s="4"/>
    </row>
    <row r="2652" spans="2:11">
      <c r="B2652" s="6"/>
      <c r="C2652" s="24"/>
      <c r="D2652" s="5"/>
      <c r="E2652" s="5"/>
      <c r="F2652" s="4"/>
      <c r="G2652" s="4"/>
      <c r="H2652" s="4"/>
      <c r="I2652" s="4"/>
      <c r="J2652" s="4"/>
      <c r="K2652" s="4"/>
    </row>
    <row r="2653" spans="2:11">
      <c r="B2653" s="6"/>
      <c r="C2653" s="24"/>
      <c r="D2653" s="5"/>
      <c r="E2653" s="5"/>
      <c r="F2653" s="4"/>
      <c r="G2653" s="4"/>
      <c r="H2653" s="4"/>
      <c r="I2653" s="4"/>
      <c r="J2653" s="4"/>
      <c r="K2653" s="4"/>
    </row>
    <row r="2654" spans="2:11">
      <c r="B2654" s="6"/>
      <c r="C2654" s="24"/>
      <c r="D2654" s="5"/>
      <c r="E2654" s="5"/>
      <c r="F2654" s="4"/>
      <c r="G2654" s="4"/>
      <c r="H2654" s="4"/>
      <c r="I2654" s="4"/>
      <c r="J2654" s="4"/>
      <c r="K2654" s="4"/>
    </row>
    <row r="2655" spans="2:11">
      <c r="B2655" s="6"/>
      <c r="C2655" s="24"/>
      <c r="D2655" s="5"/>
      <c r="E2655" s="5"/>
      <c r="F2655" s="4"/>
      <c r="G2655" s="4"/>
      <c r="H2655" s="4"/>
      <c r="I2655" s="4"/>
      <c r="J2655" s="4"/>
      <c r="K2655" s="4"/>
    </row>
    <row r="2656" spans="2:11">
      <c r="B2656" s="6"/>
      <c r="C2656" s="24"/>
      <c r="D2656" s="5"/>
      <c r="E2656" s="5"/>
      <c r="F2656" s="4"/>
      <c r="G2656" s="4"/>
      <c r="H2656" s="4"/>
      <c r="I2656" s="4"/>
      <c r="J2656" s="4"/>
      <c r="K2656" s="4"/>
    </row>
    <row r="2657" spans="2:11">
      <c r="B2657" s="6"/>
      <c r="C2657" s="24"/>
      <c r="D2657" s="5"/>
      <c r="E2657" s="5"/>
      <c r="F2657" s="4"/>
      <c r="G2657" s="4"/>
      <c r="H2657" s="4"/>
      <c r="I2657" s="4"/>
      <c r="J2657" s="4"/>
      <c r="K2657" s="4"/>
    </row>
    <row r="2658" spans="2:11">
      <c r="B2658" s="6"/>
      <c r="C2658" s="24"/>
      <c r="D2658" s="5"/>
      <c r="E2658" s="5"/>
      <c r="F2658" s="4"/>
      <c r="G2658" s="4"/>
      <c r="H2658" s="4"/>
      <c r="I2658" s="4"/>
      <c r="J2658" s="4"/>
      <c r="K2658" s="4"/>
    </row>
    <row r="2659" spans="2:11">
      <c r="B2659" s="6"/>
      <c r="C2659" s="24"/>
      <c r="D2659" s="5"/>
      <c r="E2659" s="5"/>
      <c r="F2659" s="4"/>
      <c r="G2659" s="4"/>
      <c r="H2659" s="4"/>
      <c r="I2659" s="4"/>
      <c r="J2659" s="4"/>
      <c r="K2659" s="4"/>
    </row>
    <row r="2660" spans="2:11">
      <c r="B2660" s="6"/>
      <c r="C2660" s="24"/>
      <c r="D2660" s="5"/>
      <c r="E2660" s="5"/>
      <c r="F2660" s="4"/>
      <c r="G2660" s="4"/>
      <c r="H2660" s="4"/>
      <c r="I2660" s="4"/>
      <c r="J2660" s="4"/>
      <c r="K2660" s="4"/>
    </row>
    <row r="2661" spans="2:11">
      <c r="B2661" s="6"/>
      <c r="C2661" s="24"/>
      <c r="D2661" s="5"/>
      <c r="E2661" s="5"/>
      <c r="F2661" s="4"/>
      <c r="G2661" s="4"/>
      <c r="H2661" s="4"/>
      <c r="I2661" s="4"/>
      <c r="J2661" s="4"/>
      <c r="K2661" s="4"/>
    </row>
    <row r="2662" spans="2:11">
      <c r="B2662" s="6"/>
      <c r="C2662" s="24"/>
      <c r="D2662" s="5"/>
      <c r="E2662" s="5"/>
      <c r="F2662" s="4"/>
      <c r="G2662" s="4"/>
      <c r="H2662" s="4"/>
      <c r="I2662" s="4"/>
      <c r="J2662" s="4"/>
      <c r="K2662" s="4"/>
    </row>
    <row r="2663" spans="2:11">
      <c r="B2663" s="6"/>
      <c r="C2663" s="24"/>
      <c r="D2663" s="5"/>
      <c r="E2663" s="5"/>
      <c r="F2663" s="4"/>
      <c r="G2663" s="4"/>
      <c r="H2663" s="4"/>
      <c r="I2663" s="4"/>
      <c r="J2663" s="4"/>
      <c r="K2663" s="4"/>
    </row>
    <row r="2664" spans="2:11">
      <c r="B2664" s="6"/>
      <c r="C2664" s="24"/>
      <c r="D2664" s="5"/>
      <c r="E2664" s="5"/>
      <c r="F2664" s="4"/>
      <c r="G2664" s="4"/>
      <c r="H2664" s="4"/>
      <c r="I2664" s="4"/>
      <c r="J2664" s="4"/>
      <c r="K2664" s="4"/>
    </row>
    <row r="2665" spans="2:11">
      <c r="B2665" s="6"/>
      <c r="C2665" s="24"/>
      <c r="D2665" s="5"/>
      <c r="E2665" s="5"/>
      <c r="F2665" s="4"/>
      <c r="G2665" s="4"/>
      <c r="H2665" s="4"/>
      <c r="I2665" s="4"/>
      <c r="J2665" s="4"/>
      <c r="K2665" s="4"/>
    </row>
    <row r="2666" spans="2:11">
      <c r="B2666" s="6"/>
      <c r="C2666" s="24"/>
      <c r="D2666" s="5"/>
      <c r="E2666" s="5"/>
      <c r="F2666" s="4"/>
      <c r="G2666" s="4"/>
      <c r="H2666" s="4"/>
      <c r="I2666" s="4"/>
      <c r="J2666" s="4"/>
      <c r="K2666" s="4"/>
    </row>
    <row r="2667" spans="2:11">
      <c r="B2667" s="6"/>
      <c r="C2667" s="24"/>
      <c r="D2667" s="5"/>
      <c r="E2667" s="5"/>
      <c r="F2667" s="4"/>
      <c r="G2667" s="4"/>
      <c r="H2667" s="4"/>
      <c r="I2667" s="4"/>
      <c r="J2667" s="4"/>
      <c r="K2667" s="4"/>
    </row>
    <row r="2668" spans="2:11">
      <c r="B2668" s="6"/>
      <c r="C2668" s="24"/>
      <c r="D2668" s="5"/>
      <c r="E2668" s="5"/>
      <c r="F2668" s="4"/>
      <c r="G2668" s="4"/>
      <c r="H2668" s="4"/>
      <c r="I2668" s="4"/>
      <c r="J2668" s="4"/>
      <c r="K2668" s="4"/>
    </row>
    <row r="2669" spans="2:11">
      <c r="B2669" s="6"/>
      <c r="C2669" s="24"/>
      <c r="D2669" s="5"/>
      <c r="E2669" s="5"/>
      <c r="F2669" s="4"/>
      <c r="G2669" s="4"/>
      <c r="H2669" s="4"/>
      <c r="I2669" s="4"/>
      <c r="J2669" s="4"/>
      <c r="K2669" s="4"/>
    </row>
    <row r="2670" spans="2:11">
      <c r="B2670" s="6"/>
      <c r="C2670" s="24"/>
      <c r="D2670" s="5"/>
      <c r="E2670" s="5"/>
      <c r="F2670" s="4"/>
      <c r="G2670" s="4"/>
      <c r="H2670" s="4"/>
      <c r="I2670" s="4"/>
      <c r="J2670" s="4"/>
      <c r="K2670" s="4"/>
    </row>
    <row r="2671" spans="2:11">
      <c r="B2671" s="6"/>
      <c r="C2671" s="24"/>
      <c r="D2671" s="5"/>
      <c r="E2671" s="5"/>
      <c r="F2671" s="4"/>
      <c r="G2671" s="4"/>
      <c r="H2671" s="4"/>
      <c r="I2671" s="4"/>
      <c r="J2671" s="4"/>
      <c r="K2671" s="4"/>
    </row>
    <row r="2672" spans="2:11">
      <c r="B2672" s="6"/>
      <c r="C2672" s="24"/>
      <c r="D2672" s="5"/>
      <c r="E2672" s="5"/>
      <c r="F2672" s="4"/>
      <c r="G2672" s="4"/>
      <c r="H2672" s="4"/>
      <c r="I2672" s="4"/>
      <c r="J2672" s="4"/>
      <c r="K2672" s="4"/>
    </row>
    <row r="2673" spans="2:11">
      <c r="B2673" s="6"/>
      <c r="C2673" s="24"/>
      <c r="D2673" s="5"/>
      <c r="E2673" s="5"/>
      <c r="F2673" s="4"/>
      <c r="G2673" s="4"/>
      <c r="H2673" s="4"/>
      <c r="I2673" s="4"/>
      <c r="J2673" s="4"/>
      <c r="K2673" s="4"/>
    </row>
    <row r="2674" spans="2:11">
      <c r="B2674" s="6"/>
      <c r="C2674" s="24"/>
      <c r="D2674" s="5"/>
      <c r="E2674" s="5"/>
      <c r="F2674" s="4"/>
      <c r="G2674" s="4"/>
      <c r="H2674" s="4"/>
      <c r="I2674" s="4"/>
      <c r="J2674" s="4"/>
      <c r="K2674" s="4"/>
    </row>
    <row r="2675" spans="2:11">
      <c r="B2675" s="6"/>
      <c r="C2675" s="24"/>
      <c r="D2675" s="5"/>
      <c r="E2675" s="5"/>
      <c r="F2675" s="4"/>
      <c r="G2675" s="4"/>
      <c r="H2675" s="4"/>
      <c r="I2675" s="4"/>
      <c r="J2675" s="4"/>
      <c r="K2675" s="4"/>
    </row>
    <row r="2676" spans="2:11">
      <c r="B2676" s="6"/>
      <c r="C2676" s="24"/>
      <c r="D2676" s="5"/>
      <c r="E2676" s="5"/>
      <c r="F2676" s="4"/>
      <c r="G2676" s="4"/>
      <c r="H2676" s="4"/>
      <c r="I2676" s="4"/>
      <c r="J2676" s="4"/>
      <c r="K2676" s="4"/>
    </row>
    <row r="2677" spans="2:11">
      <c r="B2677" s="6"/>
      <c r="C2677" s="24"/>
      <c r="D2677" s="5"/>
      <c r="E2677" s="5"/>
      <c r="F2677" s="4"/>
      <c r="G2677" s="4"/>
      <c r="H2677" s="4"/>
      <c r="I2677" s="4"/>
      <c r="J2677" s="4"/>
      <c r="K2677" s="4"/>
    </row>
    <row r="2678" spans="2:11">
      <c r="B2678" s="6"/>
      <c r="C2678" s="24"/>
      <c r="D2678" s="5"/>
      <c r="E2678" s="5"/>
      <c r="F2678" s="4"/>
      <c r="G2678" s="4"/>
      <c r="H2678" s="4"/>
      <c r="I2678" s="4"/>
      <c r="J2678" s="4"/>
      <c r="K2678" s="4"/>
    </row>
    <row r="2679" spans="2:11">
      <c r="B2679" s="6"/>
      <c r="C2679" s="24"/>
      <c r="D2679" s="5"/>
      <c r="E2679" s="5"/>
      <c r="F2679" s="4"/>
      <c r="G2679" s="4"/>
      <c r="H2679" s="4"/>
      <c r="I2679" s="4"/>
      <c r="J2679" s="4"/>
      <c r="K2679" s="4"/>
    </row>
    <row r="2680" spans="2:11">
      <c r="B2680" s="6"/>
      <c r="C2680" s="24"/>
      <c r="D2680" s="5"/>
      <c r="E2680" s="5"/>
      <c r="F2680" s="4"/>
      <c r="G2680" s="4"/>
      <c r="H2680" s="4"/>
      <c r="I2680" s="4"/>
      <c r="J2680" s="4"/>
      <c r="K2680" s="4"/>
    </row>
    <row r="2681" spans="2:11">
      <c r="B2681" s="6"/>
      <c r="C2681" s="24"/>
      <c r="D2681" s="5"/>
      <c r="E2681" s="5"/>
      <c r="F2681" s="4"/>
      <c r="G2681" s="4"/>
      <c r="H2681" s="4"/>
      <c r="I2681" s="4"/>
      <c r="J2681" s="4"/>
      <c r="K2681" s="4"/>
    </row>
    <row r="2682" spans="2:11">
      <c r="B2682" s="6"/>
      <c r="C2682" s="24"/>
      <c r="D2682" s="5"/>
      <c r="E2682" s="5"/>
      <c r="F2682" s="4"/>
      <c r="G2682" s="4"/>
      <c r="H2682" s="4"/>
      <c r="I2682" s="4"/>
      <c r="J2682" s="4"/>
      <c r="K2682" s="4"/>
    </row>
    <row r="2683" spans="2:11">
      <c r="B2683" s="6"/>
      <c r="C2683" s="24"/>
      <c r="D2683" s="5"/>
      <c r="E2683" s="5"/>
      <c r="F2683" s="4"/>
      <c r="G2683" s="4"/>
      <c r="H2683" s="4"/>
      <c r="I2683" s="4"/>
      <c r="J2683" s="4"/>
      <c r="K2683" s="4"/>
    </row>
    <row r="2684" spans="2:11">
      <c r="B2684" s="6"/>
      <c r="C2684" s="24"/>
      <c r="D2684" s="5"/>
      <c r="E2684" s="5"/>
      <c r="F2684" s="4"/>
      <c r="G2684" s="4"/>
      <c r="H2684" s="4"/>
      <c r="I2684" s="4"/>
      <c r="J2684" s="4"/>
      <c r="K2684" s="4"/>
    </row>
    <row r="2685" spans="2:11">
      <c r="B2685" s="6"/>
      <c r="C2685" s="24"/>
      <c r="D2685" s="5"/>
      <c r="E2685" s="5"/>
      <c r="F2685" s="4"/>
      <c r="G2685" s="4"/>
      <c r="H2685" s="4"/>
      <c r="I2685" s="4"/>
      <c r="J2685" s="4"/>
      <c r="K2685" s="4"/>
    </row>
    <row r="2686" spans="2:11">
      <c r="B2686" s="6"/>
      <c r="C2686" s="24"/>
      <c r="D2686" s="5"/>
      <c r="E2686" s="5"/>
      <c r="F2686" s="4"/>
      <c r="G2686" s="4"/>
      <c r="H2686" s="4"/>
      <c r="I2686" s="4"/>
      <c r="J2686" s="4"/>
      <c r="K2686" s="4"/>
    </row>
    <row r="2687" spans="2:11">
      <c r="B2687" s="6"/>
      <c r="C2687" s="24"/>
      <c r="D2687" s="5"/>
      <c r="E2687" s="5"/>
      <c r="F2687" s="4"/>
      <c r="G2687" s="4"/>
      <c r="H2687" s="4"/>
      <c r="I2687" s="4"/>
      <c r="J2687" s="4"/>
      <c r="K2687" s="4"/>
    </row>
    <row r="2688" spans="2:11">
      <c r="B2688" s="6"/>
      <c r="C2688" s="24"/>
      <c r="D2688" s="5"/>
      <c r="E2688" s="5"/>
      <c r="F2688" s="4"/>
      <c r="G2688" s="4"/>
      <c r="H2688" s="4"/>
      <c r="I2688" s="4"/>
      <c r="J2688" s="4"/>
      <c r="K2688" s="4"/>
    </row>
    <row r="2689" spans="2:11">
      <c r="B2689" s="6"/>
      <c r="C2689" s="24"/>
      <c r="D2689" s="5"/>
      <c r="E2689" s="5"/>
      <c r="F2689" s="4"/>
      <c r="G2689" s="4"/>
      <c r="H2689" s="4"/>
      <c r="I2689" s="4"/>
      <c r="J2689" s="4"/>
      <c r="K2689" s="4"/>
    </row>
    <row r="2690" spans="2:11">
      <c r="B2690" s="6"/>
      <c r="C2690" s="24"/>
      <c r="D2690" s="5"/>
      <c r="E2690" s="5"/>
      <c r="F2690" s="4"/>
      <c r="G2690" s="4"/>
      <c r="H2690" s="4"/>
      <c r="I2690" s="4"/>
      <c r="J2690" s="4"/>
      <c r="K2690" s="4"/>
    </row>
    <row r="2691" spans="2:11">
      <c r="B2691" s="6"/>
      <c r="C2691" s="24"/>
      <c r="D2691" s="5"/>
      <c r="E2691" s="5"/>
      <c r="F2691" s="4"/>
      <c r="G2691" s="4"/>
      <c r="H2691" s="4"/>
      <c r="I2691" s="4"/>
      <c r="J2691" s="4"/>
      <c r="K2691" s="4"/>
    </row>
    <row r="2692" spans="2:11">
      <c r="B2692" s="6"/>
      <c r="C2692" s="24"/>
      <c r="D2692" s="5"/>
      <c r="E2692" s="5"/>
      <c r="F2692" s="4"/>
      <c r="G2692" s="4"/>
      <c r="H2692" s="4"/>
      <c r="I2692" s="4"/>
      <c r="J2692" s="4"/>
      <c r="K2692" s="4"/>
    </row>
    <row r="2693" spans="2:11">
      <c r="B2693" s="6"/>
      <c r="C2693" s="24"/>
      <c r="D2693" s="5"/>
      <c r="E2693" s="5"/>
      <c r="F2693" s="4"/>
      <c r="G2693" s="4"/>
      <c r="H2693" s="4"/>
      <c r="I2693" s="4"/>
      <c r="J2693" s="4"/>
      <c r="K2693" s="4"/>
    </row>
    <row r="2694" spans="2:11">
      <c r="B2694" s="6"/>
      <c r="C2694" s="24"/>
      <c r="D2694" s="5"/>
      <c r="E2694" s="5"/>
      <c r="F2694" s="4"/>
      <c r="G2694" s="4"/>
      <c r="H2694" s="4"/>
      <c r="I2694" s="4"/>
      <c r="J2694" s="4"/>
      <c r="K2694" s="4"/>
    </row>
    <row r="2695" spans="2:11">
      <c r="B2695" s="6"/>
      <c r="C2695" s="24"/>
      <c r="D2695" s="5"/>
      <c r="E2695" s="5"/>
      <c r="F2695" s="4"/>
      <c r="G2695" s="4"/>
      <c r="H2695" s="4"/>
      <c r="I2695" s="4"/>
      <c r="J2695" s="4"/>
      <c r="K2695" s="4"/>
    </row>
    <row r="2696" spans="2:11">
      <c r="B2696" s="6"/>
      <c r="C2696" s="24"/>
      <c r="D2696" s="5"/>
      <c r="E2696" s="5"/>
      <c r="F2696" s="4"/>
      <c r="G2696" s="4"/>
      <c r="H2696" s="4"/>
      <c r="I2696" s="4"/>
      <c r="J2696" s="4"/>
      <c r="K2696" s="4"/>
    </row>
    <row r="2697" spans="2:11">
      <c r="B2697" s="6"/>
      <c r="C2697" s="24"/>
      <c r="D2697" s="5"/>
      <c r="E2697" s="5"/>
      <c r="F2697" s="4"/>
      <c r="G2697" s="4"/>
      <c r="H2697" s="4"/>
      <c r="I2697" s="4"/>
      <c r="J2697" s="4"/>
      <c r="K2697" s="4"/>
    </row>
    <row r="2698" spans="2:11">
      <c r="B2698" s="6"/>
      <c r="C2698" s="24"/>
      <c r="D2698" s="5"/>
      <c r="E2698" s="5"/>
      <c r="F2698" s="4"/>
      <c r="G2698" s="4"/>
      <c r="H2698" s="4"/>
      <c r="I2698" s="4"/>
      <c r="J2698" s="4"/>
      <c r="K2698" s="4"/>
    </row>
    <row r="2699" spans="2:11">
      <c r="B2699" s="6"/>
      <c r="C2699" s="24"/>
      <c r="D2699" s="5"/>
      <c r="E2699" s="5"/>
      <c r="F2699" s="4"/>
      <c r="G2699" s="4"/>
      <c r="H2699" s="4"/>
      <c r="I2699" s="4"/>
      <c r="J2699" s="4"/>
      <c r="K2699" s="4"/>
    </row>
    <row r="2700" spans="2:11">
      <c r="B2700" s="6"/>
      <c r="C2700" s="24"/>
      <c r="D2700" s="5"/>
      <c r="E2700" s="5"/>
      <c r="F2700" s="4"/>
      <c r="G2700" s="4"/>
      <c r="H2700" s="4"/>
      <c r="I2700" s="4"/>
      <c r="J2700" s="4"/>
      <c r="K2700" s="4"/>
    </row>
    <row r="2701" spans="2:11">
      <c r="B2701" s="6"/>
      <c r="C2701" s="24"/>
      <c r="D2701" s="5"/>
      <c r="E2701" s="5"/>
      <c r="F2701" s="4"/>
      <c r="G2701" s="4"/>
      <c r="H2701" s="4"/>
      <c r="I2701" s="4"/>
      <c r="J2701" s="4"/>
      <c r="K2701" s="4"/>
    </row>
    <row r="2702" spans="2:11">
      <c r="B2702" s="6"/>
      <c r="C2702" s="24"/>
      <c r="D2702" s="5"/>
      <c r="E2702" s="5"/>
      <c r="F2702" s="4"/>
      <c r="G2702" s="4"/>
      <c r="H2702" s="4"/>
      <c r="I2702" s="4"/>
      <c r="J2702" s="4"/>
      <c r="K2702" s="4"/>
    </row>
    <row r="2703" spans="2:11">
      <c r="B2703" s="6"/>
      <c r="C2703" s="24"/>
      <c r="D2703" s="5"/>
      <c r="E2703" s="5"/>
      <c r="F2703" s="4"/>
      <c r="G2703" s="4"/>
      <c r="H2703" s="4"/>
      <c r="I2703" s="4"/>
      <c r="J2703" s="4"/>
      <c r="K2703" s="4"/>
    </row>
    <row r="2704" spans="2:11">
      <c r="B2704" s="6"/>
      <c r="C2704" s="24"/>
      <c r="D2704" s="5"/>
      <c r="E2704" s="5"/>
      <c r="F2704" s="4"/>
      <c r="G2704" s="4"/>
      <c r="H2704" s="4"/>
      <c r="I2704" s="4"/>
      <c r="J2704" s="4"/>
      <c r="K2704" s="4"/>
    </row>
    <row r="2705" spans="2:11">
      <c r="B2705" s="6"/>
      <c r="C2705" s="24"/>
      <c r="D2705" s="5"/>
      <c r="E2705" s="5"/>
      <c r="F2705" s="4"/>
      <c r="G2705" s="4"/>
      <c r="H2705" s="4"/>
      <c r="I2705" s="4"/>
      <c r="J2705" s="4"/>
      <c r="K2705" s="4"/>
    </row>
    <row r="2706" spans="2:11">
      <c r="B2706" s="6"/>
      <c r="C2706" s="24"/>
      <c r="D2706" s="5"/>
      <c r="E2706" s="5"/>
      <c r="F2706" s="4"/>
      <c r="G2706" s="4"/>
      <c r="H2706" s="4"/>
      <c r="I2706" s="4"/>
      <c r="J2706" s="4"/>
      <c r="K2706" s="4"/>
    </row>
    <row r="2707" spans="2:11">
      <c r="B2707" s="6"/>
      <c r="C2707" s="24"/>
      <c r="D2707" s="5"/>
      <c r="E2707" s="5"/>
      <c r="F2707" s="4"/>
      <c r="G2707" s="4"/>
      <c r="H2707" s="4"/>
      <c r="I2707" s="4"/>
      <c r="J2707" s="4"/>
      <c r="K2707" s="4"/>
    </row>
    <row r="2708" spans="2:11">
      <c r="B2708" s="6"/>
      <c r="C2708" s="24"/>
      <c r="D2708" s="5"/>
      <c r="E2708" s="5"/>
      <c r="F2708" s="4"/>
      <c r="G2708" s="4"/>
      <c r="H2708" s="4"/>
      <c r="I2708" s="4"/>
      <c r="J2708" s="4"/>
      <c r="K2708" s="4"/>
    </row>
    <row r="2709" spans="2:11">
      <c r="B2709" s="6"/>
      <c r="C2709" s="24"/>
      <c r="D2709" s="5"/>
      <c r="E2709" s="5"/>
      <c r="F2709" s="4"/>
      <c r="G2709" s="4"/>
      <c r="H2709" s="4"/>
      <c r="I2709" s="4"/>
      <c r="J2709" s="4"/>
      <c r="K2709" s="4"/>
    </row>
    <row r="2710" spans="2:11">
      <c r="B2710" s="6"/>
      <c r="C2710" s="24"/>
      <c r="D2710" s="5"/>
      <c r="E2710" s="5"/>
      <c r="F2710" s="4"/>
      <c r="G2710" s="4"/>
      <c r="H2710" s="4"/>
      <c r="I2710" s="4"/>
      <c r="J2710" s="4"/>
      <c r="K2710" s="4"/>
    </row>
    <row r="2711" spans="2:11">
      <c r="B2711" s="6"/>
      <c r="C2711" s="24"/>
      <c r="D2711" s="5"/>
      <c r="E2711" s="5"/>
      <c r="F2711" s="4"/>
      <c r="G2711" s="4"/>
      <c r="H2711" s="4"/>
      <c r="I2711" s="4"/>
      <c r="J2711" s="4"/>
      <c r="K2711" s="4"/>
    </row>
    <row r="2712" spans="2:11">
      <c r="B2712" s="6"/>
      <c r="C2712" s="24"/>
      <c r="D2712" s="5"/>
      <c r="E2712" s="5"/>
      <c r="F2712" s="4"/>
      <c r="G2712" s="4"/>
      <c r="H2712" s="4"/>
      <c r="I2712" s="4"/>
      <c r="J2712" s="4"/>
      <c r="K2712" s="4"/>
    </row>
    <row r="2713" spans="2:11">
      <c r="B2713" s="6"/>
      <c r="C2713" s="24"/>
      <c r="D2713" s="5"/>
      <c r="E2713" s="5"/>
      <c r="F2713" s="4"/>
      <c r="G2713" s="4"/>
      <c r="H2713" s="4"/>
      <c r="I2713" s="4"/>
      <c r="J2713" s="4"/>
      <c r="K2713" s="4"/>
    </row>
    <row r="2714" spans="2:11">
      <c r="B2714" s="6"/>
      <c r="C2714" s="24"/>
      <c r="D2714" s="5"/>
      <c r="E2714" s="5"/>
      <c r="F2714" s="4"/>
      <c r="G2714" s="4"/>
      <c r="H2714" s="4"/>
      <c r="I2714" s="4"/>
      <c r="J2714" s="4"/>
      <c r="K2714" s="4"/>
    </row>
    <row r="2715" spans="2:11">
      <c r="B2715" s="6"/>
      <c r="C2715" s="24"/>
      <c r="D2715" s="5"/>
      <c r="E2715" s="5"/>
      <c r="F2715" s="4"/>
      <c r="G2715" s="4"/>
      <c r="H2715" s="4"/>
      <c r="I2715" s="4"/>
      <c r="J2715" s="4"/>
      <c r="K2715" s="4"/>
    </row>
    <row r="2716" spans="2:11">
      <c r="B2716" s="6"/>
      <c r="C2716" s="24"/>
      <c r="D2716" s="5"/>
      <c r="E2716" s="5"/>
      <c r="F2716" s="4"/>
      <c r="G2716" s="4"/>
      <c r="H2716" s="4"/>
      <c r="I2716" s="4"/>
      <c r="J2716" s="4"/>
      <c r="K2716" s="4"/>
    </row>
    <row r="2717" spans="2:11">
      <c r="B2717" s="6"/>
      <c r="C2717" s="24"/>
      <c r="D2717" s="5"/>
      <c r="E2717" s="5"/>
      <c r="F2717" s="4"/>
      <c r="G2717" s="4"/>
      <c r="H2717" s="4"/>
      <c r="I2717" s="4"/>
      <c r="J2717" s="4"/>
      <c r="K2717" s="4"/>
    </row>
    <row r="2718" spans="2:11">
      <c r="B2718" s="6"/>
      <c r="C2718" s="24"/>
      <c r="D2718" s="5"/>
      <c r="E2718" s="5"/>
      <c r="F2718" s="4"/>
      <c r="G2718" s="4"/>
      <c r="H2718" s="4"/>
      <c r="I2718" s="4"/>
      <c r="J2718" s="4"/>
      <c r="K2718" s="4"/>
    </row>
    <row r="2719" spans="2:11">
      <c r="B2719" s="6"/>
      <c r="C2719" s="24"/>
      <c r="D2719" s="5"/>
      <c r="E2719" s="5"/>
      <c r="F2719" s="4"/>
      <c r="G2719" s="4"/>
      <c r="H2719" s="4"/>
      <c r="I2719" s="4"/>
      <c r="J2719" s="4"/>
      <c r="K2719" s="4"/>
    </row>
    <row r="2720" spans="2:11">
      <c r="B2720" s="6"/>
      <c r="C2720" s="24"/>
      <c r="D2720" s="5"/>
      <c r="E2720" s="5"/>
      <c r="F2720" s="4"/>
      <c r="G2720" s="4"/>
      <c r="H2720" s="4"/>
      <c r="I2720" s="4"/>
      <c r="J2720" s="4"/>
      <c r="K2720" s="4"/>
    </row>
    <row r="2721" spans="2:11">
      <c r="B2721" s="6"/>
      <c r="C2721" s="24"/>
      <c r="D2721" s="5"/>
      <c r="E2721" s="5"/>
      <c r="F2721" s="4"/>
      <c r="G2721" s="4"/>
      <c r="H2721" s="4"/>
      <c r="I2721" s="4"/>
      <c r="J2721" s="4"/>
      <c r="K2721" s="4"/>
    </row>
    <row r="2722" spans="2:11">
      <c r="B2722" s="6"/>
      <c r="C2722" s="24"/>
      <c r="D2722" s="5"/>
      <c r="E2722" s="5"/>
      <c r="F2722" s="4"/>
      <c r="G2722" s="4"/>
      <c r="H2722" s="4"/>
      <c r="I2722" s="4"/>
      <c r="J2722" s="4"/>
      <c r="K2722" s="4"/>
    </row>
    <row r="2723" spans="2:11">
      <c r="B2723" s="6"/>
      <c r="C2723" s="24"/>
      <c r="D2723" s="5"/>
      <c r="E2723" s="5"/>
      <c r="F2723" s="4"/>
      <c r="G2723" s="4"/>
      <c r="H2723" s="4"/>
      <c r="I2723" s="4"/>
      <c r="J2723" s="4"/>
      <c r="K2723" s="4"/>
    </row>
    <row r="2724" spans="2:11">
      <c r="B2724" s="6"/>
      <c r="C2724" s="24"/>
      <c r="D2724" s="5"/>
      <c r="E2724" s="5"/>
      <c r="F2724" s="4"/>
      <c r="G2724" s="4"/>
      <c r="H2724" s="4"/>
      <c r="I2724" s="4"/>
      <c r="J2724" s="4"/>
      <c r="K2724" s="4"/>
    </row>
    <row r="2725" spans="2:11">
      <c r="B2725" s="6"/>
      <c r="C2725" s="24"/>
      <c r="D2725" s="5"/>
      <c r="E2725" s="5"/>
      <c r="F2725" s="4"/>
      <c r="G2725" s="4"/>
      <c r="H2725" s="4"/>
      <c r="I2725" s="4"/>
      <c r="J2725" s="4"/>
      <c r="K2725" s="4"/>
    </row>
    <row r="2726" spans="2:11">
      <c r="B2726" s="6"/>
      <c r="C2726" s="24"/>
      <c r="D2726" s="5"/>
      <c r="E2726" s="5"/>
      <c r="F2726" s="4"/>
      <c r="G2726" s="4"/>
      <c r="H2726" s="4"/>
      <c r="I2726" s="4"/>
      <c r="J2726" s="4"/>
      <c r="K2726" s="4"/>
    </row>
    <row r="2727" spans="2:11">
      <c r="B2727" s="6"/>
      <c r="C2727" s="24"/>
      <c r="D2727" s="5"/>
      <c r="E2727" s="5"/>
      <c r="F2727" s="4"/>
      <c r="G2727" s="4"/>
      <c r="H2727" s="4"/>
      <c r="I2727" s="4"/>
      <c r="J2727" s="4"/>
      <c r="K2727" s="4"/>
    </row>
    <row r="2728" spans="2:11">
      <c r="B2728" s="6"/>
      <c r="C2728" s="24"/>
      <c r="D2728" s="5"/>
      <c r="E2728" s="5"/>
      <c r="F2728" s="4"/>
      <c r="G2728" s="4"/>
      <c r="H2728" s="4"/>
      <c r="I2728" s="4"/>
      <c r="J2728" s="4"/>
      <c r="K2728" s="4"/>
    </row>
    <row r="2729" spans="2:11">
      <c r="B2729" s="6"/>
      <c r="C2729" s="24"/>
      <c r="D2729" s="5"/>
      <c r="E2729" s="5"/>
      <c r="F2729" s="4"/>
      <c r="G2729" s="4"/>
      <c r="H2729" s="4"/>
      <c r="I2729" s="4"/>
      <c r="J2729" s="4"/>
      <c r="K2729" s="4"/>
    </row>
    <row r="2730" spans="2:11">
      <c r="B2730" s="6"/>
      <c r="C2730" s="24"/>
      <c r="D2730" s="5"/>
      <c r="E2730" s="5"/>
      <c r="F2730" s="4"/>
      <c r="G2730" s="4"/>
      <c r="H2730" s="4"/>
      <c r="I2730" s="4"/>
      <c r="J2730" s="4"/>
      <c r="K2730" s="4"/>
    </row>
    <row r="2731" spans="2:11">
      <c r="B2731" s="6"/>
      <c r="C2731" s="24"/>
      <c r="D2731" s="5"/>
      <c r="E2731" s="5"/>
      <c r="F2731" s="4"/>
      <c r="G2731" s="4"/>
      <c r="H2731" s="4"/>
      <c r="I2731" s="4"/>
      <c r="J2731" s="4"/>
      <c r="K2731" s="4"/>
    </row>
    <row r="2732" spans="2:11">
      <c r="B2732" s="6"/>
      <c r="C2732" s="24"/>
      <c r="D2732" s="5"/>
      <c r="E2732" s="5"/>
      <c r="F2732" s="4"/>
      <c r="G2732" s="4"/>
      <c r="H2732" s="4"/>
      <c r="I2732" s="4"/>
      <c r="J2732" s="4"/>
      <c r="K2732" s="4"/>
    </row>
    <row r="2733" spans="2:11">
      <c r="B2733" s="6"/>
      <c r="C2733" s="24"/>
      <c r="D2733" s="5"/>
      <c r="E2733" s="5"/>
      <c r="F2733" s="4"/>
      <c r="G2733" s="4"/>
      <c r="H2733" s="4"/>
      <c r="I2733" s="4"/>
      <c r="J2733" s="4"/>
      <c r="K2733" s="4"/>
    </row>
    <row r="2734" spans="2:11">
      <c r="B2734" s="6"/>
      <c r="C2734" s="24"/>
      <c r="D2734" s="5"/>
      <c r="E2734" s="5"/>
      <c r="F2734" s="4"/>
      <c r="G2734" s="4"/>
      <c r="H2734" s="4"/>
      <c r="I2734" s="4"/>
      <c r="J2734" s="4"/>
      <c r="K2734" s="4"/>
    </row>
    <row r="2735" spans="2:11">
      <c r="B2735" s="6"/>
      <c r="C2735" s="24"/>
      <c r="D2735" s="5"/>
      <c r="E2735" s="5"/>
      <c r="F2735" s="4"/>
      <c r="G2735" s="4"/>
      <c r="H2735" s="4"/>
      <c r="I2735" s="4"/>
      <c r="J2735" s="4"/>
      <c r="K2735" s="4"/>
    </row>
    <row r="2736" spans="2:11">
      <c r="B2736" s="6"/>
      <c r="C2736" s="24"/>
      <c r="D2736" s="5"/>
      <c r="E2736" s="5"/>
      <c r="F2736" s="4"/>
      <c r="G2736" s="4"/>
      <c r="H2736" s="4"/>
      <c r="I2736" s="4"/>
      <c r="J2736" s="4"/>
      <c r="K2736" s="4"/>
    </row>
    <row r="2737" spans="2:11">
      <c r="B2737" s="6"/>
      <c r="C2737" s="24"/>
      <c r="D2737" s="5"/>
      <c r="E2737" s="5"/>
      <c r="F2737" s="4"/>
      <c r="G2737" s="4"/>
      <c r="H2737" s="4"/>
      <c r="I2737" s="4"/>
      <c r="J2737" s="4"/>
      <c r="K2737" s="4"/>
    </row>
    <row r="2738" spans="2:11">
      <c r="B2738" s="6"/>
      <c r="C2738" s="24"/>
      <c r="D2738" s="5"/>
      <c r="E2738" s="5"/>
      <c r="F2738" s="4"/>
      <c r="G2738" s="4"/>
      <c r="H2738" s="4"/>
      <c r="I2738" s="4"/>
      <c r="J2738" s="4"/>
      <c r="K2738" s="4"/>
    </row>
  </sheetData>
  <sheetProtection algorithmName="SHA-512" hashValue="pmaZbRGeOGZXAj8q1qDLPy18fSeBqqCy5CapA/2Ux86+89LF+q9p8+9dkWZS19CQbK7pN9OJn7AIUiY4IhycIQ==" saltValue="RpvyOzDQ+r+bn0BS3bNyCg==" spinCount="100000" sheet="1" formatCells="0" formatRows="0" sort="0" autoFilter="0"/>
  <protectedRanges>
    <protectedRange sqref="H14:H114" name="Rango1"/>
  </protectedRanges>
  <autoFilter ref="C13:K112" xr:uid="{E20EF032-4644-424E-85AD-F723E350A6CA}"/>
  <mergeCells count="14">
    <mergeCell ref="D7:E7"/>
    <mergeCell ref="E1:G1"/>
    <mergeCell ref="C2:K2"/>
    <mergeCell ref="F3:H3"/>
    <mergeCell ref="C4:K4"/>
    <mergeCell ref="D6:E6"/>
    <mergeCell ref="F119:G120"/>
    <mergeCell ref="H119:H120"/>
    <mergeCell ref="D8:E8"/>
    <mergeCell ref="D9:E9"/>
    <mergeCell ref="D10:E10"/>
    <mergeCell ref="D11:E11"/>
    <mergeCell ref="F115:G115"/>
    <mergeCell ref="F117:G117"/>
  </mergeCells>
  <conditionalFormatting sqref="C14:F113">
    <cfRule type="containsText" dxfId="0" priority="1" operator="containsText" text="SERA BORRADO">
      <formula>NOT(ISERROR(SEARCH("SERA BORRADO",C14)))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itle0 xmlns="c362bd25-0219-42ca-b9a1-ba36248c845b" xsi:nil="true"/>
    <FechayHora xmlns="c362bd25-0219-42ca-b9a1-ba36248c845b" xsi:nil="true"/>
    <TaxCatchAll xmlns="30c22465-fe92-4ece-bee8-f6cd1df2bd85" xsi:nil="true"/>
    <lcf76f155ced4ddcb4097134ff3c332f xmlns="c362bd25-0219-42ca-b9a1-ba36248c845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52A309ED676134598807D3E2E8D97A9" ma:contentTypeVersion="21" ma:contentTypeDescription="Crear nuevo documento." ma:contentTypeScope="" ma:versionID="42e40df152dadb81fd8d3fb71d9aad29">
  <xsd:schema xmlns:xsd="http://www.w3.org/2001/XMLSchema" xmlns:xs="http://www.w3.org/2001/XMLSchema" xmlns:p="http://schemas.microsoft.com/office/2006/metadata/properties" xmlns:ns2="c362bd25-0219-42ca-b9a1-ba36248c845b" xmlns:ns3="30c22465-fe92-4ece-bee8-f6cd1df2bd85" targetNamespace="http://schemas.microsoft.com/office/2006/metadata/properties" ma:root="true" ma:fieldsID="43e8945b4c855c00a5962e7cddedda55" ns2:_="" ns3:_="">
    <xsd:import namespace="c362bd25-0219-42ca-b9a1-ba36248c845b"/>
    <xsd:import namespace="30c22465-fe92-4ece-bee8-f6cd1df2bd85"/>
    <xsd:element name="properties">
      <xsd:complexType>
        <xsd:sequence>
          <xsd:element name="documentManagement">
            <xsd:complexType>
              <xsd:all>
                <xsd:element ref="ns2:Title0" minOccurs="0"/>
                <xsd:element ref="ns3:SharedWithUsers" minOccurs="0"/>
                <xsd:element ref="ns3:SharedWithDetails" minOccurs="0"/>
                <xsd:element ref="ns2:MediaServiceMetadata" minOccurs="0"/>
                <xsd:element ref="ns2:MediaServiceFastMetadata" minOccurs="0"/>
                <xsd:element ref="ns2:FechayHor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62bd25-0219-42ca-b9a1-ba36248c845b" elementFormDefault="qualified">
    <xsd:import namespace="http://schemas.microsoft.com/office/2006/documentManagement/types"/>
    <xsd:import namespace="http://schemas.microsoft.com/office/infopath/2007/PartnerControls"/>
    <xsd:element name="Title0" ma:index="8" nillable="true" ma:displayName="Title" ma:description="" ma:internalName="Title0">
      <xsd:simpleType>
        <xsd:restriction base="dms:Text">
          <xsd:maxLength value="255"/>
        </xsd:restriction>
      </xsd:simple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FechayHora" ma:index="13" nillable="true" ma:displayName="Fecha y Hora" ma:format="DateTime" ma:indexed="true" ma:internalName="FechayHora">
      <xsd:simpleType>
        <xsd:restriction base="dms:DateTim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Etiquetas de imagen" ma:readOnly="false" ma:fieldId="{5cf76f15-5ced-4ddc-b409-7134ff3c332f}" ma:taxonomyMulti="true" ma:sspId="deb80c0f-a112-4497-a9de-e383f4993fb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c22465-fe92-4ece-bee8-f6cd1df2bd85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7dd99dd1-f383-4d5d-8255-8349e820d6bb}" ma:internalName="TaxCatchAll" ma:showField="CatchAllData" ma:web="30c22465-fe92-4ece-bee8-f6cd1df2bd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32BE8E-3A6B-47A6-8934-A11EF15EF5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7E30E7-6D23-4F76-9A92-9426F0B8E7A7}">
  <ds:schemaRefs>
    <ds:schemaRef ds:uri="http://schemas.microsoft.com/office/2006/metadata/properties"/>
    <ds:schemaRef ds:uri="http://schemas.microsoft.com/office/infopath/2007/PartnerControls"/>
    <ds:schemaRef ds:uri="c362bd25-0219-42ca-b9a1-ba36248c845b"/>
    <ds:schemaRef ds:uri="30c22465-fe92-4ece-bee8-f6cd1df2bd85"/>
  </ds:schemaRefs>
</ds:datastoreItem>
</file>

<file path=customXml/itemProps3.xml><?xml version="1.0" encoding="utf-8"?>
<ds:datastoreItem xmlns:ds="http://schemas.openxmlformats.org/officeDocument/2006/customXml" ds:itemID="{9C711435-3079-42D2-B579-B381BBF61FD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62bd25-0219-42ca-b9a1-ba36248c845b"/>
    <ds:schemaRef ds:uri="30c22465-fe92-4ece-bee8-f6cd1df2bd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LISTA PERFILES</vt:lpstr>
      <vt:lpstr>LISTA HERRAJES Y ACCESORIOS</vt:lpstr>
      <vt:lpstr>LISTA BARRANDAS</vt:lpstr>
      <vt:lpstr>'LISTA HERRAJES Y ACCESORIOS'!Área_de_impresión</vt:lpstr>
      <vt:lpstr>'LISTA PERFILES'!Área_de_impresión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martinez</dc:creator>
  <cp:keywords/>
  <dc:description/>
  <cp:lastModifiedBy>ALESSANDRO ENRIQUE ARENAS VALDES</cp:lastModifiedBy>
  <cp:revision/>
  <dcterms:created xsi:type="dcterms:W3CDTF">2006-09-16T00:00:00Z</dcterms:created>
  <dcterms:modified xsi:type="dcterms:W3CDTF">2026-10-05T03:55:19Z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0x010100C52A309ED676134598807D3E2E8D97A9</vt:lpwstr>
  </property>
  <property fmtid="{D5CDD505-2E9C-101B-9397-08002B2CF9AE}" pid="3" name="MediaServiceImageTags">
    <vt:lpwstr/>
  </property>
</Properties>
</file>