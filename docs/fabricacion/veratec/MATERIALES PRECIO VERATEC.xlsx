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0496" windowHeight="7632" tabRatio="673" activeTab="4"/>
  </bookViews>
  <sheets>
    <sheet name="CORREDERA GRANDE" sheetId="1" r:id="rId1"/>
    <sheet name="CORREDERA CHICA" sheetId="2" r:id="rId2"/>
    <sheet name="COMPACT" sheetId="3" r:id="rId3"/>
    <sheet name="BAHAR" sheetId="4" r:id="rId4"/>
    <sheet name="ACCESORIOS" sheetId="5" r:id="rId5"/>
    <sheet name="ACCESORIOS 2" sheetId="6" r:id="rId6"/>
    <sheet name="ACCESORIOS 3" sheetId="7" r:id="rId7"/>
    <sheet name="REFUERZOS" sheetId="8" r:id="rId8"/>
    <sheet name="ELEGANS" sheetId="11" r:id="rId9"/>
    <sheet name="TOTAL PRECIO PVC" sheetId="10" r:id="rId10"/>
  </sheets>
  <calcPr calcId="144525"/>
</workbook>
</file>

<file path=xl/calcChain.xml><?xml version="1.0" encoding="utf-8"?>
<calcChain xmlns="http://schemas.openxmlformats.org/spreadsheetml/2006/main">
  <c r="H21" i="8" l="1"/>
  <c r="H22" i="7"/>
  <c r="H42" i="5"/>
  <c r="H23" i="3"/>
  <c r="H44" i="2"/>
  <c r="I26" i="1"/>
  <c r="I27" i="1"/>
  <c r="I4" i="1"/>
  <c r="I5" i="1"/>
  <c r="I6" i="1"/>
  <c r="I7" i="1"/>
  <c r="I8" i="1"/>
  <c r="I10" i="1"/>
  <c r="I11" i="1"/>
  <c r="I12" i="1"/>
  <c r="I14" i="1"/>
  <c r="I15" i="1"/>
  <c r="I16" i="1"/>
  <c r="I17" i="1"/>
  <c r="I18" i="1"/>
  <c r="I19" i="1"/>
  <c r="I21" i="1"/>
  <c r="I22" i="1"/>
  <c r="I23" i="1"/>
  <c r="I24" i="1"/>
  <c r="I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3" i="1"/>
  <c r="I8" i="2"/>
  <c r="I9" i="2"/>
  <c r="I10" i="2"/>
  <c r="I12" i="2"/>
  <c r="I13" i="2"/>
  <c r="I14" i="2"/>
  <c r="I44" i="2" s="1"/>
  <c r="I15" i="2"/>
  <c r="I16" i="2"/>
  <c r="I18" i="2"/>
  <c r="I19" i="2"/>
  <c r="I20" i="2"/>
  <c r="I21" i="2"/>
  <c r="I22" i="2"/>
  <c r="I24" i="2"/>
  <c r="I25" i="2"/>
  <c r="I26" i="2"/>
  <c r="I28" i="2"/>
  <c r="I29" i="2"/>
  <c r="I30" i="2"/>
  <c r="I31" i="2"/>
  <c r="I32" i="2"/>
  <c r="I33" i="2"/>
  <c r="I34" i="2"/>
  <c r="I35" i="2"/>
  <c r="I36" i="2"/>
  <c r="I37" i="2"/>
  <c r="I39" i="2"/>
  <c r="I40" i="2"/>
  <c r="I41" i="2"/>
  <c r="I42" i="2"/>
  <c r="I43" i="2"/>
  <c r="I3" i="2"/>
  <c r="I4" i="2"/>
  <c r="I5" i="2"/>
  <c r="I6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2" i="2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3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3" i="4"/>
  <c r="G31" i="5"/>
  <c r="G32" i="5"/>
  <c r="G33" i="5"/>
  <c r="G34" i="5"/>
  <c r="G35" i="5"/>
  <c r="G36" i="5"/>
  <c r="G37" i="5"/>
  <c r="G38" i="5"/>
  <c r="G39" i="5"/>
  <c r="G40" i="5"/>
  <c r="G41" i="5"/>
  <c r="F31" i="5"/>
  <c r="F32" i="5"/>
  <c r="F33" i="5"/>
  <c r="F34" i="5"/>
  <c r="F35" i="5"/>
  <c r="F36" i="5"/>
  <c r="F37" i="5"/>
  <c r="F38" i="5"/>
  <c r="F39" i="5"/>
  <c r="F40" i="5"/>
  <c r="F41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4" i="5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2" i="6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I4" i="11"/>
  <c r="I5" i="11"/>
  <c r="I6" i="11"/>
  <c r="I7" i="11"/>
  <c r="I8" i="11"/>
  <c r="I10" i="11"/>
  <c r="I11" i="11"/>
  <c r="I12" i="11"/>
  <c r="I13" i="11"/>
  <c r="I14" i="11"/>
  <c r="I15" i="11"/>
  <c r="I17" i="11"/>
  <c r="I18" i="11"/>
  <c r="I19" i="11"/>
  <c r="I20" i="11"/>
  <c r="I21" i="11"/>
  <c r="I22" i="11"/>
  <c r="I23" i="11"/>
  <c r="I25" i="11"/>
  <c r="I26" i="11"/>
  <c r="I27" i="11"/>
  <c r="I28" i="11"/>
  <c r="I29" i="11"/>
  <c r="I30" i="11"/>
  <c r="I32" i="11"/>
  <c r="I33" i="11"/>
  <c r="I34" i="11"/>
  <c r="I35" i="11"/>
  <c r="I36" i="11"/>
  <c r="I37" i="11"/>
  <c r="I38" i="11"/>
  <c r="I40" i="11"/>
  <c r="I41" i="11"/>
  <c r="I42" i="11"/>
  <c r="I43" i="11"/>
  <c r="I44" i="11"/>
  <c r="I45" i="11"/>
  <c r="I46" i="11"/>
  <c r="I48" i="11"/>
  <c r="I49" i="11"/>
  <c r="I50" i="11"/>
  <c r="I51" i="11"/>
  <c r="I52" i="11"/>
  <c r="I53" i="11"/>
  <c r="I55" i="11"/>
  <c r="I56" i="11"/>
  <c r="I57" i="11"/>
  <c r="I58" i="11"/>
  <c r="I59" i="11"/>
  <c r="I60" i="11"/>
  <c r="I61" i="11"/>
  <c r="I62" i="11"/>
  <c r="I63" i="11"/>
  <c r="I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G3" i="11"/>
  <c r="F3" i="11"/>
  <c r="F20" i="8"/>
  <c r="G20" i="8" s="1"/>
  <c r="I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3" i="8"/>
  <c r="I4" i="8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4" i="3"/>
  <c r="I3" i="3"/>
  <c r="I3" i="1"/>
  <c r="I3" i="4"/>
  <c r="I21" i="8" l="1"/>
  <c r="H26" i="1" l="1"/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2" i="6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5" i="5"/>
  <c r="I6" i="5"/>
  <c r="I7" i="5"/>
  <c r="I8" i="5"/>
  <c r="I9" i="5"/>
  <c r="I10" i="5"/>
  <c r="I11" i="5"/>
  <c r="I12" i="5"/>
  <c r="I4" i="5"/>
  <c r="I28" i="4"/>
  <c r="I29" i="4"/>
  <c r="I30" i="4"/>
  <c r="I31" i="4"/>
  <c r="I32" i="4"/>
  <c r="I34" i="4"/>
  <c r="I35" i="4"/>
  <c r="I36" i="4"/>
  <c r="I37" i="4"/>
  <c r="I38" i="4"/>
  <c r="I40" i="4"/>
  <c r="I41" i="4"/>
  <c r="I42" i="4"/>
  <c r="I63" i="4" s="1"/>
  <c r="I43" i="4"/>
  <c r="I44" i="4"/>
  <c r="I46" i="4"/>
  <c r="I47" i="4"/>
  <c r="I48" i="4"/>
  <c r="I49" i="4"/>
  <c r="I50" i="4"/>
  <c r="I52" i="4"/>
  <c r="I53" i="4"/>
  <c r="I54" i="4"/>
  <c r="I55" i="4"/>
  <c r="I56" i="4"/>
  <c r="I58" i="4"/>
  <c r="I59" i="4"/>
  <c r="I60" i="4"/>
  <c r="I61" i="4"/>
  <c r="I62" i="4"/>
  <c r="I6" i="3"/>
  <c r="I8" i="3"/>
  <c r="I9" i="3"/>
  <c r="I10" i="3"/>
  <c r="I12" i="3"/>
  <c r="I13" i="3"/>
  <c r="I14" i="3"/>
  <c r="I16" i="3"/>
  <c r="I17" i="3"/>
  <c r="I18" i="3"/>
  <c r="I20" i="3"/>
  <c r="I21" i="3"/>
  <c r="I22" i="3"/>
  <c r="I23" i="3" l="1"/>
  <c r="I34" i="6"/>
  <c r="I42" i="5"/>
  <c r="I22" i="4"/>
  <c r="I23" i="4"/>
  <c r="I24" i="4"/>
  <c r="I25" i="4"/>
  <c r="I21" i="4"/>
  <c r="I16" i="4"/>
  <c r="I17" i="4"/>
  <c r="I18" i="4"/>
  <c r="I19" i="4"/>
  <c r="I15" i="4"/>
  <c r="I10" i="4"/>
  <c r="I11" i="4"/>
  <c r="I12" i="4"/>
  <c r="I13" i="4"/>
  <c r="I9" i="4"/>
  <c r="I4" i="4"/>
  <c r="I5" i="4"/>
  <c r="I6" i="4"/>
  <c r="I7" i="4"/>
  <c r="I5" i="3"/>
  <c r="P24" i="4"/>
  <c r="O24" i="4"/>
  <c r="M24" i="4"/>
  <c r="I64" i="11" l="1"/>
  <c r="I2" i="7"/>
  <c r="I22" i="7" s="1"/>
  <c r="C6" i="10" l="1"/>
</calcChain>
</file>

<file path=xl/comments1.xml><?xml version="1.0" encoding="utf-8"?>
<comments xmlns="http://schemas.openxmlformats.org/spreadsheetml/2006/main">
  <authors>
    <author>Usuario de Windows</author>
  </authors>
  <commentList>
    <comment ref="G3" author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 de Windows</author>
  </authors>
  <commentList>
    <comment ref="I42" author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<sst xmlns="http://schemas.openxmlformats.org/spreadsheetml/2006/main" count="1079" uniqueCount="589">
  <si>
    <r>
      <rPr>
        <b/>
        <sz val="10"/>
        <rFont val="Calibri"/>
        <family val="1"/>
      </rPr>
      <t xml:space="preserve">LISTA DE PRECIOS JULIO 2022
</t>
    </r>
    <r>
      <rPr>
        <b/>
        <sz val="8.5"/>
        <rFont val="Calibri"/>
        <family val="1"/>
      </rPr>
      <t>SISTEMA SLIDING 7400</t>
    </r>
  </si>
  <si>
    <r>
      <rPr>
        <b/>
        <sz val="7.5"/>
        <rFont val="Calibri"/>
        <family val="1"/>
      </rPr>
      <t>SKU Veratec</t>
    </r>
  </si>
  <si>
    <r>
      <rPr>
        <b/>
        <sz val="7.5"/>
        <rFont val="Calibri"/>
        <family val="1"/>
      </rPr>
      <t>Descripcion Veratec</t>
    </r>
  </si>
  <si>
    <r>
      <rPr>
        <b/>
        <sz val="7.5"/>
        <rFont val="Calibri"/>
        <family val="1"/>
      </rPr>
      <t>Unidad</t>
    </r>
  </si>
  <si>
    <r>
      <rPr>
        <b/>
        <sz val="7.5"/>
        <rFont val="Calibri"/>
        <family val="1"/>
      </rPr>
      <t>Mt</t>
    </r>
  </si>
  <si>
    <r>
      <rPr>
        <b/>
        <sz val="7.5"/>
        <rFont val="Calibri"/>
        <family val="1"/>
      </rPr>
      <t>Precio Lista NETO</t>
    </r>
  </si>
  <si>
    <r>
      <rPr>
        <b/>
        <sz val="7.5"/>
        <rFont val="Calibri"/>
        <family val="1"/>
      </rPr>
      <t>Imagen</t>
    </r>
  </si>
  <si>
    <r>
      <rPr>
        <sz val="7.5"/>
        <rFont val="Calibri"/>
        <family val="1"/>
      </rPr>
      <t>67401VER000</t>
    </r>
  </si>
  <si>
    <r>
      <rPr>
        <sz val="7.5"/>
        <rFont val="Calibri"/>
        <family val="1"/>
      </rPr>
      <t>Marco corredera 2 hojas blanco</t>
    </r>
  </si>
  <si>
    <r>
      <rPr>
        <sz val="7.5"/>
        <rFont val="Calibri"/>
        <family val="1"/>
      </rPr>
      <t>M</t>
    </r>
  </si>
  <si>
    <r>
      <rPr>
        <sz val="7.5"/>
        <rFont val="Calibri"/>
        <family val="1"/>
      </rPr>
      <t>67401VER153</t>
    </r>
  </si>
  <si>
    <r>
      <rPr>
        <sz val="7.5"/>
        <rFont val="Calibri"/>
        <family val="1"/>
      </rPr>
      <t>Marco corredera 2 hojas nogal</t>
    </r>
  </si>
  <si>
    <r>
      <rPr>
        <sz val="7.5"/>
        <rFont val="Calibri"/>
        <family val="1"/>
      </rPr>
      <t>67401VER043</t>
    </r>
  </si>
  <si>
    <r>
      <rPr>
        <sz val="7.5"/>
        <rFont val="Calibri"/>
        <family val="1"/>
      </rPr>
      <t>67401VER199</t>
    </r>
  </si>
  <si>
    <r>
      <rPr>
        <sz val="7.5"/>
        <rFont val="Calibri"/>
        <family val="1"/>
      </rPr>
      <t>Marco corredera 2 hojas Antracita</t>
    </r>
  </si>
  <si>
    <r>
      <rPr>
        <sz val="7.5"/>
        <rFont val="Calibri"/>
        <family val="1"/>
      </rPr>
      <t>67401VER200</t>
    </r>
  </si>
  <si>
    <r>
      <rPr>
        <sz val="7.5"/>
        <rFont val="Calibri"/>
        <family val="1"/>
      </rPr>
      <t>Marco corredera 2 hojas Negro</t>
    </r>
  </si>
  <si>
    <r>
      <rPr>
        <sz val="7.5"/>
        <rFont val="Calibri"/>
        <family val="1"/>
      </rPr>
      <t>61016VER001</t>
    </r>
  </si>
  <si>
    <r>
      <rPr>
        <sz val="7.5"/>
        <rFont val="Calibri"/>
        <family val="1"/>
      </rPr>
      <t>Riel Sliding</t>
    </r>
  </si>
  <si>
    <r>
      <rPr>
        <sz val="7.5"/>
        <rFont val="Calibri"/>
        <family val="1"/>
      </rPr>
      <t>Imagen</t>
    </r>
  </si>
  <si>
    <r>
      <rPr>
        <sz val="7.5"/>
        <rFont val="Calibri"/>
        <family val="1"/>
      </rPr>
      <t>67411VER000</t>
    </r>
  </si>
  <si>
    <r>
      <rPr>
        <sz val="7.5"/>
        <rFont val="Calibri"/>
        <family val="1"/>
      </rPr>
      <t>Marco monorriel blanco</t>
    </r>
  </si>
  <si>
    <r>
      <rPr>
        <sz val="7.5"/>
        <rFont val="Calibri"/>
        <family val="1"/>
      </rPr>
      <t>67411VER153</t>
    </r>
  </si>
  <si>
    <r>
      <rPr>
        <sz val="7.5"/>
        <rFont val="Calibri"/>
        <family val="1"/>
      </rPr>
      <t>Marco monorriel nogal</t>
    </r>
  </si>
  <si>
    <r>
      <rPr>
        <sz val="7.5"/>
        <rFont val="Calibri"/>
        <family val="1"/>
      </rPr>
      <t>67411VER043</t>
    </r>
  </si>
  <si>
    <r>
      <rPr>
        <sz val="7.5"/>
        <rFont val="Calibri"/>
        <family val="1"/>
      </rPr>
      <t>Marco monorriel roble dorado</t>
    </r>
  </si>
  <si>
    <r>
      <rPr>
        <sz val="7.5"/>
        <rFont val="Calibri"/>
        <family val="1"/>
      </rPr>
      <t>67413VER000</t>
    </r>
  </si>
  <si>
    <r>
      <rPr>
        <sz val="7.5"/>
        <rFont val="Calibri"/>
        <family val="1"/>
      </rPr>
      <t>Marco corredera 3 hojas blanco</t>
    </r>
  </si>
  <si>
    <r>
      <rPr>
        <sz val="7.5"/>
        <rFont val="Calibri"/>
        <family val="1"/>
      </rPr>
      <t>67413VER153</t>
    </r>
  </si>
  <si>
    <r>
      <rPr>
        <sz val="7.5"/>
        <rFont val="Calibri"/>
        <family val="1"/>
      </rPr>
      <t>Marco corredera 3 hojas nogal</t>
    </r>
  </si>
  <si>
    <r>
      <rPr>
        <sz val="7.5"/>
        <rFont val="Calibri"/>
        <family val="1"/>
      </rPr>
      <t>67413VER043</t>
    </r>
  </si>
  <si>
    <r>
      <rPr>
        <sz val="7.5"/>
        <rFont val="Calibri"/>
        <family val="1"/>
      </rPr>
      <t>Marco corredera 3 hojas roble dorado</t>
    </r>
  </si>
  <si>
    <r>
      <rPr>
        <sz val="7.5"/>
        <rFont val="Calibri"/>
        <family val="1"/>
      </rPr>
      <t>67413VER199</t>
    </r>
  </si>
  <si>
    <r>
      <rPr>
        <sz val="7.5"/>
        <rFont val="Calibri"/>
        <family val="1"/>
      </rPr>
      <t>Marco corredera 3 hojas Antracita</t>
    </r>
  </si>
  <si>
    <r>
      <rPr>
        <sz val="7.5"/>
        <rFont val="Calibri"/>
        <family val="1"/>
      </rPr>
      <t>67413VER200</t>
    </r>
  </si>
  <si>
    <r>
      <rPr>
        <sz val="7.5"/>
        <rFont val="Calibri"/>
        <family val="1"/>
      </rPr>
      <t>Marco corredera 3 hojas Negro</t>
    </r>
  </si>
  <si>
    <r>
      <rPr>
        <sz val="7.5"/>
        <rFont val="Calibri"/>
        <family val="1"/>
      </rPr>
      <t>67414VER000</t>
    </r>
  </si>
  <si>
    <r>
      <rPr>
        <sz val="7.5"/>
        <rFont val="Calibri"/>
        <family val="1"/>
      </rPr>
      <t>Hoja corredera grande sliding blanco</t>
    </r>
  </si>
  <si>
    <r>
      <rPr>
        <sz val="7.5"/>
        <rFont val="Calibri"/>
        <family val="1"/>
      </rPr>
      <t>67414VER153</t>
    </r>
  </si>
  <si>
    <r>
      <rPr>
        <sz val="7.5"/>
        <rFont val="Calibri"/>
        <family val="1"/>
      </rPr>
      <t>Hoja corredera grande sliding nogal</t>
    </r>
  </si>
  <si>
    <r>
      <rPr>
        <sz val="7.5"/>
        <rFont val="Calibri"/>
        <family val="1"/>
      </rPr>
      <t>67414VER043</t>
    </r>
  </si>
  <si>
    <r>
      <rPr>
        <sz val="7.5"/>
        <rFont val="Calibri"/>
        <family val="1"/>
      </rPr>
      <t>Hoja corredera grande sliding roble dorado</t>
    </r>
  </si>
  <si>
    <r>
      <rPr>
        <sz val="7.5"/>
        <rFont val="Calibri"/>
        <family val="1"/>
      </rPr>
      <t>67414VER199</t>
    </r>
  </si>
  <si>
    <r>
      <rPr>
        <sz val="7.5"/>
        <rFont val="Calibri"/>
        <family val="1"/>
      </rPr>
      <t>Hoja corredera grande sliding antracita</t>
    </r>
  </si>
  <si>
    <r>
      <rPr>
        <sz val="7.5"/>
        <rFont val="Calibri"/>
        <family val="1"/>
      </rPr>
      <t>67414VER200</t>
    </r>
  </si>
  <si>
    <r>
      <rPr>
        <sz val="7.5"/>
        <rFont val="Calibri"/>
        <family val="1"/>
      </rPr>
      <t>Hoja corredera grande sliding Negro</t>
    </r>
  </si>
  <si>
    <r>
      <rPr>
        <sz val="7.5"/>
        <rFont val="Calibri"/>
        <family val="1"/>
      </rPr>
      <t>67415VER000</t>
    </r>
  </si>
  <si>
    <r>
      <rPr>
        <sz val="7.5"/>
        <rFont val="Calibri"/>
        <family val="1"/>
      </rPr>
      <t>Hoja corredera chica sliding blanco</t>
    </r>
  </si>
  <si>
    <r>
      <rPr>
        <sz val="7.5"/>
        <rFont val="Calibri"/>
        <family val="1"/>
      </rPr>
      <t>67415VER153</t>
    </r>
  </si>
  <si>
    <r>
      <rPr>
        <sz val="7.5"/>
        <rFont val="Calibri"/>
        <family val="1"/>
      </rPr>
      <t>Hoja corredera chica sliding nogal</t>
    </r>
  </si>
  <si>
    <r>
      <rPr>
        <sz val="7.5"/>
        <rFont val="Calibri"/>
        <family val="1"/>
      </rPr>
      <t>67415VER043</t>
    </r>
  </si>
  <si>
    <r>
      <rPr>
        <sz val="7.5"/>
        <rFont val="Calibri"/>
        <family val="1"/>
      </rPr>
      <t>Hoja corredera chica sliding roble dorado</t>
    </r>
  </si>
  <si>
    <r>
      <rPr>
        <sz val="7.5"/>
        <rFont val="Calibri"/>
        <family val="1"/>
      </rPr>
      <t>67415VER199</t>
    </r>
  </si>
  <si>
    <r>
      <rPr>
        <sz val="7.5"/>
        <rFont val="Calibri"/>
        <family val="1"/>
      </rPr>
      <t>Hoja corredera chica sliding antracita</t>
    </r>
  </si>
  <si>
    <r>
      <rPr>
        <sz val="7.5"/>
        <rFont val="Calibri"/>
        <family val="1"/>
      </rPr>
      <t>67415VER200</t>
    </r>
  </si>
  <si>
    <r>
      <rPr>
        <sz val="7.5"/>
        <rFont val="Calibri"/>
        <family val="1"/>
      </rPr>
      <t>Hoja corredera chica sliding Negro</t>
    </r>
  </si>
  <si>
    <r>
      <rPr>
        <sz val="7.5"/>
        <rFont val="Calibri"/>
        <family val="1"/>
      </rPr>
      <t>67416VER000</t>
    </r>
  </si>
  <si>
    <r>
      <rPr>
        <sz val="7.5"/>
        <rFont val="Calibri"/>
        <family val="1"/>
      </rPr>
      <t>Barra T  sliding blanco</t>
    </r>
  </si>
  <si>
    <r>
      <rPr>
        <sz val="7.5"/>
        <rFont val="Calibri"/>
        <family val="1"/>
      </rPr>
      <t>67416VER153</t>
    </r>
  </si>
  <si>
    <r>
      <rPr>
        <sz val="7.5"/>
        <rFont val="Calibri"/>
        <family val="1"/>
      </rPr>
      <t>Barra T  sliding nogal</t>
    </r>
  </si>
  <si>
    <r>
      <rPr>
        <sz val="7.5"/>
        <rFont val="Calibri"/>
        <family val="1"/>
      </rPr>
      <t>67416VER043</t>
    </r>
  </si>
  <si>
    <r>
      <rPr>
        <sz val="7.5"/>
        <rFont val="Calibri"/>
        <family val="1"/>
      </rPr>
      <t>Barra T  sliding roble dorado</t>
    </r>
  </si>
  <si>
    <r>
      <rPr>
        <sz val="7.5"/>
        <rFont val="Calibri"/>
        <family val="1"/>
      </rPr>
      <t>67418VER000</t>
    </r>
  </si>
  <si>
    <r>
      <rPr>
        <sz val="7.5"/>
        <rFont val="Calibri"/>
        <family val="1"/>
      </rPr>
      <t>Traslapo corredera grande sliding blanco</t>
    </r>
  </si>
  <si>
    <r>
      <rPr>
        <sz val="7.5"/>
        <rFont val="Calibri"/>
        <family val="1"/>
      </rPr>
      <t>67418VER153</t>
    </r>
  </si>
  <si>
    <r>
      <rPr>
        <sz val="7.5"/>
        <rFont val="Calibri"/>
        <family val="1"/>
      </rPr>
      <t>Traslapo corredera grande sliding nogal</t>
    </r>
  </si>
  <si>
    <r>
      <rPr>
        <sz val="7.5"/>
        <rFont val="Calibri"/>
        <family val="1"/>
      </rPr>
      <t>67418VER043</t>
    </r>
  </si>
  <si>
    <r>
      <rPr>
        <sz val="7.5"/>
        <rFont val="Calibri"/>
        <family val="1"/>
      </rPr>
      <t>Traslapo corredera grande sliding roble dorado</t>
    </r>
  </si>
  <si>
    <r>
      <rPr>
        <sz val="7.5"/>
        <rFont val="Calibri"/>
        <family val="1"/>
      </rPr>
      <t>67418VER199</t>
    </r>
  </si>
  <si>
    <r>
      <rPr>
        <sz val="7.5"/>
        <rFont val="Calibri"/>
        <family val="1"/>
      </rPr>
      <t>Traslapo corredera grande sliding antracita</t>
    </r>
  </si>
  <si>
    <r>
      <rPr>
        <sz val="7.5"/>
        <rFont val="Calibri"/>
        <family val="1"/>
      </rPr>
      <t>67418VER200</t>
    </r>
  </si>
  <si>
    <r>
      <rPr>
        <sz val="7.5"/>
        <rFont val="Calibri"/>
        <family val="1"/>
      </rPr>
      <t>Traslapo corredera grande sliding Negro</t>
    </r>
  </si>
  <si>
    <r>
      <rPr>
        <sz val="7.5"/>
        <rFont val="Calibri"/>
        <family val="1"/>
      </rPr>
      <t>67419VER000</t>
    </r>
  </si>
  <si>
    <r>
      <rPr>
        <sz val="7.5"/>
        <rFont val="Calibri"/>
        <family val="1"/>
      </rPr>
      <t>Traslapo corredera chico sliding blanco</t>
    </r>
  </si>
  <si>
    <r>
      <rPr>
        <sz val="7.5"/>
        <rFont val="Calibri"/>
        <family val="1"/>
      </rPr>
      <t>67419VER153</t>
    </r>
  </si>
  <si>
    <r>
      <rPr>
        <sz val="7.5"/>
        <rFont val="Calibri"/>
        <family val="1"/>
      </rPr>
      <t>Traslapo corredera chico sliding nogal</t>
    </r>
  </si>
  <si>
    <r>
      <rPr>
        <sz val="7.5"/>
        <rFont val="Calibri"/>
        <family val="1"/>
      </rPr>
      <t>67419VER043</t>
    </r>
  </si>
  <si>
    <r>
      <rPr>
        <sz val="7.5"/>
        <rFont val="Calibri"/>
        <family val="1"/>
      </rPr>
      <t>Traslapo corredera chico sliding roble dorado</t>
    </r>
  </si>
  <si>
    <r>
      <rPr>
        <sz val="7.5"/>
        <rFont val="Calibri"/>
        <family val="1"/>
      </rPr>
      <t>67419VER199</t>
    </r>
  </si>
  <si>
    <r>
      <rPr>
        <sz val="7.5"/>
        <rFont val="Calibri"/>
        <family val="1"/>
      </rPr>
      <t>Traslapo corredera chico sliding antracita</t>
    </r>
  </si>
  <si>
    <r>
      <rPr>
        <sz val="7.5"/>
        <rFont val="Calibri"/>
        <family val="1"/>
      </rPr>
      <t>67419VER200</t>
    </r>
  </si>
  <si>
    <r>
      <rPr>
        <sz val="7.5"/>
        <rFont val="Calibri"/>
        <family val="1"/>
      </rPr>
      <t>Traslapo corredera chico sliding Negro</t>
    </r>
  </si>
  <si>
    <r>
      <rPr>
        <sz val="7.5"/>
        <rFont val="Calibri"/>
        <family val="1"/>
      </rPr>
      <t>67405VER000</t>
    </r>
  </si>
  <si>
    <r>
      <rPr>
        <sz val="7.5"/>
        <rFont val="Calibri"/>
        <family val="1"/>
      </rPr>
      <t>Remate monorriel blanco</t>
    </r>
  </si>
  <si>
    <r>
      <rPr>
        <sz val="7.5"/>
        <rFont val="Calibri"/>
        <family val="1"/>
      </rPr>
      <t>67405VER153</t>
    </r>
  </si>
  <si>
    <r>
      <rPr>
        <sz val="7.5"/>
        <rFont val="Calibri"/>
        <family val="1"/>
      </rPr>
      <t>Remate monorriel nogal</t>
    </r>
  </si>
  <si>
    <r>
      <rPr>
        <sz val="7.5"/>
        <rFont val="Calibri"/>
        <family val="1"/>
      </rPr>
      <t>67405VER043</t>
    </r>
  </si>
  <si>
    <r>
      <rPr>
        <sz val="7.5"/>
        <rFont val="Calibri"/>
        <family val="1"/>
      </rPr>
      <t>Remate monorriel roble dorado</t>
    </r>
  </si>
  <si>
    <r>
      <rPr>
        <sz val="7.5"/>
        <rFont val="Calibri"/>
        <family val="1"/>
      </rPr>
      <t>66306VER000</t>
    </r>
  </si>
  <si>
    <r>
      <rPr>
        <sz val="7.5"/>
        <rFont val="Calibri"/>
        <family val="1"/>
      </rPr>
      <t>Junquillo vidrio 4mm sliding blanco</t>
    </r>
  </si>
  <si>
    <r>
      <rPr>
        <sz val="7.5"/>
        <rFont val="Calibri"/>
        <family val="1"/>
      </rPr>
      <t>66306VER153</t>
    </r>
  </si>
  <si>
    <r>
      <rPr>
        <sz val="7.5"/>
        <rFont val="Calibri"/>
        <family val="1"/>
      </rPr>
      <t>Junquillo vidrio 4mm sliding nogal</t>
    </r>
  </si>
  <si>
    <r>
      <rPr>
        <sz val="7.5"/>
        <rFont val="Calibri"/>
        <family val="1"/>
      </rPr>
      <t>66306VER043</t>
    </r>
  </si>
  <si>
    <r>
      <rPr>
        <sz val="7.5"/>
        <rFont val="Calibri"/>
        <family val="1"/>
      </rPr>
      <t>Junquillo vidrio 4mm sliding roble dorado</t>
    </r>
  </si>
  <si>
    <r>
      <rPr>
        <sz val="7.5"/>
        <rFont val="Calibri"/>
        <family val="1"/>
      </rPr>
      <t>66306VER199</t>
    </r>
  </si>
  <si>
    <r>
      <rPr>
        <sz val="7.5"/>
        <rFont val="Calibri"/>
        <family val="1"/>
      </rPr>
      <t>66306VER200</t>
    </r>
  </si>
  <si>
    <r>
      <rPr>
        <sz val="7.5"/>
        <rFont val="Calibri"/>
        <family val="1"/>
      </rPr>
      <t>Junquillo vidrio 4mm sliding Negro</t>
    </r>
  </si>
  <si>
    <r>
      <rPr>
        <sz val="7.5"/>
        <rFont val="Calibri"/>
        <family val="1"/>
      </rPr>
      <t>66307VER000</t>
    </r>
  </si>
  <si>
    <r>
      <rPr>
        <sz val="7.5"/>
        <rFont val="Calibri"/>
        <family val="1"/>
      </rPr>
      <t>Junquillo vidrio 20mm sliding blanco</t>
    </r>
  </si>
  <si>
    <r>
      <rPr>
        <sz val="7.5"/>
        <rFont val="Calibri"/>
        <family val="1"/>
      </rPr>
      <t>66307VER153</t>
    </r>
  </si>
  <si>
    <r>
      <rPr>
        <sz val="7.5"/>
        <rFont val="Calibri"/>
        <family val="1"/>
      </rPr>
      <t>Junquillo vidrio 20mm sliding nogal</t>
    </r>
  </si>
  <si>
    <r>
      <rPr>
        <sz val="7.5"/>
        <rFont val="Calibri"/>
        <family val="1"/>
      </rPr>
      <t>66307VER043</t>
    </r>
  </si>
  <si>
    <r>
      <rPr>
        <sz val="7.5"/>
        <rFont val="Calibri"/>
        <family val="1"/>
      </rPr>
      <t>Junquillo vidrio 20mm sliding roble dorado</t>
    </r>
  </si>
  <si>
    <r>
      <rPr>
        <sz val="7.5"/>
        <rFont val="Calibri"/>
        <family val="1"/>
      </rPr>
      <t>66307VER199</t>
    </r>
  </si>
  <si>
    <r>
      <rPr>
        <sz val="7.5"/>
        <rFont val="Calibri"/>
        <family val="1"/>
      </rPr>
      <t>Junquillo vidrio 20mm sliding antracita</t>
    </r>
  </si>
  <si>
    <r>
      <rPr>
        <sz val="7.5"/>
        <rFont val="Calibri"/>
        <family val="1"/>
      </rPr>
      <t>66307VER200</t>
    </r>
  </si>
  <si>
    <r>
      <rPr>
        <sz val="7.5"/>
        <rFont val="Calibri"/>
        <family val="1"/>
      </rPr>
      <t>Junquillo vidrio 20mm sliding Negro</t>
    </r>
  </si>
  <si>
    <r>
      <rPr>
        <sz val="7.5"/>
        <rFont val="Calibri"/>
        <family val="1"/>
      </rPr>
      <t>67063VER000</t>
    </r>
  </si>
  <si>
    <r>
      <rPr>
        <sz val="7.5"/>
        <rFont val="Calibri"/>
        <family val="1"/>
      </rPr>
      <t>Junquillo vidrio 24mm blanco</t>
    </r>
  </si>
  <si>
    <r>
      <rPr>
        <sz val="7.5"/>
        <rFont val="Calibri"/>
        <family val="1"/>
      </rPr>
      <t>67063VER153</t>
    </r>
  </si>
  <si>
    <r>
      <rPr>
        <sz val="7.5"/>
        <rFont val="Calibri"/>
        <family val="1"/>
      </rPr>
      <t>Junquillo vidrio 24mm nogal</t>
    </r>
  </si>
  <si>
    <r>
      <rPr>
        <sz val="7.5"/>
        <rFont val="Calibri"/>
        <family val="1"/>
      </rPr>
      <t>67063VER043</t>
    </r>
  </si>
  <si>
    <r>
      <rPr>
        <sz val="7.5"/>
        <rFont val="Calibri"/>
        <family val="1"/>
      </rPr>
      <t>Junquillo vidrio 24mm roble dorado</t>
    </r>
  </si>
  <si>
    <r>
      <rPr>
        <sz val="7.5"/>
        <rFont val="Calibri"/>
        <family val="1"/>
      </rPr>
      <t>67063VER199</t>
    </r>
  </si>
  <si>
    <r>
      <rPr>
        <sz val="7.5"/>
        <rFont val="Calibri"/>
        <family val="1"/>
      </rPr>
      <t>Junquillo vidrio 24mm antracita</t>
    </r>
  </si>
  <si>
    <r>
      <rPr>
        <sz val="7.5"/>
        <rFont val="Calibri"/>
        <family val="1"/>
      </rPr>
      <t>67063VER200</t>
    </r>
  </si>
  <si>
    <r>
      <rPr>
        <sz val="7.5"/>
        <rFont val="Calibri"/>
        <family val="1"/>
      </rPr>
      <t>Junquillo vidrio 24mm Negro</t>
    </r>
  </si>
  <si>
    <r>
      <rPr>
        <sz val="7.5"/>
        <rFont val="Calibri"/>
        <family val="1"/>
      </rPr>
      <t xml:space="preserve">Todos los materiales cotizados son entregados en las bodegas de VERATEC Southamerica, ubicadas en Carlota Guzman 1298, Complejo
</t>
    </r>
    <r>
      <rPr>
        <sz val="7.5"/>
        <rFont val="Calibri"/>
        <family val="1"/>
      </rPr>
      <t xml:space="preserve">Industrial El Montijo, Renca
</t>
    </r>
    <r>
      <rPr>
        <sz val="7.5"/>
        <rFont val="Calibri"/>
        <family val="1"/>
      </rPr>
      <t xml:space="preserve">Una vez recibida la OC, el material podra ser retirado en nuestras bodegas en un plazo no superior a 24 horas
</t>
    </r>
    <r>
      <rPr>
        <sz val="7.5"/>
        <rFont val="Calibri"/>
        <family val="1"/>
      </rPr>
      <t xml:space="preserve">Es de responsabilidad del cliente utilizar, aplicar, destinar y emplear los productos y equipos adquiridos conforme a las instrucciones que se entregan y que están
</t>
    </r>
    <r>
      <rPr>
        <sz val="7.5"/>
        <rFont val="Calibri"/>
        <family val="1"/>
      </rPr>
      <t xml:space="preserve">incorporadas en el producto y/o equipo que compro, sugeridos por el fabricante. Es deber del consumidor leer detenidamente las indicaciones, que consisten en la correcta aplicación y adecuación del producto, material o servicio a la finalidad que
</t>
    </r>
    <r>
      <rPr>
        <sz val="7.5"/>
        <rFont val="Calibri"/>
        <family val="1"/>
      </rPr>
      <t>persigue el cliente.</t>
    </r>
  </si>
  <si>
    <r>
      <rPr>
        <b/>
        <sz val="10"/>
        <rFont val="Calibri"/>
        <family val="1"/>
      </rPr>
      <t xml:space="preserve">LISTA DE PRECIOS JULIO 2022
</t>
    </r>
    <r>
      <rPr>
        <b/>
        <sz val="8.5"/>
        <rFont val="Calibri"/>
        <family val="1"/>
      </rPr>
      <t>SISTEMA COMPACT SLIDING</t>
    </r>
  </si>
  <si>
    <r>
      <rPr>
        <b/>
        <sz val="8"/>
        <rFont val="Calibri"/>
        <family val="1"/>
      </rPr>
      <t>SKU Veratec</t>
    </r>
  </si>
  <si>
    <r>
      <rPr>
        <b/>
        <sz val="8"/>
        <rFont val="Calibri"/>
        <family val="1"/>
      </rPr>
      <t>Descripcion Veratec</t>
    </r>
  </si>
  <si>
    <r>
      <rPr>
        <b/>
        <sz val="8"/>
        <rFont val="Calibri"/>
        <family val="1"/>
      </rPr>
      <t>Unidad</t>
    </r>
  </si>
  <si>
    <r>
      <rPr>
        <b/>
        <sz val="8"/>
        <rFont val="Calibri"/>
        <family val="1"/>
      </rPr>
      <t>Mt</t>
    </r>
  </si>
  <si>
    <r>
      <rPr>
        <b/>
        <sz val="8"/>
        <rFont val="Calibri"/>
        <family val="1"/>
      </rPr>
      <t>Precio Lista NETO</t>
    </r>
  </si>
  <si>
    <r>
      <rPr>
        <b/>
        <sz val="8"/>
        <rFont val="Calibri"/>
        <family val="1"/>
      </rPr>
      <t>Imagen</t>
    </r>
  </si>
  <si>
    <r>
      <rPr>
        <sz val="8"/>
        <rFont val="Calibri"/>
        <family val="1"/>
      </rPr>
      <t>67460VER000</t>
    </r>
  </si>
  <si>
    <r>
      <rPr>
        <sz val="8"/>
        <rFont val="Calibri"/>
        <family val="1"/>
      </rPr>
      <t>Marco corredera compact sliding blanco</t>
    </r>
  </si>
  <si>
    <r>
      <rPr>
        <sz val="8"/>
        <rFont val="Calibri"/>
        <family val="1"/>
      </rPr>
      <t>M</t>
    </r>
  </si>
  <si>
    <r>
      <rPr>
        <sz val="8"/>
        <rFont val="Calibri"/>
        <family val="1"/>
      </rPr>
      <t>67460VER153</t>
    </r>
  </si>
  <si>
    <r>
      <rPr>
        <sz val="8"/>
        <rFont val="Calibri"/>
        <family val="1"/>
      </rPr>
      <t>Marco corredera compact sliding nogal</t>
    </r>
  </si>
  <si>
    <r>
      <rPr>
        <sz val="8"/>
        <rFont val="Calibri"/>
        <family val="1"/>
      </rPr>
      <t>67460VER043</t>
    </r>
  </si>
  <si>
    <r>
      <rPr>
        <sz val="8"/>
        <rFont val="Calibri"/>
        <family val="1"/>
      </rPr>
      <t>Marco corredera compact sliding roble dorado</t>
    </r>
  </si>
  <si>
    <r>
      <rPr>
        <sz val="8"/>
        <rFont val="Calibri"/>
        <family val="1"/>
      </rPr>
      <t>61013VER001</t>
    </r>
  </si>
  <si>
    <r>
      <rPr>
        <sz val="8"/>
        <rFont val="Calibri"/>
        <family val="1"/>
      </rPr>
      <t>Riel compact Sliding</t>
    </r>
  </si>
  <si>
    <r>
      <rPr>
        <sz val="8"/>
        <rFont val="Calibri"/>
        <family val="1"/>
      </rPr>
      <t>67461VER000</t>
    </r>
  </si>
  <si>
    <r>
      <rPr>
        <sz val="8"/>
        <rFont val="Calibri"/>
        <family val="1"/>
      </rPr>
      <t>Hoja corredera compact sliding blanco</t>
    </r>
  </si>
  <si>
    <r>
      <rPr>
        <sz val="8"/>
        <rFont val="Calibri"/>
        <family val="1"/>
      </rPr>
      <t>67461VER153</t>
    </r>
  </si>
  <si>
    <r>
      <rPr>
        <sz val="8"/>
        <rFont val="Calibri"/>
        <family val="1"/>
      </rPr>
      <t>Hoja corredera compact sliding nogal</t>
    </r>
  </si>
  <si>
    <r>
      <rPr>
        <sz val="8"/>
        <rFont val="Calibri"/>
        <family val="1"/>
      </rPr>
      <t>67461VER043</t>
    </r>
  </si>
  <si>
    <r>
      <rPr>
        <sz val="8"/>
        <rFont val="Calibri"/>
        <family val="1"/>
      </rPr>
      <t>Hoja corredera compact sliding roble dorado</t>
    </r>
  </si>
  <si>
    <r>
      <rPr>
        <sz val="8"/>
        <rFont val="Calibri"/>
        <family val="1"/>
      </rPr>
      <t>67463VER000</t>
    </r>
  </si>
  <si>
    <r>
      <rPr>
        <sz val="8"/>
        <rFont val="Calibri"/>
        <family val="1"/>
      </rPr>
      <t>Traslapo compact sliding blanco</t>
    </r>
  </si>
  <si>
    <r>
      <rPr>
        <sz val="8"/>
        <rFont val="Calibri"/>
        <family val="1"/>
      </rPr>
      <t>67463VER153</t>
    </r>
  </si>
  <si>
    <r>
      <rPr>
        <sz val="8"/>
        <rFont val="Calibri"/>
        <family val="1"/>
      </rPr>
      <t>Traslapo compact sliding nogal</t>
    </r>
  </si>
  <si>
    <r>
      <rPr>
        <sz val="8"/>
        <rFont val="Calibri"/>
        <family val="1"/>
      </rPr>
      <t>67463VER043</t>
    </r>
  </si>
  <si>
    <r>
      <rPr>
        <sz val="8"/>
        <rFont val="Calibri"/>
        <family val="1"/>
      </rPr>
      <t>Traslapo compact sliding roble dorado</t>
    </r>
  </si>
  <si>
    <r>
      <rPr>
        <sz val="8"/>
        <rFont val="Calibri"/>
        <family val="1"/>
      </rPr>
      <t>67062VER000</t>
    </r>
  </si>
  <si>
    <r>
      <rPr>
        <sz val="8"/>
        <rFont val="Calibri"/>
        <family val="1"/>
      </rPr>
      <t>Junquillo vidrio 4mm compact sliding blanco</t>
    </r>
  </si>
  <si>
    <r>
      <rPr>
        <sz val="8"/>
        <rFont val="Calibri"/>
        <family val="1"/>
      </rPr>
      <t>67062VER153</t>
    </r>
  </si>
  <si>
    <r>
      <rPr>
        <sz val="8"/>
        <rFont val="Calibri"/>
        <family val="1"/>
      </rPr>
      <t>Junquillo vidrio 4mm compact sliding nogal</t>
    </r>
  </si>
  <si>
    <r>
      <rPr>
        <sz val="8"/>
        <rFont val="Calibri"/>
        <family val="1"/>
      </rPr>
      <t>67062VER043</t>
    </r>
  </si>
  <si>
    <r>
      <rPr>
        <sz val="8"/>
        <rFont val="Calibri"/>
        <family val="1"/>
      </rPr>
      <t>Junquillo vidrio 4mm compact sliding roble dorado</t>
    </r>
  </si>
  <si>
    <r>
      <rPr>
        <sz val="8"/>
        <rFont val="Calibri"/>
        <family val="1"/>
      </rPr>
      <t>67464VER000</t>
    </r>
  </si>
  <si>
    <r>
      <rPr>
        <sz val="8"/>
        <rFont val="Calibri"/>
        <family val="1"/>
      </rPr>
      <t>Junquillo vidrio 20mm blanco</t>
    </r>
  </si>
  <si>
    <r>
      <rPr>
        <sz val="8"/>
        <rFont val="Calibri"/>
        <family val="1"/>
      </rPr>
      <t>67464VER153</t>
    </r>
  </si>
  <si>
    <r>
      <rPr>
        <sz val="8"/>
        <rFont val="Calibri"/>
        <family val="1"/>
      </rPr>
      <t>Junquillo vidrio 20mm nogal</t>
    </r>
  </si>
  <si>
    <r>
      <rPr>
        <sz val="8"/>
        <rFont val="Calibri"/>
        <family val="1"/>
      </rPr>
      <t>67464VER043</t>
    </r>
  </si>
  <si>
    <r>
      <rPr>
        <sz val="8"/>
        <rFont val="Calibri"/>
        <family val="1"/>
      </rPr>
      <t>Junquillo vidrio 20mm roble dorado</t>
    </r>
  </si>
  <si>
    <r>
      <rPr>
        <sz val="8"/>
        <rFont val="Calibri"/>
        <family val="1"/>
      </rPr>
      <t xml:space="preserve">Todos los materiales cotizados son entregados en las bodegas de VERATEC Southamerica, ubicadas en Carlota Guzman 1298, Complejo
</t>
    </r>
    <r>
      <rPr>
        <sz val="8"/>
        <rFont val="Calibri"/>
        <family val="1"/>
      </rPr>
      <t xml:space="preserve">Industrial El Montijo, Renca
</t>
    </r>
    <r>
      <rPr>
        <sz val="8"/>
        <rFont val="Calibri"/>
        <family val="1"/>
      </rPr>
      <t xml:space="preserve">Una vez recibida la OC, el material podra ser retirado en nuestras bodegas en un plazo no superior a 24 horas
</t>
    </r>
    <r>
      <rPr>
        <sz val="8"/>
        <rFont val="Calibri"/>
        <family val="1"/>
      </rPr>
      <t xml:space="preserve">Es de responsabilidad del cliente utilizar, aplicar, destinar y emplear los productos y equipos adquiridos conforme a las instrucciones que se entregan y que están
</t>
    </r>
    <r>
      <rPr>
        <sz val="8"/>
        <rFont val="Calibri"/>
        <family val="1"/>
      </rPr>
      <t xml:space="preserve">incorporadas en el producto y/o equipo que compro, sugeridos por el fabricante. Es deber del consumidor leer detenidamente las indicaciones, que consisten en la correcta aplicación y adecuación del producto, material o servicio a la finalidad que
</t>
    </r>
    <r>
      <rPr>
        <sz val="8"/>
        <rFont val="Calibri"/>
        <family val="1"/>
      </rPr>
      <t>persigue el cliente.</t>
    </r>
  </si>
  <si>
    <r>
      <rPr>
        <b/>
        <sz val="10"/>
        <rFont val="Calibri"/>
        <family val="1"/>
      </rPr>
      <t xml:space="preserve">LISTA DE PRECIOS JULIO 2022
</t>
    </r>
    <r>
      <rPr>
        <b/>
        <sz val="8.5"/>
        <rFont val="Calibri"/>
        <family val="1"/>
      </rPr>
      <t>SISTEMA BAHAR 52mm</t>
    </r>
  </si>
  <si>
    <r>
      <rPr>
        <sz val="8"/>
        <rFont val="Calibri"/>
        <family val="1"/>
      </rPr>
      <t>65201VER000</t>
    </r>
  </si>
  <si>
    <r>
      <rPr>
        <sz val="8"/>
        <rFont val="Calibri"/>
        <family val="1"/>
      </rPr>
      <t>Marco Fijo blanco</t>
    </r>
  </si>
  <si>
    <r>
      <rPr>
        <sz val="8"/>
        <rFont val="Calibri"/>
        <family val="1"/>
      </rPr>
      <t>65201VER153</t>
    </r>
  </si>
  <si>
    <r>
      <rPr>
        <sz val="8"/>
        <rFont val="Calibri"/>
        <family val="1"/>
      </rPr>
      <t>Marco Fijo nogal</t>
    </r>
  </si>
  <si>
    <r>
      <rPr>
        <sz val="8"/>
        <rFont val="Calibri"/>
        <family val="1"/>
      </rPr>
      <t>65201VER043</t>
    </r>
  </si>
  <si>
    <r>
      <rPr>
        <sz val="8"/>
        <rFont val="Calibri"/>
        <family val="1"/>
      </rPr>
      <t>Marco Fijo roble dorado</t>
    </r>
  </si>
  <si>
    <r>
      <rPr>
        <sz val="8"/>
        <rFont val="Calibri"/>
        <family val="1"/>
      </rPr>
      <t>65201VER199</t>
    </r>
  </si>
  <si>
    <r>
      <rPr>
        <sz val="8"/>
        <rFont val="Calibri"/>
        <family val="1"/>
      </rPr>
      <t>65201VER200</t>
    </r>
  </si>
  <si>
    <r>
      <rPr>
        <sz val="8"/>
        <rFont val="Calibri"/>
        <family val="1"/>
      </rPr>
      <t>Marco Fijo Negro</t>
    </r>
  </si>
  <si>
    <r>
      <rPr>
        <sz val="8"/>
        <rFont val="Calibri"/>
        <family val="1"/>
      </rPr>
      <t>65212VER000</t>
    </r>
  </si>
  <si>
    <r>
      <rPr>
        <sz val="8"/>
        <rFont val="Calibri"/>
        <family val="1"/>
      </rPr>
      <t>Hoja de ventana  interior blanco</t>
    </r>
  </si>
  <si>
    <r>
      <rPr>
        <sz val="8"/>
        <rFont val="Calibri"/>
        <family val="1"/>
      </rPr>
      <t>65212VER153</t>
    </r>
  </si>
  <si>
    <r>
      <rPr>
        <sz val="8"/>
        <rFont val="Calibri"/>
        <family val="1"/>
      </rPr>
      <t>Hoja de ventana  interior nogal</t>
    </r>
  </si>
  <si>
    <r>
      <rPr>
        <sz val="8"/>
        <rFont val="Calibri"/>
        <family val="1"/>
      </rPr>
      <t>65212VER043</t>
    </r>
  </si>
  <si>
    <r>
      <rPr>
        <sz val="8"/>
        <rFont val="Calibri"/>
        <family val="1"/>
      </rPr>
      <t>Hoja de ventana  interior roble dorado</t>
    </r>
  </si>
  <si>
    <r>
      <rPr>
        <sz val="8"/>
        <rFont val="Calibri"/>
        <family val="1"/>
      </rPr>
      <t>65212VER199</t>
    </r>
  </si>
  <si>
    <r>
      <rPr>
        <sz val="8"/>
        <rFont val="Calibri"/>
        <family val="1"/>
      </rPr>
      <t>Hoja de ventana  interior antracita</t>
    </r>
  </si>
  <si>
    <r>
      <rPr>
        <sz val="8"/>
        <rFont val="Calibri"/>
        <family val="1"/>
      </rPr>
      <t>65212VER200</t>
    </r>
  </si>
  <si>
    <r>
      <rPr>
        <sz val="8"/>
        <rFont val="Calibri"/>
        <family val="1"/>
      </rPr>
      <t>Hoja de ventana  interior Negro</t>
    </r>
  </si>
  <si>
    <r>
      <rPr>
        <sz val="8"/>
        <rFont val="Calibri"/>
        <family val="1"/>
      </rPr>
      <t>65209VER000</t>
    </r>
  </si>
  <si>
    <r>
      <rPr>
        <sz val="8"/>
        <rFont val="Calibri"/>
        <family val="1"/>
      </rPr>
      <t>Hoja de ventana  exterior blanco</t>
    </r>
  </si>
  <si>
    <r>
      <rPr>
        <sz val="8"/>
        <rFont val="Calibri"/>
        <family val="1"/>
      </rPr>
      <t>65209VER153</t>
    </r>
  </si>
  <si>
    <r>
      <rPr>
        <sz val="8"/>
        <rFont val="Calibri"/>
        <family val="1"/>
      </rPr>
      <t>Hoja de ventana  exterior nogal</t>
    </r>
  </si>
  <si>
    <r>
      <rPr>
        <sz val="8"/>
        <rFont val="Calibri"/>
        <family val="1"/>
      </rPr>
      <t>65209VER043</t>
    </r>
  </si>
  <si>
    <r>
      <rPr>
        <sz val="8"/>
        <rFont val="Calibri"/>
        <family val="1"/>
      </rPr>
      <t>Hoja de ventana  exterior roble dorado</t>
    </r>
  </si>
  <si>
    <r>
      <rPr>
        <sz val="8"/>
        <rFont val="Calibri"/>
        <family val="1"/>
      </rPr>
      <t>65209VER199</t>
    </r>
  </si>
  <si>
    <r>
      <rPr>
        <sz val="8"/>
        <rFont val="Calibri"/>
        <family val="1"/>
      </rPr>
      <t>Hoja de ventana  exterior antracita</t>
    </r>
  </si>
  <si>
    <r>
      <rPr>
        <sz val="8"/>
        <rFont val="Calibri"/>
        <family val="1"/>
      </rPr>
      <t>65209VER200</t>
    </r>
  </si>
  <si>
    <r>
      <rPr>
        <sz val="8"/>
        <rFont val="Calibri"/>
        <family val="1"/>
      </rPr>
      <t>Hoja de ventana  exterior Negro</t>
    </r>
  </si>
  <si>
    <r>
      <rPr>
        <sz val="8"/>
        <rFont val="Calibri"/>
        <family val="1"/>
      </rPr>
      <t>65203VER000</t>
    </r>
  </si>
  <si>
    <r>
      <rPr>
        <sz val="8"/>
        <rFont val="Calibri"/>
        <family val="1"/>
      </rPr>
      <t>Barra T Bahar blanco</t>
    </r>
  </si>
  <si>
    <r>
      <rPr>
        <sz val="8"/>
        <rFont val="Calibri"/>
        <family val="1"/>
      </rPr>
      <t>65203VER153</t>
    </r>
  </si>
  <si>
    <r>
      <rPr>
        <sz val="8"/>
        <rFont val="Calibri"/>
        <family val="1"/>
      </rPr>
      <t>Barra T Bahar nogal</t>
    </r>
  </si>
  <si>
    <r>
      <rPr>
        <sz val="8"/>
        <rFont val="Calibri"/>
        <family val="1"/>
      </rPr>
      <t>65203VER043</t>
    </r>
  </si>
  <si>
    <r>
      <rPr>
        <sz val="8"/>
        <rFont val="Calibri"/>
        <family val="1"/>
      </rPr>
      <t>Barra T Bahar roble dorado</t>
    </r>
  </si>
  <si>
    <r>
      <rPr>
        <sz val="8"/>
        <rFont val="Calibri"/>
        <family val="1"/>
      </rPr>
      <t>65203VER199</t>
    </r>
  </si>
  <si>
    <r>
      <rPr>
        <sz val="8"/>
        <rFont val="Calibri"/>
        <family val="1"/>
      </rPr>
      <t>Barra T Bahar antracita</t>
    </r>
  </si>
  <si>
    <r>
      <rPr>
        <sz val="8"/>
        <rFont val="Calibri"/>
        <family val="1"/>
      </rPr>
      <t>65203VER200</t>
    </r>
  </si>
  <si>
    <r>
      <rPr>
        <sz val="8"/>
        <rFont val="Calibri"/>
        <family val="1"/>
      </rPr>
      <t>Barra T Bahar Negro</t>
    </r>
  </si>
  <si>
    <r>
      <rPr>
        <sz val="8"/>
        <rFont val="Calibri"/>
        <family val="1"/>
      </rPr>
      <t>65210VER000</t>
    </r>
  </si>
  <si>
    <r>
      <rPr>
        <sz val="8"/>
        <rFont val="Calibri"/>
        <family val="1"/>
      </rPr>
      <t>Hoja de puerta Exterior blanco</t>
    </r>
  </si>
  <si>
    <r>
      <rPr>
        <sz val="8"/>
        <rFont val="Calibri"/>
        <family val="1"/>
      </rPr>
      <t>65210VER153</t>
    </r>
  </si>
  <si>
    <r>
      <rPr>
        <sz val="8"/>
        <rFont val="Calibri"/>
        <family val="1"/>
      </rPr>
      <t>Hoja de puerta Exterior nogal</t>
    </r>
  </si>
  <si>
    <r>
      <rPr>
        <sz val="8"/>
        <rFont val="Calibri"/>
        <family val="1"/>
      </rPr>
      <t>65210VER043</t>
    </r>
  </si>
  <si>
    <r>
      <rPr>
        <sz val="8"/>
        <rFont val="Calibri"/>
        <family val="1"/>
      </rPr>
      <t>Hoja de puerta Exterior roble dorado</t>
    </r>
  </si>
  <si>
    <r>
      <rPr>
        <sz val="8"/>
        <rFont val="Calibri"/>
        <family val="1"/>
      </rPr>
      <t>65210VER199</t>
    </r>
  </si>
  <si>
    <r>
      <rPr>
        <sz val="8"/>
        <rFont val="Calibri"/>
        <family val="1"/>
      </rPr>
      <t>Hoja de puerta Exterior antracita</t>
    </r>
  </si>
  <si>
    <r>
      <rPr>
        <sz val="8"/>
        <rFont val="Calibri"/>
        <family val="1"/>
      </rPr>
      <t>65210VER200</t>
    </r>
  </si>
  <si>
    <r>
      <rPr>
        <sz val="8"/>
        <rFont val="Calibri"/>
        <family val="1"/>
      </rPr>
      <t>Hoja de puerta Exterior Negro</t>
    </r>
  </si>
  <si>
    <r>
      <rPr>
        <sz val="8"/>
        <rFont val="Calibri"/>
        <family val="1"/>
      </rPr>
      <t>65204VER000</t>
    </r>
  </si>
  <si>
    <r>
      <rPr>
        <sz val="8"/>
        <rFont val="Calibri"/>
        <family val="1"/>
      </rPr>
      <t>Hoja de puerta interior blanco</t>
    </r>
  </si>
  <si>
    <r>
      <rPr>
        <sz val="8"/>
        <rFont val="Calibri"/>
        <family val="1"/>
      </rPr>
      <t>65204VER153</t>
    </r>
  </si>
  <si>
    <r>
      <rPr>
        <sz val="8"/>
        <rFont val="Calibri"/>
        <family val="1"/>
      </rPr>
      <t>Hoja de puerta interior nogal</t>
    </r>
  </si>
  <si>
    <r>
      <rPr>
        <sz val="8"/>
        <rFont val="Calibri"/>
        <family val="1"/>
      </rPr>
      <t>65204VER043</t>
    </r>
  </si>
  <si>
    <r>
      <rPr>
        <sz val="8"/>
        <rFont val="Calibri"/>
        <family val="1"/>
      </rPr>
      <t>Hoja de puerta interior roble dorado</t>
    </r>
  </si>
  <si>
    <r>
      <rPr>
        <sz val="8"/>
        <rFont val="Calibri"/>
        <family val="1"/>
      </rPr>
      <t>65204VER199</t>
    </r>
  </si>
  <si>
    <r>
      <rPr>
        <sz val="8"/>
        <rFont val="Calibri"/>
        <family val="1"/>
      </rPr>
      <t>Hoja de puerta interior antracita</t>
    </r>
  </si>
  <si>
    <r>
      <rPr>
        <sz val="8"/>
        <rFont val="Calibri"/>
        <family val="1"/>
      </rPr>
      <t>65204VER200</t>
    </r>
  </si>
  <si>
    <r>
      <rPr>
        <sz val="8"/>
        <rFont val="Calibri"/>
        <family val="1"/>
      </rPr>
      <t>Hoja de puerta interior Negro</t>
    </r>
  </si>
  <si>
    <r>
      <rPr>
        <sz val="8"/>
        <rFont val="Calibri"/>
        <family val="1"/>
      </rPr>
      <t>65207VER000</t>
    </r>
  </si>
  <si>
    <r>
      <rPr>
        <sz val="8"/>
        <rFont val="Calibri"/>
        <family val="1"/>
      </rPr>
      <t>Batiente Bahar blanco</t>
    </r>
  </si>
  <si>
    <r>
      <rPr>
        <sz val="8"/>
        <rFont val="Calibri"/>
        <family val="1"/>
      </rPr>
      <t>65207VER153</t>
    </r>
  </si>
  <si>
    <r>
      <rPr>
        <sz val="8"/>
        <rFont val="Calibri"/>
        <family val="1"/>
      </rPr>
      <t>Batiente Bahar nogal</t>
    </r>
  </si>
  <si>
    <r>
      <rPr>
        <sz val="8"/>
        <rFont val="Calibri"/>
        <family val="1"/>
      </rPr>
      <t>65207VER043</t>
    </r>
  </si>
  <si>
    <r>
      <rPr>
        <sz val="8"/>
        <rFont val="Calibri"/>
        <family val="1"/>
      </rPr>
      <t>Batiente Bahar roble dorado</t>
    </r>
  </si>
  <si>
    <r>
      <rPr>
        <sz val="8"/>
        <rFont val="Calibri"/>
        <family val="1"/>
      </rPr>
      <t>65207VER199</t>
    </r>
  </si>
  <si>
    <r>
      <rPr>
        <sz val="8"/>
        <rFont val="Calibri"/>
        <family val="1"/>
      </rPr>
      <t>Batiente Bahar antracita</t>
    </r>
  </si>
  <si>
    <r>
      <rPr>
        <sz val="8"/>
        <rFont val="Calibri"/>
        <family val="1"/>
      </rPr>
      <t>65207VER200</t>
    </r>
  </si>
  <si>
    <r>
      <rPr>
        <sz val="8"/>
        <rFont val="Calibri"/>
        <family val="1"/>
      </rPr>
      <t>Batiente Bahar roble Negro</t>
    </r>
  </si>
  <si>
    <r>
      <rPr>
        <sz val="8"/>
        <rFont val="Calibri"/>
        <family val="1"/>
      </rPr>
      <t>67088VER000</t>
    </r>
  </si>
  <si>
    <r>
      <rPr>
        <sz val="8"/>
        <rFont val="Calibri"/>
        <family val="1"/>
      </rPr>
      <t>Junquillo vidrio 4mm blanco</t>
    </r>
  </si>
  <si>
    <r>
      <rPr>
        <sz val="8"/>
        <rFont val="Calibri"/>
        <family val="1"/>
      </rPr>
      <t>67088VER153</t>
    </r>
  </si>
  <si>
    <r>
      <rPr>
        <sz val="8"/>
        <rFont val="Calibri"/>
        <family val="1"/>
      </rPr>
      <t>Junquillo vidrio 4mm nogal</t>
    </r>
  </si>
  <si>
    <r>
      <rPr>
        <sz val="8"/>
        <rFont val="Calibri"/>
        <family val="1"/>
      </rPr>
      <t>67088VER043</t>
    </r>
  </si>
  <si>
    <r>
      <rPr>
        <sz val="8"/>
        <rFont val="Calibri"/>
        <family val="1"/>
      </rPr>
      <t>Junquillo vidrio 4mm roble dorado</t>
    </r>
  </si>
  <si>
    <r>
      <rPr>
        <sz val="8"/>
        <rFont val="Calibri"/>
        <family val="1"/>
      </rPr>
      <t>67088VER199</t>
    </r>
  </si>
  <si>
    <r>
      <rPr>
        <sz val="8"/>
        <rFont val="Calibri"/>
        <family val="1"/>
      </rPr>
      <t>Junquillo vidrio 4mm antracita</t>
    </r>
  </si>
  <si>
    <r>
      <rPr>
        <sz val="8"/>
        <rFont val="Calibri"/>
        <family val="1"/>
      </rPr>
      <t>67088VER200</t>
    </r>
  </si>
  <si>
    <r>
      <rPr>
        <sz val="8"/>
        <rFont val="Calibri"/>
        <family val="1"/>
      </rPr>
      <t>Junquillo vidrio 4mm Negro</t>
    </r>
  </si>
  <si>
    <r>
      <rPr>
        <sz val="8"/>
        <rFont val="Calibri"/>
        <family val="1"/>
      </rPr>
      <t>67063VER000</t>
    </r>
  </si>
  <si>
    <r>
      <rPr>
        <sz val="8"/>
        <rFont val="Calibri"/>
        <family val="1"/>
      </rPr>
      <t>Junquillo vidrio 18mm blanco</t>
    </r>
  </si>
  <si>
    <r>
      <rPr>
        <sz val="8"/>
        <rFont val="Calibri"/>
        <family val="1"/>
      </rPr>
      <t>67063VER153</t>
    </r>
  </si>
  <si>
    <r>
      <rPr>
        <sz val="8"/>
        <rFont val="Calibri"/>
        <family val="1"/>
      </rPr>
      <t>Junquillo vidrio 18mm nogal</t>
    </r>
  </si>
  <si>
    <r>
      <rPr>
        <sz val="8"/>
        <rFont val="Calibri"/>
        <family val="1"/>
      </rPr>
      <t>67063VER043</t>
    </r>
  </si>
  <si>
    <r>
      <rPr>
        <sz val="8"/>
        <rFont val="Calibri"/>
        <family val="1"/>
      </rPr>
      <t>Junquillo vidrio 18mm roble dorado</t>
    </r>
  </si>
  <si>
    <r>
      <rPr>
        <sz val="8"/>
        <rFont val="Calibri"/>
        <family val="1"/>
      </rPr>
      <t>67063VER199</t>
    </r>
  </si>
  <si>
    <r>
      <rPr>
        <sz val="8"/>
        <rFont val="Calibri"/>
        <family val="1"/>
      </rPr>
      <t>Junquillo vidrio 18mm antracita</t>
    </r>
  </si>
  <si>
    <r>
      <rPr>
        <sz val="8"/>
        <rFont val="Calibri"/>
        <family val="1"/>
      </rPr>
      <t>67063VER200</t>
    </r>
  </si>
  <si>
    <r>
      <rPr>
        <sz val="8"/>
        <rFont val="Calibri"/>
        <family val="1"/>
      </rPr>
      <t>Junquillo vidrio 18mm Negro</t>
    </r>
  </si>
  <si>
    <r>
      <rPr>
        <sz val="8"/>
        <rFont val="Calibri"/>
        <family val="1"/>
      </rPr>
      <t>Junquillo vidrio 24mm blanco</t>
    </r>
  </si>
  <si>
    <r>
      <rPr>
        <sz val="8"/>
        <rFont val="Calibri"/>
        <family val="1"/>
      </rPr>
      <t>Junquillo vidrio 24mm nogal</t>
    </r>
  </si>
  <si>
    <r>
      <rPr>
        <sz val="8"/>
        <rFont val="Calibri"/>
        <family val="1"/>
      </rPr>
      <t>Junquillo vidrio 24mm roble dorado</t>
    </r>
  </si>
  <si>
    <r>
      <rPr>
        <sz val="8"/>
        <rFont val="Calibri"/>
        <family val="1"/>
      </rPr>
      <t>67464VER199</t>
    </r>
  </si>
  <si>
    <r>
      <rPr>
        <sz val="8"/>
        <rFont val="Calibri"/>
        <family val="1"/>
      </rPr>
      <t>Junquillo vidrio 24mm antracita</t>
    </r>
  </si>
  <si>
    <r>
      <rPr>
        <sz val="8"/>
        <rFont val="Calibri"/>
        <family val="1"/>
      </rPr>
      <t>67464VER200</t>
    </r>
  </si>
  <si>
    <r>
      <rPr>
        <sz val="8"/>
        <rFont val="Calibri"/>
        <family val="1"/>
      </rPr>
      <t>Junquillo vidrio 24mm Negro</t>
    </r>
  </si>
  <si>
    <r>
      <rPr>
        <b/>
        <sz val="10"/>
        <rFont val="Calibri"/>
        <family val="1"/>
      </rPr>
      <t xml:space="preserve">LISTA DE PRECIOS JULIO 2022
</t>
    </r>
    <r>
      <rPr>
        <b/>
        <sz val="8.5"/>
        <rFont val="Calibri"/>
        <family val="1"/>
      </rPr>
      <t>PERFILES AUXILIARES Y ACCESORIOS</t>
    </r>
  </si>
  <si>
    <r>
      <rPr>
        <sz val="8"/>
        <rFont val="Calibri"/>
        <family val="1"/>
      </rPr>
      <t>66020VER000</t>
    </r>
  </si>
  <si>
    <r>
      <rPr>
        <sz val="8"/>
        <rFont val="Calibri"/>
        <family val="1"/>
      </rPr>
      <t>Esquinero 60x60 blanco</t>
    </r>
  </si>
  <si>
    <r>
      <rPr>
        <sz val="8"/>
        <rFont val="Calibri"/>
        <family val="1"/>
      </rPr>
      <t>66020VER153</t>
    </r>
  </si>
  <si>
    <r>
      <rPr>
        <sz val="8"/>
        <rFont val="Calibri"/>
        <family val="1"/>
      </rPr>
      <t>Esquinero 60x60 nogal</t>
    </r>
  </si>
  <si>
    <r>
      <rPr>
        <sz val="8"/>
        <rFont val="Calibri"/>
        <family val="1"/>
      </rPr>
      <t>66020VER043</t>
    </r>
  </si>
  <si>
    <r>
      <rPr>
        <sz val="8"/>
        <rFont val="Calibri"/>
        <family val="1"/>
      </rPr>
      <t>Esquinero 60x60 roble dorado</t>
    </r>
  </si>
  <si>
    <r>
      <rPr>
        <sz val="8"/>
        <rFont val="Calibri"/>
        <family val="1"/>
      </rPr>
      <t>66020VER199</t>
    </r>
  </si>
  <si>
    <r>
      <rPr>
        <sz val="8"/>
        <rFont val="Calibri"/>
        <family val="1"/>
      </rPr>
      <t>Esquinero 60x60 antracita</t>
    </r>
  </si>
  <si>
    <r>
      <rPr>
        <sz val="8"/>
        <rFont val="Calibri"/>
        <family val="1"/>
      </rPr>
      <t>66020VER200</t>
    </r>
  </si>
  <si>
    <r>
      <rPr>
        <sz val="8"/>
        <rFont val="Calibri"/>
        <family val="1"/>
      </rPr>
      <t>Esquinero 60x60 Negro</t>
    </r>
  </si>
  <si>
    <r>
      <rPr>
        <sz val="8"/>
        <rFont val="Calibri"/>
        <family val="1"/>
      </rPr>
      <t>66016VER000</t>
    </r>
  </si>
  <si>
    <r>
      <rPr>
        <sz val="8"/>
        <rFont val="Calibri"/>
        <family val="1"/>
      </rPr>
      <t>Tubular angulo variable 52mm blanco</t>
    </r>
  </si>
  <si>
    <r>
      <rPr>
        <sz val="8"/>
        <rFont val="Calibri"/>
        <family val="1"/>
      </rPr>
      <t>66016VER153</t>
    </r>
  </si>
  <si>
    <r>
      <rPr>
        <sz val="8"/>
        <rFont val="Calibri"/>
        <family val="1"/>
      </rPr>
      <t>Tubular angulo variable 52mm nogal</t>
    </r>
  </si>
  <si>
    <r>
      <rPr>
        <sz val="8"/>
        <rFont val="Calibri"/>
        <family val="1"/>
      </rPr>
      <t>66016VER200</t>
    </r>
  </si>
  <si>
    <r>
      <rPr>
        <sz val="8"/>
        <rFont val="Calibri"/>
        <family val="1"/>
      </rPr>
      <t>Tubular angulo variable 52mm Negro</t>
    </r>
  </si>
  <si>
    <r>
      <rPr>
        <sz val="8"/>
        <rFont val="Calibri"/>
        <family val="1"/>
      </rPr>
      <t>66016VER043</t>
    </r>
  </si>
  <si>
    <r>
      <rPr>
        <sz val="8"/>
        <rFont val="Calibri"/>
        <family val="1"/>
      </rPr>
      <t>Tubular angulo variable 52mm roble dorado</t>
    </r>
  </si>
  <si>
    <r>
      <rPr>
        <sz val="8"/>
        <rFont val="Calibri"/>
        <family val="1"/>
      </rPr>
      <t>66015VER000</t>
    </r>
  </si>
  <si>
    <r>
      <rPr>
        <sz val="8"/>
        <rFont val="Calibri"/>
        <family val="1"/>
      </rPr>
      <t>Terminal angulo variable 60mm blanco</t>
    </r>
  </si>
  <si>
    <r>
      <rPr>
        <sz val="8"/>
        <rFont val="Calibri"/>
        <family val="1"/>
      </rPr>
      <t>66015VER153</t>
    </r>
  </si>
  <si>
    <r>
      <rPr>
        <sz val="8"/>
        <rFont val="Calibri"/>
        <family val="1"/>
      </rPr>
      <t>Terminal angulo variable 60mm nogal</t>
    </r>
  </si>
  <si>
    <r>
      <rPr>
        <sz val="8"/>
        <rFont val="Calibri"/>
        <family val="1"/>
      </rPr>
      <t>66015VER043</t>
    </r>
  </si>
  <si>
    <r>
      <rPr>
        <sz val="8"/>
        <rFont val="Calibri"/>
        <family val="1"/>
      </rPr>
      <t>Terminal angulo variable 60mm roble dorado</t>
    </r>
  </si>
  <si>
    <r>
      <rPr>
        <sz val="8"/>
        <rFont val="Calibri"/>
        <family val="1"/>
      </rPr>
      <t>67251VER000</t>
    </r>
  </si>
  <si>
    <r>
      <rPr>
        <sz val="8"/>
        <rFont val="Calibri"/>
        <family val="1"/>
      </rPr>
      <t>Panel de puerta  blanco</t>
    </r>
  </si>
  <si>
    <r>
      <rPr>
        <sz val="8"/>
        <rFont val="Calibri"/>
        <family val="1"/>
      </rPr>
      <t>67251VER153</t>
    </r>
  </si>
  <si>
    <r>
      <rPr>
        <sz val="8"/>
        <rFont val="Calibri"/>
        <family val="1"/>
      </rPr>
      <t>Panel de puerta  nogal</t>
    </r>
  </si>
  <si>
    <r>
      <rPr>
        <sz val="8"/>
        <rFont val="Calibri"/>
        <family val="1"/>
      </rPr>
      <t>67251VER043</t>
    </r>
  </si>
  <si>
    <r>
      <rPr>
        <sz val="8"/>
        <rFont val="Calibri"/>
        <family val="1"/>
      </rPr>
      <t>Panel de puerta  roble dorado</t>
    </r>
  </si>
  <si>
    <r>
      <rPr>
        <sz val="8"/>
        <rFont val="Calibri"/>
        <family val="1"/>
      </rPr>
      <t>67251VER199</t>
    </r>
  </si>
  <si>
    <r>
      <rPr>
        <sz val="8"/>
        <rFont val="Calibri"/>
        <family val="1"/>
      </rPr>
      <t>Panel de puerta  antracita</t>
    </r>
  </si>
  <si>
    <r>
      <rPr>
        <sz val="8"/>
        <rFont val="Calibri"/>
        <family val="1"/>
      </rPr>
      <t>67251VER200</t>
    </r>
  </si>
  <si>
    <r>
      <rPr>
        <sz val="8"/>
        <rFont val="Calibri"/>
        <family val="1"/>
      </rPr>
      <t>Panel de puerta  Negro</t>
    </r>
  </si>
  <si>
    <r>
      <rPr>
        <sz val="8"/>
        <rFont val="Calibri"/>
        <family val="1"/>
      </rPr>
      <t>66051VER000</t>
    </r>
  </si>
  <si>
    <r>
      <rPr>
        <sz val="8"/>
        <rFont val="Calibri"/>
        <family val="1"/>
      </rPr>
      <t>Perfil 60x100 blanco</t>
    </r>
  </si>
  <si>
    <r>
      <rPr>
        <sz val="8"/>
        <rFont val="Calibri"/>
        <family val="1"/>
      </rPr>
      <t>66051VER153</t>
    </r>
  </si>
  <si>
    <r>
      <rPr>
        <sz val="8"/>
        <rFont val="Calibri"/>
        <family val="1"/>
      </rPr>
      <t>Perfil 60x100 nogal</t>
    </r>
  </si>
  <si>
    <r>
      <rPr>
        <sz val="8"/>
        <rFont val="Calibri"/>
        <family val="1"/>
      </rPr>
      <t>66051VER043</t>
    </r>
  </si>
  <si>
    <r>
      <rPr>
        <sz val="8"/>
        <rFont val="Calibri"/>
        <family val="1"/>
      </rPr>
      <t>Perfil 60x100 roble dorado</t>
    </r>
  </si>
  <si>
    <r>
      <rPr>
        <sz val="8"/>
        <rFont val="Calibri"/>
        <family val="1"/>
      </rPr>
      <t>66051VER199</t>
    </r>
  </si>
  <si>
    <r>
      <rPr>
        <sz val="8"/>
        <rFont val="Calibri"/>
        <family val="1"/>
      </rPr>
      <t>Perfil 60x100 antracita</t>
    </r>
  </si>
  <si>
    <r>
      <rPr>
        <sz val="8"/>
        <rFont val="Calibri"/>
        <family val="1"/>
      </rPr>
      <t>66051VER200</t>
    </r>
  </si>
  <si>
    <r>
      <rPr>
        <sz val="8"/>
        <rFont val="Calibri"/>
        <family val="1"/>
      </rPr>
      <t>Perfil 60x100 Negro</t>
    </r>
  </si>
  <si>
    <r>
      <rPr>
        <sz val="8"/>
        <rFont val="Calibri"/>
        <family val="1"/>
      </rPr>
      <t>66056VER000</t>
    </r>
  </si>
  <si>
    <r>
      <rPr>
        <sz val="8"/>
        <rFont val="Calibri"/>
        <family val="1"/>
      </rPr>
      <t>Angulo de revestimiento blanco</t>
    </r>
  </si>
  <si>
    <r>
      <rPr>
        <sz val="8"/>
        <rFont val="Calibri"/>
        <family val="1"/>
      </rPr>
      <t>66056VER153</t>
    </r>
  </si>
  <si>
    <r>
      <rPr>
        <sz val="8"/>
        <rFont val="Calibri"/>
        <family val="1"/>
      </rPr>
      <t>Angulo de revestimiento nogal</t>
    </r>
  </si>
  <si>
    <r>
      <rPr>
        <sz val="8"/>
        <rFont val="Calibri"/>
        <family val="1"/>
      </rPr>
      <t>66056VER043</t>
    </r>
  </si>
  <si>
    <r>
      <rPr>
        <sz val="8"/>
        <rFont val="Calibri"/>
        <family val="1"/>
      </rPr>
      <t>Angulo de revestimiento roble dorado</t>
    </r>
  </si>
  <si>
    <r>
      <rPr>
        <sz val="8"/>
        <rFont val="Calibri"/>
        <family val="1"/>
      </rPr>
      <t>66056VER199</t>
    </r>
  </si>
  <si>
    <r>
      <rPr>
        <sz val="8"/>
        <rFont val="Calibri"/>
        <family val="1"/>
      </rPr>
      <t>Angulo de revestimiento antracita</t>
    </r>
  </si>
  <si>
    <r>
      <rPr>
        <sz val="8"/>
        <rFont val="Calibri"/>
        <family val="1"/>
      </rPr>
      <t>66056VER200</t>
    </r>
  </si>
  <si>
    <r>
      <rPr>
        <sz val="8"/>
        <rFont val="Calibri"/>
        <family val="1"/>
      </rPr>
      <t>Angulo de revestimiento Negro</t>
    </r>
  </si>
  <si>
    <r>
      <rPr>
        <sz val="8"/>
        <rFont val="Calibri"/>
        <family val="1"/>
      </rPr>
      <t>67275VER000</t>
    </r>
  </si>
  <si>
    <r>
      <rPr>
        <sz val="8"/>
        <rFont val="Calibri"/>
        <family val="1"/>
      </rPr>
      <t>acople 74mm blanco</t>
    </r>
  </si>
  <si>
    <r>
      <rPr>
        <sz val="8"/>
        <rFont val="Calibri"/>
        <family val="1"/>
      </rPr>
      <t>67275VER153</t>
    </r>
  </si>
  <si>
    <r>
      <rPr>
        <sz val="8"/>
        <rFont val="Calibri"/>
        <family val="1"/>
      </rPr>
      <t>67275VER043</t>
    </r>
  </si>
  <si>
    <r>
      <rPr>
        <sz val="8"/>
        <rFont val="Calibri"/>
        <family val="1"/>
      </rPr>
      <t>67275VER199</t>
    </r>
  </si>
  <si>
    <r>
      <rPr>
        <sz val="8"/>
        <rFont val="Calibri"/>
        <family val="1"/>
      </rPr>
      <t>acople 74mm antracita</t>
    </r>
  </si>
  <si>
    <r>
      <rPr>
        <sz val="8"/>
        <rFont val="Calibri"/>
        <family val="1"/>
      </rPr>
      <t>67275VER200</t>
    </r>
  </si>
  <si>
    <r>
      <rPr>
        <sz val="8"/>
        <rFont val="Calibri"/>
        <family val="1"/>
      </rPr>
      <t>acople 74mm Negro</t>
    </r>
  </si>
  <si>
    <r>
      <rPr>
        <sz val="8"/>
        <rFont val="Calibri"/>
        <family val="1"/>
      </rPr>
      <t>61001VER040</t>
    </r>
  </si>
  <si>
    <r>
      <rPr>
        <sz val="8"/>
        <rFont val="Calibri"/>
        <family val="1"/>
      </rPr>
      <t>Terminal angulo variable 52mm blanco</t>
    </r>
  </si>
  <si>
    <r>
      <rPr>
        <sz val="8"/>
        <rFont val="Calibri"/>
        <family val="1"/>
      </rPr>
      <t>61001VER153</t>
    </r>
  </si>
  <si>
    <r>
      <rPr>
        <sz val="8"/>
        <rFont val="Calibri"/>
        <family val="1"/>
      </rPr>
      <t>Terminal angulo variable 52mm nogal</t>
    </r>
  </si>
  <si>
    <r>
      <rPr>
        <sz val="8"/>
        <rFont val="Calibri"/>
        <family val="1"/>
      </rPr>
      <t>61001VER043</t>
    </r>
  </si>
  <si>
    <r>
      <rPr>
        <sz val="8"/>
        <rFont val="Calibri"/>
        <family val="1"/>
      </rPr>
      <t>Terminal angulo variable 52mm roble</t>
    </r>
  </si>
  <si>
    <r>
      <rPr>
        <sz val="8"/>
        <rFont val="Calibri"/>
        <family val="1"/>
      </rPr>
      <t>61001VER200</t>
    </r>
  </si>
  <si>
    <r>
      <rPr>
        <sz val="8"/>
        <rFont val="Calibri"/>
        <family val="1"/>
      </rPr>
      <t>Terminal angulo variable 52mm Negro</t>
    </r>
  </si>
  <si>
    <r>
      <rPr>
        <sz val="8"/>
        <rFont val="Calibri"/>
        <family val="1"/>
      </rPr>
      <t>61004VER003</t>
    </r>
  </si>
  <si>
    <r>
      <rPr>
        <sz val="8"/>
        <rFont val="Calibri"/>
        <family val="1"/>
      </rPr>
      <t>Cuarta hoja Sliding</t>
    </r>
  </si>
  <si>
    <r>
      <rPr>
        <sz val="8"/>
        <rFont val="Calibri"/>
        <family val="1"/>
      </rPr>
      <t>61014VER001</t>
    </r>
  </si>
  <si>
    <r>
      <rPr>
        <sz val="8"/>
        <rFont val="Calibri"/>
        <family val="1"/>
      </rPr>
      <t>Cuarta hoja compact Sliding</t>
    </r>
  </si>
  <si>
    <r>
      <rPr>
        <sz val="8"/>
        <rFont val="Calibri"/>
        <family val="1"/>
      </rPr>
      <t>61009VER001</t>
    </r>
  </si>
  <si>
    <r>
      <rPr>
        <sz val="8"/>
        <rFont val="Calibri"/>
        <family val="1"/>
      </rPr>
      <t>Zapata aluminio</t>
    </r>
  </si>
  <si>
    <r>
      <rPr>
        <sz val="8"/>
        <rFont val="Calibri"/>
        <family val="1"/>
      </rPr>
      <t>61010VER001</t>
    </r>
  </si>
  <si>
    <r>
      <rPr>
        <sz val="8"/>
        <rFont val="Calibri"/>
        <family val="1"/>
      </rPr>
      <t>Porta felpa puerta</t>
    </r>
  </si>
  <si>
    <r>
      <rPr>
        <sz val="8"/>
        <rFont val="Calibri"/>
        <family val="1"/>
      </rPr>
      <t>61004VER001</t>
    </r>
  </si>
  <si>
    <r>
      <rPr>
        <sz val="8"/>
        <rFont val="Calibri"/>
        <family val="1"/>
      </rPr>
      <t>Union mecanica barra T bahar</t>
    </r>
  </si>
  <si>
    <r>
      <rPr>
        <sz val="8"/>
        <rFont val="Calibri"/>
        <family val="1"/>
      </rPr>
      <t>PCS</t>
    </r>
  </si>
  <si>
    <r>
      <rPr>
        <sz val="8"/>
        <rFont val="Calibri"/>
        <family val="1"/>
      </rPr>
      <t>61008VER000</t>
    </r>
  </si>
  <si>
    <r>
      <rPr>
        <sz val="8"/>
        <rFont val="Calibri"/>
        <family val="1"/>
      </rPr>
      <t>Tapa batiente blanco</t>
    </r>
  </si>
  <si>
    <r>
      <rPr>
        <sz val="8"/>
        <rFont val="Calibri"/>
        <family val="1"/>
      </rPr>
      <t>PAIR</t>
    </r>
  </si>
  <si>
    <r>
      <rPr>
        <sz val="8"/>
        <rFont val="Calibri"/>
        <family val="1"/>
      </rPr>
      <t>61008VER258</t>
    </r>
  </si>
  <si>
    <r>
      <rPr>
        <sz val="8"/>
        <rFont val="Calibri"/>
        <family val="1"/>
      </rPr>
      <t>Tapa batiente café</t>
    </r>
  </si>
  <si>
    <r>
      <rPr>
        <sz val="8"/>
        <rFont val="Calibri"/>
        <family val="1"/>
      </rPr>
      <t>61001VER000</t>
    </r>
  </si>
  <si>
    <r>
      <rPr>
        <sz val="8"/>
        <rFont val="Calibri"/>
        <family val="1"/>
      </rPr>
      <t>Union mecanica zapata aluminio blanco</t>
    </r>
  </si>
  <si>
    <r>
      <rPr>
        <sz val="8"/>
        <rFont val="Calibri"/>
        <family val="1"/>
      </rPr>
      <t>61001VER258</t>
    </r>
  </si>
  <si>
    <r>
      <rPr>
        <sz val="8"/>
        <rFont val="Calibri"/>
        <family val="1"/>
      </rPr>
      <t>Union mecanica zapata aluminio café</t>
    </r>
  </si>
  <si>
    <r>
      <rPr>
        <sz val="8"/>
        <rFont val="Calibri"/>
        <family val="1"/>
      </rPr>
      <t>61213VER002</t>
    </r>
  </si>
  <si>
    <r>
      <rPr>
        <sz val="8"/>
        <rFont val="Calibri"/>
        <family val="1"/>
      </rPr>
      <t>Burlete zapata aluminio</t>
    </r>
  </si>
  <si>
    <r>
      <rPr>
        <sz val="8"/>
        <rFont val="Calibri"/>
        <family val="1"/>
      </rPr>
      <t>61012VER000</t>
    </r>
  </si>
  <si>
    <r>
      <rPr>
        <sz val="8"/>
        <rFont val="Calibri"/>
        <family val="1"/>
      </rPr>
      <t>Tope estanco Sliding blanco</t>
    </r>
  </si>
  <si>
    <r>
      <rPr>
        <sz val="8"/>
        <rFont val="Calibri"/>
        <family val="1"/>
      </rPr>
      <t>61012VER258</t>
    </r>
  </si>
  <si>
    <r>
      <rPr>
        <sz val="8"/>
        <rFont val="Calibri"/>
        <family val="1"/>
      </rPr>
      <t>Tope estanco Sliding café</t>
    </r>
  </si>
  <si>
    <r>
      <rPr>
        <sz val="8"/>
        <rFont val="Calibri"/>
        <family val="1"/>
      </rPr>
      <t>61013VER000</t>
    </r>
  </si>
  <si>
    <r>
      <rPr>
        <sz val="8"/>
        <rFont val="Calibri"/>
        <family val="1"/>
      </rPr>
      <t>Tope estanco monorriel blanco</t>
    </r>
  </si>
  <si>
    <r>
      <rPr>
        <sz val="8"/>
        <rFont val="Calibri"/>
        <family val="1"/>
      </rPr>
      <t>61013VER258</t>
    </r>
  </si>
  <si>
    <r>
      <rPr>
        <sz val="8"/>
        <rFont val="Calibri"/>
        <family val="1"/>
      </rPr>
      <t>Tope estanco monorriel café</t>
    </r>
  </si>
  <si>
    <r>
      <rPr>
        <sz val="8"/>
        <rFont val="Calibri"/>
        <family val="1"/>
      </rPr>
      <t>61016VER000</t>
    </r>
  </si>
  <si>
    <r>
      <rPr>
        <sz val="8"/>
        <rFont val="Calibri"/>
        <family val="1"/>
      </rPr>
      <t>Tope estanco compact Sliding blanco</t>
    </r>
  </si>
  <si>
    <r>
      <rPr>
        <sz val="8"/>
        <rFont val="Calibri"/>
        <family val="1"/>
      </rPr>
      <t>61016VER001</t>
    </r>
  </si>
  <si>
    <r>
      <rPr>
        <sz val="8"/>
        <rFont val="Calibri"/>
        <family val="1"/>
      </rPr>
      <t>Tope estanco compact Sliding</t>
    </r>
  </si>
  <si>
    <r>
      <rPr>
        <sz val="8"/>
        <rFont val="Calibri"/>
        <family val="1"/>
      </rPr>
      <t>61023VER001</t>
    </r>
  </si>
  <si>
    <r>
      <rPr>
        <sz val="8"/>
        <rFont val="Calibri"/>
        <family val="1"/>
      </rPr>
      <t>Union mecanica barra T Sliding</t>
    </r>
  </si>
  <si>
    <r>
      <rPr>
        <sz val="8"/>
        <rFont val="Calibri"/>
        <family val="1"/>
      </rPr>
      <t>61018VER000</t>
    </r>
  </si>
  <si>
    <r>
      <rPr>
        <sz val="8"/>
        <rFont val="Calibri"/>
        <family val="1"/>
      </rPr>
      <t>Burlete cubre ranura blanco</t>
    </r>
  </si>
  <si>
    <r>
      <rPr>
        <sz val="8"/>
        <rFont val="Calibri"/>
        <family val="1"/>
      </rPr>
      <t>KG</t>
    </r>
  </si>
  <si>
    <r>
      <rPr>
        <sz val="8"/>
        <rFont val="Calibri"/>
        <family val="1"/>
      </rPr>
      <t>61018VER258</t>
    </r>
  </si>
  <si>
    <r>
      <rPr>
        <sz val="8"/>
        <rFont val="Calibri"/>
        <family val="1"/>
      </rPr>
      <t>Burlete cubre ranura café</t>
    </r>
  </si>
  <si>
    <r>
      <rPr>
        <sz val="8"/>
        <rFont val="Calibri"/>
        <family val="1"/>
      </rPr>
      <t>62003VER000</t>
    </r>
  </si>
  <si>
    <r>
      <rPr>
        <sz val="8"/>
        <rFont val="Calibri"/>
        <family val="1"/>
      </rPr>
      <t>tapa deflectora blanco</t>
    </r>
  </si>
  <si>
    <r>
      <rPr>
        <sz val="8"/>
        <rFont val="Calibri"/>
        <family val="1"/>
      </rPr>
      <t>62003VER258</t>
    </r>
  </si>
  <si>
    <r>
      <rPr>
        <sz val="8"/>
        <rFont val="Calibri"/>
        <family val="1"/>
      </rPr>
      <t>tapa deflectora café</t>
    </r>
  </si>
  <si>
    <r>
      <rPr>
        <sz val="8"/>
        <rFont val="Calibri"/>
        <family val="1"/>
      </rPr>
      <t>61024VER001</t>
    </r>
  </si>
  <si>
    <r>
      <rPr>
        <sz val="8"/>
        <rFont val="Calibri"/>
        <family val="1"/>
      </rPr>
      <t>Union mecanica monorriel</t>
    </r>
  </si>
  <si>
    <r>
      <rPr>
        <sz val="8"/>
        <rFont val="Calibri"/>
        <family val="1"/>
      </rPr>
      <t>67252VER000</t>
    </r>
  </si>
  <si>
    <r>
      <rPr>
        <sz val="8"/>
        <rFont val="Calibri"/>
        <family val="1"/>
      </rPr>
      <t>esquinero 70x70 blanco</t>
    </r>
  </si>
  <si>
    <r>
      <rPr>
        <sz val="8"/>
        <rFont val="Calibri"/>
        <family val="1"/>
      </rPr>
      <t>67252VER153</t>
    </r>
  </si>
  <si>
    <r>
      <rPr>
        <sz val="8"/>
        <rFont val="Calibri"/>
        <family val="1"/>
      </rPr>
      <t>esquinero 70x70 nogal</t>
    </r>
  </si>
  <si>
    <r>
      <rPr>
        <sz val="8"/>
        <rFont val="Calibri"/>
        <family val="1"/>
      </rPr>
      <t>67252VER043</t>
    </r>
  </si>
  <si>
    <r>
      <rPr>
        <sz val="8"/>
        <rFont val="Calibri"/>
        <family val="1"/>
      </rPr>
      <t>esquinero 70x70 roble dorado</t>
    </r>
  </si>
  <si>
    <r>
      <rPr>
        <sz val="8"/>
        <rFont val="Calibri"/>
        <family val="1"/>
      </rPr>
      <t>67252VER200</t>
    </r>
  </si>
  <si>
    <r>
      <rPr>
        <sz val="8"/>
        <rFont val="Calibri"/>
        <family val="1"/>
      </rPr>
      <t>esquinero 70x70 Negro</t>
    </r>
  </si>
  <si>
    <r>
      <rPr>
        <sz val="8"/>
        <rFont val="Calibri"/>
        <family val="1"/>
      </rPr>
      <t>67252VER199</t>
    </r>
  </si>
  <si>
    <r>
      <rPr>
        <sz val="8"/>
        <rFont val="Calibri"/>
        <family val="1"/>
      </rPr>
      <t>esquinero 70x70 antracita</t>
    </r>
  </si>
  <si>
    <r>
      <rPr>
        <sz val="8"/>
        <rFont val="Calibri"/>
        <family val="1"/>
      </rPr>
      <t>67254VER000</t>
    </r>
  </si>
  <si>
    <r>
      <rPr>
        <sz val="8"/>
        <rFont val="Calibri"/>
        <family val="1"/>
      </rPr>
      <t>Tubular angulo variable 70mm blanco</t>
    </r>
  </si>
  <si>
    <r>
      <rPr>
        <sz val="8"/>
        <rFont val="Calibri"/>
        <family val="1"/>
      </rPr>
      <t>67254VER153</t>
    </r>
  </si>
  <si>
    <r>
      <rPr>
        <sz val="8"/>
        <rFont val="Calibri"/>
        <family val="1"/>
      </rPr>
      <t>Tubular angulo variable 70mm nogal</t>
    </r>
  </si>
  <si>
    <r>
      <rPr>
        <sz val="8"/>
        <rFont val="Calibri"/>
        <family val="1"/>
      </rPr>
      <t>67254VER043</t>
    </r>
  </si>
  <si>
    <r>
      <rPr>
        <sz val="8"/>
        <rFont val="Calibri"/>
        <family val="1"/>
      </rPr>
      <t>Tubular angulo variable 70mm roble dorado</t>
    </r>
  </si>
  <si>
    <r>
      <rPr>
        <sz val="8"/>
        <rFont val="Calibri"/>
        <family val="1"/>
      </rPr>
      <t>67254VER199</t>
    </r>
  </si>
  <si>
    <r>
      <rPr>
        <sz val="8"/>
        <rFont val="Calibri"/>
        <family val="1"/>
      </rPr>
      <t>Tubular angulo variable 70mm antracita</t>
    </r>
  </si>
  <si>
    <r>
      <rPr>
        <sz val="8"/>
        <rFont val="Calibri"/>
        <family val="1"/>
      </rPr>
      <t>67254VER200</t>
    </r>
  </si>
  <si>
    <r>
      <rPr>
        <sz val="8"/>
        <rFont val="Calibri"/>
        <family val="1"/>
      </rPr>
      <t>Tubular angulo variable 70mm Negro</t>
    </r>
  </si>
  <si>
    <r>
      <rPr>
        <sz val="8"/>
        <rFont val="Calibri"/>
        <family val="1"/>
      </rPr>
      <t>67255VER000</t>
    </r>
  </si>
  <si>
    <r>
      <rPr>
        <sz val="8"/>
        <rFont val="Calibri"/>
        <family val="1"/>
      </rPr>
      <t>Terminal angulo variable 70mm blanco</t>
    </r>
  </si>
  <si>
    <r>
      <rPr>
        <sz val="8"/>
        <rFont val="Calibri"/>
        <family val="1"/>
      </rPr>
      <t>67255VER153</t>
    </r>
  </si>
  <si>
    <r>
      <rPr>
        <sz val="8"/>
        <rFont val="Calibri"/>
        <family val="1"/>
      </rPr>
      <t>Terminal angulo variable 70mm nogal</t>
    </r>
  </si>
  <si>
    <r>
      <rPr>
        <sz val="8"/>
        <rFont val="Calibri"/>
        <family val="1"/>
      </rPr>
      <t>67255VER043</t>
    </r>
  </si>
  <si>
    <r>
      <rPr>
        <sz val="8"/>
        <rFont val="Calibri"/>
        <family val="1"/>
      </rPr>
      <t>Terminal angulo variable 70mm roble dorado</t>
    </r>
  </si>
  <si>
    <r>
      <rPr>
        <sz val="8"/>
        <rFont val="Calibri"/>
        <family val="1"/>
      </rPr>
      <t>67255VER199</t>
    </r>
  </si>
  <si>
    <r>
      <rPr>
        <sz val="8"/>
        <rFont val="Calibri"/>
        <family val="1"/>
      </rPr>
      <t>Terminal angulo variable 70mm antracita</t>
    </r>
  </si>
  <si>
    <r>
      <rPr>
        <sz val="8"/>
        <rFont val="Calibri"/>
        <family val="1"/>
      </rPr>
      <t>67255VER200</t>
    </r>
  </si>
  <si>
    <r>
      <rPr>
        <sz val="8"/>
        <rFont val="Calibri"/>
        <family val="1"/>
      </rPr>
      <t>Terminal angulo variable 70mm Negro</t>
    </r>
  </si>
  <si>
    <r>
      <rPr>
        <sz val="8"/>
        <rFont val="Calibri"/>
        <family val="1"/>
      </rPr>
      <t>67262VER000</t>
    </r>
  </si>
  <si>
    <r>
      <rPr>
        <sz val="8"/>
        <rFont val="Calibri"/>
        <family val="1"/>
      </rPr>
      <t>Aleta perimetral blanco</t>
    </r>
  </si>
  <si>
    <r>
      <rPr>
        <sz val="8"/>
        <rFont val="Calibri"/>
        <family val="1"/>
      </rPr>
      <t>67262VER043</t>
    </r>
  </si>
  <si>
    <r>
      <rPr>
        <sz val="8"/>
        <rFont val="Calibri"/>
        <family val="1"/>
      </rPr>
      <t>Aleta perimetral roble dorado</t>
    </r>
  </si>
  <si>
    <r>
      <rPr>
        <sz val="8"/>
        <rFont val="Calibri"/>
        <family val="1"/>
      </rPr>
      <t>67262VER153</t>
    </r>
  </si>
  <si>
    <r>
      <rPr>
        <sz val="8"/>
        <rFont val="Calibri"/>
        <family val="1"/>
      </rPr>
      <t>Aleta perimetral nogal</t>
    </r>
  </si>
  <si>
    <r>
      <rPr>
        <sz val="8"/>
        <rFont val="Calibri"/>
        <family val="1"/>
      </rPr>
      <t>67262VER199</t>
    </r>
  </si>
  <si>
    <r>
      <rPr>
        <sz val="8"/>
        <rFont val="Calibri"/>
        <family val="1"/>
      </rPr>
      <t>Aleta perimetral antracita</t>
    </r>
  </si>
  <si>
    <r>
      <rPr>
        <sz val="8"/>
        <rFont val="Calibri"/>
        <family val="1"/>
      </rPr>
      <t>67262VER200</t>
    </r>
  </si>
  <si>
    <r>
      <rPr>
        <sz val="8"/>
        <rFont val="Calibri"/>
        <family val="1"/>
      </rPr>
      <t>Aleta perimetral Negro</t>
    </r>
  </si>
  <si>
    <r>
      <rPr>
        <sz val="8"/>
        <rFont val="Calibri"/>
        <family val="1"/>
      </rPr>
      <t>61008VER010</t>
    </r>
  </si>
  <si>
    <r>
      <rPr>
        <sz val="8"/>
        <rFont val="Calibri"/>
        <family val="1"/>
      </rPr>
      <t>CALZO 24 X 2 mm</t>
    </r>
  </si>
  <si>
    <r>
      <rPr>
        <sz val="8"/>
        <rFont val="Calibri"/>
        <family val="1"/>
      </rPr>
      <t>und</t>
    </r>
  </si>
  <si>
    <r>
      <rPr>
        <sz val="8"/>
        <rFont val="Calibri"/>
        <family val="1"/>
      </rPr>
      <t>61008VER015</t>
    </r>
  </si>
  <si>
    <r>
      <rPr>
        <sz val="8"/>
        <rFont val="Calibri"/>
        <family val="1"/>
      </rPr>
      <t>CALZO 24 X 3 mm</t>
    </r>
  </si>
  <si>
    <r>
      <rPr>
        <sz val="8"/>
        <rFont val="Calibri"/>
        <family val="1"/>
      </rPr>
      <t>61008VER020</t>
    </r>
  </si>
  <si>
    <r>
      <rPr>
        <sz val="8"/>
        <rFont val="Calibri"/>
        <family val="1"/>
      </rPr>
      <t>CALZO 24 X 4 mm</t>
    </r>
  </si>
  <si>
    <r>
      <rPr>
        <sz val="8"/>
        <rFont val="Calibri"/>
        <family val="1"/>
      </rPr>
      <t>61008VER025</t>
    </r>
  </si>
  <si>
    <r>
      <rPr>
        <sz val="8"/>
        <rFont val="Calibri"/>
        <family val="1"/>
      </rPr>
      <t>CALZO 20 X 2 mm</t>
    </r>
  </si>
  <si>
    <r>
      <rPr>
        <sz val="8"/>
        <rFont val="Calibri"/>
        <family val="1"/>
      </rPr>
      <t>61008VER030</t>
    </r>
  </si>
  <si>
    <r>
      <rPr>
        <sz val="8"/>
        <rFont val="Calibri"/>
        <family val="1"/>
      </rPr>
      <t>CALZO 20 X 3 mm</t>
    </r>
  </si>
  <si>
    <r>
      <rPr>
        <sz val="8"/>
        <rFont val="Calibri"/>
        <family val="1"/>
      </rPr>
      <t>61008VER035</t>
    </r>
  </si>
  <si>
    <r>
      <rPr>
        <sz val="8"/>
        <rFont val="Calibri"/>
        <family val="1"/>
      </rPr>
      <t>CALZO 20 X 4 mm</t>
    </r>
  </si>
  <si>
    <r>
      <rPr>
        <sz val="8"/>
        <rFont val="Calibri"/>
        <family val="1"/>
      </rPr>
      <t>61008VER040</t>
    </r>
  </si>
  <si>
    <r>
      <rPr>
        <sz val="8"/>
        <rFont val="Calibri"/>
        <family val="1"/>
      </rPr>
      <t>PUENTE ACRISTALAR LINEA COMPACT SLIDING</t>
    </r>
  </si>
  <si>
    <r>
      <rPr>
        <sz val="8"/>
        <rFont val="Calibri"/>
        <family val="1"/>
      </rPr>
      <t>61008VER045</t>
    </r>
  </si>
  <si>
    <r>
      <rPr>
        <sz val="8"/>
        <rFont val="Calibri"/>
        <family val="1"/>
      </rPr>
      <t>PUENTE ACRISTALAR LINEA SLIDING-BAHAR</t>
    </r>
  </si>
  <si>
    <r>
      <rPr>
        <sz val="8"/>
        <rFont val="Calibri"/>
        <family val="1"/>
      </rPr>
      <t>55029VER060</t>
    </r>
  </si>
  <si>
    <r>
      <rPr>
        <sz val="8"/>
        <rFont val="Calibri"/>
        <family val="1"/>
      </rPr>
      <t>TAPA TORNILLO BLANCA</t>
    </r>
  </si>
  <si>
    <r>
      <rPr>
        <sz val="8"/>
        <rFont val="Calibri"/>
        <family val="1"/>
      </rPr>
      <t>55029VER061</t>
    </r>
  </si>
  <si>
    <r>
      <rPr>
        <sz val="8"/>
        <rFont val="Calibri"/>
        <family val="1"/>
      </rPr>
      <t>TAPA TORNILLO MARRON</t>
    </r>
  </si>
  <si>
    <r>
      <rPr>
        <b/>
        <sz val="10.5"/>
        <rFont val="Calibri"/>
        <family val="1"/>
      </rPr>
      <t>SKU Veratec</t>
    </r>
  </si>
  <si>
    <r>
      <rPr>
        <b/>
        <sz val="10.5"/>
        <rFont val="Calibri"/>
        <family val="1"/>
      </rPr>
      <t>Descripcion Veratec</t>
    </r>
  </si>
  <si>
    <r>
      <rPr>
        <b/>
        <sz val="10.5"/>
        <rFont val="Calibri"/>
        <family val="1"/>
      </rPr>
      <t>Unidad</t>
    </r>
  </si>
  <si>
    <r>
      <rPr>
        <b/>
        <sz val="10.5"/>
        <rFont val="Calibri"/>
        <family val="1"/>
      </rPr>
      <t>Mt</t>
    </r>
  </si>
  <si>
    <r>
      <rPr>
        <b/>
        <sz val="10.5"/>
        <rFont val="Calibri"/>
        <family val="1"/>
      </rPr>
      <t>Precio Lista NETO</t>
    </r>
  </si>
  <si>
    <r>
      <rPr>
        <sz val="11.5"/>
        <rFont val="Calibri"/>
        <family val="1"/>
      </rPr>
      <t>69011STL000</t>
    </r>
  </si>
  <si>
    <r>
      <rPr>
        <sz val="11.5"/>
        <rFont val="Calibri"/>
        <family val="1"/>
      </rPr>
      <t>ref_hoja ex, hoja int, barra T</t>
    </r>
  </si>
  <si>
    <r>
      <rPr>
        <sz val="10.5"/>
        <rFont val="Calibri"/>
        <family val="1"/>
      </rPr>
      <t>M</t>
    </r>
  </si>
  <si>
    <r>
      <rPr>
        <sz val="11.5"/>
        <rFont val="Calibri"/>
        <family val="1"/>
      </rPr>
      <t>69013STL001</t>
    </r>
  </si>
  <si>
    <r>
      <rPr>
        <sz val="11.5"/>
        <rFont val="Calibri"/>
        <family val="1"/>
      </rPr>
      <t>ref_hoja puerta int</t>
    </r>
  </si>
  <si>
    <r>
      <rPr>
        <sz val="11.5"/>
        <rFont val="Calibri"/>
        <family val="1"/>
      </rPr>
      <t>69025STL000</t>
    </r>
  </si>
  <si>
    <r>
      <rPr>
        <sz val="11.5"/>
        <rFont val="Calibri"/>
        <family val="1"/>
      </rPr>
      <t>ref_hoja puerta ext</t>
    </r>
  </si>
  <si>
    <r>
      <rPr>
        <sz val="11.5"/>
        <rFont val="Calibri"/>
        <family val="1"/>
      </rPr>
      <t>69014STL001</t>
    </r>
  </si>
  <si>
    <r>
      <rPr>
        <sz val="11.5"/>
        <rFont val="Calibri"/>
        <family val="1"/>
      </rPr>
      <t>ref_marco corredera</t>
    </r>
  </si>
  <si>
    <r>
      <rPr>
        <sz val="11.5"/>
        <rFont val="Calibri"/>
        <family val="1"/>
      </rPr>
      <t>69083STL001</t>
    </r>
  </si>
  <si>
    <r>
      <rPr>
        <sz val="11.5"/>
        <rFont val="Calibri"/>
        <family val="1"/>
      </rPr>
      <t>ref_marco compact - monorriel</t>
    </r>
  </si>
  <si>
    <r>
      <rPr>
        <sz val="11.5"/>
        <rFont val="Calibri"/>
        <family val="1"/>
      </rPr>
      <t>69060STL001</t>
    </r>
  </si>
  <si>
    <r>
      <rPr>
        <sz val="11.5"/>
        <rFont val="Calibri"/>
        <family val="1"/>
      </rPr>
      <t>ref_monorriel</t>
    </r>
  </si>
  <si>
    <r>
      <rPr>
        <sz val="11.5"/>
        <rFont val="Calibri"/>
        <family val="1"/>
      </rPr>
      <t>69069STL000</t>
    </r>
  </si>
  <si>
    <r>
      <rPr>
        <sz val="11.5"/>
        <rFont val="Calibri"/>
        <family val="1"/>
      </rPr>
      <t>ref_hoja corredera grande</t>
    </r>
  </si>
  <si>
    <r>
      <rPr>
        <sz val="11.5"/>
        <rFont val="Calibri"/>
        <family val="1"/>
      </rPr>
      <t>69070STL001</t>
    </r>
  </si>
  <si>
    <r>
      <rPr>
        <sz val="11.5"/>
        <rFont val="Calibri"/>
        <family val="1"/>
      </rPr>
      <t>ref_marco fijo - hoja corredera</t>
    </r>
  </si>
  <si>
    <r>
      <rPr>
        <sz val="11.5"/>
        <rFont val="Calibri"/>
        <family val="1"/>
      </rPr>
      <t>69071STL000</t>
    </r>
  </si>
  <si>
    <r>
      <rPr>
        <sz val="11.5"/>
        <rFont val="Calibri"/>
        <family val="1"/>
      </rPr>
      <t>ref_hoja corredera chica</t>
    </r>
  </si>
  <si>
    <r>
      <rPr>
        <sz val="11.5"/>
        <rFont val="Calibri"/>
        <family val="1"/>
      </rPr>
      <t>69072STL000</t>
    </r>
  </si>
  <si>
    <r>
      <rPr>
        <sz val="11.5"/>
        <rFont val="Calibri"/>
        <family val="1"/>
      </rPr>
      <t>ref_barra t corredera</t>
    </r>
  </si>
  <si>
    <r>
      <rPr>
        <sz val="11.5"/>
        <rFont val="Calibri"/>
        <family val="1"/>
      </rPr>
      <t>69041STL000</t>
    </r>
  </si>
  <si>
    <r>
      <rPr>
        <sz val="11.5"/>
        <rFont val="Calibri"/>
        <family val="1"/>
      </rPr>
      <t>69010STL001</t>
    </r>
  </si>
  <si>
    <r>
      <rPr>
        <sz val="11.5"/>
        <rFont val="Calibri"/>
        <family val="1"/>
      </rPr>
      <t>ref_esquinero</t>
    </r>
  </si>
  <si>
    <r>
      <rPr>
        <sz val="11.5"/>
        <rFont val="Calibri"/>
        <family val="1"/>
      </rPr>
      <t>69035STL000</t>
    </r>
  </si>
  <si>
    <t>UDS</t>
  </si>
  <si>
    <t>TOTAL</t>
  </si>
  <si>
    <t>UDFS</t>
  </si>
  <si>
    <t>Marco Fijo antracita</t>
  </si>
  <si>
    <t>Marco corredera 2 hojas roble dorado</t>
  </si>
  <si>
    <r>
      <rPr>
        <b/>
        <sz val="10.5"/>
        <rFont val="Calibri"/>
        <family val="1"/>
      </rPr>
      <t xml:space="preserve">LISTA DE PRECIOS 2026
</t>
    </r>
    <r>
      <rPr>
        <b/>
        <sz val="9"/>
        <rFont val="Calibri"/>
        <family val="1"/>
      </rPr>
      <t>SISTEMA ELEGANS</t>
    </r>
  </si>
  <si>
    <r>
      <rPr>
        <sz val="8"/>
        <rFont val="Calibri"/>
        <family val="1"/>
      </rPr>
      <t>66311VER000</t>
    </r>
  </si>
  <si>
    <r>
      <rPr>
        <sz val="8"/>
        <rFont val="Calibri"/>
        <family val="1"/>
      </rPr>
      <t>Elegans Marco Fijo Blanco</t>
    </r>
  </si>
  <si>
    <r>
      <rPr>
        <sz val="8"/>
        <rFont val="Calibri"/>
        <family val="1"/>
      </rPr>
      <t>66311VER153</t>
    </r>
  </si>
  <si>
    <r>
      <rPr>
        <sz val="8"/>
        <rFont val="Calibri"/>
        <family val="1"/>
      </rPr>
      <t>Elegans Marco Fijo Nogal</t>
    </r>
  </si>
  <si>
    <r>
      <rPr>
        <sz val="8"/>
        <rFont val="Calibri"/>
        <family val="1"/>
      </rPr>
      <t>66311VER043</t>
    </r>
  </si>
  <si>
    <r>
      <rPr>
        <sz val="8"/>
        <rFont val="Calibri"/>
        <family val="1"/>
      </rPr>
      <t>Elegans Marco Fijo Roble Dorado</t>
    </r>
  </si>
  <si>
    <r>
      <rPr>
        <sz val="8"/>
        <rFont val="Calibri"/>
        <family val="1"/>
      </rPr>
      <t>66311VER199</t>
    </r>
  </si>
  <si>
    <r>
      <rPr>
        <sz val="8"/>
        <rFont val="Calibri"/>
        <family val="1"/>
      </rPr>
      <t>Elegans Marco Fijo Antracita</t>
    </r>
  </si>
  <si>
    <r>
      <rPr>
        <sz val="8"/>
        <rFont val="Calibri"/>
        <family val="1"/>
      </rPr>
      <t>66311VER200</t>
    </r>
  </si>
  <si>
    <r>
      <rPr>
        <sz val="8"/>
        <rFont val="Calibri"/>
        <family val="1"/>
      </rPr>
      <t>Elegans Marco Fijo Negro</t>
    </r>
  </si>
  <si>
    <r>
      <rPr>
        <sz val="8"/>
        <rFont val="Calibri"/>
        <family val="1"/>
      </rPr>
      <t>66311VER079</t>
    </r>
  </si>
  <si>
    <r>
      <rPr>
        <sz val="8"/>
        <rFont val="Calibri"/>
        <family val="1"/>
      </rPr>
      <t>Elegans Marco Fijo Negro Mate</t>
    </r>
  </si>
  <si>
    <r>
      <rPr>
        <sz val="8"/>
        <rFont val="Calibri"/>
        <family val="1"/>
      </rPr>
      <t>66403VER000</t>
    </r>
  </si>
  <si>
    <r>
      <rPr>
        <sz val="8"/>
        <rFont val="Calibri"/>
        <family val="1"/>
      </rPr>
      <t>Elegans Hoja De Ventana InteriorBlanco</t>
    </r>
  </si>
  <si>
    <r>
      <rPr>
        <sz val="8"/>
        <rFont val="Calibri"/>
        <family val="1"/>
      </rPr>
      <t>66403VER153</t>
    </r>
  </si>
  <si>
    <r>
      <rPr>
        <sz val="8"/>
        <rFont val="Calibri"/>
        <family val="1"/>
      </rPr>
      <t>Elegans Hoja De Ventana InteriorNogal</t>
    </r>
  </si>
  <si>
    <r>
      <rPr>
        <sz val="8"/>
        <rFont val="Calibri"/>
        <family val="1"/>
      </rPr>
      <t>66403VER043</t>
    </r>
  </si>
  <si>
    <r>
      <rPr>
        <sz val="8"/>
        <rFont val="Calibri"/>
        <family val="1"/>
      </rPr>
      <t>Elegans Hoja De Ventana InteriorRoble Dorado</t>
    </r>
  </si>
  <si>
    <r>
      <rPr>
        <sz val="8"/>
        <rFont val="Calibri"/>
        <family val="1"/>
      </rPr>
      <t>66403VER199</t>
    </r>
  </si>
  <si>
    <r>
      <rPr>
        <sz val="8"/>
        <rFont val="Calibri"/>
        <family val="1"/>
      </rPr>
      <t>Elegans Hoja De Ventana InteriorAntracita</t>
    </r>
  </si>
  <si>
    <r>
      <rPr>
        <sz val="8"/>
        <rFont val="Calibri"/>
        <family val="1"/>
      </rPr>
      <t>66403VER200</t>
    </r>
  </si>
  <si>
    <r>
      <rPr>
        <sz val="8"/>
        <rFont val="Calibri"/>
        <family val="1"/>
      </rPr>
      <t>Elegans Hoja De Ventana InteriorNegro</t>
    </r>
  </si>
  <si>
    <r>
      <rPr>
        <sz val="8"/>
        <rFont val="Calibri"/>
        <family val="1"/>
      </rPr>
      <t>66403VER079</t>
    </r>
  </si>
  <si>
    <r>
      <rPr>
        <sz val="8"/>
        <rFont val="Calibri"/>
        <family val="1"/>
      </rPr>
      <t>Elegans Hoja De Ventana InteriorNegro Mate</t>
    </r>
  </si>
  <si>
    <r>
      <rPr>
        <sz val="8"/>
        <rFont val="Calibri"/>
        <family val="1"/>
      </rPr>
      <t>66312VER000</t>
    </r>
  </si>
  <si>
    <r>
      <rPr>
        <sz val="8"/>
        <rFont val="Calibri"/>
        <family val="1"/>
      </rPr>
      <t>Elegans Hoja Ventana Exterior Blanco</t>
    </r>
  </si>
  <si>
    <r>
      <rPr>
        <sz val="8"/>
        <rFont val="Calibri"/>
        <family val="1"/>
      </rPr>
      <t>66312VER153</t>
    </r>
  </si>
  <si>
    <r>
      <rPr>
        <sz val="8"/>
        <rFont val="Calibri"/>
        <family val="1"/>
      </rPr>
      <t>Elegans Hoja Ventana Exterior Nogal</t>
    </r>
  </si>
  <si>
    <r>
      <rPr>
        <sz val="8"/>
        <rFont val="Calibri"/>
        <family val="1"/>
      </rPr>
      <t>66312VER043</t>
    </r>
  </si>
  <si>
    <r>
      <rPr>
        <sz val="8"/>
        <rFont val="Calibri"/>
        <family val="1"/>
      </rPr>
      <t>Elegans Hoja Ventana Exterior Roble Dorado</t>
    </r>
  </si>
  <si>
    <r>
      <rPr>
        <sz val="8"/>
        <rFont val="Calibri"/>
        <family val="1"/>
      </rPr>
      <t>66312VER199</t>
    </r>
  </si>
  <si>
    <r>
      <rPr>
        <sz val="8"/>
        <rFont val="Calibri"/>
        <family val="1"/>
      </rPr>
      <t>Elegans Hoja Ventana Exterior Antracita</t>
    </r>
  </si>
  <si>
    <r>
      <rPr>
        <sz val="8"/>
        <rFont val="Calibri"/>
        <family val="1"/>
      </rPr>
      <t>66312VER200</t>
    </r>
  </si>
  <si>
    <r>
      <rPr>
        <sz val="8"/>
        <rFont val="Calibri"/>
        <family val="1"/>
      </rPr>
      <t>Elegans Hoja Ventana Exterior Negro</t>
    </r>
  </si>
  <si>
    <r>
      <rPr>
        <sz val="8"/>
        <rFont val="Calibri"/>
        <family val="1"/>
      </rPr>
      <t>66312VER079</t>
    </r>
  </si>
  <si>
    <r>
      <rPr>
        <sz val="8"/>
        <rFont val="Calibri"/>
        <family val="1"/>
      </rPr>
      <t>Elegans Hoja Ventana Exterior Negro Mate</t>
    </r>
  </si>
  <si>
    <r>
      <rPr>
        <sz val="8"/>
        <rFont val="Calibri"/>
        <family val="1"/>
      </rPr>
      <t>66313VER000</t>
    </r>
  </si>
  <si>
    <r>
      <rPr>
        <sz val="8"/>
        <rFont val="Calibri"/>
        <family val="1"/>
      </rPr>
      <t>Elegans Barra T Blanco</t>
    </r>
  </si>
  <si>
    <r>
      <rPr>
        <sz val="8"/>
        <rFont val="Calibri"/>
        <family val="1"/>
      </rPr>
      <t>66313VER153</t>
    </r>
  </si>
  <si>
    <r>
      <rPr>
        <sz val="8"/>
        <rFont val="Calibri"/>
        <family val="1"/>
      </rPr>
      <t>Elegans Barra T Nogal</t>
    </r>
  </si>
  <si>
    <r>
      <rPr>
        <sz val="8"/>
        <rFont val="Calibri"/>
        <family val="1"/>
      </rPr>
      <t>66313VER043</t>
    </r>
  </si>
  <si>
    <r>
      <rPr>
        <sz val="8"/>
        <rFont val="Calibri"/>
        <family val="1"/>
      </rPr>
      <t>Elegans Barra T Roble Dorado</t>
    </r>
  </si>
  <si>
    <r>
      <rPr>
        <sz val="8"/>
        <rFont val="Calibri"/>
        <family val="1"/>
      </rPr>
      <t>66313VER199</t>
    </r>
  </si>
  <si>
    <r>
      <rPr>
        <sz val="8"/>
        <rFont val="Calibri"/>
        <family val="1"/>
      </rPr>
      <t>Elegans Barra T Antracita</t>
    </r>
  </si>
  <si>
    <r>
      <rPr>
        <sz val="8"/>
        <rFont val="Calibri"/>
        <family val="1"/>
      </rPr>
      <t>66313VER200</t>
    </r>
  </si>
  <si>
    <r>
      <rPr>
        <sz val="8"/>
        <rFont val="Calibri"/>
        <family val="1"/>
      </rPr>
      <t>Elegans Barra T Negro</t>
    </r>
  </si>
  <si>
    <r>
      <rPr>
        <sz val="8"/>
        <rFont val="Calibri"/>
        <family val="1"/>
      </rPr>
      <t>66313VER079</t>
    </r>
  </si>
  <si>
    <r>
      <rPr>
        <sz val="8"/>
        <rFont val="Calibri"/>
        <family val="1"/>
      </rPr>
      <t>Elegans Barra T Negro Mate</t>
    </r>
  </si>
  <si>
    <r>
      <rPr>
        <sz val="8"/>
        <rFont val="Calibri"/>
        <family val="1"/>
      </rPr>
      <t>66048VER000</t>
    </r>
  </si>
  <si>
    <r>
      <rPr>
        <sz val="8"/>
        <rFont val="Calibri"/>
        <family val="1"/>
      </rPr>
      <t>Elegans Hoja de Puerta Exterior Blanco</t>
    </r>
  </si>
  <si>
    <r>
      <rPr>
        <sz val="8"/>
        <rFont val="Calibri"/>
        <family val="1"/>
      </rPr>
      <t>66048VER153</t>
    </r>
  </si>
  <si>
    <r>
      <rPr>
        <sz val="8"/>
        <rFont val="Calibri"/>
        <family val="1"/>
      </rPr>
      <t>Elegans Hoja de Puerta Exterior Nogal</t>
    </r>
  </si>
  <si>
    <r>
      <rPr>
        <sz val="8"/>
        <rFont val="Calibri"/>
        <family val="1"/>
      </rPr>
      <t>66048VER043</t>
    </r>
  </si>
  <si>
    <r>
      <rPr>
        <sz val="8"/>
        <rFont val="Calibri"/>
        <family val="1"/>
      </rPr>
      <t>Elegans Hoja de Puerta Exterior Roble Dorado</t>
    </r>
  </si>
  <si>
    <r>
      <rPr>
        <sz val="8"/>
        <rFont val="Calibri"/>
        <family val="1"/>
      </rPr>
      <t>66048VER199</t>
    </r>
  </si>
  <si>
    <r>
      <rPr>
        <sz val="8"/>
        <rFont val="Calibri"/>
        <family val="1"/>
      </rPr>
      <t>Elegans Hoja de Puerta Exterior Antracita</t>
    </r>
  </si>
  <si>
    <r>
      <rPr>
        <sz val="8"/>
        <rFont val="Calibri"/>
        <family val="1"/>
      </rPr>
      <t>66048VER200</t>
    </r>
  </si>
  <si>
    <r>
      <rPr>
        <sz val="8"/>
        <rFont val="Calibri"/>
        <family val="1"/>
      </rPr>
      <t>Elegans Hoja de Puerta Exterior Negro</t>
    </r>
  </si>
  <si>
    <r>
      <rPr>
        <sz val="8"/>
        <rFont val="Calibri"/>
        <family val="1"/>
      </rPr>
      <t>66048VER079</t>
    </r>
  </si>
  <si>
    <r>
      <rPr>
        <sz val="8"/>
        <rFont val="Calibri"/>
        <family val="1"/>
      </rPr>
      <t>Elegans Hoja de Puerta Exterior Negro Mate</t>
    </r>
  </si>
  <si>
    <r>
      <rPr>
        <sz val="8"/>
        <rFont val="Calibri"/>
        <family val="1"/>
      </rPr>
      <t>66404VER000</t>
    </r>
  </si>
  <si>
    <r>
      <rPr>
        <sz val="8"/>
        <rFont val="Calibri"/>
        <family val="1"/>
      </rPr>
      <t>Elegans Hoja De Puerta Interior Blanco</t>
    </r>
  </si>
  <si>
    <r>
      <rPr>
        <sz val="8"/>
        <rFont val="Calibri"/>
        <family val="1"/>
      </rPr>
      <t>66404VER153</t>
    </r>
  </si>
  <si>
    <r>
      <rPr>
        <sz val="8"/>
        <rFont val="Calibri"/>
        <family val="1"/>
      </rPr>
      <t>Elegans Hoja De Puerta Interior Nogal</t>
    </r>
  </si>
  <si>
    <r>
      <rPr>
        <sz val="8"/>
        <rFont val="Calibri"/>
        <family val="1"/>
      </rPr>
      <t>66404VER043</t>
    </r>
  </si>
  <si>
    <r>
      <rPr>
        <sz val="8"/>
        <rFont val="Calibri"/>
        <family val="1"/>
      </rPr>
      <t>Elegans Hoja De Puerta Interior Roble Dorado</t>
    </r>
  </si>
  <si>
    <r>
      <rPr>
        <sz val="8"/>
        <rFont val="Calibri"/>
        <family val="1"/>
      </rPr>
      <t>66404VER199</t>
    </r>
  </si>
  <si>
    <r>
      <rPr>
        <sz val="8"/>
        <rFont val="Calibri"/>
        <family val="1"/>
      </rPr>
      <t>Elegans Hoja De Puerta Interior Antracita</t>
    </r>
  </si>
  <si>
    <r>
      <rPr>
        <sz val="8"/>
        <rFont val="Calibri"/>
        <family val="1"/>
      </rPr>
      <t>66404VER200</t>
    </r>
  </si>
  <si>
    <r>
      <rPr>
        <sz val="8"/>
        <rFont val="Calibri"/>
        <family val="1"/>
      </rPr>
      <t>Elegans Hoja De Puerta Interior Negro</t>
    </r>
  </si>
  <si>
    <r>
      <rPr>
        <sz val="8"/>
        <rFont val="Calibri"/>
        <family val="1"/>
      </rPr>
      <t>66404VER079</t>
    </r>
  </si>
  <si>
    <r>
      <rPr>
        <sz val="8"/>
        <rFont val="Calibri"/>
        <family val="1"/>
      </rPr>
      <t>Elegans Hoja De Puerta Interior Negro Mate</t>
    </r>
  </si>
  <si>
    <r>
      <rPr>
        <sz val="8"/>
        <rFont val="Calibri"/>
        <family val="1"/>
      </rPr>
      <t>66044VER000</t>
    </r>
  </si>
  <si>
    <r>
      <rPr>
        <sz val="8"/>
        <rFont val="Calibri"/>
        <family val="1"/>
      </rPr>
      <t>Elegans Perfil Inversor Blanco</t>
    </r>
  </si>
  <si>
    <r>
      <rPr>
        <sz val="8"/>
        <rFont val="Calibri"/>
        <family val="1"/>
      </rPr>
      <t>66044VER153</t>
    </r>
  </si>
  <si>
    <r>
      <rPr>
        <sz val="8"/>
        <rFont val="Calibri"/>
        <family val="1"/>
      </rPr>
      <t>Elegans Perfil Inversor Nogal</t>
    </r>
  </si>
  <si>
    <r>
      <rPr>
        <sz val="8"/>
        <rFont val="Calibri"/>
        <family val="1"/>
      </rPr>
      <t>66044VER043</t>
    </r>
  </si>
  <si>
    <r>
      <rPr>
        <sz val="8"/>
        <rFont val="Calibri"/>
        <family val="1"/>
      </rPr>
      <t>Elegans Perfil Inversor Roble Dorado</t>
    </r>
  </si>
  <si>
    <r>
      <rPr>
        <sz val="8"/>
        <rFont val="Calibri"/>
        <family val="1"/>
      </rPr>
      <t>66044VER199</t>
    </r>
  </si>
  <si>
    <r>
      <rPr>
        <sz val="8"/>
        <rFont val="Calibri"/>
        <family val="1"/>
      </rPr>
      <t>Elegans Perfil Inversor Antracita</t>
    </r>
  </si>
  <si>
    <r>
      <rPr>
        <sz val="8"/>
        <rFont val="Calibri"/>
        <family val="1"/>
      </rPr>
      <t>66044VER200</t>
    </r>
  </si>
  <si>
    <r>
      <rPr>
        <sz val="8"/>
        <rFont val="Calibri"/>
        <family val="1"/>
      </rPr>
      <t>Elegans Perfil Inversor Negro</t>
    </r>
  </si>
  <si>
    <r>
      <rPr>
        <sz val="8"/>
        <rFont val="Calibri"/>
        <family val="1"/>
      </rPr>
      <t>66044VER079</t>
    </r>
  </si>
  <si>
    <r>
      <rPr>
        <sz val="8"/>
        <rFont val="Calibri"/>
        <family val="1"/>
      </rPr>
      <t>Elegans Perfil Inversor Negro Mate</t>
    </r>
  </si>
  <si>
    <r>
      <rPr>
        <sz val="8"/>
        <rFont val="Calibri"/>
        <family val="1"/>
      </rPr>
      <t>66306VER000</t>
    </r>
  </si>
  <si>
    <r>
      <rPr>
        <sz val="8"/>
        <rFont val="Calibri"/>
        <family val="1"/>
      </rPr>
      <t>Junquillo vidrio 4mm sliding blanco</t>
    </r>
  </si>
  <si>
    <r>
      <rPr>
        <sz val="8"/>
        <rFont val="Calibri"/>
        <family val="1"/>
      </rPr>
      <t>66306VER153</t>
    </r>
  </si>
  <si>
    <r>
      <rPr>
        <sz val="8"/>
        <rFont val="Calibri"/>
        <family val="1"/>
      </rPr>
      <t>Junquillo vidrio 4mm sliding nogal</t>
    </r>
  </si>
  <si>
    <r>
      <rPr>
        <sz val="8"/>
        <rFont val="Calibri"/>
        <family val="1"/>
      </rPr>
      <t>66306VER043</t>
    </r>
  </si>
  <si>
    <r>
      <rPr>
        <sz val="8"/>
        <rFont val="Calibri"/>
        <family val="1"/>
      </rPr>
      <t>Junquillo vidrio 4mm sliding roble dorado</t>
    </r>
  </si>
  <si>
    <r>
      <rPr>
        <sz val="8"/>
        <rFont val="Calibri"/>
        <family val="1"/>
      </rPr>
      <t>66307VER000</t>
    </r>
  </si>
  <si>
    <r>
      <rPr>
        <sz val="8"/>
        <rFont val="Calibri"/>
        <family val="1"/>
      </rPr>
      <t>Junquillo vidrio 20mm sliding blanco</t>
    </r>
  </si>
  <si>
    <r>
      <rPr>
        <sz val="8"/>
        <rFont val="Calibri"/>
        <family val="1"/>
      </rPr>
      <t>66307VER153</t>
    </r>
  </si>
  <si>
    <r>
      <rPr>
        <sz val="8"/>
        <rFont val="Calibri"/>
        <family val="1"/>
      </rPr>
      <t>Junquillo vidrio 20mm sliding nogal</t>
    </r>
  </si>
  <si>
    <r>
      <rPr>
        <sz val="8"/>
        <rFont val="Calibri"/>
        <family val="1"/>
      </rPr>
      <t>66307VER043</t>
    </r>
  </si>
  <si>
    <r>
      <rPr>
        <sz val="8"/>
        <rFont val="Calibri"/>
        <family val="1"/>
      </rPr>
      <t>Junquillo vidrio 20mm sliding roble dorado</t>
    </r>
  </si>
  <si>
    <r>
      <rPr>
        <sz val="8"/>
        <rFont val="Calibri"/>
        <family val="1"/>
      </rPr>
      <t>66307VER199</t>
    </r>
  </si>
  <si>
    <r>
      <rPr>
        <sz val="8"/>
        <rFont val="Calibri"/>
        <family val="1"/>
      </rPr>
      <t>Junquillo vidrio 20mm sliding antracita</t>
    </r>
  </si>
  <si>
    <r>
      <rPr>
        <sz val="8"/>
        <rFont val="Calibri"/>
        <family val="1"/>
      </rPr>
      <t>66307VER200</t>
    </r>
  </si>
  <si>
    <r>
      <rPr>
        <sz val="8"/>
        <rFont val="Calibri"/>
        <family val="1"/>
      </rPr>
      <t>Junquillo vidrio 20mm sliding Negro</t>
    </r>
  </si>
  <si>
    <r>
      <rPr>
        <sz val="8"/>
        <rFont val="Calibri"/>
        <family val="1"/>
      </rPr>
      <t>66307VER079</t>
    </r>
  </si>
  <si>
    <t>UNIDADES</t>
  </si>
  <si>
    <r>
      <rPr>
        <b/>
        <sz val="13.5"/>
        <rFont val="Calibri"/>
        <family val="1"/>
      </rPr>
      <t xml:space="preserve">LISTA DE PRECIOS 2026
</t>
    </r>
    <r>
      <rPr>
        <b/>
        <sz val="11.5"/>
        <rFont val="Calibri"/>
        <family val="1"/>
      </rPr>
      <t>REFUERZOS</t>
    </r>
  </si>
  <si>
    <r>
      <rPr>
        <sz val="10.5"/>
        <rFont val="Calibri"/>
        <family val="1"/>
      </rPr>
      <t>69048STL000</t>
    </r>
  </si>
  <si>
    <r>
      <rPr>
        <sz val="10.5"/>
        <rFont val="Calibri"/>
        <family val="1"/>
      </rPr>
      <t>Refuerzo Hoja Puerta Interior Elegans</t>
    </r>
  </si>
  <si>
    <r>
      <rPr>
        <sz val="10.5"/>
        <rFont val="Calibri"/>
        <family val="1"/>
      </rPr>
      <t>69018STL000</t>
    </r>
  </si>
  <si>
    <r>
      <rPr>
        <sz val="10.5"/>
        <rFont val="Calibri"/>
        <family val="1"/>
      </rPr>
      <t>Refuerzo Hoja Ventana Exterior Elegans</t>
    </r>
  </si>
  <si>
    <r>
      <rPr>
        <sz val="10.5"/>
        <rFont val="Calibri"/>
        <family val="1"/>
      </rPr>
      <t>69026STL000</t>
    </r>
  </si>
  <si>
    <r>
      <rPr>
        <sz val="10.5"/>
        <rFont val="Calibri"/>
        <family val="1"/>
      </rPr>
      <t>Refuerzo Marco 3 Rieles 7400</t>
    </r>
  </si>
  <si>
    <r>
      <rPr>
        <sz val="10.5"/>
        <rFont val="Calibri"/>
        <family val="1"/>
      </rPr>
      <t>69019STL000</t>
    </r>
  </si>
  <si>
    <r>
      <rPr>
        <sz val="10.5"/>
        <rFont val="Calibri"/>
        <family val="1"/>
      </rPr>
      <t>Refuerzo Marco Fijo Elegans</t>
    </r>
  </si>
  <si>
    <r>
      <rPr>
        <sz val="10.5"/>
        <rFont val="Calibri"/>
        <family val="1"/>
      </rPr>
      <t>69076STL000</t>
    </r>
  </si>
  <si>
    <r>
      <rPr>
        <sz val="10.5"/>
        <rFont val="Calibri"/>
        <family val="1"/>
      </rPr>
      <t>Refuerzo Puerta Exterior Elegans</t>
    </r>
  </si>
  <si>
    <r>
      <rPr>
        <sz val="10.5"/>
        <rFont val="Calibri"/>
        <family val="1"/>
      </rPr>
      <t xml:space="preserve">Todos los materiales cotizados son entregados en las bodegas de VERATEC Southamerica, ubicadas en Carlota
</t>
    </r>
    <r>
      <rPr>
        <sz val="10.5"/>
        <rFont val="Calibri"/>
        <family val="1"/>
      </rPr>
      <t xml:space="preserve">Guzman 1298, ComplejoIndustrial El Montijo, Renca
</t>
    </r>
    <r>
      <rPr>
        <sz val="10.5"/>
        <rFont val="Calibri"/>
        <family val="1"/>
      </rPr>
      <t xml:space="preserve">Una vez recibida la OC, el material podra ser retirado en nuestras bodegas en un plazo no superior a 24 horas
</t>
    </r>
    <r>
      <rPr>
        <sz val="10.5"/>
        <rFont val="Calibri"/>
        <family val="1"/>
      </rPr>
      <t>Es de responsabilidad del cliente utilizar, aplicar, destinar y emplear los productos y equipos adquiridos conforme a las instrucciones que se entregan y que estánincorporadas en el producto y/o equipo que compro, sugeridos por el fabricante. Es deber del consumidor leerdetenidamente las indicaciones, que consisten en la correcta aplicación y adecuación del producto, material o servicio a la finalidad quepersigue el cliente.</t>
    </r>
  </si>
  <si>
    <t>TOTAL MATERIALES</t>
  </si>
  <si>
    <t>ref_hoja corredera compac</t>
  </si>
  <si>
    <t>acople 74mm nogal</t>
  </si>
  <si>
    <t>acople 74mm roble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</si>
</sst>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€&quot;_-;\-* #,##0.00\ &quot;€&quot;_-;_-* &quot;-&quot;??\ &quot;€&quot;_-;_-@_-"/>
    <numFmt numFmtId="164" formatCode="_ &quot;$&quot;* #,##0_ ;_ &quot;$&quot;* \-#,##0_ ;_ &quot;$&quot;* &quot;-&quot;_ ;_ @_ "/>
    <numFmt numFmtId="165" formatCode="0.0"/>
    <numFmt numFmtId="166" formatCode="\$\ #,##0"/>
    <numFmt numFmtId="167" formatCode="\$\ 0"/>
    <numFmt numFmtId="168" formatCode="_ [$$-340A]* #,##0_ ;_ [$$-340A]* \-#,##0_ ;_ [$$-340A]* &quot;-&quot;??_ ;_ @_ "/>
    <numFmt numFmtId="169" formatCode="#,##0_ ;\-#,##0\ "/>
  </numFmts>
  <fonts count="29" x14ac:knownFonts="1">
    <font>
      <sz val="10"/>
      <color rgb="FF000000"/>
      <name val="Times New Roman"/>
      <charset val="204"/>
    </font>
    <font>
      <b/>
      <sz val="7.5"/>
      <name val="Calibri"/>
      <family val="2"/>
    </font>
    <font>
      <sz val="7.5"/>
      <name val="Calibri"/>
      <family val="2"/>
    </font>
    <font>
      <sz val="7.5"/>
      <color rgb="FF00000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10.5"/>
      <name val="Calibri"/>
      <family val="2"/>
    </font>
    <font>
      <sz val="11.5"/>
      <name val="Calibri"/>
      <family val="2"/>
    </font>
    <font>
      <sz val="10.5"/>
      <name val="Calibri"/>
      <family val="2"/>
    </font>
    <font>
      <sz val="10.5"/>
      <color rgb="FF000000"/>
      <name val="Calibri"/>
      <family val="2"/>
    </font>
    <font>
      <b/>
      <sz val="10"/>
      <name val="Calibri"/>
      <family val="1"/>
    </font>
    <font>
      <b/>
      <sz val="8.5"/>
      <name val="Calibri"/>
      <family val="1"/>
    </font>
    <font>
      <b/>
      <sz val="7.5"/>
      <name val="Calibri"/>
      <family val="1"/>
    </font>
    <font>
      <sz val="7.5"/>
      <name val="Calibri"/>
      <family val="1"/>
    </font>
    <font>
      <b/>
      <sz val="8"/>
      <name val="Calibri"/>
      <family val="1"/>
    </font>
    <font>
      <sz val="8"/>
      <name val="Calibri"/>
      <family val="1"/>
    </font>
    <font>
      <b/>
      <sz val="13.5"/>
      <name val="Calibri"/>
      <family val="1"/>
    </font>
    <font>
      <b/>
      <sz val="11.5"/>
      <name val="Calibri"/>
      <family val="1"/>
    </font>
    <font>
      <b/>
      <sz val="10.5"/>
      <name val="Calibri"/>
      <family val="1"/>
    </font>
    <font>
      <sz val="11.5"/>
      <name val="Calibri"/>
      <family val="1"/>
    </font>
    <font>
      <sz val="10.5"/>
      <name val="Calibri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1"/>
    </font>
    <font>
      <b/>
      <sz val="10"/>
      <color rgb="FF000000"/>
      <name val="Times New Roman"/>
      <family val="1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2" fillId="0" borderId="0" applyFont="0" applyFill="0" applyBorder="0" applyAlignment="0" applyProtection="0"/>
    <xf numFmtId="44" fontId="23" fillId="0" borderId="0" applyFont="0" applyFill="0" applyBorder="0" applyAlignment="0" applyProtection="0"/>
  </cellStyleXfs>
  <cellXfs count="14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right" vertical="top" indent="2" shrinkToFit="1"/>
    </xf>
    <xf numFmtId="166" fontId="3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right" vertical="center" indent="2" shrinkToFit="1"/>
    </xf>
    <xf numFmtId="0" fontId="1" fillId="0" borderId="1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right" vertical="center" shrinkToFit="1"/>
    </xf>
    <xf numFmtId="0" fontId="2" fillId="0" borderId="2" xfId="0" applyFont="1" applyFill="1" applyBorder="1" applyAlignment="1">
      <alignment horizontal="left" vertical="center" wrapText="1"/>
    </xf>
    <xf numFmtId="165" fontId="3" fillId="0" borderId="2" xfId="0" applyNumberFormat="1" applyFont="1" applyFill="1" applyBorder="1" applyAlignment="1">
      <alignment horizontal="right" vertical="center" shrinkToFit="1"/>
    </xf>
    <xf numFmtId="166" fontId="3" fillId="0" borderId="2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left" vertical="center" wrapText="1"/>
    </xf>
    <xf numFmtId="165" fontId="3" fillId="0" borderId="4" xfId="0" applyNumberFormat="1" applyFont="1" applyFill="1" applyBorder="1" applyAlignment="1">
      <alignment horizontal="right" vertical="center" shrinkToFit="1"/>
    </xf>
    <xf numFmtId="166" fontId="3" fillId="0" borderId="4" xfId="0" applyNumberFormat="1" applyFont="1" applyFill="1" applyBorder="1" applyAlignment="1">
      <alignment horizontal="lef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165" fontId="6" fillId="0" borderId="1" xfId="0" applyNumberFormat="1" applyFont="1" applyFill="1" applyBorder="1" applyAlignment="1">
      <alignment horizontal="right" vertical="top" shrinkToFit="1"/>
    </xf>
    <xf numFmtId="166" fontId="6" fillId="0" borderId="1" xfId="0" applyNumberFormat="1" applyFont="1" applyFill="1" applyBorder="1" applyAlignment="1">
      <alignment horizontal="left" vertical="top" shrinkToFit="1"/>
    </xf>
    <xf numFmtId="0" fontId="5" fillId="0" borderId="1" xfId="0" applyFont="1" applyFill="1" applyBorder="1" applyAlignment="1">
      <alignment horizontal="left" vertical="center" wrapText="1"/>
    </xf>
    <xf numFmtId="165" fontId="6" fillId="0" borderId="1" xfId="0" applyNumberFormat="1" applyFont="1" applyFill="1" applyBorder="1" applyAlignment="1">
      <alignment horizontal="right" vertical="center" shrinkToFit="1"/>
    </xf>
    <xf numFmtId="166" fontId="6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left" vertical="top" wrapText="1" indent="7"/>
    </xf>
    <xf numFmtId="0" fontId="4" fillId="0" borderId="1" xfId="0" applyFont="1" applyFill="1" applyBorder="1" applyAlignment="1">
      <alignment horizontal="left" vertical="top" wrapText="1" indent="1"/>
    </xf>
    <xf numFmtId="165" fontId="6" fillId="0" borderId="1" xfId="0" applyNumberFormat="1" applyFont="1" applyFill="1" applyBorder="1" applyAlignment="1">
      <alignment horizontal="right" vertical="top" indent="2" shrinkToFit="1"/>
    </xf>
    <xf numFmtId="166" fontId="6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 indent="6"/>
    </xf>
    <xf numFmtId="166" fontId="6" fillId="0" borderId="1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Fill="1" applyBorder="1" applyAlignment="1">
      <alignment horizontal="right" vertical="top" shrinkToFit="1"/>
    </xf>
    <xf numFmtId="167" fontId="6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165" fontId="10" fillId="0" borderId="1" xfId="0" applyNumberFormat="1" applyFont="1" applyFill="1" applyBorder="1" applyAlignment="1">
      <alignment horizontal="center" vertical="top" shrinkToFit="1"/>
    </xf>
    <xf numFmtId="166" fontId="10" fillId="0" borderId="0" xfId="0" applyNumberFormat="1" applyFont="1" applyFill="1" applyBorder="1" applyAlignment="1">
      <alignment horizontal="left" vertical="top" shrinkToFit="1"/>
    </xf>
    <xf numFmtId="166" fontId="6" fillId="0" borderId="2" xfId="0" applyNumberFormat="1" applyFont="1" applyFill="1" applyBorder="1" applyAlignment="1">
      <alignment horizontal="center" vertical="top" shrinkToFit="1"/>
    </xf>
    <xf numFmtId="166" fontId="6" fillId="0" borderId="2" xfId="0" applyNumberFormat="1" applyFont="1" applyFill="1" applyBorder="1" applyAlignment="1">
      <alignment horizontal="left" vertical="top" shrinkToFit="1"/>
    </xf>
    <xf numFmtId="9" fontId="0" fillId="0" borderId="0" xfId="0" applyNumberFormat="1" applyFill="1" applyBorder="1" applyAlignment="1">
      <alignment horizontal="left" vertical="top"/>
    </xf>
    <xf numFmtId="9" fontId="4" fillId="0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Fill="1" applyBorder="1" applyAlignment="1">
      <alignment horizontal="center" vertical="top" wrapText="1"/>
    </xf>
    <xf numFmtId="9" fontId="0" fillId="0" borderId="0" xfId="0" applyNumberFormat="1" applyFill="1" applyBorder="1" applyAlignment="1">
      <alignment horizontal="center" vertical="top"/>
    </xf>
    <xf numFmtId="166" fontId="3" fillId="0" borderId="2" xfId="0" applyNumberFormat="1" applyFont="1" applyFill="1" applyBorder="1" applyAlignment="1">
      <alignment horizontal="center" vertical="center" shrinkToFit="1"/>
    </xf>
    <xf numFmtId="164" fontId="0" fillId="0" borderId="0" xfId="1" applyFont="1" applyFill="1" applyBorder="1" applyAlignment="1">
      <alignment horizontal="left" vertical="top"/>
    </xf>
    <xf numFmtId="9" fontId="22" fillId="0" borderId="0" xfId="0" applyNumberFormat="1" applyFont="1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2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2" fontId="4" fillId="0" borderId="1" xfId="0" applyNumberFormat="1" applyFont="1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left" vertical="top" wrapText="1"/>
    </xf>
    <xf numFmtId="0" fontId="6" fillId="0" borderId="2" xfId="0" applyNumberFormat="1" applyFont="1" applyFill="1" applyBorder="1" applyAlignment="1">
      <alignment horizontal="left" vertical="top" shrinkToFit="1"/>
    </xf>
    <xf numFmtId="0" fontId="6" fillId="0" borderId="3" xfId="0" applyNumberFormat="1" applyFont="1" applyFill="1" applyBorder="1" applyAlignment="1">
      <alignment horizontal="left" vertical="top" shrinkToFit="1"/>
    </xf>
    <xf numFmtId="0" fontId="0" fillId="0" borderId="2" xfId="0" applyNumberForma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center" vertical="top" shrinkToFit="1"/>
    </xf>
    <xf numFmtId="0" fontId="6" fillId="0" borderId="3" xfId="0" applyNumberFormat="1" applyFont="1" applyFill="1" applyBorder="1" applyAlignment="1">
      <alignment horizontal="center" vertical="top" shrinkToFit="1"/>
    </xf>
    <xf numFmtId="0" fontId="6" fillId="0" borderId="4" xfId="0" applyNumberFormat="1" applyFont="1" applyFill="1" applyBorder="1" applyAlignment="1">
      <alignment horizontal="center" vertical="top" shrinkToFit="1"/>
    </xf>
    <xf numFmtId="0" fontId="6" fillId="0" borderId="1" xfId="0" applyNumberFormat="1" applyFont="1" applyFill="1" applyBorder="1" applyAlignment="1">
      <alignment horizontal="center" vertical="center" shrinkToFit="1"/>
    </xf>
    <xf numFmtId="0" fontId="6" fillId="0" borderId="5" xfId="0" applyNumberFormat="1" applyFont="1" applyFill="1" applyBorder="1" applyAlignment="1">
      <alignment horizontal="center" vertical="center" shrinkToFit="1"/>
    </xf>
    <xf numFmtId="0" fontId="6" fillId="0" borderId="7" xfId="0" applyNumberFormat="1" applyFont="1" applyFill="1" applyBorder="1" applyAlignment="1">
      <alignment horizontal="center" vertical="top" shrinkToFit="1"/>
    </xf>
    <xf numFmtId="0" fontId="6" fillId="0" borderId="9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shrinkToFit="1"/>
    </xf>
    <xf numFmtId="0" fontId="3" fillId="0" borderId="3" xfId="0" applyNumberFormat="1" applyFont="1" applyFill="1" applyBorder="1" applyAlignment="1">
      <alignment horizontal="left" vertical="center" shrinkToFit="1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center" vertical="center" shrinkToFit="1"/>
    </xf>
    <xf numFmtId="166" fontId="3" fillId="0" borderId="0" xfId="0" applyNumberFormat="1" applyFont="1" applyFill="1" applyBorder="1" applyAlignment="1">
      <alignment horizontal="left" vertical="center" shrinkToFit="1"/>
    </xf>
    <xf numFmtId="0" fontId="3" fillId="0" borderId="0" xfId="0" applyNumberFormat="1" applyFont="1" applyFill="1" applyBorder="1" applyAlignment="1">
      <alignment horizontal="left" vertical="center" shrinkToFit="1"/>
    </xf>
    <xf numFmtId="166" fontId="0" fillId="0" borderId="0" xfId="0" applyNumberForma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165" fontId="6" fillId="0" borderId="0" xfId="0" applyNumberFormat="1" applyFont="1" applyFill="1" applyBorder="1" applyAlignment="1">
      <alignment horizontal="right" vertical="top" shrinkToFit="1"/>
    </xf>
    <xf numFmtId="166" fontId="6" fillId="0" borderId="0" xfId="0" applyNumberFormat="1" applyFont="1" applyFill="1" applyBorder="1" applyAlignment="1">
      <alignment horizontal="left" vertical="top" shrinkToFit="1"/>
    </xf>
    <xf numFmtId="0" fontId="6" fillId="0" borderId="0" xfId="0" applyNumberFormat="1" applyFont="1" applyFill="1" applyBorder="1" applyAlignment="1">
      <alignment horizontal="left" vertical="top" shrinkToFit="1"/>
    </xf>
    <xf numFmtId="165" fontId="6" fillId="0" borderId="0" xfId="0" applyNumberFormat="1" applyFont="1" applyFill="1" applyBorder="1" applyAlignment="1">
      <alignment horizontal="right" vertical="top" indent="2" shrinkToFit="1"/>
    </xf>
    <xf numFmtId="166" fontId="6" fillId="0" borderId="0" xfId="0" applyNumberFormat="1" applyFont="1" applyFill="1" applyBorder="1" applyAlignment="1">
      <alignment horizontal="center" vertical="top" shrinkToFit="1"/>
    </xf>
    <xf numFmtId="0" fontId="6" fillId="0" borderId="0" xfId="0" applyNumberFormat="1" applyFont="1" applyFill="1" applyBorder="1" applyAlignment="1">
      <alignment horizontal="center" vertical="top" shrinkToFit="1"/>
    </xf>
    <xf numFmtId="1" fontId="6" fillId="0" borderId="0" xfId="0" applyNumberFormat="1" applyFont="1" applyFill="1" applyBorder="1" applyAlignment="1">
      <alignment horizontal="right" vertical="top" shrinkToFit="1"/>
    </xf>
    <xf numFmtId="167" fontId="6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top" wrapText="1"/>
    </xf>
    <xf numFmtId="165" fontId="10" fillId="0" borderId="0" xfId="0" applyNumberFormat="1" applyFont="1" applyFill="1" applyBorder="1" applyAlignment="1">
      <alignment horizontal="center" vertical="top" shrinkToFit="1"/>
    </xf>
    <xf numFmtId="168" fontId="0" fillId="0" borderId="13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left" vertical="top" wrapText="1"/>
    </xf>
    <xf numFmtId="165" fontId="6" fillId="0" borderId="1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65" fontId="6" fillId="0" borderId="2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left" vertical="top" wrapText="1"/>
    </xf>
    <xf numFmtId="165" fontId="6" fillId="0" borderId="4" xfId="0" applyNumberFormat="1" applyFont="1" applyFill="1" applyBorder="1" applyAlignment="1">
      <alignment horizontal="center" vertical="top" shrinkToFit="1"/>
    </xf>
    <xf numFmtId="166" fontId="6" fillId="0" borderId="4" xfId="0" applyNumberFormat="1" applyFont="1" applyFill="1" applyBorder="1" applyAlignment="1">
      <alignment horizontal="left" vertical="top" shrinkToFit="1"/>
    </xf>
    <xf numFmtId="44" fontId="0" fillId="0" borderId="0" xfId="2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 wrapText="1"/>
    </xf>
    <xf numFmtId="9" fontId="27" fillId="0" borderId="13" xfId="0" applyNumberFormat="1" applyFont="1" applyFill="1" applyBorder="1" applyAlignment="1">
      <alignment horizontal="left" vertical="top"/>
    </xf>
    <xf numFmtId="1" fontId="27" fillId="0" borderId="13" xfId="0" applyNumberFormat="1" applyFont="1" applyFill="1" applyBorder="1" applyAlignment="1">
      <alignment horizontal="left" vertical="top"/>
    </xf>
    <xf numFmtId="166" fontId="10" fillId="0" borderId="5" xfId="0" applyNumberFormat="1" applyFont="1" applyFill="1" applyBorder="1" applyAlignment="1">
      <alignment horizontal="left" vertical="top" shrinkToFit="1"/>
    </xf>
    <xf numFmtId="1" fontId="0" fillId="0" borderId="13" xfId="0" applyNumberFormat="1" applyFill="1" applyBorder="1" applyAlignment="1">
      <alignment horizontal="left" vertical="top"/>
    </xf>
    <xf numFmtId="0" fontId="27" fillId="0" borderId="13" xfId="0" applyFont="1" applyFill="1" applyBorder="1" applyAlignment="1">
      <alignment horizontal="left" vertical="top"/>
    </xf>
    <xf numFmtId="168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168" fontId="27" fillId="0" borderId="0" xfId="0" applyNumberFormat="1" applyFont="1" applyFill="1" applyBorder="1" applyAlignment="1">
      <alignment horizontal="left" vertical="top"/>
    </xf>
    <xf numFmtId="166" fontId="6" fillId="0" borderId="7" xfId="0" applyNumberFormat="1" applyFont="1" applyFill="1" applyBorder="1" applyAlignment="1">
      <alignment horizontal="left" vertical="top" shrinkToFit="1"/>
    </xf>
    <xf numFmtId="0" fontId="4" fillId="0" borderId="6" xfId="0" applyFont="1" applyFill="1" applyBorder="1" applyAlignment="1">
      <alignment horizontal="center" vertical="top" wrapText="1"/>
    </xf>
    <xf numFmtId="44" fontId="4" fillId="0" borderId="2" xfId="2" applyFont="1" applyFill="1" applyBorder="1" applyAlignment="1">
      <alignment horizontal="center" vertical="top" wrapText="1"/>
    </xf>
    <xf numFmtId="9" fontId="4" fillId="0" borderId="2" xfId="0" applyNumberFormat="1" applyFont="1" applyFill="1" applyBorder="1" applyAlignment="1">
      <alignment horizontal="center" vertical="top" wrapText="1"/>
    </xf>
    <xf numFmtId="166" fontId="6" fillId="0" borderId="13" xfId="0" applyNumberFormat="1" applyFont="1" applyFill="1" applyBorder="1" applyAlignment="1">
      <alignment horizontal="left" vertical="top" shrinkToFit="1"/>
    </xf>
    <xf numFmtId="1" fontId="4" fillId="0" borderId="13" xfId="2" applyNumberFormat="1" applyFont="1" applyFill="1" applyBorder="1" applyAlignment="1">
      <alignment horizontal="center" vertical="top" wrapText="1"/>
    </xf>
    <xf numFmtId="168" fontId="27" fillId="0" borderId="13" xfId="0" applyNumberFormat="1" applyFont="1" applyFill="1" applyBorder="1" applyAlignment="1">
      <alignment horizontal="left" vertical="top"/>
    </xf>
    <xf numFmtId="1" fontId="28" fillId="0" borderId="13" xfId="2" applyNumberFormat="1" applyFont="1" applyFill="1" applyBorder="1" applyAlignment="1">
      <alignment horizontal="center" vertical="top" shrinkToFit="1"/>
    </xf>
    <xf numFmtId="44" fontId="27" fillId="0" borderId="13" xfId="2" applyFont="1" applyFill="1" applyBorder="1" applyAlignment="1">
      <alignment horizontal="left" vertical="top"/>
    </xf>
    <xf numFmtId="169" fontId="4" fillId="0" borderId="13" xfId="2" applyNumberFormat="1" applyFont="1" applyFill="1" applyBorder="1" applyAlignment="1">
      <alignment horizontal="left" vertical="top" wrapText="1"/>
    </xf>
    <xf numFmtId="169" fontId="28" fillId="0" borderId="13" xfId="2" applyNumberFormat="1" applyFont="1" applyFill="1" applyBorder="1" applyAlignment="1">
      <alignment horizontal="left" vertical="top" shrinkToFit="1"/>
    </xf>
    <xf numFmtId="169" fontId="27" fillId="0" borderId="13" xfId="2" applyNumberFormat="1" applyFont="1" applyFill="1" applyBorder="1" applyAlignment="1">
      <alignment horizontal="left" vertical="top"/>
    </xf>
    <xf numFmtId="0" fontId="20" fillId="0" borderId="1" xfId="0" applyFont="1" applyFill="1" applyBorder="1" applyAlignment="1">
      <alignment horizontal="left" vertical="top" wrapText="1"/>
    </xf>
    <xf numFmtId="9" fontId="7" fillId="0" borderId="13" xfId="0" applyNumberFormat="1" applyFont="1" applyFill="1" applyBorder="1" applyAlignment="1">
      <alignment horizontal="left" vertical="top" wrapText="1"/>
    </xf>
    <xf numFmtId="166" fontId="10" fillId="0" borderId="13" xfId="0" applyNumberFormat="1" applyFont="1" applyFill="1" applyBorder="1" applyAlignment="1">
      <alignment horizontal="left" vertical="top" shrinkToFit="1"/>
    </xf>
    <xf numFmtId="9" fontId="4" fillId="0" borderId="1" xfId="0" applyNumberFormat="1" applyFont="1" applyFill="1" applyBorder="1" applyAlignment="1">
      <alignment horizontal="left" vertical="top" wrapText="1"/>
    </xf>
    <xf numFmtId="9" fontId="1" fillId="0" borderId="1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</cellXfs>
  <cellStyles count="3">
    <cellStyle name="Moneda" xfId="2" builtinId="4"/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5.jpe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jpeg"/><Relationship Id="rId11" Type="http://schemas.openxmlformats.org/officeDocument/2006/relationships/image" Target="../media/image31.jpeg"/><Relationship Id="rId5" Type="http://schemas.openxmlformats.org/officeDocument/2006/relationships/image" Target="../media/image25.jpeg"/><Relationship Id="rId10" Type="http://schemas.openxmlformats.org/officeDocument/2006/relationships/image" Target="../media/image30.jpeg"/><Relationship Id="rId4" Type="http://schemas.openxmlformats.org/officeDocument/2006/relationships/image" Target="../media/image24.png"/><Relationship Id="rId9" Type="http://schemas.openxmlformats.org/officeDocument/2006/relationships/image" Target="../media/image29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4.png"/><Relationship Id="rId7" Type="http://schemas.openxmlformats.org/officeDocument/2006/relationships/image" Target="../media/image5.jpe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3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jpeg"/><Relationship Id="rId1" Type="http://schemas.openxmlformats.org/officeDocument/2006/relationships/image" Target="../media/image4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eg"/><Relationship Id="rId7" Type="http://schemas.openxmlformats.org/officeDocument/2006/relationships/image" Target="../media/image54.png"/><Relationship Id="rId2" Type="http://schemas.openxmlformats.org/officeDocument/2006/relationships/image" Target="../media/image49.jpeg"/><Relationship Id="rId1" Type="http://schemas.openxmlformats.org/officeDocument/2006/relationships/image" Target="../media/image48.jpeg"/><Relationship Id="rId6" Type="http://schemas.openxmlformats.org/officeDocument/2006/relationships/image" Target="../media/image53.jpeg"/><Relationship Id="rId5" Type="http://schemas.openxmlformats.org/officeDocument/2006/relationships/image" Target="../media/image52.png"/><Relationship Id="rId4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65769</xdr:colOff>
      <xdr:row>2</xdr:row>
      <xdr:rowOff>141988</xdr:rowOff>
    </xdr:from>
    <xdr:ext cx="932687" cy="688847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2687" cy="688847"/>
        </a:xfrm>
        <a:prstGeom prst="rect">
          <a:avLst/>
        </a:prstGeom>
      </xdr:spPr>
    </xdr:pic>
    <xdr:clientData/>
  </xdr:oneCellAnchor>
  <xdr:oneCellAnchor>
    <xdr:from>
      <xdr:col>9</xdr:col>
      <xdr:colOff>382761</xdr:colOff>
      <xdr:row>7</xdr:row>
      <xdr:rowOff>56644</xdr:rowOff>
    </xdr:from>
    <xdr:ext cx="243839" cy="280415"/>
    <xdr:pic>
      <xdr:nvPicPr>
        <xdr:cNvPr id="3" name="image2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839" cy="280415"/>
        </a:xfrm>
        <a:prstGeom prst="rect">
          <a:avLst/>
        </a:prstGeom>
      </xdr:spPr>
    </xdr:pic>
    <xdr:clientData/>
  </xdr:oneCellAnchor>
  <xdr:oneCellAnchor>
    <xdr:from>
      <xdr:col>9</xdr:col>
      <xdr:colOff>99297</xdr:colOff>
      <xdr:row>9</xdr:row>
      <xdr:rowOff>41404</xdr:rowOff>
    </xdr:from>
    <xdr:ext cx="914399" cy="679703"/>
    <xdr:pic>
      <xdr:nvPicPr>
        <xdr:cNvPr id="4" name="image3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99" cy="679703"/>
        </a:xfrm>
        <a:prstGeom prst="rect">
          <a:avLst/>
        </a:prstGeom>
      </xdr:spPr>
    </xdr:pic>
    <xdr:clientData/>
  </xdr:oneCellAnchor>
  <xdr:oneCellAnchor>
    <xdr:from>
      <xdr:col>9</xdr:col>
      <xdr:colOff>273033</xdr:colOff>
      <xdr:row>20</xdr:row>
      <xdr:rowOff>231904</xdr:rowOff>
    </xdr:from>
    <xdr:ext cx="457199" cy="743711"/>
    <xdr:pic>
      <xdr:nvPicPr>
        <xdr:cNvPr id="5" name="image4.jpe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199" cy="743711"/>
        </a:xfrm>
        <a:prstGeom prst="rect">
          <a:avLst/>
        </a:prstGeom>
      </xdr:spPr>
    </xdr:pic>
    <xdr:clientData/>
  </xdr:oneCellAnchor>
  <xdr:oneCellAnchor>
    <xdr:from>
      <xdr:col>0</xdr:col>
      <xdr:colOff>640079</xdr:colOff>
      <xdr:row>17</xdr:row>
      <xdr:rowOff>243205</xdr:rowOff>
    </xdr:from>
    <xdr:ext cx="1783079" cy="425874"/>
    <xdr:pic>
      <xdr:nvPicPr>
        <xdr:cNvPr id="6" name="image5.jpe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3079" cy="425874"/>
        </a:xfrm>
        <a:prstGeom prst="rect">
          <a:avLst/>
        </a:prstGeom>
      </xdr:spPr>
    </xdr:pic>
    <xdr:clientData/>
  </xdr:oneCellAnchor>
  <xdr:oneCellAnchor>
    <xdr:from>
      <xdr:col>9</xdr:col>
      <xdr:colOff>4809</xdr:colOff>
      <xdr:row>13</xdr:row>
      <xdr:rowOff>199900</xdr:rowOff>
    </xdr:from>
    <xdr:ext cx="1045463" cy="463295"/>
    <xdr:pic>
      <xdr:nvPicPr>
        <xdr:cNvPr id="7" name="image6.jpe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463" cy="4632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1633993" y="213645"/>
    <xdr:ext cx="441838" cy="615695"/>
    <xdr:pic>
      <xdr:nvPicPr>
        <xdr:cNvPr id="8" name="image7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3993" y="213645"/>
          <a:ext cx="441838" cy="615695"/>
        </a:xfrm>
        <a:prstGeom prst="rect">
          <a:avLst/>
        </a:prstGeom>
      </xdr:spPr>
    </xdr:pic>
    <xdr:clientData/>
  </xdr:absoluteAnchor>
  <xdr:oneCellAnchor>
    <xdr:from>
      <xdr:col>9</xdr:col>
      <xdr:colOff>82533</xdr:colOff>
      <xdr:row>7</xdr:row>
      <xdr:rowOff>85218</xdr:rowOff>
    </xdr:from>
    <xdr:ext cx="810767" cy="591311"/>
    <xdr:pic>
      <xdr:nvPicPr>
        <xdr:cNvPr id="9" name="image8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1558" y="1571118"/>
          <a:ext cx="810767" cy="591311"/>
        </a:xfrm>
        <a:prstGeom prst="rect">
          <a:avLst/>
        </a:prstGeom>
      </xdr:spPr>
    </xdr:pic>
    <xdr:clientData/>
  </xdr:oneCellAnchor>
  <xdr:oneCellAnchor>
    <xdr:from>
      <xdr:col>9</xdr:col>
      <xdr:colOff>187308</xdr:colOff>
      <xdr:row>11</xdr:row>
      <xdr:rowOff>216283</xdr:rowOff>
    </xdr:from>
    <xdr:ext cx="831995" cy="688587"/>
    <xdr:pic>
      <xdr:nvPicPr>
        <xdr:cNvPr id="10" name="image9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6333" y="2568958"/>
          <a:ext cx="831995" cy="688587"/>
        </a:xfrm>
        <a:prstGeom prst="rect">
          <a:avLst/>
        </a:prstGeom>
      </xdr:spPr>
    </xdr:pic>
    <xdr:clientData/>
  </xdr:oneCellAnchor>
  <xdr:absoluteAnchor>
    <xdr:pos x="11326908" y="3867141"/>
    <xdr:ext cx="832059" cy="539130"/>
    <xdr:pic>
      <xdr:nvPicPr>
        <xdr:cNvPr id="11" name="image10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6908" y="3867141"/>
          <a:ext cx="832059" cy="539130"/>
        </a:xfrm>
        <a:prstGeom prst="rect">
          <a:avLst/>
        </a:prstGeom>
      </xdr:spPr>
    </xdr:pic>
    <xdr:clientData/>
  </xdr:absoluteAnchor>
  <xdr:oneCellAnchor>
    <xdr:from>
      <xdr:col>9</xdr:col>
      <xdr:colOff>233790</xdr:colOff>
      <xdr:row>23</xdr:row>
      <xdr:rowOff>133225</xdr:rowOff>
    </xdr:from>
    <xdr:ext cx="783335" cy="438912"/>
    <xdr:pic>
      <xdr:nvPicPr>
        <xdr:cNvPr id="12" name="image11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2815" y="5210050"/>
          <a:ext cx="783335" cy="438912"/>
        </a:xfrm>
        <a:prstGeom prst="rect">
          <a:avLst/>
        </a:prstGeom>
      </xdr:spPr>
    </xdr:pic>
    <xdr:clientData/>
  </xdr:oneCellAnchor>
  <xdr:absoluteAnchor>
    <xdr:pos x="11608935" y="6153289"/>
    <xdr:ext cx="786336" cy="536448"/>
    <xdr:pic>
      <xdr:nvPicPr>
        <xdr:cNvPr id="13" name="image12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8935" y="6153289"/>
          <a:ext cx="786336" cy="536448"/>
        </a:xfrm>
        <a:prstGeom prst="rect">
          <a:avLst/>
        </a:prstGeom>
      </xdr:spPr>
    </xdr:pic>
    <xdr:clientData/>
  </xdr:absoluteAnchor>
  <xdr:absoluteAnchor>
    <xdr:pos x="11669537" y="7215390"/>
    <xdr:ext cx="636561" cy="591068"/>
    <xdr:pic>
      <xdr:nvPicPr>
        <xdr:cNvPr id="14" name="image13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9537" y="7215390"/>
          <a:ext cx="636561" cy="591068"/>
        </a:xfrm>
        <a:prstGeom prst="rect">
          <a:avLst/>
        </a:prstGeom>
      </xdr:spPr>
    </xdr:pic>
    <xdr:clientData/>
  </xdr:absoluteAnchor>
  <xdr:absoluteAnchor>
    <xdr:pos x="11607304" y="8797038"/>
    <xdr:ext cx="490219" cy="557537"/>
    <xdr:pic>
      <xdr:nvPicPr>
        <xdr:cNvPr id="15" name="image14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304" y="8797038"/>
          <a:ext cx="490219" cy="557537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133172</xdr:colOff>
      <xdr:row>2</xdr:row>
      <xdr:rowOff>75424</xdr:rowOff>
    </xdr:from>
    <xdr:ext cx="708659" cy="601979"/>
    <xdr:pic>
      <xdr:nvPicPr>
        <xdr:cNvPr id="16" name="image15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522" y="580249"/>
          <a:ext cx="708659" cy="601979"/>
        </a:xfrm>
        <a:prstGeom prst="rect">
          <a:avLst/>
        </a:prstGeom>
      </xdr:spPr>
    </xdr:pic>
    <xdr:clientData/>
  </xdr:oneCellAnchor>
  <xdr:oneCellAnchor>
    <xdr:from>
      <xdr:col>9</xdr:col>
      <xdr:colOff>419303</xdr:colOff>
      <xdr:row>5</xdr:row>
      <xdr:rowOff>58914</xdr:rowOff>
    </xdr:from>
    <xdr:ext cx="248300" cy="332231"/>
    <xdr:pic>
      <xdr:nvPicPr>
        <xdr:cNvPr id="17" name="image16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653" y="1249539"/>
          <a:ext cx="248300" cy="332231"/>
        </a:xfrm>
        <a:prstGeom prst="rect">
          <a:avLst/>
        </a:prstGeom>
      </xdr:spPr>
    </xdr:pic>
    <xdr:clientData/>
  </xdr:oneCellAnchor>
  <xdr:oneCellAnchor>
    <xdr:from>
      <xdr:col>9</xdr:col>
      <xdr:colOff>336626</xdr:colOff>
      <xdr:row>7</xdr:row>
      <xdr:rowOff>16623</xdr:rowOff>
    </xdr:from>
    <xdr:ext cx="396239" cy="646175"/>
    <xdr:pic>
      <xdr:nvPicPr>
        <xdr:cNvPr id="18" name="image17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7976" y="1712073"/>
          <a:ext cx="396239" cy="646175"/>
        </a:xfrm>
        <a:prstGeom prst="rect">
          <a:avLst/>
        </a:prstGeom>
      </xdr:spPr>
    </xdr:pic>
    <xdr:clientData/>
  </xdr:oneCellAnchor>
  <xdr:oneCellAnchor>
    <xdr:from>
      <xdr:col>9</xdr:col>
      <xdr:colOff>263855</xdr:colOff>
      <xdr:row>11</xdr:row>
      <xdr:rowOff>47865</xdr:rowOff>
    </xdr:from>
    <xdr:ext cx="588232" cy="533400"/>
    <xdr:pic>
      <xdr:nvPicPr>
        <xdr:cNvPr id="19" name="image18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5205" y="2581515"/>
          <a:ext cx="588232" cy="533400"/>
        </a:xfrm>
        <a:prstGeom prst="rect">
          <a:avLst/>
        </a:prstGeom>
      </xdr:spPr>
    </xdr:pic>
    <xdr:clientData/>
  </xdr:oneCellAnchor>
  <xdr:oneCellAnchor>
    <xdr:from>
      <xdr:col>9</xdr:col>
      <xdr:colOff>303369</xdr:colOff>
      <xdr:row>15</xdr:row>
      <xdr:rowOff>69582</xdr:rowOff>
    </xdr:from>
    <xdr:ext cx="490389" cy="533400"/>
    <xdr:pic>
      <xdr:nvPicPr>
        <xdr:cNvPr id="20" name="image19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719" y="3441432"/>
          <a:ext cx="490389" cy="533400"/>
        </a:xfrm>
        <a:prstGeom prst="rect">
          <a:avLst/>
        </a:prstGeom>
      </xdr:spPr>
    </xdr:pic>
    <xdr:clientData/>
  </xdr:oneCellAnchor>
  <xdr:oneCellAnchor>
    <xdr:from>
      <xdr:col>9</xdr:col>
      <xdr:colOff>280238</xdr:colOff>
      <xdr:row>19</xdr:row>
      <xdr:rowOff>118731</xdr:rowOff>
    </xdr:from>
    <xdr:ext cx="397763" cy="574547"/>
    <xdr:pic>
      <xdr:nvPicPr>
        <xdr:cNvPr id="21" name="image20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1588" y="4328781"/>
          <a:ext cx="397763" cy="574547"/>
        </a:xfrm>
        <a:prstGeom prst="rect">
          <a:avLst/>
        </a:prstGeom>
      </xdr:spPr>
    </xdr:pic>
    <xdr:clientData/>
  </xdr:oneCellAnchor>
  <xdr:oneCellAnchor>
    <xdr:from>
      <xdr:col>0</xdr:col>
      <xdr:colOff>638555</xdr:colOff>
      <xdr:row>24</xdr:row>
      <xdr:rowOff>0</xdr:rowOff>
    </xdr:from>
    <xdr:ext cx="1836419" cy="444706"/>
    <xdr:pic>
      <xdr:nvPicPr>
        <xdr:cNvPr id="22" name="image5.jpe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419" cy="44470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0695186" y="961740"/>
    <xdr:ext cx="540918" cy="565403"/>
    <xdr:pic>
      <xdr:nvPicPr>
        <xdr:cNvPr id="23" name="image2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5186" y="961740"/>
          <a:ext cx="540918" cy="565403"/>
        </a:xfrm>
        <a:prstGeom prst="rect">
          <a:avLst/>
        </a:prstGeom>
      </xdr:spPr>
    </xdr:pic>
    <xdr:clientData/>
  </xdr:absoluteAnchor>
  <xdr:oneCellAnchor>
    <xdr:from>
      <xdr:col>9</xdr:col>
      <xdr:colOff>142170</xdr:colOff>
      <xdr:row>8</xdr:row>
      <xdr:rowOff>202406</xdr:rowOff>
    </xdr:from>
    <xdr:ext cx="830557" cy="591068"/>
    <xdr:pic>
      <xdr:nvPicPr>
        <xdr:cNvPr id="24" name="image22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6345" y="2069306"/>
          <a:ext cx="830557" cy="591068"/>
        </a:xfrm>
        <a:prstGeom prst="rect">
          <a:avLst/>
        </a:prstGeom>
      </xdr:spPr>
    </xdr:pic>
    <xdr:clientData/>
  </xdr:oneCellAnchor>
  <xdr:absoluteAnchor>
    <xdr:pos x="10444049" y="4814416"/>
    <xdr:ext cx="880809" cy="584742"/>
    <xdr:pic>
      <xdr:nvPicPr>
        <xdr:cNvPr id="25" name="image23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44049" y="4814416"/>
          <a:ext cx="880809" cy="584742"/>
        </a:xfrm>
        <a:prstGeom prst="rect">
          <a:avLst/>
        </a:prstGeom>
      </xdr:spPr>
    </xdr:pic>
    <xdr:clientData/>
  </xdr:absoluteAnchor>
  <xdr:absoluteAnchor>
    <xdr:pos x="10551490" y="3331911"/>
    <xdr:ext cx="865631" cy="623315"/>
    <xdr:pic>
      <xdr:nvPicPr>
        <xdr:cNvPr id="26" name="image24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490" y="3331911"/>
          <a:ext cx="865631" cy="623315"/>
        </a:xfrm>
        <a:prstGeom prst="rect">
          <a:avLst/>
        </a:prstGeom>
      </xdr:spPr>
    </xdr:pic>
    <xdr:clientData/>
  </xdr:absoluteAnchor>
  <xdr:absoluteAnchor>
    <xdr:pos x="10390123" y="6512734"/>
    <xdr:ext cx="1075943" cy="603503"/>
    <xdr:pic>
      <xdr:nvPicPr>
        <xdr:cNvPr id="27" name="image25.jpe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123" y="6512734"/>
          <a:ext cx="1075943" cy="603503"/>
        </a:xfrm>
        <a:prstGeom prst="rect">
          <a:avLst/>
        </a:prstGeom>
      </xdr:spPr>
    </xdr:pic>
    <xdr:clientData/>
  </xdr:absoluteAnchor>
  <xdr:oneCellAnchor>
    <xdr:from>
      <xdr:col>0</xdr:col>
      <xdr:colOff>638555</xdr:colOff>
      <xdr:row>25</xdr:row>
      <xdr:rowOff>0</xdr:rowOff>
    </xdr:from>
    <xdr:ext cx="1781555" cy="444764"/>
    <xdr:pic>
      <xdr:nvPicPr>
        <xdr:cNvPr id="28" name="image26.jpe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1555" cy="444764"/>
        </a:xfrm>
        <a:prstGeom prst="rect">
          <a:avLst/>
        </a:prstGeom>
      </xdr:spPr>
    </xdr:pic>
    <xdr:clientData/>
  </xdr:oneCellAnchor>
  <xdr:oneCellAnchor>
    <xdr:from>
      <xdr:col>9</xdr:col>
      <xdr:colOff>81972</xdr:colOff>
      <xdr:row>34</xdr:row>
      <xdr:rowOff>62326</xdr:rowOff>
    </xdr:from>
    <xdr:ext cx="1100327" cy="498347"/>
    <xdr:pic>
      <xdr:nvPicPr>
        <xdr:cNvPr id="29" name="image27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147" y="7777576"/>
          <a:ext cx="1100327" cy="498347"/>
        </a:xfrm>
        <a:prstGeom prst="rect">
          <a:avLst/>
        </a:prstGeom>
      </xdr:spPr>
    </xdr:pic>
    <xdr:clientData/>
  </xdr:oneCellAnchor>
  <xdr:absoluteAnchor>
    <xdr:pos x="10620988" y="9247581"/>
    <xdr:ext cx="636764" cy="590789"/>
    <xdr:pic>
      <xdr:nvPicPr>
        <xdr:cNvPr id="30" name="image28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0988" y="9247581"/>
          <a:ext cx="636764" cy="590789"/>
        </a:xfrm>
        <a:prstGeom prst="rect">
          <a:avLst/>
        </a:prstGeom>
      </xdr:spPr>
    </xdr:pic>
    <xdr:clientData/>
  </xdr:absoluteAnchor>
  <xdr:absoluteAnchor>
    <xdr:pos x="10574336" y="10632809"/>
    <xdr:ext cx="519552" cy="414527"/>
    <xdr:pic>
      <xdr:nvPicPr>
        <xdr:cNvPr id="31" name="image29.jpe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336" y="10632809"/>
          <a:ext cx="519552" cy="414527"/>
        </a:xfrm>
        <a:prstGeom prst="rect">
          <a:avLst/>
        </a:prstGeom>
      </xdr:spPr>
    </xdr:pic>
    <xdr:clientData/>
  </xdr:absoluteAnchor>
  <xdr:absoluteAnchor>
    <xdr:pos x="10620240" y="11841165"/>
    <xdr:ext cx="446286" cy="440375"/>
    <xdr:pic>
      <xdr:nvPicPr>
        <xdr:cNvPr id="32" name="image30.jpe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0240" y="11841165"/>
          <a:ext cx="446286" cy="440375"/>
        </a:xfrm>
        <a:prstGeom prst="rect">
          <a:avLst/>
        </a:prstGeom>
      </xdr:spPr>
    </xdr:pic>
    <xdr:clientData/>
  </xdr:absoluteAnchor>
  <xdr:absoluteAnchor>
    <xdr:pos x="10550042" y="13315725"/>
    <xdr:ext cx="391444" cy="442878"/>
    <xdr:pic>
      <xdr:nvPicPr>
        <xdr:cNvPr id="33" name="image31.jpe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0042" y="13315725"/>
          <a:ext cx="391444" cy="442878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0359974" y="1404987"/>
    <xdr:ext cx="684236" cy="636974"/>
    <xdr:pic>
      <xdr:nvPicPr>
        <xdr:cNvPr id="34" name="image3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9974" y="1404987"/>
          <a:ext cx="684236" cy="636974"/>
        </a:xfrm>
        <a:prstGeom prst="rect">
          <a:avLst/>
        </a:prstGeom>
      </xdr:spPr>
    </xdr:pic>
    <xdr:clientData/>
  </xdr:absoluteAnchor>
  <xdr:oneCellAnchor>
    <xdr:from>
      <xdr:col>9</xdr:col>
      <xdr:colOff>231396</xdr:colOff>
      <xdr:row>8</xdr:row>
      <xdr:rowOff>134352</xdr:rowOff>
    </xdr:from>
    <xdr:ext cx="680920" cy="688587"/>
    <xdr:pic>
      <xdr:nvPicPr>
        <xdr:cNvPr id="35" name="image33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8496" y="2429877"/>
          <a:ext cx="680920" cy="688587"/>
        </a:xfrm>
        <a:prstGeom prst="rect">
          <a:avLst/>
        </a:prstGeom>
      </xdr:spPr>
    </xdr:pic>
    <xdr:clientData/>
  </xdr:oneCellAnchor>
  <xdr:oneCellAnchor>
    <xdr:from>
      <xdr:col>9</xdr:col>
      <xdr:colOff>156274</xdr:colOff>
      <xdr:row>12</xdr:row>
      <xdr:rowOff>110337</xdr:rowOff>
    </xdr:from>
    <xdr:ext cx="876057" cy="540511"/>
    <xdr:pic>
      <xdr:nvPicPr>
        <xdr:cNvPr id="36" name="image34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3374" y="3396462"/>
          <a:ext cx="876057" cy="540511"/>
        </a:xfrm>
        <a:prstGeom prst="rect">
          <a:avLst/>
        </a:prstGeom>
      </xdr:spPr>
    </xdr:pic>
    <xdr:clientData/>
  </xdr:oneCellAnchor>
  <xdr:absoluteAnchor>
    <xdr:pos x="10114229" y="4459083"/>
    <xdr:ext cx="1002791" cy="175259"/>
    <xdr:pic>
      <xdr:nvPicPr>
        <xdr:cNvPr id="37" name="image35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4229" y="4459083"/>
          <a:ext cx="1002791" cy="175259"/>
        </a:xfrm>
        <a:prstGeom prst="rect">
          <a:avLst/>
        </a:prstGeom>
      </xdr:spPr>
    </xdr:pic>
    <xdr:clientData/>
  </xdr:absoluteAnchor>
  <xdr:absoluteAnchor>
    <xdr:pos x="10137089" y="5686792"/>
    <xdr:ext cx="871727" cy="588263"/>
    <xdr:pic>
      <xdr:nvPicPr>
        <xdr:cNvPr id="38" name="image36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7089" y="5686792"/>
          <a:ext cx="871727" cy="588263"/>
        </a:xfrm>
        <a:prstGeom prst="rect">
          <a:avLst/>
        </a:prstGeom>
      </xdr:spPr>
    </xdr:pic>
    <xdr:clientData/>
  </xdr:absoluteAnchor>
  <xdr:absoluteAnchor>
    <xdr:pos x="10174982" y="6708121"/>
    <xdr:ext cx="783074" cy="537789"/>
    <xdr:pic>
      <xdr:nvPicPr>
        <xdr:cNvPr id="39" name="image37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4982" y="6708121"/>
          <a:ext cx="783074" cy="537789"/>
        </a:xfrm>
        <a:prstGeom prst="rect">
          <a:avLst/>
        </a:prstGeom>
      </xdr:spPr>
    </xdr:pic>
    <xdr:clientData/>
  </xdr:absoluteAnchor>
  <xdr:oneCellAnchor>
    <xdr:from>
      <xdr:col>0</xdr:col>
      <xdr:colOff>694943</xdr:colOff>
      <xdr:row>0</xdr:row>
      <xdr:rowOff>279400</xdr:rowOff>
    </xdr:from>
    <xdr:ext cx="1837944" cy="446154"/>
    <xdr:pic>
      <xdr:nvPicPr>
        <xdr:cNvPr id="40" name="image5.jpe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7944" cy="446154"/>
        </a:xfrm>
        <a:prstGeom prst="rect">
          <a:avLst/>
        </a:prstGeom>
      </xdr:spPr>
    </xdr:pic>
    <xdr:clientData/>
  </xdr:oneCellAnchor>
  <xdr:absoluteAnchor>
    <xdr:pos x="10122992" y="8575153"/>
    <xdr:ext cx="1025651" cy="275843"/>
    <xdr:pic>
      <xdr:nvPicPr>
        <xdr:cNvPr id="41" name="image38.pn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2992" y="8575153"/>
          <a:ext cx="1025651" cy="275843"/>
        </a:xfrm>
        <a:prstGeom prst="rect">
          <a:avLst/>
        </a:prstGeom>
      </xdr:spPr>
    </xdr:pic>
    <xdr:clientData/>
  </xdr:absoluteAnchor>
  <xdr:oneCellAnchor>
    <xdr:from>
      <xdr:col>9</xdr:col>
      <xdr:colOff>219503</xdr:colOff>
      <xdr:row>37</xdr:row>
      <xdr:rowOff>180692</xdr:rowOff>
    </xdr:from>
    <xdr:ext cx="785134" cy="488875"/>
    <xdr:pic>
      <xdr:nvPicPr>
        <xdr:cNvPr id="42" name="image39.pn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603" y="9658067"/>
          <a:ext cx="785134" cy="4888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436448</xdr:colOff>
      <xdr:row>1</xdr:row>
      <xdr:rowOff>23862</xdr:rowOff>
    </xdr:from>
    <xdr:ext cx="548640" cy="341375"/>
    <xdr:pic>
      <xdr:nvPicPr>
        <xdr:cNvPr id="43" name="image40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3548" y="23862"/>
          <a:ext cx="548640" cy="341375"/>
        </a:xfrm>
        <a:prstGeom prst="rect">
          <a:avLst/>
        </a:prstGeom>
      </xdr:spPr>
    </xdr:pic>
    <xdr:clientData/>
  </xdr:oneCellAnchor>
  <xdr:oneCellAnchor>
    <xdr:from>
      <xdr:col>9</xdr:col>
      <xdr:colOff>214325</xdr:colOff>
      <xdr:row>3</xdr:row>
      <xdr:rowOff>8114</xdr:rowOff>
    </xdr:from>
    <xdr:ext cx="806196" cy="304800"/>
    <xdr:pic>
      <xdr:nvPicPr>
        <xdr:cNvPr id="44" name="image41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1425" y="722489"/>
          <a:ext cx="806196" cy="304800"/>
        </a:xfrm>
        <a:prstGeom prst="rect">
          <a:avLst/>
        </a:prstGeom>
      </xdr:spPr>
    </xdr:pic>
    <xdr:clientData/>
  </xdr:oneCellAnchor>
  <xdr:oneCellAnchor>
    <xdr:from>
      <xdr:col>9</xdr:col>
      <xdr:colOff>399960</xdr:colOff>
      <xdr:row>4</xdr:row>
      <xdr:rowOff>30339</xdr:rowOff>
    </xdr:from>
    <xdr:ext cx="590843" cy="294131"/>
    <xdr:pic>
      <xdr:nvPicPr>
        <xdr:cNvPr id="45" name="image42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060" y="1068564"/>
          <a:ext cx="590843" cy="294131"/>
        </a:xfrm>
        <a:prstGeom prst="rect">
          <a:avLst/>
        </a:prstGeom>
      </xdr:spPr>
    </xdr:pic>
    <xdr:clientData/>
  </xdr:oneCellAnchor>
  <xdr:oneCellAnchor>
    <xdr:from>
      <xdr:col>9</xdr:col>
      <xdr:colOff>333197</xdr:colOff>
      <xdr:row>2</xdr:row>
      <xdr:rowOff>45960</xdr:rowOff>
    </xdr:from>
    <xdr:ext cx="438911" cy="297086"/>
    <xdr:pic>
      <xdr:nvPicPr>
        <xdr:cNvPr id="46" name="image43.p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297" y="407910"/>
          <a:ext cx="438911" cy="297086"/>
        </a:xfrm>
        <a:prstGeom prst="rect">
          <a:avLst/>
        </a:prstGeom>
      </xdr:spPr>
    </xdr:pic>
    <xdr:clientData/>
  </xdr:oneCellAnchor>
  <xdr:oneCellAnchor>
    <xdr:from>
      <xdr:col>9</xdr:col>
      <xdr:colOff>97358</xdr:colOff>
      <xdr:row>23</xdr:row>
      <xdr:rowOff>210552</xdr:rowOff>
    </xdr:from>
    <xdr:ext cx="783243" cy="736092"/>
    <xdr:pic>
      <xdr:nvPicPr>
        <xdr:cNvPr id="47" name="image44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4458" y="6201777"/>
          <a:ext cx="783243" cy="736092"/>
        </a:xfrm>
        <a:prstGeom prst="rect">
          <a:avLst/>
        </a:prstGeom>
      </xdr:spPr>
    </xdr:pic>
    <xdr:clientData/>
  </xdr:oneCellAnchor>
  <xdr:absoluteAnchor>
    <xdr:pos x="11090237" y="7456409"/>
    <xdr:ext cx="784559" cy="783335"/>
    <xdr:pic>
      <xdr:nvPicPr>
        <xdr:cNvPr id="48" name="image45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0237" y="7456409"/>
          <a:ext cx="784559" cy="783335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1067110" y="700899"/>
    <xdr:ext cx="928096" cy="394511"/>
    <xdr:pic>
      <xdr:nvPicPr>
        <xdr:cNvPr id="49" name="image46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7110" y="700899"/>
          <a:ext cx="928096" cy="394511"/>
        </a:xfrm>
        <a:prstGeom prst="rect">
          <a:avLst/>
        </a:prstGeom>
      </xdr:spPr>
    </xdr:pic>
    <xdr:clientData/>
  </xdr:absoluteAnchor>
  <xdr:absoluteAnchor>
    <xdr:pos x="11205329" y="1731889"/>
    <xdr:ext cx="932241" cy="821178"/>
    <xdr:pic>
      <xdr:nvPicPr>
        <xdr:cNvPr id="50" name="image47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329" y="1731889"/>
          <a:ext cx="932241" cy="821178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751331</xdr:colOff>
      <xdr:row>23</xdr:row>
      <xdr:rowOff>0</xdr:rowOff>
    </xdr:from>
    <xdr:ext cx="2430779" cy="591010"/>
    <xdr:pic>
      <xdr:nvPicPr>
        <xdr:cNvPr id="3" name="image5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1" y="5638800"/>
          <a:ext cx="2430779" cy="59101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259079</xdr:colOff>
      <xdr:row>22</xdr:row>
      <xdr:rowOff>99060</xdr:rowOff>
    </xdr:from>
    <xdr:ext cx="1128358" cy="282311"/>
    <xdr:pic>
      <xdr:nvPicPr>
        <xdr:cNvPr id="6" name="image15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79" y="5128260"/>
          <a:ext cx="1128358" cy="282311"/>
        </a:xfrm>
        <a:prstGeom prst="rect">
          <a:avLst/>
        </a:prstGeom>
      </xdr:spPr>
    </xdr:pic>
    <xdr:clientData/>
  </xdr:oneCellAnchor>
  <xdr:oneCellAnchor>
    <xdr:from>
      <xdr:col>9</xdr:col>
      <xdr:colOff>84768</xdr:colOff>
      <xdr:row>9</xdr:row>
      <xdr:rowOff>90814</xdr:rowOff>
    </xdr:from>
    <xdr:ext cx="885423" cy="958595"/>
    <xdr:pic>
      <xdr:nvPicPr>
        <xdr:cNvPr id="7" name="image18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3688" y="2270134"/>
          <a:ext cx="885423" cy="958595"/>
        </a:xfrm>
        <a:prstGeom prst="rect">
          <a:avLst/>
        </a:prstGeom>
      </xdr:spPr>
    </xdr:pic>
    <xdr:clientData/>
  </xdr:oneCellAnchor>
  <xdr:oneCellAnchor>
    <xdr:from>
      <xdr:col>9</xdr:col>
      <xdr:colOff>148776</xdr:colOff>
      <xdr:row>24</xdr:row>
      <xdr:rowOff>145679</xdr:rowOff>
    </xdr:from>
    <xdr:ext cx="809243" cy="856487"/>
    <xdr:pic>
      <xdr:nvPicPr>
        <xdr:cNvPr id="8" name="image19.jpe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7696" y="5883539"/>
          <a:ext cx="809243" cy="856487"/>
        </a:xfrm>
        <a:prstGeom prst="rect">
          <a:avLst/>
        </a:prstGeom>
      </xdr:spPr>
    </xdr:pic>
    <xdr:clientData/>
  </xdr:oneCellAnchor>
  <xdr:oneCellAnchor>
    <xdr:from>
      <xdr:col>9</xdr:col>
      <xdr:colOff>128964</xdr:colOff>
      <xdr:row>31</xdr:row>
      <xdr:rowOff>60334</xdr:rowOff>
    </xdr:from>
    <xdr:ext cx="816863" cy="1267967"/>
    <xdr:pic>
      <xdr:nvPicPr>
        <xdr:cNvPr id="9" name="image20.jpe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7884" y="7398394"/>
          <a:ext cx="816863" cy="1267967"/>
        </a:xfrm>
        <a:prstGeom prst="rect">
          <a:avLst/>
        </a:prstGeom>
      </xdr:spPr>
    </xdr:pic>
    <xdr:clientData/>
  </xdr:oneCellAnchor>
  <xdr:oneCellAnchor>
    <xdr:from>
      <xdr:col>9</xdr:col>
      <xdr:colOff>162492</xdr:colOff>
      <xdr:row>54</xdr:row>
      <xdr:rowOff>175008</xdr:rowOff>
    </xdr:from>
    <xdr:ext cx="832059" cy="540553"/>
    <xdr:pic>
      <xdr:nvPicPr>
        <xdr:cNvPr id="13" name="image21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1412" y="3604008"/>
          <a:ext cx="832059" cy="540553"/>
        </a:xfrm>
        <a:prstGeom prst="rect">
          <a:avLst/>
        </a:prstGeom>
      </xdr:spPr>
    </xdr:pic>
    <xdr:clientData/>
  </xdr:oneCellAnchor>
  <xdr:oneCellAnchor>
    <xdr:from>
      <xdr:col>9</xdr:col>
      <xdr:colOff>122868</xdr:colOff>
      <xdr:row>39</xdr:row>
      <xdr:rowOff>136534</xdr:rowOff>
    </xdr:from>
    <xdr:ext cx="826007" cy="1245107"/>
    <xdr:pic>
      <xdr:nvPicPr>
        <xdr:cNvPr id="14" name="image22.jpe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1788" y="365134"/>
          <a:ext cx="826007" cy="1245107"/>
        </a:xfrm>
        <a:prstGeom prst="rect">
          <a:avLst/>
        </a:prstGeom>
      </xdr:spPr>
    </xdr:pic>
    <xdr:clientData/>
  </xdr:oneCellAnchor>
  <xdr:oneCellAnchor>
    <xdr:from>
      <xdr:col>9</xdr:col>
      <xdr:colOff>246917</xdr:colOff>
      <xdr:row>57</xdr:row>
      <xdr:rowOff>229498</xdr:rowOff>
    </xdr:from>
    <xdr:ext cx="608110" cy="638346"/>
    <xdr:pic>
      <xdr:nvPicPr>
        <xdr:cNvPr id="15" name="image24.pn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837" y="4344298"/>
          <a:ext cx="608110" cy="6383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K27"/>
  <sheetViews>
    <sheetView zoomScale="115" zoomScaleNormal="115" workbookViewId="0">
      <selection activeCell="H7" sqref="H7"/>
    </sheetView>
  </sheetViews>
  <sheetFormatPr baseColWidth="10" defaultColWidth="9.33203125" defaultRowHeight="13.2" x14ac:dyDescent="0.25"/>
  <cols>
    <col min="1" max="1" width="15.44140625" customWidth="1"/>
    <col min="2" max="2" width="44.6640625" customWidth="1"/>
    <col min="3" max="4" width="10" customWidth="1"/>
    <col min="5" max="9" width="16.6640625" customWidth="1"/>
    <col min="10" max="10" width="20" customWidth="1"/>
    <col min="11" max="11" width="2.6640625" customWidth="1"/>
  </cols>
  <sheetData>
    <row r="1" spans="1:11" ht="27.75" customHeight="1" x14ac:dyDescent="0.25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9.9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7">
        <v>7.0000000000000007E-2</v>
      </c>
      <c r="G2" s="47">
        <v>0.34</v>
      </c>
      <c r="H2" s="47" t="s">
        <v>465</v>
      </c>
      <c r="I2" s="47" t="s">
        <v>466</v>
      </c>
      <c r="J2" s="2" t="s">
        <v>6</v>
      </c>
    </row>
    <row r="3" spans="1:11" ht="19.5" customHeight="1" x14ac:dyDescent="0.25">
      <c r="A3" s="3" t="s">
        <v>7</v>
      </c>
      <c r="B3" s="3" t="s">
        <v>8</v>
      </c>
      <c r="C3" s="3" t="s">
        <v>9</v>
      </c>
      <c r="D3" s="4">
        <v>5.8</v>
      </c>
      <c r="E3" s="5">
        <v>29417</v>
      </c>
      <c r="F3" s="14">
        <f>E3+(E3*$F$2)</f>
        <v>31476.19</v>
      </c>
      <c r="G3" s="14">
        <f>F3-(F3*$G$2)</f>
        <v>20774.285400000001</v>
      </c>
      <c r="H3" s="70"/>
      <c r="I3" s="14">
        <f>G3*H3</f>
        <v>0</v>
      </c>
      <c r="J3" s="132"/>
    </row>
    <row r="4" spans="1:11" ht="19.5" customHeight="1" x14ac:dyDescent="0.25">
      <c r="A4" s="3" t="s">
        <v>10</v>
      </c>
      <c r="B4" s="3" t="s">
        <v>11</v>
      </c>
      <c r="C4" s="3" t="s">
        <v>9</v>
      </c>
      <c r="D4" s="4">
        <v>5.8</v>
      </c>
      <c r="E4" s="5">
        <v>54777</v>
      </c>
      <c r="F4" s="14">
        <f t="shared" ref="F4:F25" si="0">E4+(E4*$F$2)</f>
        <v>58611.39</v>
      </c>
      <c r="G4" s="14">
        <f t="shared" ref="G4:G25" si="1">F4-(F4*$G$2)</f>
        <v>38683.517399999997</v>
      </c>
      <c r="H4" s="71"/>
      <c r="I4" s="14">
        <f t="shared" ref="I4:I25" si="2">G4*H4</f>
        <v>0</v>
      </c>
      <c r="J4" s="133"/>
    </row>
    <row r="5" spans="1:11" ht="19.5" customHeight="1" x14ac:dyDescent="0.25">
      <c r="A5" s="3" t="s">
        <v>12</v>
      </c>
      <c r="B5" s="69" t="s">
        <v>469</v>
      </c>
      <c r="C5" s="3" t="s">
        <v>9</v>
      </c>
      <c r="D5" s="4">
        <v>5.8</v>
      </c>
      <c r="E5" s="5">
        <v>54777</v>
      </c>
      <c r="F5" s="14">
        <f t="shared" si="0"/>
        <v>58611.39</v>
      </c>
      <c r="G5" s="14">
        <f t="shared" si="1"/>
        <v>38683.517399999997</v>
      </c>
      <c r="H5" s="71"/>
      <c r="I5" s="14">
        <f t="shared" si="2"/>
        <v>0</v>
      </c>
      <c r="J5" s="133"/>
    </row>
    <row r="6" spans="1:11" ht="19.5" customHeight="1" x14ac:dyDescent="0.25">
      <c r="A6" s="3" t="s">
        <v>13</v>
      </c>
      <c r="B6" s="3" t="s">
        <v>14</v>
      </c>
      <c r="C6" s="3" t="s">
        <v>9</v>
      </c>
      <c r="D6" s="4">
        <v>5.8</v>
      </c>
      <c r="E6" s="5">
        <v>54777</v>
      </c>
      <c r="F6" s="14">
        <f t="shared" si="0"/>
        <v>58611.39</v>
      </c>
      <c r="G6" s="14">
        <f t="shared" si="1"/>
        <v>38683.517399999997</v>
      </c>
      <c r="H6" s="71"/>
      <c r="I6" s="14">
        <f t="shared" si="2"/>
        <v>0</v>
      </c>
      <c r="J6" s="133"/>
    </row>
    <row r="7" spans="1:11" ht="19.5" customHeight="1" x14ac:dyDescent="0.25">
      <c r="A7" s="3" t="s">
        <v>15</v>
      </c>
      <c r="B7" s="3" t="s">
        <v>16</v>
      </c>
      <c r="C7" s="3" t="s">
        <v>9</v>
      </c>
      <c r="D7" s="4">
        <v>5.8</v>
      </c>
      <c r="E7" s="5">
        <v>79681</v>
      </c>
      <c r="F7" s="14">
        <f t="shared" si="0"/>
        <v>85258.67</v>
      </c>
      <c r="G7" s="14">
        <f t="shared" si="1"/>
        <v>56270.722199999997</v>
      </c>
      <c r="H7" s="71"/>
      <c r="I7" s="14">
        <f t="shared" si="2"/>
        <v>0</v>
      </c>
      <c r="J7" s="134"/>
    </row>
    <row r="8" spans="1:11" ht="27" customHeight="1" x14ac:dyDescent="0.25">
      <c r="A8" s="3" t="s">
        <v>17</v>
      </c>
      <c r="B8" s="3" t="s">
        <v>18</v>
      </c>
      <c r="C8" s="3" t="s">
        <v>9</v>
      </c>
      <c r="D8" s="4">
        <v>5.8</v>
      </c>
      <c r="E8" s="5">
        <v>9223</v>
      </c>
      <c r="F8" s="14">
        <f t="shared" si="0"/>
        <v>9868.61</v>
      </c>
      <c r="G8" s="14">
        <f t="shared" si="1"/>
        <v>6513.2826000000005</v>
      </c>
      <c r="H8" s="70"/>
      <c r="I8" s="14">
        <f t="shared" si="2"/>
        <v>0</v>
      </c>
      <c r="J8" s="6"/>
    </row>
    <row r="9" spans="1:11" ht="19.5" customHeight="1" x14ac:dyDescent="0.25">
      <c r="A9" s="7" t="s">
        <v>1</v>
      </c>
      <c r="B9" s="7" t="s">
        <v>2</v>
      </c>
      <c r="C9" s="7" t="s">
        <v>3</v>
      </c>
      <c r="D9" s="7" t="s">
        <v>4</v>
      </c>
      <c r="E9" s="7" t="s">
        <v>5</v>
      </c>
      <c r="F9" s="14" t="e">
        <f t="shared" si="0"/>
        <v>#VALUE!</v>
      </c>
      <c r="G9" s="14" t="e">
        <f t="shared" si="1"/>
        <v>#VALUE!</v>
      </c>
      <c r="H9" s="72"/>
      <c r="I9" s="14"/>
      <c r="J9" s="8" t="s">
        <v>19</v>
      </c>
    </row>
    <row r="10" spans="1:11" ht="19.5" customHeight="1" x14ac:dyDescent="0.25">
      <c r="A10" s="3" t="s">
        <v>20</v>
      </c>
      <c r="B10" s="3" t="s">
        <v>21</v>
      </c>
      <c r="C10" s="3" t="s">
        <v>9</v>
      </c>
      <c r="D10" s="9">
        <v>5.8</v>
      </c>
      <c r="E10" s="5">
        <v>38676</v>
      </c>
      <c r="F10" s="14">
        <f t="shared" si="0"/>
        <v>41383.32</v>
      </c>
      <c r="G10" s="14">
        <f t="shared" si="1"/>
        <v>27312.991199999997</v>
      </c>
      <c r="H10" s="70"/>
      <c r="I10" s="14">
        <f t="shared" si="2"/>
        <v>0</v>
      </c>
      <c r="J10" s="132"/>
    </row>
    <row r="11" spans="1:11" ht="19.5" customHeight="1" x14ac:dyDescent="0.25">
      <c r="A11" s="3" t="s">
        <v>22</v>
      </c>
      <c r="B11" s="3" t="s">
        <v>23</v>
      </c>
      <c r="C11" s="3" t="s">
        <v>9</v>
      </c>
      <c r="D11" s="9">
        <v>5.8</v>
      </c>
      <c r="E11" s="5">
        <v>64749</v>
      </c>
      <c r="F11" s="14">
        <f t="shared" si="0"/>
        <v>69281.429999999993</v>
      </c>
      <c r="G11" s="14">
        <f t="shared" si="1"/>
        <v>45725.743799999997</v>
      </c>
      <c r="H11" s="71"/>
      <c r="I11" s="14">
        <f t="shared" si="2"/>
        <v>0</v>
      </c>
      <c r="J11" s="133"/>
    </row>
    <row r="12" spans="1:11" ht="19.5" customHeight="1" x14ac:dyDescent="0.25">
      <c r="A12" s="3" t="s">
        <v>24</v>
      </c>
      <c r="B12" s="3" t="s">
        <v>25</v>
      </c>
      <c r="C12" s="3" t="s">
        <v>9</v>
      </c>
      <c r="D12" s="9">
        <v>5.8</v>
      </c>
      <c r="E12" s="5">
        <v>64749</v>
      </c>
      <c r="F12" s="14">
        <f t="shared" si="0"/>
        <v>69281.429999999993</v>
      </c>
      <c r="G12" s="14">
        <f t="shared" si="1"/>
        <v>45725.743799999997</v>
      </c>
      <c r="H12" s="71"/>
      <c r="I12" s="14">
        <f t="shared" si="2"/>
        <v>0</v>
      </c>
      <c r="J12" s="134"/>
    </row>
    <row r="13" spans="1:11" ht="19.5" customHeight="1" x14ac:dyDescent="0.25">
      <c r="A13" s="7" t="s">
        <v>1</v>
      </c>
      <c r="B13" s="7" t="s">
        <v>2</v>
      </c>
      <c r="C13" s="7" t="s">
        <v>3</v>
      </c>
      <c r="D13" s="7" t="s">
        <v>4</v>
      </c>
      <c r="E13" s="7" t="s">
        <v>5</v>
      </c>
      <c r="F13" s="14" t="e">
        <f t="shared" si="0"/>
        <v>#VALUE!</v>
      </c>
      <c r="G13" s="14" t="e">
        <f t="shared" si="1"/>
        <v>#VALUE!</v>
      </c>
      <c r="H13" s="72"/>
      <c r="I13" s="14"/>
      <c r="J13" s="10" t="s">
        <v>6</v>
      </c>
    </row>
    <row r="14" spans="1:11" ht="19.5" customHeight="1" x14ac:dyDescent="0.25">
      <c r="A14" s="3" t="s">
        <v>26</v>
      </c>
      <c r="B14" s="3" t="s">
        <v>27</v>
      </c>
      <c r="C14" s="3" t="s">
        <v>9</v>
      </c>
      <c r="D14" s="4">
        <v>5.8</v>
      </c>
      <c r="E14" s="5">
        <v>45093</v>
      </c>
      <c r="F14" s="14">
        <f t="shared" si="0"/>
        <v>48249.51</v>
      </c>
      <c r="G14" s="14">
        <f t="shared" si="1"/>
        <v>31844.676599999999</v>
      </c>
      <c r="H14" s="70"/>
      <c r="I14" s="14">
        <f t="shared" si="2"/>
        <v>0</v>
      </c>
      <c r="J14" s="132"/>
    </row>
    <row r="15" spans="1:11" ht="19.5" customHeight="1" x14ac:dyDescent="0.25">
      <c r="A15" s="3" t="s">
        <v>28</v>
      </c>
      <c r="B15" s="3" t="s">
        <v>29</v>
      </c>
      <c r="C15" s="3" t="s">
        <v>9</v>
      </c>
      <c r="D15" s="4">
        <v>5.8</v>
      </c>
      <c r="E15" s="5">
        <v>92948</v>
      </c>
      <c r="F15" s="14">
        <f t="shared" si="0"/>
        <v>99454.36</v>
      </c>
      <c r="G15" s="14">
        <f t="shared" si="1"/>
        <v>65639.877600000007</v>
      </c>
      <c r="H15" s="71"/>
      <c r="I15" s="14">
        <f t="shared" si="2"/>
        <v>0</v>
      </c>
      <c r="J15" s="133"/>
    </row>
    <row r="16" spans="1:11" ht="19.5" customHeight="1" x14ac:dyDescent="0.25">
      <c r="A16" s="3" t="s">
        <v>30</v>
      </c>
      <c r="B16" s="3" t="s">
        <v>31</v>
      </c>
      <c r="C16" s="3" t="s">
        <v>9</v>
      </c>
      <c r="D16" s="4">
        <v>5.8</v>
      </c>
      <c r="E16" s="5">
        <v>92948</v>
      </c>
      <c r="F16" s="14">
        <f t="shared" si="0"/>
        <v>99454.36</v>
      </c>
      <c r="G16" s="14">
        <f t="shared" si="1"/>
        <v>65639.877600000007</v>
      </c>
      <c r="H16" s="71"/>
      <c r="I16" s="14">
        <f t="shared" si="2"/>
        <v>0</v>
      </c>
      <c r="J16" s="133"/>
    </row>
    <row r="17" spans="1:10" ht="19.5" customHeight="1" x14ac:dyDescent="0.25">
      <c r="A17" s="3" t="s">
        <v>32</v>
      </c>
      <c r="B17" s="3" t="s">
        <v>33</v>
      </c>
      <c r="C17" s="3" t="s">
        <v>9</v>
      </c>
      <c r="D17" s="4">
        <v>5.8</v>
      </c>
      <c r="E17" s="5">
        <v>92948</v>
      </c>
      <c r="F17" s="14">
        <f t="shared" si="0"/>
        <v>99454.36</v>
      </c>
      <c r="G17" s="14">
        <f t="shared" si="1"/>
        <v>65639.877600000007</v>
      </c>
      <c r="H17" s="71"/>
      <c r="I17" s="14">
        <f t="shared" si="2"/>
        <v>0</v>
      </c>
      <c r="J17" s="133"/>
    </row>
    <row r="18" spans="1:10" ht="19.5" customHeight="1" x14ac:dyDescent="0.25">
      <c r="A18" s="3" t="s">
        <v>34</v>
      </c>
      <c r="B18" s="3" t="s">
        <v>35</v>
      </c>
      <c r="C18" s="3" t="s">
        <v>9</v>
      </c>
      <c r="D18" s="4">
        <v>5.8</v>
      </c>
      <c r="E18" s="5">
        <v>115934</v>
      </c>
      <c r="F18" s="14">
        <f t="shared" si="0"/>
        <v>124049.38</v>
      </c>
      <c r="G18" s="14">
        <f t="shared" si="1"/>
        <v>81872.590800000005</v>
      </c>
      <c r="H18" s="71"/>
      <c r="I18" s="14">
        <f t="shared" si="2"/>
        <v>0</v>
      </c>
      <c r="J18" s="134"/>
    </row>
    <row r="19" spans="1:10" ht="33.9" customHeight="1" x14ac:dyDescent="0.25">
      <c r="F19" s="14">
        <f t="shared" si="0"/>
        <v>0</v>
      </c>
      <c r="G19" s="14">
        <f t="shared" si="1"/>
        <v>0</v>
      </c>
      <c r="H19" s="73"/>
      <c r="I19" s="14">
        <f t="shared" si="2"/>
        <v>0</v>
      </c>
    </row>
    <row r="20" spans="1:10" ht="9.9" customHeight="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4" t="e">
        <f t="shared" si="0"/>
        <v>#VALUE!</v>
      </c>
      <c r="G20" s="14" t="e">
        <f t="shared" si="1"/>
        <v>#VALUE!</v>
      </c>
      <c r="H20" s="74"/>
      <c r="I20" s="14"/>
      <c r="J20" s="2" t="s">
        <v>6</v>
      </c>
    </row>
    <row r="21" spans="1:10" ht="21.75" customHeight="1" x14ac:dyDescent="0.25">
      <c r="A21" s="3" t="s">
        <v>36</v>
      </c>
      <c r="B21" s="3" t="s">
        <v>37</v>
      </c>
      <c r="C21" s="3" t="s">
        <v>9</v>
      </c>
      <c r="D21" s="9">
        <v>5.8</v>
      </c>
      <c r="E21" s="5">
        <v>36478</v>
      </c>
      <c r="F21" s="14">
        <f t="shared" si="0"/>
        <v>39031.46</v>
      </c>
      <c r="G21" s="14">
        <f t="shared" si="1"/>
        <v>25760.763599999998</v>
      </c>
      <c r="H21" s="70"/>
      <c r="I21" s="14">
        <f t="shared" si="2"/>
        <v>0</v>
      </c>
      <c r="J21" s="132"/>
    </row>
    <row r="22" spans="1:10" ht="19.5" customHeight="1" x14ac:dyDescent="0.25">
      <c r="A22" s="3" t="s">
        <v>38</v>
      </c>
      <c r="B22" s="3" t="s">
        <v>39</v>
      </c>
      <c r="C22" s="3" t="s">
        <v>9</v>
      </c>
      <c r="D22" s="9">
        <v>5.8</v>
      </c>
      <c r="E22" s="5">
        <v>62457</v>
      </c>
      <c r="F22" s="14">
        <f t="shared" si="0"/>
        <v>66828.990000000005</v>
      </c>
      <c r="G22" s="14">
        <f t="shared" si="1"/>
        <v>44107.133400000006</v>
      </c>
      <c r="H22" s="71"/>
      <c r="I22" s="14">
        <f t="shared" si="2"/>
        <v>0</v>
      </c>
      <c r="J22" s="133"/>
    </row>
    <row r="23" spans="1:10" ht="19.5" customHeight="1" x14ac:dyDescent="0.25">
      <c r="A23" s="3" t="s">
        <v>40</v>
      </c>
      <c r="B23" s="3" t="s">
        <v>41</v>
      </c>
      <c r="C23" s="3" t="s">
        <v>9</v>
      </c>
      <c r="D23" s="9">
        <v>5.8</v>
      </c>
      <c r="E23" s="5">
        <v>62457</v>
      </c>
      <c r="F23" s="14">
        <f t="shared" si="0"/>
        <v>66828.990000000005</v>
      </c>
      <c r="G23" s="14">
        <f t="shared" si="1"/>
        <v>44107.133400000006</v>
      </c>
      <c r="H23" s="71"/>
      <c r="I23" s="14">
        <f t="shared" si="2"/>
        <v>0</v>
      </c>
      <c r="J23" s="133"/>
    </row>
    <row r="24" spans="1:10" ht="19.5" customHeight="1" x14ac:dyDescent="0.25">
      <c r="A24" s="3" t="s">
        <v>42</v>
      </c>
      <c r="B24" s="3" t="s">
        <v>43</v>
      </c>
      <c r="C24" s="3" t="s">
        <v>9</v>
      </c>
      <c r="D24" s="9">
        <v>5.8</v>
      </c>
      <c r="E24" s="5">
        <v>62457</v>
      </c>
      <c r="F24" s="14">
        <f t="shared" si="0"/>
        <v>66828.990000000005</v>
      </c>
      <c r="G24" s="14">
        <f t="shared" si="1"/>
        <v>44107.133400000006</v>
      </c>
      <c r="H24" s="71"/>
      <c r="I24" s="14">
        <f t="shared" si="2"/>
        <v>0</v>
      </c>
      <c r="J24" s="133"/>
    </row>
    <row r="25" spans="1:10" ht="19.5" customHeight="1" x14ac:dyDescent="0.25">
      <c r="A25" s="3" t="s">
        <v>44</v>
      </c>
      <c r="B25" s="3" t="s">
        <v>45</v>
      </c>
      <c r="C25" s="3" t="s">
        <v>9</v>
      </c>
      <c r="D25" s="9">
        <v>5.8</v>
      </c>
      <c r="E25" s="5">
        <v>77925</v>
      </c>
      <c r="F25" s="14">
        <f t="shared" si="0"/>
        <v>83379.75</v>
      </c>
      <c r="G25" s="14">
        <f t="shared" si="1"/>
        <v>55030.634999999995</v>
      </c>
      <c r="H25" s="71"/>
      <c r="I25" s="14">
        <f t="shared" si="2"/>
        <v>0</v>
      </c>
      <c r="J25" s="134"/>
    </row>
    <row r="26" spans="1:10" x14ac:dyDescent="0.25">
      <c r="H26">
        <f>SUM(H3:H25)</f>
        <v>0</v>
      </c>
      <c r="I26" s="14">
        <f>SUM(I3:I25)</f>
        <v>0</v>
      </c>
    </row>
    <row r="27" spans="1:10" x14ac:dyDescent="0.25">
      <c r="I27" s="82">
        <f>I30</f>
        <v>0</v>
      </c>
    </row>
  </sheetData>
  <mergeCells count="5">
    <mergeCell ref="A1:K1"/>
    <mergeCell ref="J3:J7"/>
    <mergeCell ref="J10:J12"/>
    <mergeCell ref="J14:J18"/>
    <mergeCell ref="J21:J2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45"/>
  <sheetViews>
    <sheetView topLeftCell="B6" zoomScale="130" zoomScaleNormal="130" workbookViewId="0">
      <selection activeCell="H14" sqref="H14"/>
    </sheetView>
  </sheetViews>
  <sheetFormatPr baseColWidth="10" defaultColWidth="9.33203125" defaultRowHeight="13.2" x14ac:dyDescent="0.25"/>
  <cols>
    <col min="1" max="1" width="15.44140625" customWidth="1"/>
    <col min="2" max="2" width="44.6640625" customWidth="1"/>
    <col min="3" max="4" width="10" customWidth="1"/>
    <col min="5" max="9" width="16.6640625" customWidth="1"/>
    <col min="10" max="10" width="20" customWidth="1"/>
    <col min="11" max="11" width="2.6640625" customWidth="1"/>
  </cols>
  <sheetData>
    <row r="1" spans="1:10" ht="9.9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30">
        <v>7.0000000000000007E-2</v>
      </c>
      <c r="G1" s="47">
        <v>0.34</v>
      </c>
      <c r="H1" s="47" t="s">
        <v>465</v>
      </c>
      <c r="I1" s="2" t="s">
        <v>466</v>
      </c>
      <c r="J1" s="2" t="s">
        <v>6</v>
      </c>
    </row>
    <row r="2" spans="1:10" ht="19.5" customHeight="1" x14ac:dyDescent="0.25">
      <c r="A2" s="3" t="s">
        <v>46</v>
      </c>
      <c r="B2" s="3" t="s">
        <v>47</v>
      </c>
      <c r="C2" s="3" t="s">
        <v>9</v>
      </c>
      <c r="D2" s="9">
        <v>5.8</v>
      </c>
      <c r="E2" s="5">
        <v>30017</v>
      </c>
      <c r="F2" s="14">
        <f>E2+(E2*$F$1)</f>
        <v>32118.19</v>
      </c>
      <c r="G2" s="14">
        <f>F2-(F2*$G$1)</f>
        <v>21198.005399999998</v>
      </c>
      <c r="H2" s="70"/>
      <c r="I2" s="49">
        <f>G2*H2</f>
        <v>0</v>
      </c>
      <c r="J2" s="132"/>
    </row>
    <row r="3" spans="1:10" ht="19.5" customHeight="1" x14ac:dyDescent="0.25">
      <c r="A3" s="3" t="s">
        <v>48</v>
      </c>
      <c r="B3" s="3" t="s">
        <v>49</v>
      </c>
      <c r="C3" s="3" t="s">
        <v>9</v>
      </c>
      <c r="D3" s="9">
        <v>5.8</v>
      </c>
      <c r="E3" s="5">
        <v>49682</v>
      </c>
      <c r="F3" s="14">
        <f t="shared" ref="F3:F43" si="0">E3+(E3*$F$1)</f>
        <v>53159.74</v>
      </c>
      <c r="G3" s="14">
        <f t="shared" ref="G3:G43" si="1">F3-(F3*$G$1)</f>
        <v>35085.428399999997</v>
      </c>
      <c r="H3" s="71"/>
      <c r="I3" s="49">
        <f t="shared" ref="I3:I43" si="2">G3*H3</f>
        <v>0</v>
      </c>
      <c r="J3" s="133"/>
    </row>
    <row r="4" spans="1:10" ht="19.5" customHeight="1" x14ac:dyDescent="0.25">
      <c r="A4" s="3" t="s">
        <v>50</v>
      </c>
      <c r="B4" s="3" t="s">
        <v>51</v>
      </c>
      <c r="C4" s="3" t="s">
        <v>9</v>
      </c>
      <c r="D4" s="9">
        <v>5.8</v>
      </c>
      <c r="E4" s="5">
        <v>49682</v>
      </c>
      <c r="F4" s="14">
        <f t="shared" si="0"/>
        <v>53159.74</v>
      </c>
      <c r="G4" s="14">
        <f t="shared" si="1"/>
        <v>35085.428399999997</v>
      </c>
      <c r="H4" s="71"/>
      <c r="I4" s="49">
        <f t="shared" si="2"/>
        <v>0</v>
      </c>
      <c r="J4" s="133"/>
    </row>
    <row r="5" spans="1:10" ht="19.5" customHeight="1" x14ac:dyDescent="0.25">
      <c r="A5" s="3" t="s">
        <v>52</v>
      </c>
      <c r="B5" s="3" t="s">
        <v>53</v>
      </c>
      <c r="C5" s="3" t="s">
        <v>9</v>
      </c>
      <c r="D5" s="9">
        <v>5.8</v>
      </c>
      <c r="E5" s="5">
        <v>49682</v>
      </c>
      <c r="F5" s="14">
        <f t="shared" si="0"/>
        <v>53159.74</v>
      </c>
      <c r="G5" s="14">
        <f t="shared" si="1"/>
        <v>35085.428399999997</v>
      </c>
      <c r="H5" s="71"/>
      <c r="I5" s="49">
        <f t="shared" si="2"/>
        <v>0</v>
      </c>
      <c r="J5" s="133"/>
    </row>
    <row r="6" spans="1:10" ht="19.5" customHeight="1" x14ac:dyDescent="0.25">
      <c r="A6" s="3" t="s">
        <v>54</v>
      </c>
      <c r="B6" s="3" t="s">
        <v>55</v>
      </c>
      <c r="C6" s="3" t="s">
        <v>9</v>
      </c>
      <c r="D6" s="9">
        <v>5.8</v>
      </c>
      <c r="E6" s="5">
        <v>67469</v>
      </c>
      <c r="F6" s="14">
        <f t="shared" si="0"/>
        <v>72191.83</v>
      </c>
      <c r="G6" s="14">
        <f t="shared" si="1"/>
        <v>47646.607799999998</v>
      </c>
      <c r="H6" s="71"/>
      <c r="I6" s="49">
        <f t="shared" si="2"/>
        <v>0</v>
      </c>
      <c r="J6" s="134"/>
    </row>
    <row r="7" spans="1:10" ht="9.9" customHeight="1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4" t="e">
        <f t="shared" si="0"/>
        <v>#VALUE!</v>
      </c>
      <c r="G7" s="14" t="e">
        <f t="shared" si="1"/>
        <v>#VALUE!</v>
      </c>
      <c r="H7" s="74"/>
      <c r="I7" s="49"/>
      <c r="J7" s="2" t="s">
        <v>6</v>
      </c>
    </row>
    <row r="8" spans="1:10" ht="19.5" customHeight="1" x14ac:dyDescent="0.25">
      <c r="A8" s="3" t="s">
        <v>56</v>
      </c>
      <c r="B8" s="3" t="s">
        <v>57</v>
      </c>
      <c r="C8" s="3" t="s">
        <v>9</v>
      </c>
      <c r="D8" s="9">
        <v>5.8</v>
      </c>
      <c r="E8" s="5">
        <v>26490</v>
      </c>
      <c r="F8" s="14">
        <f t="shared" si="0"/>
        <v>28344.3</v>
      </c>
      <c r="G8" s="14">
        <f t="shared" si="1"/>
        <v>18707.237999999998</v>
      </c>
      <c r="H8" s="70"/>
      <c r="I8" s="49">
        <f t="shared" si="2"/>
        <v>0</v>
      </c>
      <c r="J8" s="132"/>
    </row>
    <row r="9" spans="1:10" ht="19.5" customHeight="1" x14ac:dyDescent="0.25">
      <c r="A9" s="3" t="s">
        <v>58</v>
      </c>
      <c r="B9" s="3" t="s">
        <v>59</v>
      </c>
      <c r="C9" s="3" t="s">
        <v>9</v>
      </c>
      <c r="D9" s="9">
        <v>5.8</v>
      </c>
      <c r="E9" s="5">
        <v>45629</v>
      </c>
      <c r="F9" s="14">
        <f t="shared" si="0"/>
        <v>48823.03</v>
      </c>
      <c r="G9" s="14">
        <f t="shared" si="1"/>
        <v>32223.199799999999</v>
      </c>
      <c r="H9" s="71"/>
      <c r="I9" s="49">
        <f t="shared" si="2"/>
        <v>0</v>
      </c>
      <c r="J9" s="133"/>
    </row>
    <row r="10" spans="1:10" ht="19.5" customHeight="1" x14ac:dyDescent="0.25">
      <c r="A10" s="3" t="s">
        <v>60</v>
      </c>
      <c r="B10" s="3" t="s">
        <v>61</v>
      </c>
      <c r="C10" s="3" t="s">
        <v>9</v>
      </c>
      <c r="D10" s="9">
        <v>5.8</v>
      </c>
      <c r="E10" s="5">
        <v>45629</v>
      </c>
      <c r="F10" s="14">
        <f t="shared" si="0"/>
        <v>48823.03</v>
      </c>
      <c r="G10" s="14">
        <f t="shared" si="1"/>
        <v>32223.199799999999</v>
      </c>
      <c r="H10" s="71"/>
      <c r="I10" s="49">
        <f t="shared" si="2"/>
        <v>0</v>
      </c>
      <c r="J10" s="134"/>
    </row>
    <row r="11" spans="1:10" ht="9.9" customHeight="1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4" t="e">
        <f t="shared" si="0"/>
        <v>#VALUE!</v>
      </c>
      <c r="G11" s="14" t="e">
        <f t="shared" si="1"/>
        <v>#VALUE!</v>
      </c>
      <c r="H11" s="74"/>
      <c r="I11" s="49"/>
      <c r="J11" s="2" t="s">
        <v>6</v>
      </c>
    </row>
    <row r="12" spans="1:10" ht="19.5" customHeight="1" x14ac:dyDescent="0.25">
      <c r="A12" s="3" t="s">
        <v>62</v>
      </c>
      <c r="B12" s="3" t="s">
        <v>63</v>
      </c>
      <c r="C12" s="3" t="s">
        <v>9</v>
      </c>
      <c r="D12" s="9">
        <v>5.8</v>
      </c>
      <c r="E12" s="5">
        <v>11777</v>
      </c>
      <c r="F12" s="14">
        <f t="shared" si="0"/>
        <v>12601.39</v>
      </c>
      <c r="G12" s="14">
        <f t="shared" si="1"/>
        <v>8316.9173999999985</v>
      </c>
      <c r="H12" s="70"/>
      <c r="I12" s="49">
        <f t="shared" si="2"/>
        <v>0</v>
      </c>
      <c r="J12" s="132"/>
    </row>
    <row r="13" spans="1:10" ht="19.5" customHeight="1" x14ac:dyDescent="0.25">
      <c r="A13" s="3" t="s">
        <v>64</v>
      </c>
      <c r="B13" s="3" t="s">
        <v>65</v>
      </c>
      <c r="C13" s="3" t="s">
        <v>9</v>
      </c>
      <c r="D13" s="9">
        <v>5.8</v>
      </c>
      <c r="E13" s="5">
        <v>24640</v>
      </c>
      <c r="F13" s="14">
        <f t="shared" si="0"/>
        <v>26364.799999999999</v>
      </c>
      <c r="G13" s="14">
        <f t="shared" si="1"/>
        <v>17400.767999999996</v>
      </c>
      <c r="H13" s="71"/>
      <c r="I13" s="49">
        <f t="shared" si="2"/>
        <v>0</v>
      </c>
      <c r="J13" s="133"/>
    </row>
    <row r="14" spans="1:10" ht="19.5" customHeight="1" x14ac:dyDescent="0.25">
      <c r="A14" s="3" t="s">
        <v>66</v>
      </c>
      <c r="B14" s="3" t="s">
        <v>67</v>
      </c>
      <c r="C14" s="3" t="s">
        <v>9</v>
      </c>
      <c r="D14" s="9">
        <v>5.8</v>
      </c>
      <c r="E14" s="5">
        <v>24640</v>
      </c>
      <c r="F14" s="14">
        <f t="shared" si="0"/>
        <v>26364.799999999999</v>
      </c>
      <c r="G14" s="14">
        <f t="shared" si="1"/>
        <v>17400.767999999996</v>
      </c>
      <c r="H14" s="71"/>
      <c r="I14" s="49">
        <f t="shared" si="2"/>
        <v>0</v>
      </c>
      <c r="J14" s="133"/>
    </row>
    <row r="15" spans="1:10" ht="19.5" customHeight="1" x14ac:dyDescent="0.25">
      <c r="A15" s="3" t="s">
        <v>68</v>
      </c>
      <c r="B15" s="3" t="s">
        <v>69</v>
      </c>
      <c r="C15" s="3" t="s">
        <v>9</v>
      </c>
      <c r="D15" s="9">
        <v>5.8</v>
      </c>
      <c r="E15" s="5">
        <v>24640</v>
      </c>
      <c r="F15" s="14">
        <f t="shared" si="0"/>
        <v>26364.799999999999</v>
      </c>
      <c r="G15" s="14">
        <f t="shared" si="1"/>
        <v>17400.767999999996</v>
      </c>
      <c r="H15" s="71"/>
      <c r="I15" s="49">
        <f t="shared" si="2"/>
        <v>0</v>
      </c>
      <c r="J15" s="133"/>
    </row>
    <row r="16" spans="1:10" ht="19.5" customHeight="1" x14ac:dyDescent="0.25">
      <c r="A16" s="3" t="s">
        <v>70</v>
      </c>
      <c r="B16" s="3" t="s">
        <v>71</v>
      </c>
      <c r="C16" s="3" t="s">
        <v>9</v>
      </c>
      <c r="D16" s="9">
        <v>5.8</v>
      </c>
      <c r="E16" s="5">
        <v>30071</v>
      </c>
      <c r="F16" s="14">
        <f t="shared" si="0"/>
        <v>32175.97</v>
      </c>
      <c r="G16" s="14">
        <f t="shared" si="1"/>
        <v>21236.140200000002</v>
      </c>
      <c r="H16" s="71"/>
      <c r="I16" s="49">
        <f t="shared" si="2"/>
        <v>0</v>
      </c>
      <c r="J16" s="134"/>
    </row>
    <row r="17" spans="1:10" ht="9.9" customHeight="1" x14ac:dyDescent="0.25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4" t="e">
        <f t="shared" si="0"/>
        <v>#VALUE!</v>
      </c>
      <c r="G17" s="14" t="e">
        <f t="shared" si="1"/>
        <v>#VALUE!</v>
      </c>
      <c r="H17" s="74"/>
      <c r="I17" s="49"/>
      <c r="J17" s="2" t="s">
        <v>6</v>
      </c>
    </row>
    <row r="18" spans="1:10" ht="19.5" customHeight="1" x14ac:dyDescent="0.25">
      <c r="A18" s="3" t="s">
        <v>72</v>
      </c>
      <c r="B18" s="3" t="s">
        <v>73</v>
      </c>
      <c r="C18" s="3" t="s">
        <v>9</v>
      </c>
      <c r="D18" s="9">
        <v>5.8</v>
      </c>
      <c r="E18" s="5">
        <v>11095</v>
      </c>
      <c r="F18" s="14">
        <f t="shared" si="0"/>
        <v>11871.65</v>
      </c>
      <c r="G18" s="14">
        <f t="shared" si="1"/>
        <v>7835.2889999999989</v>
      </c>
      <c r="H18" s="70"/>
      <c r="I18" s="49">
        <f t="shared" si="2"/>
        <v>0</v>
      </c>
      <c r="J18" s="132"/>
    </row>
    <row r="19" spans="1:10" ht="19.5" customHeight="1" x14ac:dyDescent="0.25">
      <c r="A19" s="3" t="s">
        <v>74</v>
      </c>
      <c r="B19" s="3" t="s">
        <v>75</v>
      </c>
      <c r="C19" s="3" t="s">
        <v>9</v>
      </c>
      <c r="D19" s="9">
        <v>5.8</v>
      </c>
      <c r="E19" s="5">
        <v>22858</v>
      </c>
      <c r="F19" s="14">
        <f t="shared" si="0"/>
        <v>24458.06</v>
      </c>
      <c r="G19" s="14">
        <f t="shared" si="1"/>
        <v>16142.319600000001</v>
      </c>
      <c r="H19" s="71"/>
      <c r="I19" s="49">
        <f t="shared" si="2"/>
        <v>0</v>
      </c>
      <c r="J19" s="133"/>
    </row>
    <row r="20" spans="1:10" ht="19.5" customHeight="1" x14ac:dyDescent="0.25">
      <c r="A20" s="3" t="s">
        <v>76</v>
      </c>
      <c r="B20" s="3" t="s">
        <v>77</v>
      </c>
      <c r="C20" s="3" t="s">
        <v>9</v>
      </c>
      <c r="D20" s="9">
        <v>5.8</v>
      </c>
      <c r="E20" s="5">
        <v>22858</v>
      </c>
      <c r="F20" s="14">
        <f t="shared" si="0"/>
        <v>24458.06</v>
      </c>
      <c r="G20" s="14">
        <f t="shared" si="1"/>
        <v>16142.319600000001</v>
      </c>
      <c r="H20" s="71"/>
      <c r="I20" s="49">
        <f t="shared" si="2"/>
        <v>0</v>
      </c>
      <c r="J20" s="133"/>
    </row>
    <row r="21" spans="1:10" ht="19.5" customHeight="1" x14ac:dyDescent="0.25">
      <c r="A21" s="3" t="s">
        <v>78</v>
      </c>
      <c r="B21" s="3" t="s">
        <v>79</v>
      </c>
      <c r="C21" s="3" t="s">
        <v>9</v>
      </c>
      <c r="D21" s="9">
        <v>5.8</v>
      </c>
      <c r="E21" s="5">
        <v>22858</v>
      </c>
      <c r="F21" s="14">
        <f t="shared" si="0"/>
        <v>24458.06</v>
      </c>
      <c r="G21" s="14">
        <f t="shared" si="1"/>
        <v>16142.319600000001</v>
      </c>
      <c r="H21" s="71"/>
      <c r="I21" s="49">
        <f t="shared" si="2"/>
        <v>0</v>
      </c>
      <c r="J21" s="133"/>
    </row>
    <row r="22" spans="1:10" ht="19.5" customHeight="1" x14ac:dyDescent="0.25">
      <c r="A22" s="3" t="s">
        <v>80</v>
      </c>
      <c r="B22" s="3" t="s">
        <v>81</v>
      </c>
      <c r="C22" s="3" t="s">
        <v>9</v>
      </c>
      <c r="D22" s="9">
        <v>5.8</v>
      </c>
      <c r="E22" s="5">
        <v>27858</v>
      </c>
      <c r="F22" s="14">
        <f t="shared" si="0"/>
        <v>29808.06</v>
      </c>
      <c r="G22" s="14">
        <f t="shared" si="1"/>
        <v>19673.319600000003</v>
      </c>
      <c r="H22" s="71"/>
      <c r="I22" s="49">
        <f t="shared" si="2"/>
        <v>0</v>
      </c>
      <c r="J22" s="134"/>
    </row>
    <row r="23" spans="1:10" ht="9.9" customHeight="1" x14ac:dyDescent="0.25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4" t="e">
        <f t="shared" si="0"/>
        <v>#VALUE!</v>
      </c>
      <c r="G23" s="14" t="e">
        <f t="shared" si="1"/>
        <v>#VALUE!</v>
      </c>
      <c r="H23" s="74"/>
      <c r="I23" s="49"/>
      <c r="J23" s="2" t="s">
        <v>6</v>
      </c>
    </row>
    <row r="24" spans="1:10" ht="19.5" customHeight="1" x14ac:dyDescent="0.25">
      <c r="A24" s="3" t="s">
        <v>82</v>
      </c>
      <c r="B24" s="3" t="s">
        <v>83</v>
      </c>
      <c r="C24" s="3" t="s">
        <v>9</v>
      </c>
      <c r="D24" s="11">
        <v>5.8</v>
      </c>
      <c r="E24" s="5">
        <v>9670</v>
      </c>
      <c r="F24" s="14">
        <f t="shared" si="0"/>
        <v>10346.9</v>
      </c>
      <c r="G24" s="14">
        <f t="shared" si="1"/>
        <v>6828.9539999999997</v>
      </c>
      <c r="H24" s="70"/>
      <c r="I24" s="49">
        <f t="shared" si="2"/>
        <v>0</v>
      </c>
      <c r="J24" s="132"/>
    </row>
    <row r="25" spans="1:10" ht="19.5" customHeight="1" x14ac:dyDescent="0.25">
      <c r="A25" s="3" t="s">
        <v>84</v>
      </c>
      <c r="B25" s="3" t="s">
        <v>85</v>
      </c>
      <c r="C25" s="3" t="s">
        <v>9</v>
      </c>
      <c r="D25" s="11">
        <v>5.8</v>
      </c>
      <c r="E25" s="5">
        <v>19681</v>
      </c>
      <c r="F25" s="14">
        <f t="shared" si="0"/>
        <v>21058.67</v>
      </c>
      <c r="G25" s="14">
        <f t="shared" si="1"/>
        <v>13898.722199999998</v>
      </c>
      <c r="H25" s="71"/>
      <c r="I25" s="49">
        <f t="shared" si="2"/>
        <v>0</v>
      </c>
      <c r="J25" s="133"/>
    </row>
    <row r="26" spans="1:10" ht="19.5" customHeight="1" x14ac:dyDescent="0.25">
      <c r="A26" s="3" t="s">
        <v>86</v>
      </c>
      <c r="B26" s="3" t="s">
        <v>87</v>
      </c>
      <c r="C26" s="3" t="s">
        <v>9</v>
      </c>
      <c r="D26" s="11">
        <v>5.8</v>
      </c>
      <c r="E26" s="5">
        <v>19681</v>
      </c>
      <c r="F26" s="14">
        <f t="shared" si="0"/>
        <v>21058.67</v>
      </c>
      <c r="G26" s="14">
        <f t="shared" si="1"/>
        <v>13898.722199999998</v>
      </c>
      <c r="H26" s="71"/>
      <c r="I26" s="49">
        <f t="shared" si="2"/>
        <v>0</v>
      </c>
      <c r="J26" s="134"/>
    </row>
    <row r="27" spans="1:10" ht="9.9" customHeight="1" x14ac:dyDescent="0.2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4" t="e">
        <f t="shared" si="0"/>
        <v>#VALUE!</v>
      </c>
      <c r="G27" s="14" t="e">
        <f t="shared" si="1"/>
        <v>#VALUE!</v>
      </c>
      <c r="H27" s="74"/>
      <c r="I27" s="49"/>
      <c r="J27" s="2" t="s">
        <v>6</v>
      </c>
    </row>
    <row r="28" spans="1:10" ht="19.5" customHeight="1" x14ac:dyDescent="0.25">
      <c r="A28" s="3" t="s">
        <v>88</v>
      </c>
      <c r="B28" s="3" t="s">
        <v>89</v>
      </c>
      <c r="C28" s="3" t="s">
        <v>9</v>
      </c>
      <c r="D28" s="11">
        <v>5.8</v>
      </c>
      <c r="E28" s="5">
        <v>7086</v>
      </c>
      <c r="F28" s="14">
        <f t="shared" si="0"/>
        <v>7582.02</v>
      </c>
      <c r="G28" s="14">
        <f t="shared" si="1"/>
        <v>5004.1332000000002</v>
      </c>
      <c r="H28" s="70"/>
      <c r="I28" s="49">
        <f t="shared" si="2"/>
        <v>0</v>
      </c>
      <c r="J28" s="132"/>
    </row>
    <row r="29" spans="1:10" ht="19.5" customHeight="1" x14ac:dyDescent="0.25">
      <c r="A29" s="3" t="s">
        <v>90</v>
      </c>
      <c r="B29" s="3" t="s">
        <v>91</v>
      </c>
      <c r="C29" s="3" t="s">
        <v>9</v>
      </c>
      <c r="D29" s="11">
        <v>5.8</v>
      </c>
      <c r="E29" s="5">
        <v>15105</v>
      </c>
      <c r="F29" s="14">
        <f t="shared" si="0"/>
        <v>16162.35</v>
      </c>
      <c r="G29" s="14">
        <f t="shared" si="1"/>
        <v>10667.151</v>
      </c>
      <c r="H29" s="71"/>
      <c r="I29" s="49">
        <f t="shared" si="2"/>
        <v>0</v>
      </c>
      <c r="J29" s="133"/>
    </row>
    <row r="30" spans="1:10" ht="19.5" customHeight="1" x14ac:dyDescent="0.25">
      <c r="A30" s="3" t="s">
        <v>92</v>
      </c>
      <c r="B30" s="3" t="s">
        <v>93</v>
      </c>
      <c r="C30" s="3" t="s">
        <v>9</v>
      </c>
      <c r="D30" s="11">
        <v>5.8</v>
      </c>
      <c r="E30" s="5">
        <v>15105</v>
      </c>
      <c r="F30" s="14">
        <f t="shared" si="0"/>
        <v>16162.35</v>
      </c>
      <c r="G30" s="14">
        <f t="shared" si="1"/>
        <v>10667.151</v>
      </c>
      <c r="H30" s="71"/>
      <c r="I30" s="49">
        <f t="shared" si="2"/>
        <v>0</v>
      </c>
      <c r="J30" s="133"/>
    </row>
    <row r="31" spans="1:10" ht="19.5" customHeight="1" x14ac:dyDescent="0.25">
      <c r="A31" s="3" t="s">
        <v>94</v>
      </c>
      <c r="B31" s="3" t="s">
        <v>93</v>
      </c>
      <c r="C31" s="3" t="s">
        <v>9</v>
      </c>
      <c r="D31" s="11">
        <v>5.8</v>
      </c>
      <c r="E31" s="5">
        <v>15105</v>
      </c>
      <c r="F31" s="14">
        <f t="shared" si="0"/>
        <v>16162.35</v>
      </c>
      <c r="G31" s="14">
        <f t="shared" si="1"/>
        <v>10667.151</v>
      </c>
      <c r="H31" s="71"/>
      <c r="I31" s="49">
        <f t="shared" si="2"/>
        <v>0</v>
      </c>
      <c r="J31" s="133"/>
    </row>
    <row r="32" spans="1:10" ht="19.5" customHeight="1" x14ac:dyDescent="0.25">
      <c r="A32" s="12" t="s">
        <v>95</v>
      </c>
      <c r="B32" s="12" t="s">
        <v>96</v>
      </c>
      <c r="C32" s="12" t="s">
        <v>9</v>
      </c>
      <c r="D32" s="13">
        <v>5.8</v>
      </c>
      <c r="E32" s="14">
        <v>18546</v>
      </c>
      <c r="F32" s="14">
        <f t="shared" si="0"/>
        <v>19844.22</v>
      </c>
      <c r="G32" s="14">
        <f t="shared" si="1"/>
        <v>13097.1852</v>
      </c>
      <c r="H32" s="71"/>
      <c r="I32" s="49">
        <f t="shared" si="2"/>
        <v>0</v>
      </c>
      <c r="J32" s="133"/>
    </row>
    <row r="33" spans="1:11" ht="19.5" customHeight="1" x14ac:dyDescent="0.25">
      <c r="A33" s="15" t="s">
        <v>97</v>
      </c>
      <c r="B33" s="15" t="s">
        <v>98</v>
      </c>
      <c r="C33" s="15" t="s">
        <v>9</v>
      </c>
      <c r="D33" s="16">
        <v>5.8</v>
      </c>
      <c r="E33" s="17">
        <v>5584</v>
      </c>
      <c r="F33" s="14">
        <f t="shared" si="0"/>
        <v>5974.88</v>
      </c>
      <c r="G33" s="14">
        <f t="shared" si="1"/>
        <v>3943.4207999999999</v>
      </c>
      <c r="H33" s="71"/>
      <c r="I33" s="49">
        <f t="shared" si="2"/>
        <v>0</v>
      </c>
      <c r="J33" s="133"/>
    </row>
    <row r="34" spans="1:11" ht="19.5" customHeight="1" x14ac:dyDescent="0.25">
      <c r="A34" s="3" t="s">
        <v>99</v>
      </c>
      <c r="B34" s="3" t="s">
        <v>100</v>
      </c>
      <c r="C34" s="3" t="s">
        <v>9</v>
      </c>
      <c r="D34" s="11">
        <v>5.8</v>
      </c>
      <c r="E34" s="5">
        <v>11288</v>
      </c>
      <c r="F34" s="14">
        <f t="shared" si="0"/>
        <v>12078.16</v>
      </c>
      <c r="G34" s="14">
        <f t="shared" si="1"/>
        <v>7971.5855999999994</v>
      </c>
      <c r="H34" s="71"/>
      <c r="I34" s="49">
        <f t="shared" si="2"/>
        <v>0</v>
      </c>
      <c r="J34" s="133"/>
    </row>
    <row r="35" spans="1:11" ht="19.5" customHeight="1" x14ac:dyDescent="0.25">
      <c r="A35" s="3" t="s">
        <v>101</v>
      </c>
      <c r="B35" s="3" t="s">
        <v>102</v>
      </c>
      <c r="C35" s="3" t="s">
        <v>9</v>
      </c>
      <c r="D35" s="11">
        <v>5.8</v>
      </c>
      <c r="E35" s="5">
        <v>11288</v>
      </c>
      <c r="F35" s="14">
        <f t="shared" si="0"/>
        <v>12078.16</v>
      </c>
      <c r="G35" s="14">
        <f t="shared" si="1"/>
        <v>7971.5855999999994</v>
      </c>
      <c r="H35" s="71"/>
      <c r="I35" s="49">
        <f t="shared" si="2"/>
        <v>0</v>
      </c>
      <c r="J35" s="133"/>
    </row>
    <row r="36" spans="1:11" ht="19.5" customHeight="1" x14ac:dyDescent="0.25">
      <c r="A36" s="3" t="s">
        <v>103</v>
      </c>
      <c r="B36" s="3" t="s">
        <v>104</v>
      </c>
      <c r="C36" s="3" t="s">
        <v>9</v>
      </c>
      <c r="D36" s="11">
        <v>5.8</v>
      </c>
      <c r="E36" s="5">
        <v>11288</v>
      </c>
      <c r="F36" s="14">
        <f t="shared" si="0"/>
        <v>12078.16</v>
      </c>
      <c r="G36" s="14">
        <f t="shared" si="1"/>
        <v>7971.5855999999994</v>
      </c>
      <c r="H36" s="71"/>
      <c r="I36" s="49">
        <f t="shared" si="2"/>
        <v>0</v>
      </c>
      <c r="J36" s="133"/>
    </row>
    <row r="37" spans="1:11" ht="19.5" customHeight="1" x14ac:dyDescent="0.25">
      <c r="A37" s="3" t="s">
        <v>105</v>
      </c>
      <c r="B37" s="3" t="s">
        <v>106</v>
      </c>
      <c r="C37" s="3" t="s">
        <v>9</v>
      </c>
      <c r="D37" s="11">
        <v>5.8</v>
      </c>
      <c r="E37" s="5">
        <v>13891</v>
      </c>
      <c r="F37" s="14">
        <f t="shared" si="0"/>
        <v>14863.37</v>
      </c>
      <c r="G37" s="14">
        <f t="shared" si="1"/>
        <v>9809.8241999999991</v>
      </c>
      <c r="H37" s="71"/>
      <c r="I37" s="49">
        <f t="shared" si="2"/>
        <v>0</v>
      </c>
      <c r="J37" s="134"/>
    </row>
    <row r="38" spans="1:11" ht="9.9" customHeight="1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4" t="e">
        <f t="shared" si="0"/>
        <v>#VALUE!</v>
      </c>
      <c r="G38" s="14" t="e">
        <f t="shared" si="1"/>
        <v>#VALUE!</v>
      </c>
      <c r="H38" s="74"/>
      <c r="I38" s="49"/>
      <c r="J38" s="2" t="s">
        <v>6</v>
      </c>
    </row>
    <row r="39" spans="1:11" ht="19.5" customHeight="1" x14ac:dyDescent="0.25">
      <c r="A39" s="3" t="s">
        <v>107</v>
      </c>
      <c r="B39" s="3" t="s">
        <v>108</v>
      </c>
      <c r="C39" s="3" t="s">
        <v>9</v>
      </c>
      <c r="D39" s="18">
        <v>5.8</v>
      </c>
      <c r="E39" s="5">
        <v>5183</v>
      </c>
      <c r="F39" s="14">
        <f t="shared" si="0"/>
        <v>5545.81</v>
      </c>
      <c r="G39" s="14">
        <f t="shared" si="1"/>
        <v>3660.2346000000002</v>
      </c>
      <c r="H39" s="70"/>
      <c r="I39" s="49">
        <f t="shared" si="2"/>
        <v>0</v>
      </c>
      <c r="J39" s="132"/>
    </row>
    <row r="40" spans="1:11" ht="19.5" customHeight="1" x14ac:dyDescent="0.25">
      <c r="A40" s="3" t="s">
        <v>109</v>
      </c>
      <c r="B40" s="3" t="s">
        <v>110</v>
      </c>
      <c r="C40" s="3" t="s">
        <v>9</v>
      </c>
      <c r="D40" s="18">
        <v>5.8</v>
      </c>
      <c r="E40" s="5">
        <v>10441</v>
      </c>
      <c r="F40" s="14">
        <f t="shared" si="0"/>
        <v>11171.87</v>
      </c>
      <c r="G40" s="14">
        <f t="shared" si="1"/>
        <v>7373.4341999999997</v>
      </c>
      <c r="H40" s="71"/>
      <c r="I40" s="49">
        <f t="shared" si="2"/>
        <v>0</v>
      </c>
      <c r="J40" s="133"/>
    </row>
    <row r="41" spans="1:11" ht="19.5" customHeight="1" x14ac:dyDescent="0.25">
      <c r="A41" s="3" t="s">
        <v>111</v>
      </c>
      <c r="B41" s="3" t="s">
        <v>112</v>
      </c>
      <c r="C41" s="3" t="s">
        <v>9</v>
      </c>
      <c r="D41" s="18">
        <v>5.8</v>
      </c>
      <c r="E41" s="5">
        <v>10441</v>
      </c>
      <c r="F41" s="14">
        <f t="shared" si="0"/>
        <v>11171.87</v>
      </c>
      <c r="G41" s="14">
        <f t="shared" si="1"/>
        <v>7373.4341999999997</v>
      </c>
      <c r="H41" s="71"/>
      <c r="I41" s="49">
        <f t="shared" si="2"/>
        <v>0</v>
      </c>
      <c r="J41" s="133"/>
    </row>
    <row r="42" spans="1:11" ht="19.5" customHeight="1" x14ac:dyDescent="0.25">
      <c r="A42" s="3" t="s">
        <v>113</v>
      </c>
      <c r="B42" s="3" t="s">
        <v>114</v>
      </c>
      <c r="C42" s="3" t="s">
        <v>9</v>
      </c>
      <c r="D42" s="18">
        <v>5.8</v>
      </c>
      <c r="E42" s="5">
        <v>10441</v>
      </c>
      <c r="F42" s="14">
        <f t="shared" si="0"/>
        <v>11171.87</v>
      </c>
      <c r="G42" s="14">
        <f t="shared" si="1"/>
        <v>7373.4341999999997</v>
      </c>
      <c r="H42" s="71"/>
      <c r="I42" s="49">
        <f t="shared" si="2"/>
        <v>0</v>
      </c>
      <c r="J42" s="133"/>
    </row>
    <row r="43" spans="1:11" ht="19.5" customHeight="1" x14ac:dyDescent="0.25">
      <c r="A43" s="3" t="s">
        <v>115</v>
      </c>
      <c r="B43" s="3" t="s">
        <v>116</v>
      </c>
      <c r="C43" s="3" t="s">
        <v>9</v>
      </c>
      <c r="D43" s="18">
        <v>5.8</v>
      </c>
      <c r="E43" s="5">
        <v>12746</v>
      </c>
      <c r="F43" s="14">
        <f t="shared" si="0"/>
        <v>13638.22</v>
      </c>
      <c r="G43" s="14">
        <f t="shared" si="1"/>
        <v>9001.2251999999989</v>
      </c>
      <c r="H43" s="71"/>
      <c r="I43" s="49">
        <f t="shared" si="2"/>
        <v>0</v>
      </c>
      <c r="J43" s="134"/>
    </row>
    <row r="44" spans="1:11" ht="19.5" customHeight="1" x14ac:dyDescent="0.25">
      <c r="A44" s="78"/>
      <c r="B44" s="78"/>
      <c r="C44" s="78"/>
      <c r="D44" s="79"/>
      <c r="E44" s="80"/>
      <c r="F44" s="80"/>
      <c r="G44" s="80"/>
      <c r="H44" s="81">
        <f>SUM(H2:H43)</f>
        <v>0</v>
      </c>
      <c r="I44" s="49">
        <f>SUM(I2:I43)</f>
        <v>0</v>
      </c>
      <c r="J44" s="68"/>
    </row>
    <row r="45" spans="1:11" ht="78.150000000000006" customHeight="1" x14ac:dyDescent="0.25">
      <c r="A45" s="135" t="s">
        <v>117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</row>
  </sheetData>
  <mergeCells count="9">
    <mergeCell ref="J28:J32"/>
    <mergeCell ref="J33:J37"/>
    <mergeCell ref="J39:J43"/>
    <mergeCell ref="A45:K45"/>
    <mergeCell ref="J2:J6"/>
    <mergeCell ref="J8:J10"/>
    <mergeCell ref="J12:J16"/>
    <mergeCell ref="J18:J22"/>
    <mergeCell ref="J24:J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25"/>
  <sheetViews>
    <sheetView zoomScale="130" zoomScaleNormal="130" workbookViewId="0">
      <selection activeCell="H6" sqref="H6"/>
    </sheetView>
  </sheetViews>
  <sheetFormatPr baseColWidth="10" defaultColWidth="9.33203125" defaultRowHeight="13.2" x14ac:dyDescent="0.25"/>
  <cols>
    <col min="1" max="1" width="16" customWidth="1"/>
    <col min="2" max="2" width="40" customWidth="1"/>
    <col min="3" max="3" width="9.44140625" customWidth="1"/>
    <col min="4" max="4" width="5.33203125" customWidth="1"/>
    <col min="5" max="9" width="17.109375" customWidth="1"/>
    <col min="10" max="10" width="20.6640625" customWidth="1"/>
    <col min="11" max="11" width="10.77734375" customWidth="1"/>
  </cols>
  <sheetData>
    <row r="1" spans="1:11" ht="27.75" customHeight="1" x14ac:dyDescent="0.25">
      <c r="A1" s="136" t="s">
        <v>118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1" ht="12" customHeight="1" x14ac:dyDescent="0.25">
      <c r="A2" s="19" t="s">
        <v>119</v>
      </c>
      <c r="B2" s="19" t="s">
        <v>120</v>
      </c>
      <c r="C2" s="19" t="s">
        <v>121</v>
      </c>
      <c r="D2" s="19" t="s">
        <v>122</v>
      </c>
      <c r="E2" s="19" t="s">
        <v>123</v>
      </c>
      <c r="F2" s="129">
        <v>7.0000000000000007E-2</v>
      </c>
      <c r="G2" s="46">
        <v>0.34</v>
      </c>
      <c r="H2" s="46" t="s">
        <v>467</v>
      </c>
      <c r="I2" s="46" t="s">
        <v>466</v>
      </c>
      <c r="J2" s="20" t="s">
        <v>124</v>
      </c>
    </row>
    <row r="3" spans="1:11" ht="18" customHeight="1" x14ac:dyDescent="0.25">
      <c r="A3" s="21" t="s">
        <v>125</v>
      </c>
      <c r="B3" s="21" t="s">
        <v>126</v>
      </c>
      <c r="C3" s="21" t="s">
        <v>127</v>
      </c>
      <c r="D3" s="22">
        <v>5.8</v>
      </c>
      <c r="E3" s="23">
        <v>24715</v>
      </c>
      <c r="F3" s="44">
        <f>E3+(E3*$F$2)</f>
        <v>26445.05</v>
      </c>
      <c r="G3" s="44">
        <f>F3-(F3*$G$2)</f>
        <v>17453.733</v>
      </c>
      <c r="H3" s="57"/>
      <c r="I3" s="44">
        <f>G3*H3</f>
        <v>0</v>
      </c>
      <c r="J3" s="132"/>
    </row>
    <row r="4" spans="1:11" ht="18" customHeight="1" x14ac:dyDescent="0.25">
      <c r="A4" s="21" t="s">
        <v>128</v>
      </c>
      <c r="B4" s="21" t="s">
        <v>129</v>
      </c>
      <c r="C4" s="21" t="s">
        <v>127</v>
      </c>
      <c r="D4" s="22">
        <v>5.8</v>
      </c>
      <c r="E4" s="23">
        <v>49493</v>
      </c>
      <c r="F4" s="44">
        <f t="shared" ref="F4:F22" si="0">E4+(E4*$F$2)</f>
        <v>52957.51</v>
      </c>
      <c r="G4" s="44">
        <f t="shared" ref="G4:G22" si="1">F4-(F4*$G$2)</f>
        <v>34951.956600000005</v>
      </c>
      <c r="H4" s="58"/>
      <c r="I4" s="44">
        <f>G4*H4</f>
        <v>0</v>
      </c>
      <c r="J4" s="133"/>
    </row>
    <row r="5" spans="1:11" ht="18" customHeight="1" x14ac:dyDescent="0.25">
      <c r="A5" s="21" t="s">
        <v>130</v>
      </c>
      <c r="B5" s="21" t="s">
        <v>131</v>
      </c>
      <c r="C5" s="21" t="s">
        <v>127</v>
      </c>
      <c r="D5" s="22">
        <v>5.8</v>
      </c>
      <c r="E5" s="23">
        <v>49493</v>
      </c>
      <c r="F5" s="44">
        <f t="shared" si="0"/>
        <v>52957.51</v>
      </c>
      <c r="G5" s="44">
        <f t="shared" si="1"/>
        <v>34951.956600000005</v>
      </c>
      <c r="H5" s="58"/>
      <c r="I5" s="44">
        <f t="shared" ref="I5:I22" si="2">G5:G25*H5:H25</f>
        <v>0</v>
      </c>
      <c r="J5" s="134"/>
    </row>
    <row r="6" spans="1:11" ht="28.35" customHeight="1" x14ac:dyDescent="0.25">
      <c r="A6" s="24" t="s">
        <v>132</v>
      </c>
      <c r="B6" s="24" t="s">
        <v>133</v>
      </c>
      <c r="C6" s="24" t="s">
        <v>127</v>
      </c>
      <c r="D6" s="25">
        <v>5.8</v>
      </c>
      <c r="E6" s="26">
        <v>6461</v>
      </c>
      <c r="F6" s="44">
        <f t="shared" si="0"/>
        <v>6913.27</v>
      </c>
      <c r="G6" s="44">
        <f t="shared" si="1"/>
        <v>4562.7582000000002</v>
      </c>
      <c r="H6" s="57"/>
      <c r="I6" s="44">
        <f t="shared" si="2"/>
        <v>0</v>
      </c>
      <c r="J6" s="27"/>
    </row>
    <row r="7" spans="1:11" ht="12.6" customHeight="1" x14ac:dyDescent="0.25">
      <c r="A7" s="28" t="s">
        <v>119</v>
      </c>
      <c r="B7" s="29" t="s">
        <v>120</v>
      </c>
      <c r="C7" s="30" t="s">
        <v>121</v>
      </c>
      <c r="D7" s="30" t="s">
        <v>122</v>
      </c>
      <c r="E7" s="19" t="s">
        <v>123</v>
      </c>
      <c r="F7" s="44" t="e">
        <f t="shared" si="0"/>
        <v>#VALUE!</v>
      </c>
      <c r="G7" s="44" t="e">
        <f t="shared" si="1"/>
        <v>#VALUE!</v>
      </c>
      <c r="H7" s="75"/>
      <c r="I7" s="44"/>
      <c r="J7" s="20" t="s">
        <v>124</v>
      </c>
    </row>
    <row r="8" spans="1:11" ht="18" customHeight="1" x14ac:dyDescent="0.25">
      <c r="A8" s="21" t="s">
        <v>134</v>
      </c>
      <c r="B8" s="21" t="s">
        <v>135</v>
      </c>
      <c r="C8" s="21" t="s">
        <v>127</v>
      </c>
      <c r="D8" s="22">
        <v>5.8</v>
      </c>
      <c r="E8" s="23">
        <v>27360</v>
      </c>
      <c r="F8" s="44">
        <f t="shared" si="0"/>
        <v>29275.200000000001</v>
      </c>
      <c r="G8" s="44">
        <f t="shared" si="1"/>
        <v>19321.631999999998</v>
      </c>
      <c r="H8" s="57"/>
      <c r="I8" s="44">
        <f t="shared" si="2"/>
        <v>0</v>
      </c>
      <c r="J8" s="132"/>
    </row>
    <row r="9" spans="1:11" ht="18" customHeight="1" x14ac:dyDescent="0.25">
      <c r="A9" s="21" t="s">
        <v>136</v>
      </c>
      <c r="B9" s="21" t="s">
        <v>137</v>
      </c>
      <c r="C9" s="21" t="s">
        <v>127</v>
      </c>
      <c r="D9" s="22">
        <v>5.8</v>
      </c>
      <c r="E9" s="23">
        <v>46459</v>
      </c>
      <c r="F9" s="44">
        <f t="shared" si="0"/>
        <v>49711.13</v>
      </c>
      <c r="G9" s="44">
        <f t="shared" si="1"/>
        <v>32809.345799999996</v>
      </c>
      <c r="H9" s="58"/>
      <c r="I9" s="44">
        <f t="shared" si="2"/>
        <v>0</v>
      </c>
      <c r="J9" s="133"/>
    </row>
    <row r="10" spans="1:11" ht="18" customHeight="1" x14ac:dyDescent="0.25">
      <c r="A10" s="21" t="s">
        <v>138</v>
      </c>
      <c r="B10" s="21" t="s">
        <v>139</v>
      </c>
      <c r="C10" s="21" t="s">
        <v>127</v>
      </c>
      <c r="D10" s="22">
        <v>5.8</v>
      </c>
      <c r="E10" s="23">
        <v>46459</v>
      </c>
      <c r="F10" s="44">
        <f t="shared" si="0"/>
        <v>49711.13</v>
      </c>
      <c r="G10" s="44">
        <f t="shared" si="1"/>
        <v>32809.345799999996</v>
      </c>
      <c r="H10" s="58"/>
      <c r="I10" s="44">
        <f t="shared" si="2"/>
        <v>0</v>
      </c>
      <c r="J10" s="134"/>
    </row>
    <row r="11" spans="1:11" ht="12" customHeight="1" x14ac:dyDescent="0.25">
      <c r="A11" s="28" t="s">
        <v>119</v>
      </c>
      <c r="B11" s="29" t="s">
        <v>120</v>
      </c>
      <c r="C11" s="30" t="s">
        <v>121</v>
      </c>
      <c r="D11" s="30" t="s">
        <v>122</v>
      </c>
      <c r="E11" s="19" t="s">
        <v>123</v>
      </c>
      <c r="F11" s="44" t="e">
        <f t="shared" si="0"/>
        <v>#VALUE!</v>
      </c>
      <c r="G11" s="44" t="e">
        <f t="shared" si="1"/>
        <v>#VALUE!</v>
      </c>
      <c r="H11" s="75"/>
      <c r="I11" s="44"/>
      <c r="J11" s="20" t="s">
        <v>124</v>
      </c>
    </row>
    <row r="12" spans="1:11" ht="18" customHeight="1" x14ac:dyDescent="0.25">
      <c r="A12" s="21" t="s">
        <v>140</v>
      </c>
      <c r="B12" s="21" t="s">
        <v>141</v>
      </c>
      <c r="C12" s="21" t="s">
        <v>127</v>
      </c>
      <c r="D12" s="22">
        <v>5.8</v>
      </c>
      <c r="E12" s="23">
        <v>6876</v>
      </c>
      <c r="F12" s="44">
        <f t="shared" si="0"/>
        <v>7357.32</v>
      </c>
      <c r="G12" s="44">
        <f t="shared" si="1"/>
        <v>4855.8311999999996</v>
      </c>
      <c r="H12" s="57"/>
      <c r="I12" s="44">
        <f t="shared" si="2"/>
        <v>0</v>
      </c>
      <c r="J12" s="132"/>
    </row>
    <row r="13" spans="1:11" ht="18" customHeight="1" x14ac:dyDescent="0.25">
      <c r="A13" s="21" t="s">
        <v>142</v>
      </c>
      <c r="B13" s="21" t="s">
        <v>143</v>
      </c>
      <c r="C13" s="21" t="s">
        <v>127</v>
      </c>
      <c r="D13" s="22">
        <v>5.8</v>
      </c>
      <c r="E13" s="23">
        <v>16710</v>
      </c>
      <c r="F13" s="44">
        <f t="shared" si="0"/>
        <v>17879.7</v>
      </c>
      <c r="G13" s="44">
        <f t="shared" si="1"/>
        <v>11800.601999999999</v>
      </c>
      <c r="H13" s="58"/>
      <c r="I13" s="44">
        <f t="shared" si="2"/>
        <v>0</v>
      </c>
      <c r="J13" s="133"/>
    </row>
    <row r="14" spans="1:11" ht="18" customHeight="1" x14ac:dyDescent="0.25">
      <c r="A14" s="21" t="s">
        <v>144</v>
      </c>
      <c r="B14" s="21" t="s">
        <v>145</v>
      </c>
      <c r="C14" s="21" t="s">
        <v>127</v>
      </c>
      <c r="D14" s="22">
        <v>5.8</v>
      </c>
      <c r="E14" s="23">
        <v>16710</v>
      </c>
      <c r="F14" s="44">
        <f t="shared" si="0"/>
        <v>17879.7</v>
      </c>
      <c r="G14" s="44">
        <f t="shared" si="1"/>
        <v>11800.601999999999</v>
      </c>
      <c r="H14" s="58"/>
      <c r="I14" s="44">
        <f t="shared" si="2"/>
        <v>0</v>
      </c>
      <c r="J14" s="134"/>
    </row>
    <row r="15" spans="1:11" ht="12" customHeight="1" x14ac:dyDescent="0.25">
      <c r="A15" s="28" t="s">
        <v>119</v>
      </c>
      <c r="B15" s="29" t="s">
        <v>120</v>
      </c>
      <c r="C15" s="30" t="s">
        <v>121</v>
      </c>
      <c r="D15" s="30" t="s">
        <v>122</v>
      </c>
      <c r="E15" s="19" t="s">
        <v>123</v>
      </c>
      <c r="F15" s="44" t="e">
        <f t="shared" si="0"/>
        <v>#VALUE!</v>
      </c>
      <c r="G15" s="44" t="e">
        <f t="shared" si="1"/>
        <v>#VALUE!</v>
      </c>
      <c r="H15" s="75"/>
      <c r="I15" s="44"/>
      <c r="J15" s="20" t="s">
        <v>124</v>
      </c>
    </row>
    <row r="16" spans="1:11" ht="18" customHeight="1" x14ac:dyDescent="0.25">
      <c r="A16" s="21" t="s">
        <v>146</v>
      </c>
      <c r="B16" s="21" t="s">
        <v>147</v>
      </c>
      <c r="C16" s="21" t="s">
        <v>127</v>
      </c>
      <c r="D16" s="22">
        <v>5.8</v>
      </c>
      <c r="E16" s="23">
        <v>6120</v>
      </c>
      <c r="F16" s="44">
        <f t="shared" si="0"/>
        <v>6548.4</v>
      </c>
      <c r="G16" s="44">
        <f t="shared" si="1"/>
        <v>4321.9439999999995</v>
      </c>
      <c r="H16" s="57"/>
      <c r="I16" s="44">
        <f t="shared" si="2"/>
        <v>0</v>
      </c>
      <c r="J16" s="132"/>
    </row>
    <row r="17" spans="1:11" ht="18" customHeight="1" x14ac:dyDescent="0.25">
      <c r="A17" s="21" t="s">
        <v>148</v>
      </c>
      <c r="B17" s="21" t="s">
        <v>149</v>
      </c>
      <c r="C17" s="21" t="s">
        <v>127</v>
      </c>
      <c r="D17" s="22">
        <v>5.8</v>
      </c>
      <c r="E17" s="23">
        <v>12075</v>
      </c>
      <c r="F17" s="44">
        <f t="shared" si="0"/>
        <v>12920.25</v>
      </c>
      <c r="G17" s="44">
        <f t="shared" si="1"/>
        <v>8527.3649999999998</v>
      </c>
      <c r="H17" s="58"/>
      <c r="I17" s="44">
        <f t="shared" si="2"/>
        <v>0</v>
      </c>
      <c r="J17" s="133"/>
    </row>
    <row r="18" spans="1:11" ht="18" customHeight="1" x14ac:dyDescent="0.25">
      <c r="A18" s="21" t="s">
        <v>150</v>
      </c>
      <c r="B18" s="21" t="s">
        <v>151</v>
      </c>
      <c r="C18" s="21" t="s">
        <v>127</v>
      </c>
      <c r="D18" s="22">
        <v>5.8</v>
      </c>
      <c r="E18" s="23">
        <v>12075</v>
      </c>
      <c r="F18" s="44">
        <f t="shared" si="0"/>
        <v>12920.25</v>
      </c>
      <c r="G18" s="44">
        <f t="shared" si="1"/>
        <v>8527.3649999999998</v>
      </c>
      <c r="H18" s="58"/>
      <c r="I18" s="44">
        <f t="shared" si="2"/>
        <v>0</v>
      </c>
      <c r="J18" s="134"/>
    </row>
    <row r="19" spans="1:11" ht="12" customHeight="1" x14ac:dyDescent="0.25">
      <c r="A19" s="28" t="s">
        <v>119</v>
      </c>
      <c r="B19" s="29" t="s">
        <v>120</v>
      </c>
      <c r="C19" s="30" t="s">
        <v>121</v>
      </c>
      <c r="D19" s="30" t="s">
        <v>122</v>
      </c>
      <c r="E19" s="19" t="s">
        <v>123</v>
      </c>
      <c r="F19" s="44" t="e">
        <f t="shared" si="0"/>
        <v>#VALUE!</v>
      </c>
      <c r="G19" s="44" t="e">
        <f t="shared" si="1"/>
        <v>#VALUE!</v>
      </c>
      <c r="H19" s="75"/>
      <c r="I19" s="44"/>
      <c r="J19" s="20" t="s">
        <v>124</v>
      </c>
    </row>
    <row r="20" spans="1:11" ht="18" customHeight="1" x14ac:dyDescent="0.25">
      <c r="A20" s="21" t="s">
        <v>152</v>
      </c>
      <c r="B20" s="21" t="s">
        <v>153</v>
      </c>
      <c r="C20" s="21" t="s">
        <v>127</v>
      </c>
      <c r="D20" s="22">
        <v>5.8</v>
      </c>
      <c r="E20" s="23">
        <v>4635</v>
      </c>
      <c r="F20" s="44">
        <f t="shared" si="0"/>
        <v>4959.45</v>
      </c>
      <c r="G20" s="44">
        <f t="shared" si="1"/>
        <v>3273.2370000000001</v>
      </c>
      <c r="H20" s="57"/>
      <c r="I20" s="44">
        <f t="shared" si="2"/>
        <v>0</v>
      </c>
      <c r="J20" s="132"/>
    </row>
    <row r="21" spans="1:11" ht="18" customHeight="1" x14ac:dyDescent="0.25">
      <c r="A21" s="21" t="s">
        <v>154</v>
      </c>
      <c r="B21" s="21" t="s">
        <v>155</v>
      </c>
      <c r="C21" s="21" t="s">
        <v>127</v>
      </c>
      <c r="D21" s="22">
        <v>5.8</v>
      </c>
      <c r="E21" s="23">
        <v>8662</v>
      </c>
      <c r="F21" s="44">
        <f t="shared" si="0"/>
        <v>9268.34</v>
      </c>
      <c r="G21" s="44">
        <f t="shared" si="1"/>
        <v>6117.1044000000002</v>
      </c>
      <c r="H21" s="58"/>
      <c r="I21" s="44">
        <f t="shared" si="2"/>
        <v>0</v>
      </c>
      <c r="J21" s="133"/>
    </row>
    <row r="22" spans="1:11" ht="18" customHeight="1" x14ac:dyDescent="0.25">
      <c r="A22" s="21" t="s">
        <v>156</v>
      </c>
      <c r="B22" s="21" t="s">
        <v>157</v>
      </c>
      <c r="C22" s="21" t="s">
        <v>127</v>
      </c>
      <c r="D22" s="22">
        <v>5.8</v>
      </c>
      <c r="E22" s="23">
        <v>8662</v>
      </c>
      <c r="F22" s="44">
        <f t="shared" si="0"/>
        <v>9268.34</v>
      </c>
      <c r="G22" s="44">
        <f t="shared" si="1"/>
        <v>6117.1044000000002</v>
      </c>
      <c r="H22" s="58"/>
      <c r="I22" s="44">
        <f t="shared" si="2"/>
        <v>0</v>
      </c>
      <c r="J22" s="134"/>
    </row>
    <row r="23" spans="1:11" ht="18" customHeight="1" x14ac:dyDescent="0.25">
      <c r="A23" s="83"/>
      <c r="B23" s="83"/>
      <c r="C23" s="83"/>
      <c r="D23" s="84"/>
      <c r="E23" s="85"/>
      <c r="F23" s="85"/>
      <c r="G23" s="85"/>
      <c r="H23" s="86">
        <f>SUM(H3:H22)</f>
        <v>0</v>
      </c>
      <c r="I23" s="85">
        <f>SUM(I3:I22)</f>
        <v>0</v>
      </c>
      <c r="J23" s="68"/>
    </row>
    <row r="24" spans="1:11" ht="81.900000000000006" customHeight="1" x14ac:dyDescent="0.25">
      <c r="A24" s="135" t="s">
        <v>158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</row>
    <row r="25" spans="1:11" ht="36" customHeight="1" x14ac:dyDescent="0.25"/>
  </sheetData>
  <mergeCells count="7">
    <mergeCell ref="J20:J22"/>
    <mergeCell ref="A24:K24"/>
    <mergeCell ref="A1:K1"/>
    <mergeCell ref="J3:J5"/>
    <mergeCell ref="J8:J10"/>
    <mergeCell ref="J12:J14"/>
    <mergeCell ref="J16:J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P64"/>
  <sheetViews>
    <sheetView topLeftCell="A22" zoomScale="130" zoomScaleNormal="130" workbookViewId="0">
      <selection activeCell="H31" sqref="H31"/>
    </sheetView>
  </sheetViews>
  <sheetFormatPr baseColWidth="10" defaultColWidth="9.33203125" defaultRowHeight="13.2" x14ac:dyDescent="0.25"/>
  <cols>
    <col min="1" max="1" width="15.44140625" customWidth="1"/>
    <col min="2" max="2" width="32.109375" customWidth="1"/>
    <col min="3" max="3" width="10" customWidth="1"/>
    <col min="4" max="4" width="10.109375" customWidth="1"/>
    <col min="5" max="7" width="16.6640625" customWidth="1"/>
    <col min="8" max="8" width="16.6640625" style="53" customWidth="1"/>
    <col min="9" max="9" width="16.6640625" customWidth="1"/>
    <col min="10" max="10" width="20" customWidth="1"/>
    <col min="11" max="11" width="14.77734375" customWidth="1"/>
    <col min="13" max="13" width="11.109375" style="50" bestFit="1" customWidth="1"/>
    <col min="15" max="16" width="11.109375" bestFit="1" customWidth="1"/>
  </cols>
  <sheetData>
    <row r="1" spans="1:13" ht="27.75" customHeight="1" x14ac:dyDescent="0.25">
      <c r="A1" s="136" t="s">
        <v>159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3" ht="16.350000000000001" customHeight="1" x14ac:dyDescent="0.25">
      <c r="A2" s="19" t="s">
        <v>119</v>
      </c>
      <c r="B2" s="19" t="s">
        <v>120</v>
      </c>
      <c r="C2" s="19" t="s">
        <v>121</v>
      </c>
      <c r="D2" s="19" t="s">
        <v>122</v>
      </c>
      <c r="E2" s="20" t="s">
        <v>123</v>
      </c>
      <c r="F2" s="46">
        <v>7.0000000000000007E-2</v>
      </c>
      <c r="G2" s="46">
        <v>0.34</v>
      </c>
      <c r="H2" s="55" t="s">
        <v>465</v>
      </c>
      <c r="I2" s="46" t="s">
        <v>466</v>
      </c>
      <c r="J2" s="20" t="s">
        <v>124</v>
      </c>
    </row>
    <row r="3" spans="1:13" ht="17.850000000000001" customHeight="1" x14ac:dyDescent="0.25">
      <c r="A3" s="21" t="s">
        <v>160</v>
      </c>
      <c r="B3" s="21" t="s">
        <v>161</v>
      </c>
      <c r="C3" s="21" t="s">
        <v>127</v>
      </c>
      <c r="D3" s="31">
        <v>5.8</v>
      </c>
      <c r="E3" s="32">
        <v>21790</v>
      </c>
      <c r="F3" s="43">
        <f>E3+(E3*$F$2)</f>
        <v>23315.3</v>
      </c>
      <c r="G3" s="43">
        <f>F3-(F3*$G$2)</f>
        <v>15388.097999999998</v>
      </c>
      <c r="H3" s="61"/>
      <c r="I3" s="43">
        <f>G3:G25*H3:H25</f>
        <v>0</v>
      </c>
      <c r="J3" s="132"/>
      <c r="M3" s="50">
        <v>1035552</v>
      </c>
    </row>
    <row r="4" spans="1:13" ht="17.850000000000001" customHeight="1" x14ac:dyDescent="0.25">
      <c r="A4" s="21" t="s">
        <v>162</v>
      </c>
      <c r="B4" s="21" t="s">
        <v>163</v>
      </c>
      <c r="C4" s="21" t="s">
        <v>127</v>
      </c>
      <c r="D4" s="31">
        <v>5.8</v>
      </c>
      <c r="E4" s="32">
        <v>36984</v>
      </c>
      <c r="F4" s="43">
        <f t="shared" ref="F4:F62" si="0">E4+(E4*$F$2)</f>
        <v>39572.879999999997</v>
      </c>
      <c r="G4" s="43">
        <f t="shared" ref="G4:G62" si="1">F4-(F4*$G$2)</f>
        <v>26118.100799999997</v>
      </c>
      <c r="H4" s="62"/>
      <c r="I4" s="43">
        <f t="shared" ref="I4:I40" si="2">G4:G26*H4:H26</f>
        <v>0</v>
      </c>
      <c r="J4" s="133"/>
      <c r="M4" s="50">
        <v>45851</v>
      </c>
    </row>
    <row r="5" spans="1:13" ht="17.850000000000001" customHeight="1" x14ac:dyDescent="0.25">
      <c r="A5" s="21" t="s">
        <v>164</v>
      </c>
      <c r="B5" s="21" t="s">
        <v>165</v>
      </c>
      <c r="C5" s="21" t="s">
        <v>127</v>
      </c>
      <c r="D5" s="31">
        <v>5.8</v>
      </c>
      <c r="E5" s="32">
        <v>36984</v>
      </c>
      <c r="F5" s="43">
        <f t="shared" si="0"/>
        <v>39572.879999999997</v>
      </c>
      <c r="G5" s="43">
        <f t="shared" si="1"/>
        <v>26118.100799999997</v>
      </c>
      <c r="H5" s="62"/>
      <c r="I5" s="43">
        <f t="shared" si="2"/>
        <v>0</v>
      </c>
      <c r="J5" s="133"/>
      <c r="M5" s="50">
        <v>491128</v>
      </c>
    </row>
    <row r="6" spans="1:13" ht="17.850000000000001" customHeight="1" x14ac:dyDescent="0.25">
      <c r="A6" s="21" t="s">
        <v>166</v>
      </c>
      <c r="B6" s="56" t="s">
        <v>468</v>
      </c>
      <c r="C6" s="21" t="s">
        <v>127</v>
      </c>
      <c r="D6" s="31">
        <v>5.8</v>
      </c>
      <c r="E6" s="32">
        <v>36984</v>
      </c>
      <c r="F6" s="43">
        <f t="shared" si="0"/>
        <v>39572.879999999997</v>
      </c>
      <c r="G6" s="43">
        <f t="shared" si="1"/>
        <v>26118.100799999997</v>
      </c>
      <c r="H6" s="62"/>
      <c r="I6" s="43">
        <f t="shared" si="2"/>
        <v>0</v>
      </c>
      <c r="J6" s="133"/>
      <c r="M6" s="50">
        <v>114100</v>
      </c>
    </row>
    <row r="7" spans="1:13" ht="17.850000000000001" customHeight="1" x14ac:dyDescent="0.25">
      <c r="A7" s="21" t="s">
        <v>167</v>
      </c>
      <c r="B7" s="21" t="s">
        <v>168</v>
      </c>
      <c r="C7" s="21" t="s">
        <v>127</v>
      </c>
      <c r="D7" s="31">
        <v>5.8</v>
      </c>
      <c r="E7" s="32">
        <v>45259</v>
      </c>
      <c r="F7" s="43">
        <f t="shared" si="0"/>
        <v>48427.13</v>
      </c>
      <c r="G7" s="43">
        <f t="shared" si="1"/>
        <v>31961.905799999997</v>
      </c>
      <c r="H7" s="62"/>
      <c r="I7" s="43">
        <f t="shared" si="2"/>
        <v>0</v>
      </c>
      <c r="J7" s="134"/>
      <c r="M7" s="50">
        <v>219108</v>
      </c>
    </row>
    <row r="8" spans="1:13" ht="17.850000000000001" customHeight="1" x14ac:dyDescent="0.25">
      <c r="A8" s="19" t="s">
        <v>119</v>
      </c>
      <c r="B8" s="19" t="s">
        <v>120</v>
      </c>
      <c r="C8" s="19" t="s">
        <v>121</v>
      </c>
      <c r="D8" s="19" t="s">
        <v>122</v>
      </c>
      <c r="E8" s="20" t="s">
        <v>123</v>
      </c>
      <c r="F8" s="43" t="e">
        <f t="shared" si="0"/>
        <v>#VALUE!</v>
      </c>
      <c r="G8" s="43" t="e">
        <f t="shared" si="1"/>
        <v>#VALUE!</v>
      </c>
      <c r="H8" s="76"/>
      <c r="I8" s="43"/>
      <c r="J8" s="20" t="s">
        <v>124</v>
      </c>
      <c r="M8" s="50">
        <v>185896</v>
      </c>
    </row>
    <row r="9" spans="1:13" ht="17.850000000000001" customHeight="1" x14ac:dyDescent="0.25">
      <c r="A9" s="21" t="s">
        <v>169</v>
      </c>
      <c r="B9" s="21" t="s">
        <v>170</v>
      </c>
      <c r="C9" s="21" t="s">
        <v>127</v>
      </c>
      <c r="D9" s="31">
        <v>5.8</v>
      </c>
      <c r="E9" s="32">
        <v>27493</v>
      </c>
      <c r="F9" s="43">
        <f t="shared" si="0"/>
        <v>29417.510000000002</v>
      </c>
      <c r="G9" s="43">
        <f t="shared" si="1"/>
        <v>19415.5566</v>
      </c>
      <c r="H9" s="61"/>
      <c r="I9" s="43">
        <f t="shared" si="2"/>
        <v>0</v>
      </c>
      <c r="J9" s="132"/>
      <c r="M9" s="50">
        <v>447138</v>
      </c>
    </row>
    <row r="10" spans="1:13" ht="17.850000000000001" customHeight="1" x14ac:dyDescent="0.25">
      <c r="A10" s="21" t="s">
        <v>171</v>
      </c>
      <c r="B10" s="21" t="s">
        <v>172</v>
      </c>
      <c r="C10" s="21" t="s">
        <v>127</v>
      </c>
      <c r="D10" s="31">
        <v>5.8</v>
      </c>
      <c r="E10" s="32">
        <v>45406</v>
      </c>
      <c r="F10" s="43">
        <f t="shared" si="0"/>
        <v>48584.42</v>
      </c>
      <c r="G10" s="43">
        <f t="shared" si="1"/>
        <v>32065.717199999999</v>
      </c>
      <c r="H10" s="62"/>
      <c r="I10" s="43">
        <f t="shared" si="2"/>
        <v>0</v>
      </c>
      <c r="J10" s="133"/>
      <c r="M10" s="50">
        <v>68754</v>
      </c>
    </row>
    <row r="11" spans="1:13" ht="15" customHeight="1" x14ac:dyDescent="0.25">
      <c r="A11" s="21" t="s">
        <v>173</v>
      </c>
      <c r="B11" s="21" t="s">
        <v>174</v>
      </c>
      <c r="C11" s="21" t="s">
        <v>127</v>
      </c>
      <c r="D11" s="31">
        <v>5.8</v>
      </c>
      <c r="E11" s="32">
        <v>45406</v>
      </c>
      <c r="F11" s="43">
        <f t="shared" si="0"/>
        <v>48584.42</v>
      </c>
      <c r="G11" s="43">
        <f t="shared" si="1"/>
        <v>32065.717199999999</v>
      </c>
      <c r="H11" s="62"/>
      <c r="I11" s="43">
        <f t="shared" si="2"/>
        <v>0</v>
      </c>
      <c r="J11" s="133"/>
      <c r="M11" s="50">
        <v>76522</v>
      </c>
    </row>
    <row r="12" spans="1:13" ht="15" customHeight="1" x14ac:dyDescent="0.25">
      <c r="A12" s="21" t="s">
        <v>175</v>
      </c>
      <c r="B12" s="21" t="s">
        <v>176</v>
      </c>
      <c r="C12" s="21" t="s">
        <v>127</v>
      </c>
      <c r="D12" s="31">
        <v>5.8</v>
      </c>
      <c r="E12" s="32">
        <v>45406</v>
      </c>
      <c r="F12" s="43">
        <f t="shared" si="0"/>
        <v>48584.42</v>
      </c>
      <c r="G12" s="43">
        <f t="shared" si="1"/>
        <v>32065.717199999999</v>
      </c>
      <c r="H12" s="62"/>
      <c r="I12" s="43">
        <f t="shared" si="2"/>
        <v>0</v>
      </c>
      <c r="J12" s="133"/>
      <c r="M12" s="50">
        <v>21804</v>
      </c>
    </row>
    <row r="13" spans="1:13" ht="15" customHeight="1" x14ac:dyDescent="0.25">
      <c r="A13" s="21" t="s">
        <v>177</v>
      </c>
      <c r="B13" s="21" t="s">
        <v>178</v>
      </c>
      <c r="C13" s="21" t="s">
        <v>127</v>
      </c>
      <c r="D13" s="31">
        <v>5.8</v>
      </c>
      <c r="E13" s="32">
        <v>55563</v>
      </c>
      <c r="F13" s="43">
        <f t="shared" si="0"/>
        <v>59452.41</v>
      </c>
      <c r="G13" s="43">
        <f t="shared" si="1"/>
        <v>39238.590599999996</v>
      </c>
      <c r="H13" s="62"/>
      <c r="I13" s="43">
        <f t="shared" si="2"/>
        <v>0</v>
      </c>
      <c r="J13" s="134"/>
      <c r="M13" s="50">
        <v>109020</v>
      </c>
    </row>
    <row r="14" spans="1:13" ht="17.850000000000001" customHeight="1" x14ac:dyDescent="0.25">
      <c r="A14" s="19" t="s">
        <v>119</v>
      </c>
      <c r="B14" s="19" t="s">
        <v>120</v>
      </c>
      <c r="C14" s="19" t="s">
        <v>121</v>
      </c>
      <c r="D14" s="19" t="s">
        <v>122</v>
      </c>
      <c r="E14" s="20" t="s">
        <v>123</v>
      </c>
      <c r="F14" s="43" t="e">
        <f t="shared" si="0"/>
        <v>#VALUE!</v>
      </c>
      <c r="G14" s="43" t="e">
        <f t="shared" si="1"/>
        <v>#VALUE!</v>
      </c>
      <c r="H14" s="76"/>
      <c r="I14" s="43"/>
      <c r="J14" s="20" t="s">
        <v>124</v>
      </c>
      <c r="M14" s="50">
        <v>36892</v>
      </c>
    </row>
    <row r="15" spans="1:13" ht="17.850000000000001" customHeight="1" x14ac:dyDescent="0.25">
      <c r="A15" s="21" t="s">
        <v>179</v>
      </c>
      <c r="B15" s="21" t="s">
        <v>180</v>
      </c>
      <c r="C15" s="21" t="s">
        <v>127</v>
      </c>
      <c r="D15" s="31">
        <v>5.8</v>
      </c>
      <c r="E15" s="32">
        <v>27299</v>
      </c>
      <c r="F15" s="43">
        <f t="shared" si="0"/>
        <v>29209.93</v>
      </c>
      <c r="G15" s="43">
        <f t="shared" si="1"/>
        <v>19278.553800000002</v>
      </c>
      <c r="H15" s="61"/>
      <c r="I15" s="43">
        <f t="shared" si="2"/>
        <v>0</v>
      </c>
      <c r="J15" s="132"/>
      <c r="M15" s="50">
        <v>54668</v>
      </c>
    </row>
    <row r="16" spans="1:13" ht="17.850000000000001" customHeight="1" x14ac:dyDescent="0.25">
      <c r="A16" s="21" t="s">
        <v>181</v>
      </c>
      <c r="B16" s="21" t="s">
        <v>182</v>
      </c>
      <c r="C16" s="21" t="s">
        <v>127</v>
      </c>
      <c r="D16" s="31">
        <v>5.8</v>
      </c>
      <c r="E16" s="32">
        <v>44648</v>
      </c>
      <c r="F16" s="43">
        <f t="shared" si="0"/>
        <v>47773.36</v>
      </c>
      <c r="G16" s="43">
        <f t="shared" si="1"/>
        <v>31530.417600000001</v>
      </c>
      <c r="H16" s="62"/>
      <c r="I16" s="43">
        <f t="shared" si="2"/>
        <v>0</v>
      </c>
      <c r="J16" s="133"/>
      <c r="M16" s="50">
        <v>265988</v>
      </c>
    </row>
    <row r="17" spans="1:16" ht="17.850000000000001" customHeight="1" x14ac:dyDescent="0.25">
      <c r="A17" s="21" t="s">
        <v>183</v>
      </c>
      <c r="B17" s="21" t="s">
        <v>184</v>
      </c>
      <c r="C17" s="21" t="s">
        <v>127</v>
      </c>
      <c r="D17" s="31">
        <v>5.8</v>
      </c>
      <c r="E17" s="32">
        <v>44648</v>
      </c>
      <c r="F17" s="43">
        <f t="shared" si="0"/>
        <v>47773.36</v>
      </c>
      <c r="G17" s="43">
        <f t="shared" si="1"/>
        <v>31530.417600000001</v>
      </c>
      <c r="H17" s="62"/>
      <c r="I17" s="43">
        <f t="shared" si="2"/>
        <v>0</v>
      </c>
      <c r="J17" s="133"/>
      <c r="M17" s="50">
        <v>90816</v>
      </c>
    </row>
    <row r="18" spans="1:16" ht="17.850000000000001" customHeight="1" x14ac:dyDescent="0.25">
      <c r="A18" s="21" t="s">
        <v>185</v>
      </c>
      <c r="B18" s="21" t="s">
        <v>186</v>
      </c>
      <c r="C18" s="21" t="s">
        <v>127</v>
      </c>
      <c r="D18" s="31">
        <v>5.8</v>
      </c>
      <c r="E18" s="32">
        <v>44648</v>
      </c>
      <c r="F18" s="43">
        <f t="shared" si="0"/>
        <v>47773.36</v>
      </c>
      <c r="G18" s="43">
        <f t="shared" si="1"/>
        <v>31530.417600000001</v>
      </c>
      <c r="H18" s="62"/>
      <c r="I18" s="43">
        <f t="shared" si="2"/>
        <v>0</v>
      </c>
      <c r="J18" s="133"/>
      <c r="M18" s="50">
        <v>14289</v>
      </c>
    </row>
    <row r="19" spans="1:16" ht="17.850000000000001" customHeight="1" x14ac:dyDescent="0.25">
      <c r="A19" s="21" t="s">
        <v>187</v>
      </c>
      <c r="B19" s="21" t="s">
        <v>188</v>
      </c>
      <c r="C19" s="21" t="s">
        <v>127</v>
      </c>
      <c r="D19" s="31">
        <v>5.8</v>
      </c>
      <c r="E19" s="32">
        <v>54571</v>
      </c>
      <c r="F19" s="43">
        <f t="shared" si="0"/>
        <v>58390.97</v>
      </c>
      <c r="G19" s="43">
        <f t="shared" si="1"/>
        <v>38538.040200000003</v>
      </c>
      <c r="H19" s="62"/>
      <c r="I19" s="43">
        <f t="shared" si="2"/>
        <v>0</v>
      </c>
      <c r="J19" s="134"/>
      <c r="M19" s="50">
        <v>68424</v>
      </c>
    </row>
    <row r="20" spans="1:16" ht="17.850000000000001" customHeight="1" x14ac:dyDescent="0.25">
      <c r="A20" s="19" t="s">
        <v>119</v>
      </c>
      <c r="B20" s="19" t="s">
        <v>120</v>
      </c>
      <c r="C20" s="19" t="s">
        <v>121</v>
      </c>
      <c r="D20" s="19" t="s">
        <v>122</v>
      </c>
      <c r="E20" s="20" t="s">
        <v>123</v>
      </c>
      <c r="F20" s="43" t="e">
        <f t="shared" si="0"/>
        <v>#VALUE!</v>
      </c>
      <c r="G20" s="43" t="e">
        <f t="shared" si="1"/>
        <v>#VALUE!</v>
      </c>
      <c r="H20" s="76"/>
      <c r="I20" s="43"/>
      <c r="J20" s="20" t="s">
        <v>124</v>
      </c>
      <c r="M20" s="50">
        <v>27354</v>
      </c>
    </row>
    <row r="21" spans="1:16" ht="17.850000000000001" customHeight="1" x14ac:dyDescent="0.25">
      <c r="A21" s="21" t="s">
        <v>189</v>
      </c>
      <c r="B21" s="21" t="s">
        <v>190</v>
      </c>
      <c r="C21" s="21" t="s">
        <v>127</v>
      </c>
      <c r="D21" s="31">
        <v>5.8</v>
      </c>
      <c r="E21" s="32">
        <v>27166</v>
      </c>
      <c r="F21" s="43">
        <f t="shared" si="0"/>
        <v>29067.62</v>
      </c>
      <c r="G21" s="43">
        <f t="shared" si="1"/>
        <v>19184.629199999999</v>
      </c>
      <c r="H21" s="61"/>
      <c r="I21" s="43">
        <f t="shared" si="2"/>
        <v>0</v>
      </c>
      <c r="J21" s="132"/>
      <c r="M21" s="50">
        <v>250584</v>
      </c>
    </row>
    <row r="22" spans="1:16" ht="17.850000000000001" customHeight="1" x14ac:dyDescent="0.25">
      <c r="A22" s="21" t="s">
        <v>191</v>
      </c>
      <c r="B22" s="21" t="s">
        <v>192</v>
      </c>
      <c r="C22" s="21" t="s">
        <v>127</v>
      </c>
      <c r="D22" s="31">
        <v>5.8</v>
      </c>
      <c r="E22" s="32">
        <v>45851</v>
      </c>
      <c r="F22" s="43">
        <f t="shared" si="0"/>
        <v>49060.57</v>
      </c>
      <c r="G22" s="43">
        <f t="shared" si="1"/>
        <v>32379.976199999997</v>
      </c>
      <c r="H22" s="62"/>
      <c r="I22" s="43">
        <f t="shared" si="2"/>
        <v>0</v>
      </c>
      <c r="J22" s="133"/>
      <c r="M22" s="50">
        <v>90304</v>
      </c>
    </row>
    <row r="23" spans="1:16" ht="17.850000000000001" customHeight="1" x14ac:dyDescent="0.25">
      <c r="A23" s="21" t="s">
        <v>193</v>
      </c>
      <c r="B23" s="21" t="s">
        <v>194</v>
      </c>
      <c r="C23" s="21" t="s">
        <v>127</v>
      </c>
      <c r="D23" s="31">
        <v>5.8</v>
      </c>
      <c r="E23" s="32">
        <v>45851</v>
      </c>
      <c r="F23" s="43">
        <f t="shared" si="0"/>
        <v>49060.57</v>
      </c>
      <c r="G23" s="43">
        <f t="shared" si="1"/>
        <v>32379.976199999997</v>
      </c>
      <c r="H23" s="62"/>
      <c r="I23" s="43">
        <f t="shared" si="2"/>
        <v>0</v>
      </c>
      <c r="J23" s="133"/>
      <c r="M23" s="50">
        <v>8662</v>
      </c>
    </row>
    <row r="24" spans="1:16" ht="17.850000000000001" customHeight="1" x14ac:dyDescent="0.25">
      <c r="A24" s="21" t="s">
        <v>195</v>
      </c>
      <c r="B24" s="21" t="s">
        <v>196</v>
      </c>
      <c r="C24" s="21" t="s">
        <v>127</v>
      </c>
      <c r="D24" s="31">
        <v>5.8</v>
      </c>
      <c r="E24" s="32">
        <v>45851</v>
      </c>
      <c r="F24" s="43">
        <f t="shared" si="0"/>
        <v>49060.57</v>
      </c>
      <c r="G24" s="43">
        <f t="shared" si="1"/>
        <v>32379.976199999997</v>
      </c>
      <c r="H24" s="62"/>
      <c r="I24" s="43">
        <f t="shared" si="2"/>
        <v>0</v>
      </c>
      <c r="J24" s="133"/>
      <c r="M24" s="50">
        <f>SUM(M3:M23)</f>
        <v>3722854</v>
      </c>
      <c r="N24" s="51">
        <v>0.34</v>
      </c>
      <c r="O24" s="52">
        <f>M24*N24</f>
        <v>1265770.3600000001</v>
      </c>
      <c r="P24" s="52">
        <f>M24-O24</f>
        <v>2457083.6399999997</v>
      </c>
    </row>
    <row r="25" spans="1:16" ht="17.850000000000001" customHeight="1" x14ac:dyDescent="0.25">
      <c r="A25" s="21" t="s">
        <v>197</v>
      </c>
      <c r="B25" s="21" t="s">
        <v>198</v>
      </c>
      <c r="C25" s="21" t="s">
        <v>127</v>
      </c>
      <c r="D25" s="31">
        <v>5.8</v>
      </c>
      <c r="E25" s="32">
        <v>56097</v>
      </c>
      <c r="F25" s="43">
        <f t="shared" si="0"/>
        <v>60023.79</v>
      </c>
      <c r="G25" s="43">
        <f t="shared" si="1"/>
        <v>39615.701399999998</v>
      </c>
      <c r="H25" s="62"/>
      <c r="I25" s="43">
        <f t="shared" si="2"/>
        <v>0</v>
      </c>
      <c r="J25" s="134"/>
    </row>
    <row r="26" spans="1:16" ht="36" customHeight="1" x14ac:dyDescent="0.25">
      <c r="F26" s="43">
        <f t="shared" si="0"/>
        <v>0</v>
      </c>
      <c r="G26" s="43">
        <f t="shared" si="1"/>
        <v>0</v>
      </c>
      <c r="H26" s="73"/>
      <c r="I26" s="43"/>
    </row>
    <row r="27" spans="1:16" ht="17.850000000000001" customHeight="1" x14ac:dyDescent="0.25">
      <c r="A27" s="19" t="s">
        <v>119</v>
      </c>
      <c r="B27" s="19" t="s">
        <v>120</v>
      </c>
      <c r="C27" s="19" t="s">
        <v>121</v>
      </c>
      <c r="D27" s="19" t="s">
        <v>122</v>
      </c>
      <c r="E27" s="20" t="s">
        <v>123</v>
      </c>
      <c r="F27" s="43" t="e">
        <f t="shared" si="0"/>
        <v>#VALUE!</v>
      </c>
      <c r="G27" s="43" t="e">
        <f t="shared" si="1"/>
        <v>#VALUE!</v>
      </c>
      <c r="H27" s="76"/>
      <c r="I27" s="43"/>
      <c r="J27" s="20" t="s">
        <v>124</v>
      </c>
    </row>
    <row r="28" spans="1:16" ht="17.850000000000001" customHeight="1" x14ac:dyDescent="0.25">
      <c r="A28" s="21" t="s">
        <v>199</v>
      </c>
      <c r="B28" s="21" t="s">
        <v>200</v>
      </c>
      <c r="C28" s="21" t="s">
        <v>127</v>
      </c>
      <c r="D28" s="31">
        <v>5.8</v>
      </c>
      <c r="E28" s="32">
        <v>33151</v>
      </c>
      <c r="F28" s="43">
        <f t="shared" si="0"/>
        <v>35471.57</v>
      </c>
      <c r="G28" s="43">
        <f t="shared" si="1"/>
        <v>23411.236199999999</v>
      </c>
      <c r="H28" s="61"/>
      <c r="I28" s="43">
        <f t="shared" si="2"/>
        <v>0</v>
      </c>
      <c r="J28" s="132"/>
    </row>
    <row r="29" spans="1:16" ht="17.850000000000001" customHeight="1" x14ac:dyDescent="0.25">
      <c r="A29" s="21" t="s">
        <v>201</v>
      </c>
      <c r="B29" s="21" t="s">
        <v>202</v>
      </c>
      <c r="C29" s="21" t="s">
        <v>127</v>
      </c>
      <c r="D29" s="31">
        <v>5.8</v>
      </c>
      <c r="E29" s="32">
        <v>57050</v>
      </c>
      <c r="F29" s="43">
        <f t="shared" si="0"/>
        <v>61043.5</v>
      </c>
      <c r="G29" s="43">
        <f t="shared" si="1"/>
        <v>40288.71</v>
      </c>
      <c r="H29" s="62"/>
      <c r="I29" s="43">
        <f t="shared" si="2"/>
        <v>0</v>
      </c>
      <c r="J29" s="133"/>
    </row>
    <row r="30" spans="1:16" ht="17.850000000000001" customHeight="1" x14ac:dyDescent="0.25">
      <c r="A30" s="21" t="s">
        <v>203</v>
      </c>
      <c r="B30" s="21" t="s">
        <v>204</v>
      </c>
      <c r="C30" s="21" t="s">
        <v>127</v>
      </c>
      <c r="D30" s="31">
        <v>5.8</v>
      </c>
      <c r="E30" s="32">
        <v>57050</v>
      </c>
      <c r="F30" s="43">
        <f t="shared" si="0"/>
        <v>61043.5</v>
      </c>
      <c r="G30" s="43">
        <f t="shared" si="1"/>
        <v>40288.71</v>
      </c>
      <c r="H30" s="62"/>
      <c r="I30" s="43">
        <f t="shared" si="2"/>
        <v>0</v>
      </c>
      <c r="J30" s="133"/>
    </row>
    <row r="31" spans="1:16" ht="17.850000000000001" customHeight="1" x14ac:dyDescent="0.25">
      <c r="A31" s="21" t="s">
        <v>205</v>
      </c>
      <c r="B31" s="21" t="s">
        <v>206</v>
      </c>
      <c r="C31" s="21" t="s">
        <v>127</v>
      </c>
      <c r="D31" s="31">
        <v>5.8</v>
      </c>
      <c r="E31" s="32">
        <v>57050</v>
      </c>
      <c r="F31" s="43">
        <f t="shared" si="0"/>
        <v>61043.5</v>
      </c>
      <c r="G31" s="43">
        <f t="shared" si="1"/>
        <v>40288.71</v>
      </c>
      <c r="H31" s="62"/>
      <c r="I31" s="43">
        <f t="shared" si="2"/>
        <v>0</v>
      </c>
      <c r="J31" s="133"/>
    </row>
    <row r="32" spans="1:16" ht="17.850000000000001" customHeight="1" x14ac:dyDescent="0.25">
      <c r="A32" s="21" t="s">
        <v>207</v>
      </c>
      <c r="B32" s="21" t="s">
        <v>208</v>
      </c>
      <c r="C32" s="21" t="s">
        <v>127</v>
      </c>
      <c r="D32" s="31">
        <v>5.8</v>
      </c>
      <c r="E32" s="32">
        <v>69759</v>
      </c>
      <c r="F32" s="43">
        <f t="shared" si="0"/>
        <v>74642.13</v>
      </c>
      <c r="G32" s="43">
        <f t="shared" si="1"/>
        <v>49263.805800000002</v>
      </c>
      <c r="H32" s="62"/>
      <c r="I32" s="43">
        <f t="shared" si="2"/>
        <v>0</v>
      </c>
      <c r="J32" s="134"/>
    </row>
    <row r="33" spans="1:10" ht="17.850000000000001" customHeight="1" x14ac:dyDescent="0.25">
      <c r="A33" s="19" t="s">
        <v>119</v>
      </c>
      <c r="B33" s="19" t="s">
        <v>120</v>
      </c>
      <c r="C33" s="19" t="s">
        <v>121</v>
      </c>
      <c r="D33" s="19" t="s">
        <v>122</v>
      </c>
      <c r="E33" s="20" t="s">
        <v>123</v>
      </c>
      <c r="F33" s="43" t="e">
        <f t="shared" si="0"/>
        <v>#VALUE!</v>
      </c>
      <c r="G33" s="43" t="e">
        <f t="shared" si="1"/>
        <v>#VALUE!</v>
      </c>
      <c r="H33" s="76"/>
      <c r="I33" s="43"/>
      <c r="J33" s="20" t="s">
        <v>124</v>
      </c>
    </row>
    <row r="34" spans="1:10" ht="17.850000000000001" customHeight="1" x14ac:dyDescent="0.25">
      <c r="A34" s="21" t="s">
        <v>209</v>
      </c>
      <c r="B34" s="21" t="s">
        <v>210</v>
      </c>
      <c r="C34" s="21" t="s">
        <v>127</v>
      </c>
      <c r="D34" s="31">
        <v>5.8</v>
      </c>
      <c r="E34" s="32">
        <v>35469</v>
      </c>
      <c r="F34" s="43">
        <f t="shared" si="0"/>
        <v>37951.83</v>
      </c>
      <c r="G34" s="43">
        <f t="shared" si="1"/>
        <v>25048.2078</v>
      </c>
      <c r="H34" s="61"/>
      <c r="I34" s="43">
        <f t="shared" si="2"/>
        <v>0</v>
      </c>
      <c r="J34" s="132"/>
    </row>
    <row r="35" spans="1:10" ht="17.850000000000001" customHeight="1" x14ac:dyDescent="0.25">
      <c r="A35" s="21" t="s">
        <v>211</v>
      </c>
      <c r="B35" s="21" t="s">
        <v>212</v>
      </c>
      <c r="C35" s="21" t="s">
        <v>127</v>
      </c>
      <c r="D35" s="31">
        <v>5.8</v>
      </c>
      <c r="E35" s="32">
        <v>63808</v>
      </c>
      <c r="F35" s="43">
        <f t="shared" si="0"/>
        <v>68274.559999999998</v>
      </c>
      <c r="G35" s="43">
        <f t="shared" si="1"/>
        <v>45061.209600000002</v>
      </c>
      <c r="H35" s="62"/>
      <c r="I35" s="43">
        <f t="shared" si="2"/>
        <v>0</v>
      </c>
      <c r="J35" s="133"/>
    </row>
    <row r="36" spans="1:10" ht="17.850000000000001" customHeight="1" x14ac:dyDescent="0.25">
      <c r="A36" s="21" t="s">
        <v>213</v>
      </c>
      <c r="B36" s="21" t="s">
        <v>214</v>
      </c>
      <c r="C36" s="21" t="s">
        <v>127</v>
      </c>
      <c r="D36" s="31">
        <v>5.8</v>
      </c>
      <c r="E36" s="32">
        <v>63808</v>
      </c>
      <c r="F36" s="43">
        <f t="shared" si="0"/>
        <v>68274.559999999998</v>
      </c>
      <c r="G36" s="43">
        <f t="shared" si="1"/>
        <v>45061.209600000002</v>
      </c>
      <c r="H36" s="62"/>
      <c r="I36" s="43">
        <f t="shared" si="2"/>
        <v>0</v>
      </c>
      <c r="J36" s="133"/>
    </row>
    <row r="37" spans="1:10" ht="17.850000000000001" customHeight="1" x14ac:dyDescent="0.25">
      <c r="A37" s="21" t="s">
        <v>215</v>
      </c>
      <c r="B37" s="21" t="s">
        <v>216</v>
      </c>
      <c r="C37" s="21" t="s">
        <v>127</v>
      </c>
      <c r="D37" s="31">
        <v>5.8</v>
      </c>
      <c r="E37" s="32">
        <v>63808</v>
      </c>
      <c r="F37" s="43">
        <f t="shared" si="0"/>
        <v>68274.559999999998</v>
      </c>
      <c r="G37" s="43">
        <f t="shared" si="1"/>
        <v>45061.209600000002</v>
      </c>
      <c r="H37" s="62"/>
      <c r="I37" s="43">
        <f t="shared" si="2"/>
        <v>0</v>
      </c>
      <c r="J37" s="133"/>
    </row>
    <row r="38" spans="1:10" ht="17.850000000000001" customHeight="1" x14ac:dyDescent="0.25">
      <c r="A38" s="21" t="s">
        <v>217</v>
      </c>
      <c r="B38" s="21" t="s">
        <v>218</v>
      </c>
      <c r="C38" s="21" t="s">
        <v>127</v>
      </c>
      <c r="D38" s="31">
        <v>5.8</v>
      </c>
      <c r="E38" s="32">
        <v>78002</v>
      </c>
      <c r="F38" s="43">
        <f t="shared" si="0"/>
        <v>83462.14</v>
      </c>
      <c r="G38" s="43">
        <f t="shared" si="1"/>
        <v>55085.012399999992</v>
      </c>
      <c r="H38" s="62"/>
      <c r="I38" s="43">
        <f t="shared" si="2"/>
        <v>0</v>
      </c>
      <c r="J38" s="134"/>
    </row>
    <row r="39" spans="1:10" ht="17.850000000000001" customHeight="1" x14ac:dyDescent="0.25">
      <c r="A39" s="19" t="s">
        <v>119</v>
      </c>
      <c r="B39" s="19" t="s">
        <v>120</v>
      </c>
      <c r="C39" s="19" t="s">
        <v>121</v>
      </c>
      <c r="D39" s="19" t="s">
        <v>122</v>
      </c>
      <c r="E39" s="20" t="s">
        <v>123</v>
      </c>
      <c r="F39" s="43" t="e">
        <f t="shared" si="0"/>
        <v>#VALUE!</v>
      </c>
      <c r="G39" s="43" t="e">
        <f t="shared" si="1"/>
        <v>#VALUE!</v>
      </c>
      <c r="H39" s="76"/>
      <c r="I39" s="43"/>
      <c r="J39" s="20" t="s">
        <v>124</v>
      </c>
    </row>
    <row r="40" spans="1:10" ht="17.850000000000001" customHeight="1" x14ac:dyDescent="0.25">
      <c r="A40" s="21" t="s">
        <v>219</v>
      </c>
      <c r="B40" s="21" t="s">
        <v>220</v>
      </c>
      <c r="C40" s="21" t="s">
        <v>127</v>
      </c>
      <c r="D40" s="31">
        <v>5.8</v>
      </c>
      <c r="E40" s="32">
        <v>25800</v>
      </c>
      <c r="F40" s="43">
        <f t="shared" si="0"/>
        <v>27606</v>
      </c>
      <c r="G40" s="43">
        <f t="shared" si="1"/>
        <v>18219.96</v>
      </c>
      <c r="H40" s="61"/>
      <c r="I40" s="43">
        <f t="shared" si="2"/>
        <v>0</v>
      </c>
      <c r="J40" s="132"/>
    </row>
    <row r="41" spans="1:10" ht="17.850000000000001" customHeight="1" x14ac:dyDescent="0.25">
      <c r="A41" s="21" t="s">
        <v>221</v>
      </c>
      <c r="B41" s="21" t="s">
        <v>222</v>
      </c>
      <c r="C41" s="21" t="s">
        <v>127</v>
      </c>
      <c r="D41" s="31">
        <v>5.8</v>
      </c>
      <c r="E41" s="32">
        <v>45019</v>
      </c>
      <c r="F41" s="43">
        <f t="shared" si="0"/>
        <v>48170.33</v>
      </c>
      <c r="G41" s="43">
        <f t="shared" si="1"/>
        <v>31792.417799999999</v>
      </c>
      <c r="H41" s="62"/>
      <c r="I41" s="43">
        <f t="shared" ref="I41:I62" si="3">G41:G64*H41:H64</f>
        <v>0</v>
      </c>
      <c r="J41" s="133"/>
    </row>
    <row r="42" spans="1:10" ht="17.850000000000001" customHeight="1" x14ac:dyDescent="0.25">
      <c r="A42" s="21" t="s">
        <v>223</v>
      </c>
      <c r="B42" s="21" t="s">
        <v>224</v>
      </c>
      <c r="C42" s="21" t="s">
        <v>127</v>
      </c>
      <c r="D42" s="31">
        <v>5.8</v>
      </c>
      <c r="E42" s="32">
        <v>45019</v>
      </c>
      <c r="F42" s="43">
        <f t="shared" si="0"/>
        <v>48170.33</v>
      </c>
      <c r="G42" s="43">
        <f t="shared" si="1"/>
        <v>31792.417799999999</v>
      </c>
      <c r="H42" s="62"/>
      <c r="I42" s="43">
        <f t="shared" si="3"/>
        <v>0</v>
      </c>
      <c r="J42" s="133"/>
    </row>
    <row r="43" spans="1:10" ht="17.850000000000001" customHeight="1" x14ac:dyDescent="0.25">
      <c r="A43" s="21" t="s">
        <v>225</v>
      </c>
      <c r="B43" s="21" t="s">
        <v>226</v>
      </c>
      <c r="C43" s="21" t="s">
        <v>127</v>
      </c>
      <c r="D43" s="31">
        <v>5.8</v>
      </c>
      <c r="E43" s="32">
        <v>51328</v>
      </c>
      <c r="F43" s="43">
        <f t="shared" si="0"/>
        <v>54920.959999999999</v>
      </c>
      <c r="G43" s="43">
        <f t="shared" si="1"/>
        <v>36247.833599999998</v>
      </c>
      <c r="H43" s="62"/>
      <c r="I43" s="43">
        <f t="shared" si="3"/>
        <v>0</v>
      </c>
      <c r="J43" s="133"/>
    </row>
    <row r="44" spans="1:10" ht="17.850000000000001" customHeight="1" x14ac:dyDescent="0.25">
      <c r="A44" s="21" t="s">
        <v>227</v>
      </c>
      <c r="B44" s="21" t="s">
        <v>228</v>
      </c>
      <c r="C44" s="21" t="s">
        <v>127</v>
      </c>
      <c r="D44" s="31">
        <v>5.8</v>
      </c>
      <c r="E44" s="32">
        <v>54952</v>
      </c>
      <c r="F44" s="43">
        <f t="shared" si="0"/>
        <v>58798.64</v>
      </c>
      <c r="G44" s="43">
        <f t="shared" si="1"/>
        <v>38807.102400000003</v>
      </c>
      <c r="H44" s="62"/>
      <c r="I44" s="43">
        <f t="shared" si="3"/>
        <v>0</v>
      </c>
      <c r="J44" s="134"/>
    </row>
    <row r="45" spans="1:10" ht="17.850000000000001" customHeight="1" x14ac:dyDescent="0.25">
      <c r="A45" s="19" t="s">
        <v>119</v>
      </c>
      <c r="B45" s="19" t="s">
        <v>120</v>
      </c>
      <c r="C45" s="19" t="s">
        <v>121</v>
      </c>
      <c r="D45" s="19" t="s">
        <v>122</v>
      </c>
      <c r="E45" s="20" t="s">
        <v>123</v>
      </c>
      <c r="F45" s="43" t="e">
        <f t="shared" si="0"/>
        <v>#VALUE!</v>
      </c>
      <c r="G45" s="43" t="e">
        <f t="shared" si="1"/>
        <v>#VALUE!</v>
      </c>
      <c r="H45" s="76"/>
      <c r="I45" s="43"/>
      <c r="J45" s="20" t="s">
        <v>124</v>
      </c>
    </row>
    <row r="46" spans="1:10" ht="17.850000000000001" customHeight="1" x14ac:dyDescent="0.25">
      <c r="A46" s="21" t="s">
        <v>229</v>
      </c>
      <c r="B46" s="21" t="s">
        <v>230</v>
      </c>
      <c r="C46" s="21" t="s">
        <v>127</v>
      </c>
      <c r="D46" s="31">
        <v>5.8</v>
      </c>
      <c r="E46" s="32">
        <v>6668</v>
      </c>
      <c r="F46" s="43">
        <f t="shared" si="0"/>
        <v>7134.76</v>
      </c>
      <c r="G46" s="43">
        <f t="shared" si="1"/>
        <v>4708.9416000000001</v>
      </c>
      <c r="H46" s="61"/>
      <c r="I46" s="43">
        <f t="shared" si="3"/>
        <v>0</v>
      </c>
      <c r="J46" s="132"/>
    </row>
    <row r="47" spans="1:10" ht="17.850000000000001" customHeight="1" x14ac:dyDescent="0.25">
      <c r="A47" s="21" t="s">
        <v>231</v>
      </c>
      <c r="B47" s="21" t="s">
        <v>232</v>
      </c>
      <c r="C47" s="21" t="s">
        <v>127</v>
      </c>
      <c r="D47" s="31">
        <v>5.8</v>
      </c>
      <c r="E47" s="32">
        <v>12923</v>
      </c>
      <c r="F47" s="43">
        <f t="shared" si="0"/>
        <v>13827.61</v>
      </c>
      <c r="G47" s="43">
        <f t="shared" si="1"/>
        <v>9126.222600000001</v>
      </c>
      <c r="H47" s="62"/>
      <c r="I47" s="43">
        <f t="shared" si="3"/>
        <v>0</v>
      </c>
      <c r="J47" s="133"/>
    </row>
    <row r="48" spans="1:10" ht="17.850000000000001" customHeight="1" x14ac:dyDescent="0.25">
      <c r="A48" s="21" t="s">
        <v>233</v>
      </c>
      <c r="B48" s="21" t="s">
        <v>234</v>
      </c>
      <c r="C48" s="21" t="s">
        <v>127</v>
      </c>
      <c r="D48" s="31">
        <v>5.8</v>
      </c>
      <c r="E48" s="32">
        <v>12923</v>
      </c>
      <c r="F48" s="43">
        <f t="shared" si="0"/>
        <v>13827.61</v>
      </c>
      <c r="G48" s="43">
        <f t="shared" si="1"/>
        <v>9126.222600000001</v>
      </c>
      <c r="H48" s="62"/>
      <c r="I48" s="43">
        <f t="shared" si="3"/>
        <v>0</v>
      </c>
      <c r="J48" s="133"/>
    </row>
    <row r="49" spans="1:11" ht="17.850000000000001" customHeight="1" x14ac:dyDescent="0.25">
      <c r="A49" s="21" t="s">
        <v>235</v>
      </c>
      <c r="B49" s="21" t="s">
        <v>236</v>
      </c>
      <c r="C49" s="21" t="s">
        <v>127</v>
      </c>
      <c r="D49" s="31">
        <v>5.8</v>
      </c>
      <c r="E49" s="32">
        <v>12923</v>
      </c>
      <c r="F49" s="43">
        <f t="shared" si="0"/>
        <v>13827.61</v>
      </c>
      <c r="G49" s="43">
        <f t="shared" si="1"/>
        <v>9126.222600000001</v>
      </c>
      <c r="H49" s="62"/>
      <c r="I49" s="43">
        <f t="shared" si="3"/>
        <v>0</v>
      </c>
      <c r="J49" s="133"/>
    </row>
    <row r="50" spans="1:11" ht="17.850000000000001" customHeight="1" x14ac:dyDescent="0.25">
      <c r="A50" s="21" t="s">
        <v>237</v>
      </c>
      <c r="B50" s="21" t="s">
        <v>238</v>
      </c>
      <c r="C50" s="21" t="s">
        <v>127</v>
      </c>
      <c r="D50" s="31">
        <v>5.8</v>
      </c>
      <c r="E50" s="32">
        <v>15875</v>
      </c>
      <c r="F50" s="43">
        <f t="shared" si="0"/>
        <v>16986.25</v>
      </c>
      <c r="G50" s="43">
        <f t="shared" si="1"/>
        <v>11210.924999999999</v>
      </c>
      <c r="H50" s="62"/>
      <c r="I50" s="43">
        <f t="shared" si="3"/>
        <v>0</v>
      </c>
      <c r="J50" s="134"/>
    </row>
    <row r="51" spans="1:11" ht="17.850000000000001" customHeight="1" x14ac:dyDescent="0.25">
      <c r="A51" s="19" t="s">
        <v>119</v>
      </c>
      <c r="B51" s="19" t="s">
        <v>120</v>
      </c>
      <c r="C51" s="19" t="s">
        <v>121</v>
      </c>
      <c r="D51" s="19" t="s">
        <v>122</v>
      </c>
      <c r="E51" s="20" t="s">
        <v>123</v>
      </c>
      <c r="F51" s="43" t="e">
        <f t="shared" si="0"/>
        <v>#VALUE!</v>
      </c>
      <c r="G51" s="43" t="e">
        <f t="shared" si="1"/>
        <v>#VALUE!</v>
      </c>
      <c r="H51" s="76"/>
      <c r="I51" s="43"/>
      <c r="J51" s="20" t="s">
        <v>124</v>
      </c>
    </row>
    <row r="52" spans="1:11" ht="17.850000000000001" customHeight="1" x14ac:dyDescent="0.25">
      <c r="A52" s="21" t="s">
        <v>239</v>
      </c>
      <c r="B52" s="21" t="s">
        <v>240</v>
      </c>
      <c r="C52" s="21" t="s">
        <v>127</v>
      </c>
      <c r="D52" s="31">
        <v>5.8</v>
      </c>
      <c r="E52" s="32">
        <v>5183</v>
      </c>
      <c r="F52" s="43">
        <f t="shared" si="0"/>
        <v>5545.81</v>
      </c>
      <c r="G52" s="43">
        <f t="shared" si="1"/>
        <v>3660.2346000000002</v>
      </c>
      <c r="H52" s="61"/>
      <c r="I52" s="43">
        <f t="shared" si="3"/>
        <v>0</v>
      </c>
      <c r="J52" s="132"/>
    </row>
    <row r="53" spans="1:11" ht="17.850000000000001" customHeight="1" x14ac:dyDescent="0.25">
      <c r="A53" s="21" t="s">
        <v>241</v>
      </c>
      <c r="B53" s="21" t="s">
        <v>242</v>
      </c>
      <c r="C53" s="21" t="s">
        <v>127</v>
      </c>
      <c r="D53" s="31">
        <v>5.8</v>
      </c>
      <c r="E53" s="32">
        <v>10441</v>
      </c>
      <c r="F53" s="43">
        <f t="shared" si="0"/>
        <v>11171.87</v>
      </c>
      <c r="G53" s="43">
        <f t="shared" si="1"/>
        <v>7373.4341999999997</v>
      </c>
      <c r="H53" s="62"/>
      <c r="I53" s="43">
        <f t="shared" si="3"/>
        <v>0</v>
      </c>
      <c r="J53" s="133"/>
    </row>
    <row r="54" spans="1:11" ht="17.850000000000001" customHeight="1" x14ac:dyDescent="0.25">
      <c r="A54" s="21" t="s">
        <v>243</v>
      </c>
      <c r="B54" s="21" t="s">
        <v>244</v>
      </c>
      <c r="C54" s="21" t="s">
        <v>127</v>
      </c>
      <c r="D54" s="31">
        <v>5.8</v>
      </c>
      <c r="E54" s="32">
        <v>10441</v>
      </c>
      <c r="F54" s="43">
        <f t="shared" si="0"/>
        <v>11171.87</v>
      </c>
      <c r="G54" s="43">
        <f t="shared" si="1"/>
        <v>7373.4341999999997</v>
      </c>
      <c r="H54" s="62"/>
      <c r="I54" s="43">
        <f t="shared" si="3"/>
        <v>0</v>
      </c>
      <c r="J54" s="133"/>
    </row>
    <row r="55" spans="1:11" ht="17.850000000000001" customHeight="1" x14ac:dyDescent="0.25">
      <c r="A55" s="21" t="s">
        <v>245</v>
      </c>
      <c r="B55" s="21" t="s">
        <v>246</v>
      </c>
      <c r="C55" s="21" t="s">
        <v>127</v>
      </c>
      <c r="D55" s="31">
        <v>5.8</v>
      </c>
      <c r="E55" s="32">
        <v>10441</v>
      </c>
      <c r="F55" s="43">
        <f t="shared" si="0"/>
        <v>11171.87</v>
      </c>
      <c r="G55" s="43">
        <f t="shared" si="1"/>
        <v>7373.4341999999997</v>
      </c>
      <c r="H55" s="62"/>
      <c r="I55" s="43">
        <f t="shared" si="3"/>
        <v>0</v>
      </c>
      <c r="J55" s="133"/>
    </row>
    <row r="56" spans="1:11" ht="17.850000000000001" customHeight="1" x14ac:dyDescent="0.25">
      <c r="A56" s="21" t="s">
        <v>247</v>
      </c>
      <c r="B56" s="21" t="s">
        <v>248</v>
      </c>
      <c r="C56" s="21" t="s">
        <v>127</v>
      </c>
      <c r="D56" s="31">
        <v>5.8</v>
      </c>
      <c r="E56" s="32">
        <v>12746</v>
      </c>
      <c r="F56" s="43">
        <f t="shared" si="0"/>
        <v>13638.22</v>
      </c>
      <c r="G56" s="43">
        <f t="shared" si="1"/>
        <v>9001.2251999999989</v>
      </c>
      <c r="H56" s="62"/>
      <c r="I56" s="43">
        <f t="shared" si="3"/>
        <v>0</v>
      </c>
      <c r="J56" s="134"/>
    </row>
    <row r="57" spans="1:11" ht="17.850000000000001" customHeight="1" x14ac:dyDescent="0.25">
      <c r="A57" s="19" t="s">
        <v>119</v>
      </c>
      <c r="B57" s="19" t="s">
        <v>120</v>
      </c>
      <c r="C57" s="19" t="s">
        <v>121</v>
      </c>
      <c r="D57" s="19" t="s">
        <v>122</v>
      </c>
      <c r="E57" s="20" t="s">
        <v>123</v>
      </c>
      <c r="F57" s="43" t="e">
        <f t="shared" si="0"/>
        <v>#VALUE!</v>
      </c>
      <c r="G57" s="43" t="e">
        <f t="shared" si="1"/>
        <v>#VALUE!</v>
      </c>
      <c r="H57" s="76"/>
      <c r="I57" s="43"/>
      <c r="J57" s="20" t="s">
        <v>124</v>
      </c>
    </row>
    <row r="58" spans="1:11" ht="17.850000000000001" customHeight="1" x14ac:dyDescent="0.25">
      <c r="A58" s="21" t="s">
        <v>152</v>
      </c>
      <c r="B58" s="21" t="s">
        <v>249</v>
      </c>
      <c r="C58" s="21" t="s">
        <v>127</v>
      </c>
      <c r="D58" s="31">
        <v>5.8</v>
      </c>
      <c r="E58" s="32">
        <v>4635</v>
      </c>
      <c r="F58" s="43">
        <f t="shared" si="0"/>
        <v>4959.45</v>
      </c>
      <c r="G58" s="43">
        <f t="shared" si="1"/>
        <v>3273.2370000000001</v>
      </c>
      <c r="H58" s="61"/>
      <c r="I58" s="43">
        <f t="shared" si="3"/>
        <v>0</v>
      </c>
      <c r="J58" s="132"/>
    </row>
    <row r="59" spans="1:11" ht="17.850000000000001" customHeight="1" x14ac:dyDescent="0.25">
      <c r="A59" s="21" t="s">
        <v>154</v>
      </c>
      <c r="B59" s="21" t="s">
        <v>250</v>
      </c>
      <c r="C59" s="21" t="s">
        <v>127</v>
      </c>
      <c r="D59" s="31">
        <v>5.8</v>
      </c>
      <c r="E59" s="32">
        <v>8662</v>
      </c>
      <c r="F59" s="43">
        <f t="shared" si="0"/>
        <v>9268.34</v>
      </c>
      <c r="G59" s="43">
        <f t="shared" si="1"/>
        <v>6117.1044000000002</v>
      </c>
      <c r="H59" s="62"/>
      <c r="I59" s="43">
        <f t="shared" si="3"/>
        <v>0</v>
      </c>
      <c r="J59" s="133"/>
    </row>
    <row r="60" spans="1:11" ht="17.850000000000001" customHeight="1" x14ac:dyDescent="0.25">
      <c r="A60" s="21" t="s">
        <v>156</v>
      </c>
      <c r="B60" s="21" t="s">
        <v>251</v>
      </c>
      <c r="C60" s="21" t="s">
        <v>127</v>
      </c>
      <c r="D60" s="31">
        <v>5.8</v>
      </c>
      <c r="E60" s="32">
        <v>8662</v>
      </c>
      <c r="F60" s="43">
        <f t="shared" si="0"/>
        <v>9268.34</v>
      </c>
      <c r="G60" s="43">
        <f t="shared" si="1"/>
        <v>6117.1044000000002</v>
      </c>
      <c r="H60" s="62"/>
      <c r="I60" s="43">
        <f t="shared" si="3"/>
        <v>0</v>
      </c>
      <c r="J60" s="133"/>
    </row>
    <row r="61" spans="1:11" ht="17.850000000000001" customHeight="1" x14ac:dyDescent="0.25">
      <c r="A61" s="21" t="s">
        <v>252</v>
      </c>
      <c r="B61" s="21" t="s">
        <v>253</v>
      </c>
      <c r="C61" s="21" t="s">
        <v>127</v>
      </c>
      <c r="D61" s="31">
        <v>5.8</v>
      </c>
      <c r="E61" s="32">
        <v>8662</v>
      </c>
      <c r="F61" s="43">
        <f t="shared" si="0"/>
        <v>9268.34</v>
      </c>
      <c r="G61" s="43">
        <f t="shared" si="1"/>
        <v>6117.1044000000002</v>
      </c>
      <c r="H61" s="62"/>
      <c r="I61" s="43">
        <f t="shared" si="3"/>
        <v>0</v>
      </c>
      <c r="J61" s="133"/>
    </row>
    <row r="62" spans="1:11" ht="17.850000000000001" customHeight="1" x14ac:dyDescent="0.25">
      <c r="A62" s="21" t="s">
        <v>254</v>
      </c>
      <c r="B62" s="21" t="s">
        <v>255</v>
      </c>
      <c r="C62" s="21" t="s">
        <v>127</v>
      </c>
      <c r="D62" s="31">
        <v>5.8</v>
      </c>
      <c r="E62" s="32">
        <v>11525</v>
      </c>
      <c r="F62" s="43">
        <f t="shared" si="0"/>
        <v>12331.75</v>
      </c>
      <c r="G62" s="43">
        <f t="shared" si="1"/>
        <v>8138.9549999999999</v>
      </c>
      <c r="H62" s="62"/>
      <c r="I62" s="43">
        <f t="shared" si="3"/>
        <v>0</v>
      </c>
      <c r="J62" s="134"/>
    </row>
    <row r="63" spans="1:11" ht="17.850000000000001" customHeight="1" x14ac:dyDescent="0.25">
      <c r="A63" s="83"/>
      <c r="B63" s="83"/>
      <c r="C63" s="83"/>
      <c r="D63" s="87"/>
      <c r="E63" s="88"/>
      <c r="F63" s="88"/>
      <c r="G63" s="88"/>
      <c r="H63" s="89"/>
      <c r="I63" s="88">
        <f>SUM(I3:I62)</f>
        <v>0</v>
      </c>
      <c r="J63" s="68"/>
    </row>
    <row r="64" spans="1:11" ht="81" customHeight="1" x14ac:dyDescent="0.25">
      <c r="A64" s="135" t="s">
        <v>158</v>
      </c>
      <c r="B64" s="135"/>
      <c r="C64" s="135"/>
      <c r="D64" s="135"/>
      <c r="E64" s="135"/>
      <c r="F64" s="135"/>
      <c r="G64" s="135"/>
      <c r="H64" s="135"/>
      <c r="I64" s="135"/>
      <c r="J64" s="135"/>
      <c r="K64" s="135"/>
    </row>
  </sheetData>
  <mergeCells count="12">
    <mergeCell ref="J58:J62"/>
    <mergeCell ref="A64:K64"/>
    <mergeCell ref="J28:J32"/>
    <mergeCell ref="J34:J38"/>
    <mergeCell ref="J40:J44"/>
    <mergeCell ref="J46:J50"/>
    <mergeCell ref="J52:J56"/>
    <mergeCell ref="A1:K1"/>
    <mergeCell ref="J3:J7"/>
    <mergeCell ref="J9:J13"/>
    <mergeCell ref="J15:J19"/>
    <mergeCell ref="J21:J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K42"/>
  <sheetViews>
    <sheetView tabSelected="1" topLeftCell="B22" zoomScale="130" zoomScaleNormal="130" workbookViewId="0">
      <selection activeCell="B36" sqref="B36"/>
    </sheetView>
  </sheetViews>
  <sheetFormatPr baseColWidth="10" defaultColWidth="9.33203125" defaultRowHeight="13.2" x14ac:dyDescent="0.25"/>
  <cols>
    <col min="1" max="1" width="16" customWidth="1"/>
    <col min="2" max="2" width="39.109375" customWidth="1"/>
    <col min="3" max="3" width="10.109375" customWidth="1"/>
    <col min="4" max="4" width="10.44140625" customWidth="1"/>
    <col min="5" max="9" width="17.109375" customWidth="1"/>
    <col min="10" max="10" width="20.6640625" customWidth="1"/>
    <col min="11" max="11" width="6" customWidth="1"/>
  </cols>
  <sheetData>
    <row r="1" spans="1:11" ht="27.75" customHeight="1" x14ac:dyDescent="0.25">
      <c r="A1" s="136" t="s">
        <v>256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1" ht="36" customHeight="1" x14ac:dyDescent="0.25">
      <c r="G2" s="48"/>
      <c r="H2" s="48"/>
      <c r="I2" s="48"/>
    </row>
    <row r="3" spans="1:11" ht="19.5" customHeight="1" x14ac:dyDescent="0.25">
      <c r="A3" s="28" t="s">
        <v>119</v>
      </c>
      <c r="B3" s="33" t="s">
        <v>120</v>
      </c>
      <c r="C3" s="30" t="s">
        <v>121</v>
      </c>
      <c r="D3" s="20" t="s">
        <v>122</v>
      </c>
      <c r="E3" s="19" t="s">
        <v>123</v>
      </c>
      <c r="F3" s="129">
        <v>7.0000000000000007E-2</v>
      </c>
      <c r="G3" s="46">
        <v>0.1</v>
      </c>
      <c r="H3" s="46" t="s">
        <v>465</v>
      </c>
      <c r="I3" s="19" t="s">
        <v>466</v>
      </c>
      <c r="J3" s="20" t="s">
        <v>124</v>
      </c>
    </row>
    <row r="4" spans="1:11" ht="19.5" customHeight="1" x14ac:dyDescent="0.25">
      <c r="A4" s="21" t="s">
        <v>257</v>
      </c>
      <c r="B4" s="21" t="s">
        <v>258</v>
      </c>
      <c r="C4" s="21" t="s">
        <v>127</v>
      </c>
      <c r="D4" s="22">
        <v>5.8</v>
      </c>
      <c r="E4" s="23">
        <v>23408</v>
      </c>
      <c r="F4" s="44">
        <f>E4+(E4*$F$3)</f>
        <v>25046.560000000001</v>
      </c>
      <c r="G4" s="44">
        <f>F4-(F4*$G$3)</f>
        <v>22541.904000000002</v>
      </c>
      <c r="H4" s="57"/>
      <c r="I4" s="44">
        <f>G4*H4</f>
        <v>0</v>
      </c>
      <c r="J4" s="132"/>
    </row>
    <row r="5" spans="1:11" ht="19.5" customHeight="1" x14ac:dyDescent="0.25">
      <c r="A5" s="21" t="s">
        <v>259</v>
      </c>
      <c r="B5" s="21" t="s">
        <v>260</v>
      </c>
      <c r="C5" s="21" t="s">
        <v>127</v>
      </c>
      <c r="D5" s="22">
        <v>5.8</v>
      </c>
      <c r="E5" s="23">
        <v>42909</v>
      </c>
      <c r="F5" s="44">
        <f t="shared" ref="F5:F41" si="0">E5+(E5*$F$3)</f>
        <v>45912.63</v>
      </c>
      <c r="G5" s="44">
        <f t="shared" ref="G5:G41" si="1">F5-(F5*$G$3)</f>
        <v>41321.366999999998</v>
      </c>
      <c r="H5" s="58"/>
      <c r="I5" s="44">
        <f t="shared" ref="I5:I41" si="2">G5*H5</f>
        <v>0</v>
      </c>
      <c r="J5" s="133"/>
    </row>
    <row r="6" spans="1:11" ht="19.5" customHeight="1" x14ac:dyDescent="0.25">
      <c r="A6" s="21" t="s">
        <v>261</v>
      </c>
      <c r="B6" s="21" t="s">
        <v>262</v>
      </c>
      <c r="C6" s="21" t="s">
        <v>127</v>
      </c>
      <c r="D6" s="22">
        <v>5.8</v>
      </c>
      <c r="E6" s="23">
        <v>42909</v>
      </c>
      <c r="F6" s="44">
        <f t="shared" si="0"/>
        <v>45912.63</v>
      </c>
      <c r="G6" s="44">
        <f t="shared" si="1"/>
        <v>41321.366999999998</v>
      </c>
      <c r="H6" s="58"/>
      <c r="I6" s="44">
        <f t="shared" si="2"/>
        <v>0</v>
      </c>
      <c r="J6" s="133"/>
    </row>
    <row r="7" spans="1:11" ht="19.5" customHeight="1" x14ac:dyDescent="0.25">
      <c r="A7" s="21" t="s">
        <v>263</v>
      </c>
      <c r="B7" s="21" t="s">
        <v>264</v>
      </c>
      <c r="C7" s="21" t="s">
        <v>127</v>
      </c>
      <c r="D7" s="22">
        <v>5.8</v>
      </c>
      <c r="E7" s="23">
        <v>42909</v>
      </c>
      <c r="F7" s="44">
        <f t="shared" si="0"/>
        <v>45912.63</v>
      </c>
      <c r="G7" s="44">
        <f t="shared" si="1"/>
        <v>41321.366999999998</v>
      </c>
      <c r="H7" s="58"/>
      <c r="I7" s="44">
        <f t="shared" si="2"/>
        <v>0</v>
      </c>
      <c r="J7" s="133"/>
    </row>
    <row r="8" spans="1:11" ht="19.5" customHeight="1" x14ac:dyDescent="0.25">
      <c r="A8" s="21" t="s">
        <v>265</v>
      </c>
      <c r="B8" s="21" t="s">
        <v>266</v>
      </c>
      <c r="C8" s="21" t="s">
        <v>127</v>
      </c>
      <c r="D8" s="22">
        <v>5.8</v>
      </c>
      <c r="E8" s="23">
        <v>52510</v>
      </c>
      <c r="F8" s="44">
        <f t="shared" si="0"/>
        <v>56185.7</v>
      </c>
      <c r="G8" s="44">
        <f t="shared" si="1"/>
        <v>50567.13</v>
      </c>
      <c r="H8" s="58"/>
      <c r="I8" s="44">
        <f t="shared" si="2"/>
        <v>0</v>
      </c>
      <c r="J8" s="134"/>
    </row>
    <row r="9" spans="1:11" ht="19.5" customHeight="1" x14ac:dyDescent="0.25">
      <c r="A9" s="21" t="s">
        <v>267</v>
      </c>
      <c r="B9" s="21" t="s">
        <v>268</v>
      </c>
      <c r="C9" s="21" t="s">
        <v>127</v>
      </c>
      <c r="D9" s="22">
        <v>5.8</v>
      </c>
      <c r="E9" s="23">
        <v>16057</v>
      </c>
      <c r="F9" s="44">
        <f t="shared" si="0"/>
        <v>17180.990000000002</v>
      </c>
      <c r="G9" s="44">
        <f t="shared" si="1"/>
        <v>15462.891000000001</v>
      </c>
      <c r="H9" s="57"/>
      <c r="I9" s="44">
        <f t="shared" si="2"/>
        <v>0</v>
      </c>
      <c r="J9" s="132"/>
    </row>
    <row r="10" spans="1:11" ht="19.5" customHeight="1" x14ac:dyDescent="0.25">
      <c r="A10" s="21" t="s">
        <v>269</v>
      </c>
      <c r="B10" s="21" t="s">
        <v>270</v>
      </c>
      <c r="C10" s="21" t="s">
        <v>127</v>
      </c>
      <c r="D10" s="22">
        <v>5.8</v>
      </c>
      <c r="E10" s="23">
        <v>41410</v>
      </c>
      <c r="F10" s="44">
        <f t="shared" si="0"/>
        <v>44308.7</v>
      </c>
      <c r="G10" s="44">
        <f t="shared" si="1"/>
        <v>39877.829999999994</v>
      </c>
      <c r="H10" s="58"/>
      <c r="I10" s="44">
        <f t="shared" si="2"/>
        <v>0</v>
      </c>
      <c r="J10" s="133"/>
    </row>
    <row r="11" spans="1:11" ht="19.5" customHeight="1" x14ac:dyDescent="0.25">
      <c r="A11" s="21" t="s">
        <v>271</v>
      </c>
      <c r="B11" s="21" t="s">
        <v>272</v>
      </c>
      <c r="C11" s="21" t="s">
        <v>127</v>
      </c>
      <c r="D11" s="22">
        <v>5.8</v>
      </c>
      <c r="E11" s="23">
        <v>50678</v>
      </c>
      <c r="F11" s="44">
        <f t="shared" si="0"/>
        <v>54225.46</v>
      </c>
      <c r="G11" s="44">
        <f t="shared" si="1"/>
        <v>48802.913999999997</v>
      </c>
      <c r="H11" s="58"/>
      <c r="I11" s="44">
        <f t="shared" si="2"/>
        <v>0</v>
      </c>
      <c r="J11" s="133"/>
    </row>
    <row r="12" spans="1:11" ht="19.5" customHeight="1" x14ac:dyDescent="0.25">
      <c r="A12" s="21" t="s">
        <v>273</v>
      </c>
      <c r="B12" s="21" t="s">
        <v>274</v>
      </c>
      <c r="C12" s="21" t="s">
        <v>127</v>
      </c>
      <c r="D12" s="22">
        <v>5.8</v>
      </c>
      <c r="E12" s="23">
        <v>41410</v>
      </c>
      <c r="F12" s="44">
        <f t="shared" si="0"/>
        <v>44308.7</v>
      </c>
      <c r="G12" s="44">
        <f t="shared" si="1"/>
        <v>39877.829999999994</v>
      </c>
      <c r="H12" s="58"/>
      <c r="I12" s="44">
        <f t="shared" si="2"/>
        <v>0</v>
      </c>
      <c r="J12" s="134"/>
    </row>
    <row r="13" spans="1:11" ht="19.5" customHeight="1" x14ac:dyDescent="0.25">
      <c r="A13" s="21" t="s">
        <v>275</v>
      </c>
      <c r="B13" s="21" t="s">
        <v>276</v>
      </c>
      <c r="C13" s="21" t="s">
        <v>127</v>
      </c>
      <c r="D13" s="22">
        <v>5.8</v>
      </c>
      <c r="E13" s="23">
        <v>17571</v>
      </c>
      <c r="F13" s="44">
        <f t="shared" si="0"/>
        <v>18800.97</v>
      </c>
      <c r="G13" s="44">
        <f t="shared" si="1"/>
        <v>16920.873</v>
      </c>
      <c r="H13" s="57"/>
      <c r="I13" s="44">
        <f t="shared" si="2"/>
        <v>0</v>
      </c>
      <c r="J13" s="132"/>
    </row>
    <row r="14" spans="1:11" ht="19.5" customHeight="1" x14ac:dyDescent="0.25">
      <c r="A14" s="21" t="s">
        <v>277</v>
      </c>
      <c r="B14" s="21" t="s">
        <v>278</v>
      </c>
      <c r="C14" s="21" t="s">
        <v>127</v>
      </c>
      <c r="D14" s="22">
        <v>5.8</v>
      </c>
      <c r="E14" s="23">
        <v>30062</v>
      </c>
      <c r="F14" s="44">
        <f t="shared" si="0"/>
        <v>32166.34</v>
      </c>
      <c r="G14" s="44">
        <f t="shared" si="1"/>
        <v>28949.705999999998</v>
      </c>
      <c r="H14" s="58"/>
      <c r="I14" s="44">
        <f t="shared" si="2"/>
        <v>0</v>
      </c>
      <c r="J14" s="133"/>
    </row>
    <row r="15" spans="1:11" ht="19.5" customHeight="1" x14ac:dyDescent="0.25">
      <c r="A15" s="21" t="s">
        <v>279</v>
      </c>
      <c r="B15" s="21" t="s">
        <v>280</v>
      </c>
      <c r="C15" s="21" t="s">
        <v>127</v>
      </c>
      <c r="D15" s="22">
        <v>5.8</v>
      </c>
      <c r="E15" s="23">
        <v>30062</v>
      </c>
      <c r="F15" s="44">
        <f t="shared" si="0"/>
        <v>32166.34</v>
      </c>
      <c r="G15" s="44">
        <f t="shared" si="1"/>
        <v>28949.705999999998</v>
      </c>
      <c r="H15" s="58"/>
      <c r="I15" s="44">
        <f t="shared" si="2"/>
        <v>0</v>
      </c>
      <c r="J15" s="134"/>
    </row>
    <row r="16" spans="1:11" ht="19.5" customHeight="1" x14ac:dyDescent="0.25">
      <c r="A16" s="21" t="s">
        <v>281</v>
      </c>
      <c r="B16" s="21" t="s">
        <v>282</v>
      </c>
      <c r="C16" s="21" t="s">
        <v>127</v>
      </c>
      <c r="D16" s="22">
        <v>5.8</v>
      </c>
      <c r="E16" s="23">
        <v>29335</v>
      </c>
      <c r="F16" s="44">
        <f t="shared" si="0"/>
        <v>31388.45</v>
      </c>
      <c r="G16" s="44">
        <f t="shared" si="1"/>
        <v>28249.605</v>
      </c>
      <c r="H16" s="57"/>
      <c r="I16" s="44">
        <f t="shared" si="2"/>
        <v>0</v>
      </c>
      <c r="J16" s="132"/>
    </row>
    <row r="17" spans="1:10" ht="19.5" customHeight="1" x14ac:dyDescent="0.25">
      <c r="A17" s="21" t="s">
        <v>283</v>
      </c>
      <c r="B17" s="21" t="s">
        <v>284</v>
      </c>
      <c r="C17" s="21" t="s">
        <v>127</v>
      </c>
      <c r="D17" s="22">
        <v>5.8</v>
      </c>
      <c r="E17" s="23">
        <v>76522</v>
      </c>
      <c r="F17" s="44">
        <f t="shared" si="0"/>
        <v>81878.540000000008</v>
      </c>
      <c r="G17" s="44">
        <f t="shared" si="1"/>
        <v>73690.686000000002</v>
      </c>
      <c r="H17" s="58"/>
      <c r="I17" s="44">
        <f t="shared" si="2"/>
        <v>0</v>
      </c>
      <c r="J17" s="133"/>
    </row>
    <row r="18" spans="1:10" ht="19.5" customHeight="1" x14ac:dyDescent="0.25">
      <c r="A18" s="21" t="s">
        <v>285</v>
      </c>
      <c r="B18" s="21" t="s">
        <v>286</v>
      </c>
      <c r="C18" s="21" t="s">
        <v>127</v>
      </c>
      <c r="D18" s="22">
        <v>5.8</v>
      </c>
      <c r="E18" s="23">
        <v>76522</v>
      </c>
      <c r="F18" s="44">
        <f t="shared" si="0"/>
        <v>81878.540000000008</v>
      </c>
      <c r="G18" s="44">
        <f t="shared" si="1"/>
        <v>73690.686000000002</v>
      </c>
      <c r="H18" s="58"/>
      <c r="I18" s="44">
        <f t="shared" si="2"/>
        <v>0</v>
      </c>
      <c r="J18" s="133"/>
    </row>
    <row r="19" spans="1:10" ht="19.5" customHeight="1" x14ac:dyDescent="0.25">
      <c r="A19" s="21" t="s">
        <v>287</v>
      </c>
      <c r="B19" s="21" t="s">
        <v>288</v>
      </c>
      <c r="C19" s="21" t="s">
        <v>127</v>
      </c>
      <c r="D19" s="22">
        <v>5.8</v>
      </c>
      <c r="E19" s="23">
        <v>76522</v>
      </c>
      <c r="F19" s="44">
        <f t="shared" si="0"/>
        <v>81878.540000000008</v>
      </c>
      <c r="G19" s="44">
        <f t="shared" si="1"/>
        <v>73690.686000000002</v>
      </c>
      <c r="H19" s="58"/>
      <c r="I19" s="44">
        <f t="shared" si="2"/>
        <v>0</v>
      </c>
      <c r="J19" s="133"/>
    </row>
    <row r="20" spans="1:10" ht="19.5" customHeight="1" x14ac:dyDescent="0.25">
      <c r="A20" s="21" t="s">
        <v>289</v>
      </c>
      <c r="B20" s="21" t="s">
        <v>290</v>
      </c>
      <c r="C20" s="21" t="s">
        <v>127</v>
      </c>
      <c r="D20" s="22">
        <v>5.8</v>
      </c>
      <c r="E20" s="23">
        <v>80976</v>
      </c>
      <c r="F20" s="44">
        <f t="shared" si="0"/>
        <v>86644.32</v>
      </c>
      <c r="G20" s="44">
        <f t="shared" si="1"/>
        <v>77979.888000000006</v>
      </c>
      <c r="H20" s="58"/>
      <c r="I20" s="44">
        <f t="shared" si="2"/>
        <v>0</v>
      </c>
      <c r="J20" s="134"/>
    </row>
    <row r="21" spans="1:10" ht="19.5" customHeight="1" x14ac:dyDescent="0.25">
      <c r="A21" s="21" t="s">
        <v>291</v>
      </c>
      <c r="B21" s="21" t="s">
        <v>292</v>
      </c>
      <c r="C21" s="21" t="s">
        <v>127</v>
      </c>
      <c r="D21" s="22">
        <v>5.8</v>
      </c>
      <c r="E21" s="23">
        <v>37519</v>
      </c>
      <c r="F21" s="44">
        <f t="shared" si="0"/>
        <v>40145.33</v>
      </c>
      <c r="G21" s="44">
        <f t="shared" si="1"/>
        <v>36130.796999999999</v>
      </c>
      <c r="H21" s="57"/>
      <c r="I21" s="44">
        <f t="shared" si="2"/>
        <v>0</v>
      </c>
      <c r="J21" s="132"/>
    </row>
    <row r="22" spans="1:10" ht="19.5" customHeight="1" x14ac:dyDescent="0.25">
      <c r="A22" s="21" t="s">
        <v>293</v>
      </c>
      <c r="B22" s="21" t="s">
        <v>294</v>
      </c>
      <c r="C22" s="21" t="s">
        <v>127</v>
      </c>
      <c r="D22" s="22">
        <v>5.8</v>
      </c>
      <c r="E22" s="23">
        <v>72245</v>
      </c>
      <c r="F22" s="44">
        <f t="shared" si="0"/>
        <v>77302.149999999994</v>
      </c>
      <c r="G22" s="44">
        <f t="shared" si="1"/>
        <v>69571.934999999998</v>
      </c>
      <c r="H22" s="58"/>
      <c r="I22" s="44">
        <f t="shared" si="2"/>
        <v>0</v>
      </c>
      <c r="J22" s="133"/>
    </row>
    <row r="23" spans="1:10" ht="19.5" customHeight="1" x14ac:dyDescent="0.25">
      <c r="A23" s="21" t="s">
        <v>295</v>
      </c>
      <c r="B23" s="21" t="s">
        <v>296</v>
      </c>
      <c r="C23" s="21" t="s">
        <v>127</v>
      </c>
      <c r="D23" s="22">
        <v>5.8</v>
      </c>
      <c r="E23" s="23">
        <v>72245</v>
      </c>
      <c r="F23" s="44">
        <f t="shared" si="0"/>
        <v>77302.149999999994</v>
      </c>
      <c r="G23" s="44">
        <f t="shared" si="1"/>
        <v>69571.934999999998</v>
      </c>
      <c r="H23" s="58"/>
      <c r="I23" s="44">
        <f t="shared" si="2"/>
        <v>0</v>
      </c>
      <c r="J23" s="133"/>
    </row>
    <row r="24" spans="1:10" ht="19.5" customHeight="1" x14ac:dyDescent="0.25">
      <c r="A24" s="21" t="s">
        <v>297</v>
      </c>
      <c r="B24" s="21" t="s">
        <v>298</v>
      </c>
      <c r="C24" s="21" t="s">
        <v>127</v>
      </c>
      <c r="D24" s="22">
        <v>5.8</v>
      </c>
      <c r="E24" s="23">
        <v>72245</v>
      </c>
      <c r="F24" s="44">
        <f t="shared" si="0"/>
        <v>77302.149999999994</v>
      </c>
      <c r="G24" s="44">
        <f t="shared" si="1"/>
        <v>69571.934999999998</v>
      </c>
      <c r="H24" s="58"/>
      <c r="I24" s="44">
        <f t="shared" si="2"/>
        <v>0</v>
      </c>
      <c r="J24" s="133"/>
    </row>
    <row r="25" spans="1:10" ht="19.5" customHeight="1" x14ac:dyDescent="0.25">
      <c r="A25" s="21" t="s">
        <v>299</v>
      </c>
      <c r="B25" s="21" t="s">
        <v>300</v>
      </c>
      <c r="C25" s="21" t="s">
        <v>127</v>
      </c>
      <c r="D25" s="22">
        <v>5.8</v>
      </c>
      <c r="E25" s="23">
        <v>88229</v>
      </c>
      <c r="F25" s="44">
        <f t="shared" si="0"/>
        <v>94405.03</v>
      </c>
      <c r="G25" s="44">
        <f t="shared" si="1"/>
        <v>84964.527000000002</v>
      </c>
      <c r="H25" s="58"/>
      <c r="I25" s="44">
        <f t="shared" si="2"/>
        <v>0</v>
      </c>
      <c r="J25" s="134"/>
    </row>
    <row r="26" spans="1:10" ht="19.5" customHeight="1" x14ac:dyDescent="0.25">
      <c r="A26" s="21" t="s">
        <v>301</v>
      </c>
      <c r="B26" s="21" t="s">
        <v>302</v>
      </c>
      <c r="C26" s="21" t="s">
        <v>127</v>
      </c>
      <c r="D26" s="22">
        <v>5.8</v>
      </c>
      <c r="E26" s="23">
        <v>9995</v>
      </c>
      <c r="F26" s="44">
        <f t="shared" si="0"/>
        <v>10694.65</v>
      </c>
      <c r="G26" s="44">
        <f t="shared" si="1"/>
        <v>9625.1849999999995</v>
      </c>
      <c r="H26" s="57"/>
      <c r="I26" s="44">
        <f t="shared" si="2"/>
        <v>0</v>
      </c>
      <c r="J26" s="132"/>
    </row>
    <row r="27" spans="1:10" ht="19.5" customHeight="1" x14ac:dyDescent="0.25">
      <c r="A27" s="21" t="s">
        <v>303</v>
      </c>
      <c r="B27" s="21" t="s">
        <v>304</v>
      </c>
      <c r="C27" s="21" t="s">
        <v>127</v>
      </c>
      <c r="D27" s="22">
        <v>5.8</v>
      </c>
      <c r="E27" s="23">
        <v>27967</v>
      </c>
      <c r="F27" s="44">
        <f t="shared" si="0"/>
        <v>29924.69</v>
      </c>
      <c r="G27" s="44">
        <f t="shared" si="1"/>
        <v>26932.220999999998</v>
      </c>
      <c r="H27" s="58"/>
      <c r="I27" s="44">
        <f t="shared" si="2"/>
        <v>0</v>
      </c>
      <c r="J27" s="133"/>
    </row>
    <row r="28" spans="1:10" ht="19.5" customHeight="1" x14ac:dyDescent="0.25">
      <c r="A28" s="21" t="s">
        <v>305</v>
      </c>
      <c r="B28" s="21" t="s">
        <v>306</v>
      </c>
      <c r="C28" s="21" t="s">
        <v>127</v>
      </c>
      <c r="D28" s="22">
        <v>5.8</v>
      </c>
      <c r="E28" s="23">
        <v>27967</v>
      </c>
      <c r="F28" s="44">
        <f t="shared" si="0"/>
        <v>29924.69</v>
      </c>
      <c r="G28" s="44">
        <f t="shared" si="1"/>
        <v>26932.220999999998</v>
      </c>
      <c r="H28" s="58"/>
      <c r="I28" s="44">
        <f t="shared" si="2"/>
        <v>0</v>
      </c>
      <c r="J28" s="133"/>
    </row>
    <row r="29" spans="1:10" ht="19.5" customHeight="1" x14ac:dyDescent="0.25">
      <c r="A29" s="21" t="s">
        <v>307</v>
      </c>
      <c r="B29" s="21" t="s">
        <v>308</v>
      </c>
      <c r="C29" s="21" t="s">
        <v>127</v>
      </c>
      <c r="D29" s="22">
        <v>5.8</v>
      </c>
      <c r="E29" s="23">
        <v>27967</v>
      </c>
      <c r="F29" s="44">
        <f t="shared" si="0"/>
        <v>29924.69</v>
      </c>
      <c r="G29" s="44">
        <f t="shared" si="1"/>
        <v>26932.220999999998</v>
      </c>
      <c r="H29" s="58"/>
      <c r="I29" s="44">
        <f t="shared" si="2"/>
        <v>0</v>
      </c>
      <c r="J29" s="133"/>
    </row>
    <row r="30" spans="1:10" ht="19.5" customHeight="1" x14ac:dyDescent="0.25">
      <c r="A30" s="21" t="s">
        <v>309</v>
      </c>
      <c r="B30" s="21" t="s">
        <v>310</v>
      </c>
      <c r="C30" s="21" t="s">
        <v>127</v>
      </c>
      <c r="D30" s="22">
        <v>5.8</v>
      </c>
      <c r="E30" s="23">
        <v>34192</v>
      </c>
      <c r="F30" s="44">
        <f t="shared" si="0"/>
        <v>36585.440000000002</v>
      </c>
      <c r="G30" s="44">
        <f t="shared" si="1"/>
        <v>32926.896000000001</v>
      </c>
      <c r="H30" s="58"/>
      <c r="I30" s="44">
        <f t="shared" si="2"/>
        <v>0</v>
      </c>
      <c r="J30" s="134"/>
    </row>
    <row r="31" spans="1:10" ht="19.5" customHeight="1" x14ac:dyDescent="0.25">
      <c r="A31" s="27"/>
      <c r="B31" s="27"/>
      <c r="C31" s="27"/>
      <c r="D31" s="27"/>
      <c r="E31" s="27"/>
      <c r="F31" s="44">
        <f t="shared" si="0"/>
        <v>0</v>
      </c>
      <c r="G31" s="44">
        <f t="shared" si="1"/>
        <v>0</v>
      </c>
      <c r="H31" s="59"/>
      <c r="I31" s="44">
        <f t="shared" si="2"/>
        <v>0</v>
      </c>
      <c r="J31" s="132"/>
    </row>
    <row r="32" spans="1:10" ht="19.5" customHeight="1" x14ac:dyDescent="0.25">
      <c r="A32" s="27"/>
      <c r="B32" s="27"/>
      <c r="C32" s="27"/>
      <c r="D32" s="27"/>
      <c r="E32" s="27"/>
      <c r="F32" s="44">
        <f t="shared" si="0"/>
        <v>0</v>
      </c>
      <c r="G32" s="44">
        <f t="shared" si="1"/>
        <v>0</v>
      </c>
      <c r="H32" s="60"/>
      <c r="I32" s="44">
        <f t="shared" si="2"/>
        <v>0</v>
      </c>
      <c r="J32" s="133"/>
    </row>
    <row r="33" spans="1:10" ht="19.5" customHeight="1" x14ac:dyDescent="0.25">
      <c r="A33" s="21" t="s">
        <v>311</v>
      </c>
      <c r="B33" s="21" t="s">
        <v>312</v>
      </c>
      <c r="C33" s="21" t="s">
        <v>127</v>
      </c>
      <c r="D33" s="22">
        <v>5.8</v>
      </c>
      <c r="E33" s="32">
        <v>11156</v>
      </c>
      <c r="F33" s="44">
        <f t="shared" si="0"/>
        <v>11936.92</v>
      </c>
      <c r="G33" s="44">
        <f t="shared" si="1"/>
        <v>10743.227999999999</v>
      </c>
      <c r="H33" s="61"/>
      <c r="I33" s="44">
        <f t="shared" si="2"/>
        <v>0</v>
      </c>
      <c r="J33" s="132"/>
    </row>
    <row r="34" spans="1:10" ht="19.5" customHeight="1" x14ac:dyDescent="0.25">
      <c r="A34" s="21" t="s">
        <v>313</v>
      </c>
      <c r="B34" s="56" t="s">
        <v>587</v>
      </c>
      <c r="C34" s="21" t="s">
        <v>127</v>
      </c>
      <c r="D34" s="22">
        <v>5.8</v>
      </c>
      <c r="E34" s="32">
        <v>21804</v>
      </c>
      <c r="F34" s="44">
        <f t="shared" si="0"/>
        <v>23330.28</v>
      </c>
      <c r="G34" s="44">
        <f t="shared" si="1"/>
        <v>20997.252</v>
      </c>
      <c r="H34" s="62"/>
      <c r="I34" s="44">
        <f t="shared" si="2"/>
        <v>0</v>
      </c>
      <c r="J34" s="133"/>
    </row>
    <row r="35" spans="1:10" ht="19.5" customHeight="1" x14ac:dyDescent="0.25">
      <c r="A35" s="21" t="s">
        <v>314</v>
      </c>
      <c r="B35" s="21" t="s">
        <v>588</v>
      </c>
      <c r="C35" s="21" t="s">
        <v>127</v>
      </c>
      <c r="D35" s="22">
        <v>5.8</v>
      </c>
      <c r="E35" s="32">
        <v>21804</v>
      </c>
      <c r="F35" s="44">
        <f t="shared" si="0"/>
        <v>23330.28</v>
      </c>
      <c r="G35" s="44">
        <f t="shared" si="1"/>
        <v>20997.252</v>
      </c>
      <c r="H35" s="62"/>
      <c r="I35" s="44">
        <f t="shared" si="2"/>
        <v>0</v>
      </c>
      <c r="J35" s="133"/>
    </row>
    <row r="36" spans="1:10" ht="19.5" customHeight="1" x14ac:dyDescent="0.25">
      <c r="A36" s="21" t="s">
        <v>315</v>
      </c>
      <c r="B36" s="21" t="s">
        <v>316</v>
      </c>
      <c r="C36" s="21" t="s">
        <v>127</v>
      </c>
      <c r="D36" s="22">
        <v>5.8</v>
      </c>
      <c r="E36" s="32">
        <v>21804</v>
      </c>
      <c r="F36" s="44">
        <f t="shared" si="0"/>
        <v>23330.28</v>
      </c>
      <c r="G36" s="44">
        <f t="shared" si="1"/>
        <v>20997.252</v>
      </c>
      <c r="H36" s="62"/>
      <c r="I36" s="44">
        <f t="shared" si="2"/>
        <v>0</v>
      </c>
      <c r="J36" s="133"/>
    </row>
    <row r="37" spans="1:10" ht="19.5" customHeight="1" x14ac:dyDescent="0.25">
      <c r="A37" s="21" t="s">
        <v>317</v>
      </c>
      <c r="B37" s="21" t="s">
        <v>318</v>
      </c>
      <c r="C37" s="21" t="s">
        <v>127</v>
      </c>
      <c r="D37" s="22">
        <v>6.8</v>
      </c>
      <c r="E37" s="32">
        <v>26713</v>
      </c>
      <c r="F37" s="44">
        <f t="shared" si="0"/>
        <v>28582.91</v>
      </c>
      <c r="G37" s="44">
        <f t="shared" si="1"/>
        <v>25724.618999999999</v>
      </c>
      <c r="H37" s="63"/>
      <c r="I37" s="44">
        <f t="shared" si="2"/>
        <v>0</v>
      </c>
      <c r="J37" s="134"/>
    </row>
    <row r="38" spans="1:10" ht="19.5" customHeight="1" x14ac:dyDescent="0.25">
      <c r="A38" s="21" t="s">
        <v>319</v>
      </c>
      <c r="B38" s="21" t="s">
        <v>320</v>
      </c>
      <c r="C38" s="21" t="s">
        <v>127</v>
      </c>
      <c r="D38" s="22">
        <v>5.8</v>
      </c>
      <c r="E38" s="32">
        <v>41685</v>
      </c>
      <c r="F38" s="44">
        <f t="shared" si="0"/>
        <v>44602.95</v>
      </c>
      <c r="G38" s="44">
        <f t="shared" si="1"/>
        <v>40142.654999999999</v>
      </c>
      <c r="H38" s="61"/>
      <c r="I38" s="44">
        <f t="shared" si="2"/>
        <v>0</v>
      </c>
      <c r="J38" s="132"/>
    </row>
    <row r="39" spans="1:10" ht="19.5" customHeight="1" x14ac:dyDescent="0.25">
      <c r="A39" s="21" t="s">
        <v>321</v>
      </c>
      <c r="B39" s="21" t="s">
        <v>322</v>
      </c>
      <c r="C39" s="21" t="s">
        <v>127</v>
      </c>
      <c r="D39" s="22">
        <v>5.8</v>
      </c>
      <c r="E39" s="32">
        <v>50781</v>
      </c>
      <c r="F39" s="44">
        <f t="shared" si="0"/>
        <v>54335.67</v>
      </c>
      <c r="G39" s="44">
        <f t="shared" si="1"/>
        <v>48902.102999999996</v>
      </c>
      <c r="H39" s="62"/>
      <c r="I39" s="44">
        <f t="shared" si="2"/>
        <v>0</v>
      </c>
      <c r="J39" s="133"/>
    </row>
    <row r="40" spans="1:10" ht="19.5" customHeight="1" x14ac:dyDescent="0.25">
      <c r="A40" s="21" t="s">
        <v>323</v>
      </c>
      <c r="B40" s="21" t="s">
        <v>324</v>
      </c>
      <c r="C40" s="21" t="s">
        <v>127</v>
      </c>
      <c r="D40" s="22">
        <v>5.8</v>
      </c>
      <c r="E40" s="32">
        <v>44781</v>
      </c>
      <c r="F40" s="44">
        <f t="shared" si="0"/>
        <v>47915.67</v>
      </c>
      <c r="G40" s="44">
        <f t="shared" si="1"/>
        <v>43124.102999999996</v>
      </c>
      <c r="H40" s="62"/>
      <c r="I40" s="44">
        <f t="shared" si="2"/>
        <v>0</v>
      </c>
      <c r="J40" s="133"/>
    </row>
    <row r="41" spans="1:10" ht="19.5" customHeight="1" x14ac:dyDescent="0.25">
      <c r="A41" s="21" t="s">
        <v>325</v>
      </c>
      <c r="B41" s="21" t="s">
        <v>326</v>
      </c>
      <c r="C41" s="21" t="s">
        <v>127</v>
      </c>
      <c r="D41" s="22">
        <v>5.8</v>
      </c>
      <c r="E41" s="32">
        <v>52394</v>
      </c>
      <c r="F41" s="44">
        <f t="shared" si="0"/>
        <v>56061.58</v>
      </c>
      <c r="G41" s="44">
        <f t="shared" si="1"/>
        <v>50455.421999999999</v>
      </c>
      <c r="H41" s="63"/>
      <c r="I41" s="44">
        <f t="shared" si="2"/>
        <v>0</v>
      </c>
      <c r="J41" s="134"/>
    </row>
    <row r="42" spans="1:10" x14ac:dyDescent="0.25">
      <c r="H42">
        <f>SUM(H4:H41)</f>
        <v>0</v>
      </c>
      <c r="I42" s="82">
        <f>SUM(I4:I41)</f>
        <v>0</v>
      </c>
    </row>
  </sheetData>
  <mergeCells count="10">
    <mergeCell ref="J21:J25"/>
    <mergeCell ref="J26:J30"/>
    <mergeCell ref="J31:J32"/>
    <mergeCell ref="J33:J37"/>
    <mergeCell ref="J38:J41"/>
    <mergeCell ref="A1:K1"/>
    <mergeCell ref="J4:J8"/>
    <mergeCell ref="J9:J12"/>
    <mergeCell ref="J13:J15"/>
    <mergeCell ref="J16:J20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K34"/>
  <sheetViews>
    <sheetView topLeftCell="A19" workbookViewId="0">
      <selection activeCell="H22" sqref="H22"/>
    </sheetView>
  </sheetViews>
  <sheetFormatPr baseColWidth="10" defaultColWidth="9.33203125" defaultRowHeight="13.2" x14ac:dyDescent="0.25"/>
  <cols>
    <col min="1" max="1" width="16" customWidth="1"/>
    <col min="2" max="2" width="39.109375" customWidth="1"/>
    <col min="3" max="3" width="10.109375" customWidth="1"/>
    <col min="4" max="4" width="10.44140625" customWidth="1"/>
    <col min="5" max="9" width="17.109375" customWidth="1"/>
    <col min="10" max="10" width="10.44140625" customWidth="1"/>
    <col min="11" max="11" width="10.109375" customWidth="1"/>
  </cols>
  <sheetData>
    <row r="1" spans="1:11" x14ac:dyDescent="0.25">
      <c r="E1" s="45">
        <v>0.19</v>
      </c>
      <c r="F1" s="45">
        <v>7.0000000000000007E-2</v>
      </c>
      <c r="G1" s="48">
        <v>0.1</v>
      </c>
      <c r="H1" s="48" t="s">
        <v>465</v>
      </c>
      <c r="I1" t="s">
        <v>466</v>
      </c>
    </row>
    <row r="2" spans="1:11" ht="29.1" customHeight="1" x14ac:dyDescent="0.25">
      <c r="A2" s="24" t="s">
        <v>327</v>
      </c>
      <c r="B2" s="24" t="s">
        <v>328</v>
      </c>
      <c r="C2" s="24" t="s">
        <v>127</v>
      </c>
      <c r="D2" s="25">
        <v>5.8</v>
      </c>
      <c r="E2" s="34">
        <v>41529</v>
      </c>
      <c r="F2" s="34">
        <f>E2+(E2*$F$1)</f>
        <v>44436.03</v>
      </c>
      <c r="G2" s="34">
        <f>F2-(F2*$G$1)</f>
        <v>39992.426999999996</v>
      </c>
      <c r="H2" s="64"/>
      <c r="I2" s="34">
        <f>G2*H2</f>
        <v>0</v>
      </c>
      <c r="J2" s="27"/>
      <c r="K2" s="27"/>
    </row>
    <row r="3" spans="1:11" ht="27.75" customHeight="1" x14ac:dyDescent="0.25">
      <c r="A3" s="24" t="s">
        <v>329</v>
      </c>
      <c r="B3" s="24" t="s">
        <v>330</v>
      </c>
      <c r="C3" s="24" t="s">
        <v>127</v>
      </c>
      <c r="D3" s="25">
        <v>5.8</v>
      </c>
      <c r="E3" s="34">
        <v>38810</v>
      </c>
      <c r="F3" s="34">
        <f t="shared" ref="F3:F33" si="0">E3+(E3*$F$1)</f>
        <v>41526.699999999997</v>
      </c>
      <c r="G3" s="34">
        <f t="shared" ref="G3:G33" si="1">F3-(F3*$G$1)</f>
        <v>37374.03</v>
      </c>
      <c r="H3" s="65"/>
      <c r="I3" s="34">
        <f t="shared" ref="I3:I33" si="2">G3*H3</f>
        <v>0</v>
      </c>
      <c r="J3" s="143"/>
      <c r="K3" s="144"/>
    </row>
    <row r="4" spans="1:11" ht="25.65" customHeight="1" x14ac:dyDescent="0.25">
      <c r="A4" s="24" t="s">
        <v>331</v>
      </c>
      <c r="B4" s="24" t="s">
        <v>332</v>
      </c>
      <c r="C4" s="24" t="s">
        <v>127</v>
      </c>
      <c r="D4" s="25">
        <v>5.8</v>
      </c>
      <c r="E4" s="34">
        <v>55772</v>
      </c>
      <c r="F4" s="34">
        <f t="shared" si="0"/>
        <v>59676.04</v>
      </c>
      <c r="G4" s="34">
        <f t="shared" si="1"/>
        <v>53708.436000000002</v>
      </c>
      <c r="H4" s="65"/>
      <c r="I4" s="34">
        <f t="shared" si="2"/>
        <v>0</v>
      </c>
      <c r="J4" s="143"/>
      <c r="K4" s="144"/>
    </row>
    <row r="5" spans="1:11" ht="26.85" customHeight="1" x14ac:dyDescent="0.25">
      <c r="A5" s="24" t="s">
        <v>333</v>
      </c>
      <c r="B5" s="24" t="s">
        <v>334</v>
      </c>
      <c r="C5" s="24" t="s">
        <v>127</v>
      </c>
      <c r="D5" s="25">
        <v>5.8</v>
      </c>
      <c r="E5" s="34">
        <v>28682</v>
      </c>
      <c r="F5" s="34">
        <f t="shared" si="0"/>
        <v>30689.74</v>
      </c>
      <c r="G5" s="34">
        <f t="shared" si="1"/>
        <v>27620.766000000003</v>
      </c>
      <c r="H5" s="65"/>
      <c r="I5" s="34">
        <f t="shared" si="2"/>
        <v>0</v>
      </c>
      <c r="J5" s="143"/>
      <c r="K5" s="144"/>
    </row>
    <row r="6" spans="1:11" ht="19.5" customHeight="1" x14ac:dyDescent="0.25">
      <c r="A6" s="21" t="s">
        <v>335</v>
      </c>
      <c r="B6" s="21" t="s">
        <v>336</v>
      </c>
      <c r="C6" s="21" t="s">
        <v>337</v>
      </c>
      <c r="D6" s="35">
        <v>1</v>
      </c>
      <c r="E6" s="36">
        <v>823</v>
      </c>
      <c r="F6" s="34">
        <f t="shared" si="0"/>
        <v>880.61</v>
      </c>
      <c r="G6" s="34">
        <f t="shared" si="1"/>
        <v>792.54899999999998</v>
      </c>
      <c r="H6" s="66"/>
      <c r="I6" s="34">
        <f t="shared" si="2"/>
        <v>0</v>
      </c>
      <c r="J6" s="137"/>
      <c r="K6" s="138"/>
    </row>
    <row r="7" spans="1:11" ht="19.5" customHeight="1" x14ac:dyDescent="0.25">
      <c r="A7" s="21" t="s">
        <v>338</v>
      </c>
      <c r="B7" s="21" t="s">
        <v>339</v>
      </c>
      <c r="C7" s="21" t="s">
        <v>340</v>
      </c>
      <c r="D7" s="35">
        <v>2</v>
      </c>
      <c r="E7" s="32">
        <v>1415</v>
      </c>
      <c r="F7" s="34">
        <f t="shared" si="0"/>
        <v>1514.05</v>
      </c>
      <c r="G7" s="34">
        <f t="shared" si="1"/>
        <v>1362.645</v>
      </c>
      <c r="H7" s="67"/>
      <c r="I7" s="34">
        <f t="shared" si="2"/>
        <v>0</v>
      </c>
      <c r="J7" s="139"/>
      <c r="K7" s="140"/>
    </row>
    <row r="8" spans="1:11" ht="19.5" customHeight="1" x14ac:dyDescent="0.25">
      <c r="A8" s="21" t="s">
        <v>341</v>
      </c>
      <c r="B8" s="21" t="s">
        <v>342</v>
      </c>
      <c r="C8" s="21" t="s">
        <v>340</v>
      </c>
      <c r="D8" s="35">
        <v>2</v>
      </c>
      <c r="E8" s="32">
        <v>1415</v>
      </c>
      <c r="F8" s="34">
        <f t="shared" si="0"/>
        <v>1514.05</v>
      </c>
      <c r="G8" s="34">
        <f t="shared" si="1"/>
        <v>1362.645</v>
      </c>
      <c r="H8" s="67"/>
      <c r="I8" s="34">
        <f t="shared" si="2"/>
        <v>0</v>
      </c>
      <c r="J8" s="139"/>
      <c r="K8" s="140"/>
    </row>
    <row r="9" spans="1:11" ht="19.5" customHeight="1" x14ac:dyDescent="0.25">
      <c r="A9" s="21" t="s">
        <v>343</v>
      </c>
      <c r="B9" s="21" t="s">
        <v>344</v>
      </c>
      <c r="C9" s="21" t="s">
        <v>340</v>
      </c>
      <c r="D9" s="35">
        <v>2</v>
      </c>
      <c r="E9" s="32">
        <v>1415</v>
      </c>
      <c r="F9" s="34">
        <f t="shared" si="0"/>
        <v>1514.05</v>
      </c>
      <c r="G9" s="34">
        <f t="shared" si="1"/>
        <v>1362.645</v>
      </c>
      <c r="H9" s="67"/>
      <c r="I9" s="34">
        <f t="shared" si="2"/>
        <v>0</v>
      </c>
      <c r="J9" s="139"/>
      <c r="K9" s="140"/>
    </row>
    <row r="10" spans="1:11" ht="19.5" customHeight="1" x14ac:dyDescent="0.25">
      <c r="A10" s="21" t="s">
        <v>345</v>
      </c>
      <c r="B10" s="21" t="s">
        <v>346</v>
      </c>
      <c r="C10" s="21" t="s">
        <v>340</v>
      </c>
      <c r="D10" s="35">
        <v>2</v>
      </c>
      <c r="E10" s="32">
        <v>1415</v>
      </c>
      <c r="F10" s="34">
        <f t="shared" si="0"/>
        <v>1514.05</v>
      </c>
      <c r="G10" s="34">
        <f t="shared" si="1"/>
        <v>1362.645</v>
      </c>
      <c r="H10" s="67"/>
      <c r="I10" s="34">
        <f t="shared" si="2"/>
        <v>0</v>
      </c>
      <c r="J10" s="139"/>
      <c r="K10" s="140"/>
    </row>
    <row r="11" spans="1:11" ht="19.5" customHeight="1" x14ac:dyDescent="0.25">
      <c r="A11" s="21" t="s">
        <v>347</v>
      </c>
      <c r="B11" s="21" t="s">
        <v>348</v>
      </c>
      <c r="C11" s="21" t="s">
        <v>127</v>
      </c>
      <c r="D11" s="22">
        <v>5.8</v>
      </c>
      <c r="E11" s="36">
        <v>520</v>
      </c>
      <c r="F11" s="34">
        <f t="shared" si="0"/>
        <v>556.4</v>
      </c>
      <c r="G11" s="34">
        <f t="shared" si="1"/>
        <v>500.76</v>
      </c>
      <c r="H11" s="67"/>
      <c r="I11" s="34">
        <f t="shared" si="2"/>
        <v>0</v>
      </c>
      <c r="J11" s="139"/>
      <c r="K11" s="140"/>
    </row>
    <row r="12" spans="1:11" ht="19.5" customHeight="1" x14ac:dyDescent="0.25">
      <c r="A12" s="21" t="s">
        <v>349</v>
      </c>
      <c r="B12" s="21" t="s">
        <v>350</v>
      </c>
      <c r="C12" s="21" t="s">
        <v>337</v>
      </c>
      <c r="D12" s="35">
        <v>1</v>
      </c>
      <c r="E12" s="32">
        <v>1006</v>
      </c>
      <c r="F12" s="34">
        <f t="shared" si="0"/>
        <v>1076.42</v>
      </c>
      <c r="G12" s="34">
        <f t="shared" si="1"/>
        <v>968.77800000000002</v>
      </c>
      <c r="H12" s="67"/>
      <c r="I12" s="34">
        <f t="shared" si="2"/>
        <v>0</v>
      </c>
      <c r="J12" s="139"/>
      <c r="K12" s="140"/>
    </row>
    <row r="13" spans="1:11" ht="19.5" customHeight="1" x14ac:dyDescent="0.25">
      <c r="A13" s="21" t="s">
        <v>351</v>
      </c>
      <c r="B13" s="21" t="s">
        <v>352</v>
      </c>
      <c r="C13" s="21" t="s">
        <v>337</v>
      </c>
      <c r="D13" s="35">
        <v>1</v>
      </c>
      <c r="E13" s="32">
        <v>1006</v>
      </c>
      <c r="F13" s="34">
        <f t="shared" si="0"/>
        <v>1076.42</v>
      </c>
      <c r="G13" s="34">
        <f t="shared" si="1"/>
        <v>968.77800000000002</v>
      </c>
      <c r="H13" s="67"/>
      <c r="I13" s="34">
        <f t="shared" si="2"/>
        <v>0</v>
      </c>
      <c r="J13" s="139"/>
      <c r="K13" s="140"/>
    </row>
    <row r="14" spans="1:11" ht="19.5" customHeight="1" x14ac:dyDescent="0.25">
      <c r="A14" s="21" t="s">
        <v>353</v>
      </c>
      <c r="B14" s="21" t="s">
        <v>354</v>
      </c>
      <c r="C14" s="21" t="s">
        <v>337</v>
      </c>
      <c r="D14" s="35">
        <v>1</v>
      </c>
      <c r="E14" s="32">
        <v>1006</v>
      </c>
      <c r="F14" s="34">
        <f t="shared" si="0"/>
        <v>1076.42</v>
      </c>
      <c r="G14" s="34">
        <f t="shared" si="1"/>
        <v>968.77800000000002</v>
      </c>
      <c r="H14" s="67"/>
      <c r="I14" s="34">
        <f t="shared" si="2"/>
        <v>0</v>
      </c>
      <c r="J14" s="139"/>
      <c r="K14" s="140"/>
    </row>
    <row r="15" spans="1:11" ht="19.5" customHeight="1" x14ac:dyDescent="0.25">
      <c r="A15" s="21" t="s">
        <v>355</v>
      </c>
      <c r="B15" s="21" t="s">
        <v>356</v>
      </c>
      <c r="C15" s="21" t="s">
        <v>337</v>
      </c>
      <c r="D15" s="35">
        <v>1</v>
      </c>
      <c r="E15" s="32">
        <v>1006</v>
      </c>
      <c r="F15" s="34">
        <f t="shared" si="0"/>
        <v>1076.42</v>
      </c>
      <c r="G15" s="34">
        <f t="shared" si="1"/>
        <v>968.77800000000002</v>
      </c>
      <c r="H15" s="67"/>
      <c r="I15" s="34">
        <f t="shared" si="2"/>
        <v>0</v>
      </c>
      <c r="J15" s="139"/>
      <c r="K15" s="140"/>
    </row>
    <row r="16" spans="1:11" ht="19.5" customHeight="1" x14ac:dyDescent="0.25">
      <c r="A16" s="21" t="s">
        <v>357</v>
      </c>
      <c r="B16" s="21" t="s">
        <v>358</v>
      </c>
      <c r="C16" s="21" t="s">
        <v>337</v>
      </c>
      <c r="D16" s="35">
        <v>1</v>
      </c>
      <c r="E16" s="32">
        <v>1006</v>
      </c>
      <c r="F16" s="34">
        <f t="shared" si="0"/>
        <v>1076.42</v>
      </c>
      <c r="G16" s="34">
        <f t="shared" si="1"/>
        <v>968.77800000000002</v>
      </c>
      <c r="H16" s="67"/>
      <c r="I16" s="34">
        <f t="shared" si="2"/>
        <v>0</v>
      </c>
      <c r="J16" s="139"/>
      <c r="K16" s="140"/>
    </row>
    <row r="17" spans="1:11" ht="19.5" customHeight="1" x14ac:dyDescent="0.25">
      <c r="A17" s="21" t="s">
        <v>359</v>
      </c>
      <c r="B17" s="21" t="s">
        <v>360</v>
      </c>
      <c r="C17" s="21" t="s">
        <v>337</v>
      </c>
      <c r="D17" s="35">
        <v>1</v>
      </c>
      <c r="E17" s="36">
        <v>958</v>
      </c>
      <c r="F17" s="34">
        <f t="shared" si="0"/>
        <v>1025.06</v>
      </c>
      <c r="G17" s="34">
        <f t="shared" si="1"/>
        <v>922.55399999999997</v>
      </c>
      <c r="H17" s="67"/>
      <c r="I17" s="34">
        <f t="shared" si="2"/>
        <v>0</v>
      </c>
      <c r="J17" s="139"/>
      <c r="K17" s="140"/>
    </row>
    <row r="18" spans="1:11" ht="19.5" customHeight="1" x14ac:dyDescent="0.25">
      <c r="A18" s="21" t="s">
        <v>361</v>
      </c>
      <c r="B18" s="21" t="s">
        <v>362</v>
      </c>
      <c r="C18" s="21" t="s">
        <v>337</v>
      </c>
      <c r="D18" s="35">
        <v>1</v>
      </c>
      <c r="E18" s="36">
        <v>960</v>
      </c>
      <c r="F18" s="34">
        <f t="shared" si="0"/>
        <v>1027.2</v>
      </c>
      <c r="G18" s="34">
        <f t="shared" si="1"/>
        <v>924.48</v>
      </c>
      <c r="H18" s="67"/>
      <c r="I18" s="34">
        <f t="shared" si="2"/>
        <v>0</v>
      </c>
      <c r="J18" s="139"/>
      <c r="K18" s="140"/>
    </row>
    <row r="19" spans="1:11" ht="19.5" customHeight="1" x14ac:dyDescent="0.25">
      <c r="A19" s="21" t="s">
        <v>363</v>
      </c>
      <c r="B19" s="21" t="s">
        <v>364</v>
      </c>
      <c r="C19" s="21" t="s">
        <v>365</v>
      </c>
      <c r="D19" s="35">
        <v>1</v>
      </c>
      <c r="E19" s="36">
        <v>520</v>
      </c>
      <c r="F19" s="34">
        <f t="shared" si="0"/>
        <v>556.4</v>
      </c>
      <c r="G19" s="34">
        <f t="shared" si="1"/>
        <v>500.76</v>
      </c>
      <c r="H19" s="67"/>
      <c r="I19" s="34">
        <f t="shared" si="2"/>
        <v>0</v>
      </c>
      <c r="J19" s="139"/>
      <c r="K19" s="140"/>
    </row>
    <row r="20" spans="1:11" ht="19.5" customHeight="1" x14ac:dyDescent="0.25">
      <c r="A20" s="21" t="s">
        <v>366</v>
      </c>
      <c r="B20" s="21" t="s">
        <v>367</v>
      </c>
      <c r="C20" s="21" t="s">
        <v>365</v>
      </c>
      <c r="D20" s="35">
        <v>1</v>
      </c>
      <c r="E20" s="36">
        <v>520</v>
      </c>
      <c r="F20" s="34">
        <f t="shared" si="0"/>
        <v>556.4</v>
      </c>
      <c r="G20" s="34">
        <f t="shared" si="1"/>
        <v>500.76</v>
      </c>
      <c r="H20" s="67"/>
      <c r="I20" s="34">
        <f t="shared" si="2"/>
        <v>0</v>
      </c>
      <c r="J20" s="139"/>
      <c r="K20" s="140"/>
    </row>
    <row r="21" spans="1:11" ht="19.5" customHeight="1" x14ac:dyDescent="0.25">
      <c r="A21" s="21" t="s">
        <v>368</v>
      </c>
      <c r="B21" s="21" t="s">
        <v>369</v>
      </c>
      <c r="C21" s="21" t="s">
        <v>337</v>
      </c>
      <c r="D21" s="35">
        <v>1</v>
      </c>
      <c r="E21" s="36">
        <v>17</v>
      </c>
      <c r="F21" s="34">
        <f t="shared" si="0"/>
        <v>18.190000000000001</v>
      </c>
      <c r="G21" s="34">
        <f t="shared" si="1"/>
        <v>16.371000000000002</v>
      </c>
      <c r="H21" s="67"/>
      <c r="I21" s="34">
        <f t="shared" si="2"/>
        <v>0</v>
      </c>
      <c r="J21" s="139"/>
      <c r="K21" s="140"/>
    </row>
    <row r="22" spans="1:11" ht="19.5" customHeight="1" x14ac:dyDescent="0.25">
      <c r="A22" s="21" t="s">
        <v>370</v>
      </c>
      <c r="B22" s="21" t="s">
        <v>371</v>
      </c>
      <c r="C22" s="21" t="s">
        <v>337</v>
      </c>
      <c r="D22" s="35">
        <v>1</v>
      </c>
      <c r="E22" s="36">
        <v>17</v>
      </c>
      <c r="F22" s="34">
        <f t="shared" si="0"/>
        <v>18.190000000000001</v>
      </c>
      <c r="G22" s="34">
        <f t="shared" si="1"/>
        <v>16.371000000000002</v>
      </c>
      <c r="H22" s="67"/>
      <c r="I22" s="34">
        <f t="shared" si="2"/>
        <v>0</v>
      </c>
      <c r="J22" s="139"/>
      <c r="K22" s="140"/>
    </row>
    <row r="23" spans="1:11" ht="19.5" customHeight="1" x14ac:dyDescent="0.25">
      <c r="A23" s="21" t="s">
        <v>372</v>
      </c>
      <c r="B23" s="21" t="s">
        <v>373</v>
      </c>
      <c r="C23" s="21" t="s">
        <v>340</v>
      </c>
      <c r="D23" s="35">
        <v>2</v>
      </c>
      <c r="E23" s="32">
        <v>5824</v>
      </c>
      <c r="F23" s="34">
        <f t="shared" si="0"/>
        <v>6231.68</v>
      </c>
      <c r="G23" s="34">
        <f t="shared" si="1"/>
        <v>5608.5120000000006</v>
      </c>
      <c r="H23" s="67"/>
      <c r="I23" s="34">
        <f t="shared" si="2"/>
        <v>0</v>
      </c>
      <c r="J23" s="141"/>
      <c r="K23" s="142"/>
    </row>
    <row r="24" spans="1:11" ht="19.5" customHeight="1" x14ac:dyDescent="0.25">
      <c r="A24" s="21" t="s">
        <v>374</v>
      </c>
      <c r="B24" s="21" t="s">
        <v>375</v>
      </c>
      <c r="C24" s="21" t="s">
        <v>127</v>
      </c>
      <c r="D24" s="22">
        <v>5.8</v>
      </c>
      <c r="E24" s="32">
        <v>34577</v>
      </c>
      <c r="F24" s="34">
        <f t="shared" si="0"/>
        <v>36997.39</v>
      </c>
      <c r="G24" s="34">
        <f t="shared" si="1"/>
        <v>33297.650999999998</v>
      </c>
      <c r="H24" s="66"/>
      <c r="I24" s="34">
        <f t="shared" si="2"/>
        <v>0</v>
      </c>
      <c r="J24" s="137"/>
      <c r="K24" s="138"/>
    </row>
    <row r="25" spans="1:11" ht="19.5" customHeight="1" x14ac:dyDescent="0.25">
      <c r="A25" s="21" t="s">
        <v>376</v>
      </c>
      <c r="B25" s="21" t="s">
        <v>377</v>
      </c>
      <c r="C25" s="21" t="s">
        <v>127</v>
      </c>
      <c r="D25" s="22">
        <v>5.8</v>
      </c>
      <c r="E25" s="32">
        <v>58476</v>
      </c>
      <c r="F25" s="34">
        <f t="shared" si="0"/>
        <v>62569.32</v>
      </c>
      <c r="G25" s="34">
        <f t="shared" si="1"/>
        <v>56312.387999999999</v>
      </c>
      <c r="H25" s="67"/>
      <c r="I25" s="34">
        <f t="shared" si="2"/>
        <v>0</v>
      </c>
      <c r="J25" s="139"/>
      <c r="K25" s="140"/>
    </row>
    <row r="26" spans="1:11" ht="19.5" customHeight="1" x14ac:dyDescent="0.25">
      <c r="A26" s="21" t="s">
        <v>378</v>
      </c>
      <c r="B26" s="21" t="s">
        <v>379</v>
      </c>
      <c r="C26" s="21" t="s">
        <v>127</v>
      </c>
      <c r="D26" s="22">
        <v>5.8</v>
      </c>
      <c r="E26" s="32">
        <v>58476</v>
      </c>
      <c r="F26" s="34">
        <f t="shared" si="0"/>
        <v>62569.32</v>
      </c>
      <c r="G26" s="34">
        <f t="shared" si="1"/>
        <v>56312.387999999999</v>
      </c>
      <c r="H26" s="67"/>
      <c r="I26" s="34">
        <f t="shared" si="2"/>
        <v>0</v>
      </c>
      <c r="J26" s="139"/>
      <c r="K26" s="140"/>
    </row>
    <row r="27" spans="1:11" ht="19.5" customHeight="1" x14ac:dyDescent="0.25">
      <c r="A27" s="21" t="s">
        <v>380</v>
      </c>
      <c r="B27" s="21" t="s">
        <v>381</v>
      </c>
      <c r="C27" s="21" t="s">
        <v>127</v>
      </c>
      <c r="D27" s="22">
        <v>5.8</v>
      </c>
      <c r="E27" s="32">
        <v>71514</v>
      </c>
      <c r="F27" s="34">
        <f t="shared" si="0"/>
        <v>76519.98</v>
      </c>
      <c r="G27" s="34">
        <f t="shared" si="1"/>
        <v>68867.981999999989</v>
      </c>
      <c r="H27" s="67"/>
      <c r="I27" s="34">
        <f t="shared" si="2"/>
        <v>0</v>
      </c>
      <c r="J27" s="139"/>
      <c r="K27" s="140"/>
    </row>
    <row r="28" spans="1:11" ht="19.5" customHeight="1" x14ac:dyDescent="0.25">
      <c r="A28" s="21" t="s">
        <v>382</v>
      </c>
      <c r="B28" s="21" t="s">
        <v>383</v>
      </c>
      <c r="C28" s="21" t="s">
        <v>127</v>
      </c>
      <c r="D28" s="22">
        <v>5.8</v>
      </c>
      <c r="E28" s="32">
        <v>55699</v>
      </c>
      <c r="F28" s="34">
        <f t="shared" si="0"/>
        <v>59597.93</v>
      </c>
      <c r="G28" s="34">
        <f t="shared" si="1"/>
        <v>53638.137000000002</v>
      </c>
      <c r="H28" s="67"/>
      <c r="I28" s="34">
        <f t="shared" si="2"/>
        <v>0</v>
      </c>
      <c r="J28" s="141"/>
      <c r="K28" s="142"/>
    </row>
    <row r="29" spans="1:11" ht="23.25" customHeight="1" x14ac:dyDescent="0.25">
      <c r="A29" s="24" t="s">
        <v>384</v>
      </c>
      <c r="B29" s="24" t="s">
        <v>385</v>
      </c>
      <c r="C29" s="24" t="s">
        <v>127</v>
      </c>
      <c r="D29" s="25">
        <v>5.8</v>
      </c>
      <c r="E29" s="34">
        <v>27017</v>
      </c>
      <c r="F29" s="34">
        <f t="shared" si="0"/>
        <v>28908.19</v>
      </c>
      <c r="G29" s="34">
        <f t="shared" si="1"/>
        <v>26017.370999999999</v>
      </c>
      <c r="H29" s="66"/>
      <c r="I29" s="34">
        <f t="shared" si="2"/>
        <v>0</v>
      </c>
      <c r="J29" s="137"/>
      <c r="K29" s="138"/>
    </row>
    <row r="30" spans="1:11" ht="23.25" customHeight="1" x14ac:dyDescent="0.25">
      <c r="A30" s="24" t="s">
        <v>386</v>
      </c>
      <c r="B30" s="24" t="s">
        <v>387</v>
      </c>
      <c r="C30" s="24" t="s">
        <v>127</v>
      </c>
      <c r="D30" s="25">
        <v>5.8</v>
      </c>
      <c r="E30" s="34">
        <v>54866</v>
      </c>
      <c r="F30" s="34">
        <f t="shared" si="0"/>
        <v>58706.62</v>
      </c>
      <c r="G30" s="34">
        <f t="shared" si="1"/>
        <v>52835.957999999999</v>
      </c>
      <c r="H30" s="67"/>
      <c r="I30" s="34">
        <f t="shared" si="2"/>
        <v>0</v>
      </c>
      <c r="J30" s="139"/>
      <c r="K30" s="140"/>
    </row>
    <row r="31" spans="1:11" ht="23.25" customHeight="1" x14ac:dyDescent="0.25">
      <c r="A31" s="24" t="s">
        <v>388</v>
      </c>
      <c r="B31" s="24" t="s">
        <v>389</v>
      </c>
      <c r="C31" s="24" t="s">
        <v>127</v>
      </c>
      <c r="D31" s="25">
        <v>5.8</v>
      </c>
      <c r="E31" s="34">
        <v>54866</v>
      </c>
      <c r="F31" s="34">
        <f t="shared" si="0"/>
        <v>58706.62</v>
      </c>
      <c r="G31" s="34">
        <f t="shared" si="1"/>
        <v>52835.957999999999</v>
      </c>
      <c r="H31" s="67"/>
      <c r="I31" s="34">
        <f t="shared" si="2"/>
        <v>0</v>
      </c>
      <c r="J31" s="139"/>
      <c r="K31" s="140"/>
    </row>
    <row r="32" spans="1:11" ht="23.25" customHeight="1" x14ac:dyDescent="0.25">
      <c r="A32" s="24" t="s">
        <v>390</v>
      </c>
      <c r="B32" s="24" t="s">
        <v>391</v>
      </c>
      <c r="C32" s="24" t="s">
        <v>127</v>
      </c>
      <c r="D32" s="25">
        <v>5.8</v>
      </c>
      <c r="E32" s="34">
        <v>54866</v>
      </c>
      <c r="F32" s="34">
        <f t="shared" si="0"/>
        <v>58706.62</v>
      </c>
      <c r="G32" s="34">
        <f t="shared" si="1"/>
        <v>52835.957999999999</v>
      </c>
      <c r="H32" s="67"/>
      <c r="I32" s="34">
        <f t="shared" si="2"/>
        <v>0</v>
      </c>
      <c r="J32" s="139"/>
      <c r="K32" s="140"/>
    </row>
    <row r="33" spans="1:11" ht="24" customHeight="1" x14ac:dyDescent="0.25">
      <c r="A33" s="24" t="s">
        <v>392</v>
      </c>
      <c r="B33" s="24" t="s">
        <v>393</v>
      </c>
      <c r="C33" s="24" t="s">
        <v>127</v>
      </c>
      <c r="D33" s="25">
        <v>5.8</v>
      </c>
      <c r="E33" s="34">
        <v>67087</v>
      </c>
      <c r="F33" s="34">
        <f t="shared" si="0"/>
        <v>71783.09</v>
      </c>
      <c r="G33" s="34">
        <f t="shared" si="1"/>
        <v>64604.780999999995</v>
      </c>
      <c r="H33" s="67"/>
      <c r="I33" s="34">
        <f t="shared" si="2"/>
        <v>0</v>
      </c>
      <c r="J33" s="141"/>
      <c r="K33" s="142"/>
    </row>
    <row r="34" spans="1:11" x14ac:dyDescent="0.25">
      <c r="I34" s="82">
        <f>SUM(I2:I33)</f>
        <v>0</v>
      </c>
    </row>
  </sheetData>
  <mergeCells count="6">
    <mergeCell ref="J29:K33"/>
    <mergeCell ref="J3:K3"/>
    <mergeCell ref="J4:K4"/>
    <mergeCell ref="J5:K5"/>
    <mergeCell ref="J6:K23"/>
    <mergeCell ref="J24:K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K23"/>
  <sheetViews>
    <sheetView zoomScaleNormal="100" workbookViewId="0">
      <selection activeCell="H10" sqref="H10"/>
    </sheetView>
  </sheetViews>
  <sheetFormatPr baseColWidth="10" defaultColWidth="9.33203125" defaultRowHeight="13.2" x14ac:dyDescent="0.25"/>
  <cols>
    <col min="1" max="1" width="16" customWidth="1"/>
    <col min="2" max="2" width="39.109375" customWidth="1"/>
    <col min="3" max="3" width="10.109375" customWidth="1"/>
    <col min="4" max="4" width="10.44140625" customWidth="1"/>
    <col min="5" max="9" width="17.109375" customWidth="1"/>
    <col min="10" max="10" width="20.6640625" customWidth="1"/>
    <col min="11" max="11" width="6" customWidth="1"/>
  </cols>
  <sheetData>
    <row r="1" spans="1:10" x14ac:dyDescent="0.25">
      <c r="E1" s="45">
        <v>0.19</v>
      </c>
      <c r="F1" s="45">
        <v>7.0000000000000007E-2</v>
      </c>
      <c r="G1" s="45">
        <v>0.1</v>
      </c>
      <c r="H1" s="48" t="s">
        <v>465</v>
      </c>
      <c r="I1" s="54" t="s">
        <v>466</v>
      </c>
    </row>
    <row r="2" spans="1:10" ht="19.5" customHeight="1" x14ac:dyDescent="0.25">
      <c r="A2" s="21" t="s">
        <v>394</v>
      </c>
      <c r="B2" s="21" t="s">
        <v>395</v>
      </c>
      <c r="C2" s="21" t="s">
        <v>127</v>
      </c>
      <c r="D2" s="22">
        <v>5.8</v>
      </c>
      <c r="E2" s="32">
        <v>18507</v>
      </c>
      <c r="F2" s="43">
        <f>E2+(E2*$F$1)</f>
        <v>19802.490000000002</v>
      </c>
      <c r="G2" s="43">
        <f>F2-(F2*$G$1)</f>
        <v>17822.241000000002</v>
      </c>
      <c r="H2" s="61"/>
      <c r="I2" s="43">
        <f>G2*H2</f>
        <v>0</v>
      </c>
      <c r="J2" s="132"/>
    </row>
    <row r="3" spans="1:10" ht="19.5" customHeight="1" x14ac:dyDescent="0.25">
      <c r="A3" s="21" t="s">
        <v>396</v>
      </c>
      <c r="B3" s="21" t="s">
        <v>397</v>
      </c>
      <c r="C3" s="21" t="s">
        <v>127</v>
      </c>
      <c r="D3" s="22">
        <v>5.8</v>
      </c>
      <c r="E3" s="32">
        <v>30730</v>
      </c>
      <c r="F3" s="43">
        <f t="shared" ref="F3:F21" si="0">E3+(E3*$F$1)</f>
        <v>32881.1</v>
      </c>
      <c r="G3" s="43">
        <f t="shared" ref="G3:G21" si="1">F3-(F3*$G$1)</f>
        <v>29592.989999999998</v>
      </c>
      <c r="H3" s="62"/>
      <c r="I3" s="43">
        <f t="shared" ref="I3:I21" si="2">G3*H3</f>
        <v>0</v>
      </c>
      <c r="J3" s="133"/>
    </row>
    <row r="4" spans="1:10" ht="19.5" customHeight="1" x14ac:dyDescent="0.25">
      <c r="A4" s="21" t="s">
        <v>398</v>
      </c>
      <c r="B4" s="21" t="s">
        <v>399</v>
      </c>
      <c r="C4" s="21" t="s">
        <v>127</v>
      </c>
      <c r="D4" s="22">
        <v>5.8</v>
      </c>
      <c r="E4" s="32">
        <v>27099</v>
      </c>
      <c r="F4" s="43">
        <f t="shared" si="0"/>
        <v>28995.93</v>
      </c>
      <c r="G4" s="43">
        <f t="shared" si="1"/>
        <v>26096.337</v>
      </c>
      <c r="H4" s="62"/>
      <c r="I4" s="43">
        <f t="shared" si="2"/>
        <v>0</v>
      </c>
      <c r="J4" s="133"/>
    </row>
    <row r="5" spans="1:10" ht="19.5" customHeight="1" x14ac:dyDescent="0.25">
      <c r="A5" s="21" t="s">
        <v>400</v>
      </c>
      <c r="B5" s="21" t="s">
        <v>401</v>
      </c>
      <c r="C5" s="21" t="s">
        <v>127</v>
      </c>
      <c r="D5" s="22">
        <v>5.8</v>
      </c>
      <c r="E5" s="32">
        <v>27099</v>
      </c>
      <c r="F5" s="43">
        <f t="shared" si="0"/>
        <v>28995.93</v>
      </c>
      <c r="G5" s="43">
        <f t="shared" si="1"/>
        <v>26096.337</v>
      </c>
      <c r="H5" s="62"/>
      <c r="I5" s="43">
        <f t="shared" si="2"/>
        <v>0</v>
      </c>
      <c r="J5" s="133"/>
    </row>
    <row r="6" spans="1:10" ht="19.5" customHeight="1" x14ac:dyDescent="0.25">
      <c r="A6" s="21" t="s">
        <v>402</v>
      </c>
      <c r="B6" s="21" t="s">
        <v>403</v>
      </c>
      <c r="C6" s="21" t="s">
        <v>127</v>
      </c>
      <c r="D6" s="22">
        <v>5.8</v>
      </c>
      <c r="E6" s="32">
        <v>31706</v>
      </c>
      <c r="F6" s="43">
        <f t="shared" si="0"/>
        <v>33925.42</v>
      </c>
      <c r="G6" s="43">
        <f t="shared" si="1"/>
        <v>30532.877999999997</v>
      </c>
      <c r="H6" s="62"/>
      <c r="I6" s="43">
        <f t="shared" si="2"/>
        <v>0</v>
      </c>
      <c r="J6" s="134"/>
    </row>
    <row r="7" spans="1:10" ht="19.5" customHeight="1" x14ac:dyDescent="0.25">
      <c r="A7" s="21" t="s">
        <v>404</v>
      </c>
      <c r="B7" s="21" t="s">
        <v>405</v>
      </c>
      <c r="C7" s="21" t="s">
        <v>127</v>
      </c>
      <c r="D7" s="22">
        <v>5.8</v>
      </c>
      <c r="E7" s="32">
        <v>13956</v>
      </c>
      <c r="F7" s="43">
        <f t="shared" si="0"/>
        <v>14932.92</v>
      </c>
      <c r="G7" s="43">
        <f t="shared" si="1"/>
        <v>13439.628000000001</v>
      </c>
      <c r="H7" s="61"/>
      <c r="I7" s="43">
        <f t="shared" si="2"/>
        <v>0</v>
      </c>
      <c r="J7" s="132"/>
    </row>
    <row r="8" spans="1:10" ht="19.5" customHeight="1" x14ac:dyDescent="0.25">
      <c r="A8" s="21" t="s">
        <v>406</v>
      </c>
      <c r="B8" s="21" t="s">
        <v>407</v>
      </c>
      <c r="C8" s="21" t="s">
        <v>127</v>
      </c>
      <c r="D8" s="22">
        <v>5.8</v>
      </c>
      <c r="E8" s="32">
        <v>20609</v>
      </c>
      <c r="F8" s="43">
        <f t="shared" si="0"/>
        <v>22051.63</v>
      </c>
      <c r="G8" s="43">
        <f t="shared" si="1"/>
        <v>19846.467000000001</v>
      </c>
      <c r="H8" s="62"/>
      <c r="I8" s="43">
        <f t="shared" si="2"/>
        <v>0</v>
      </c>
      <c r="J8" s="133"/>
    </row>
    <row r="9" spans="1:10" ht="19.5" customHeight="1" x14ac:dyDescent="0.25">
      <c r="A9" s="21" t="s">
        <v>408</v>
      </c>
      <c r="B9" s="21" t="s">
        <v>409</v>
      </c>
      <c r="C9" s="21" t="s">
        <v>127</v>
      </c>
      <c r="D9" s="22">
        <v>5.8</v>
      </c>
      <c r="E9" s="32">
        <v>21640</v>
      </c>
      <c r="F9" s="43">
        <f t="shared" si="0"/>
        <v>23154.799999999999</v>
      </c>
      <c r="G9" s="43">
        <f t="shared" si="1"/>
        <v>20839.32</v>
      </c>
      <c r="H9" s="62"/>
      <c r="I9" s="43">
        <f t="shared" si="2"/>
        <v>0</v>
      </c>
      <c r="J9" s="133"/>
    </row>
    <row r="10" spans="1:10" ht="19.5" customHeight="1" x14ac:dyDescent="0.25">
      <c r="A10" s="21" t="s">
        <v>410</v>
      </c>
      <c r="B10" s="21" t="s">
        <v>411</v>
      </c>
      <c r="C10" s="21" t="s">
        <v>127</v>
      </c>
      <c r="D10" s="22">
        <v>5.8</v>
      </c>
      <c r="E10" s="32">
        <v>21640</v>
      </c>
      <c r="F10" s="43">
        <f t="shared" si="0"/>
        <v>23154.799999999999</v>
      </c>
      <c r="G10" s="43">
        <f t="shared" si="1"/>
        <v>20839.32</v>
      </c>
      <c r="H10" s="62"/>
      <c r="I10" s="43">
        <f t="shared" si="2"/>
        <v>0</v>
      </c>
      <c r="J10" s="133"/>
    </row>
    <row r="11" spans="1:10" ht="19.5" customHeight="1" x14ac:dyDescent="0.25">
      <c r="A11" s="21" t="s">
        <v>412</v>
      </c>
      <c r="B11" s="21" t="s">
        <v>413</v>
      </c>
      <c r="C11" s="21" t="s">
        <v>127</v>
      </c>
      <c r="D11" s="22">
        <v>5.8</v>
      </c>
      <c r="E11" s="32">
        <v>22133</v>
      </c>
      <c r="F11" s="43">
        <f t="shared" si="0"/>
        <v>23682.31</v>
      </c>
      <c r="G11" s="43">
        <f t="shared" si="1"/>
        <v>21314.079000000002</v>
      </c>
      <c r="H11" s="62"/>
      <c r="I11" s="43">
        <f t="shared" si="2"/>
        <v>0</v>
      </c>
      <c r="J11" s="134"/>
    </row>
    <row r="12" spans="1:10" ht="19.5" customHeight="1" x14ac:dyDescent="0.25">
      <c r="A12" s="21" t="s">
        <v>414</v>
      </c>
      <c r="B12" s="21" t="s">
        <v>415</v>
      </c>
      <c r="C12" s="21" t="s">
        <v>416</v>
      </c>
      <c r="D12" s="35">
        <v>1</v>
      </c>
      <c r="E12" s="36">
        <v>80</v>
      </c>
      <c r="F12" s="43">
        <f t="shared" si="0"/>
        <v>85.6</v>
      </c>
      <c r="G12" s="43">
        <f t="shared" si="1"/>
        <v>77.039999999999992</v>
      </c>
      <c r="H12" s="77"/>
      <c r="I12" s="43">
        <f t="shared" si="2"/>
        <v>0</v>
      </c>
      <c r="J12" s="27"/>
    </row>
    <row r="13" spans="1:10" ht="19.5" customHeight="1" x14ac:dyDescent="0.25">
      <c r="A13" s="21" t="s">
        <v>417</v>
      </c>
      <c r="B13" s="21" t="s">
        <v>418</v>
      </c>
      <c r="C13" s="21" t="s">
        <v>416</v>
      </c>
      <c r="D13" s="35">
        <v>1</v>
      </c>
      <c r="E13" s="36">
        <v>82</v>
      </c>
      <c r="F13" s="43">
        <f t="shared" si="0"/>
        <v>87.74</v>
      </c>
      <c r="G13" s="43">
        <f t="shared" si="1"/>
        <v>78.965999999999994</v>
      </c>
      <c r="H13" s="77"/>
      <c r="I13" s="43">
        <f t="shared" si="2"/>
        <v>0</v>
      </c>
      <c r="J13" s="27"/>
    </row>
    <row r="14" spans="1:10" ht="19.5" customHeight="1" x14ac:dyDescent="0.25">
      <c r="A14" s="21" t="s">
        <v>419</v>
      </c>
      <c r="B14" s="21" t="s">
        <v>420</v>
      </c>
      <c r="C14" s="21" t="s">
        <v>416</v>
      </c>
      <c r="D14" s="35">
        <v>1</v>
      </c>
      <c r="E14" s="36">
        <v>85</v>
      </c>
      <c r="F14" s="43">
        <f t="shared" si="0"/>
        <v>90.95</v>
      </c>
      <c r="G14" s="43">
        <f t="shared" si="1"/>
        <v>81.855000000000004</v>
      </c>
      <c r="H14" s="77"/>
      <c r="I14" s="43">
        <f t="shared" si="2"/>
        <v>0</v>
      </c>
      <c r="J14" s="27"/>
    </row>
    <row r="15" spans="1:10" ht="19.5" customHeight="1" x14ac:dyDescent="0.25">
      <c r="A15" s="21" t="s">
        <v>421</v>
      </c>
      <c r="B15" s="21" t="s">
        <v>422</v>
      </c>
      <c r="C15" s="21" t="s">
        <v>416</v>
      </c>
      <c r="D15" s="35">
        <v>1</v>
      </c>
      <c r="E15" s="36">
        <v>80</v>
      </c>
      <c r="F15" s="43">
        <f t="shared" si="0"/>
        <v>85.6</v>
      </c>
      <c r="G15" s="43">
        <f t="shared" si="1"/>
        <v>77.039999999999992</v>
      </c>
      <c r="H15" s="77"/>
      <c r="I15" s="43">
        <f t="shared" si="2"/>
        <v>0</v>
      </c>
      <c r="J15" s="27"/>
    </row>
    <row r="16" spans="1:10" ht="19.5" customHeight="1" x14ac:dyDescent="0.25">
      <c r="A16" s="21" t="s">
        <v>423</v>
      </c>
      <c r="B16" s="21" t="s">
        <v>424</v>
      </c>
      <c r="C16" s="21" t="s">
        <v>416</v>
      </c>
      <c r="D16" s="35">
        <v>1</v>
      </c>
      <c r="E16" s="36">
        <v>82</v>
      </c>
      <c r="F16" s="43">
        <f t="shared" si="0"/>
        <v>87.74</v>
      </c>
      <c r="G16" s="43">
        <f t="shared" si="1"/>
        <v>78.965999999999994</v>
      </c>
      <c r="H16" s="77"/>
      <c r="I16" s="43">
        <f t="shared" si="2"/>
        <v>0</v>
      </c>
      <c r="J16" s="27"/>
    </row>
    <row r="17" spans="1:11" ht="19.5" customHeight="1" x14ac:dyDescent="0.25">
      <c r="A17" s="21" t="s">
        <v>425</v>
      </c>
      <c r="B17" s="21" t="s">
        <v>426</v>
      </c>
      <c r="C17" s="21" t="s">
        <v>416</v>
      </c>
      <c r="D17" s="35">
        <v>1</v>
      </c>
      <c r="E17" s="36">
        <v>85</v>
      </c>
      <c r="F17" s="43">
        <f t="shared" si="0"/>
        <v>90.95</v>
      </c>
      <c r="G17" s="43">
        <f t="shared" si="1"/>
        <v>81.855000000000004</v>
      </c>
      <c r="H17" s="77"/>
      <c r="I17" s="43">
        <f t="shared" si="2"/>
        <v>0</v>
      </c>
      <c r="J17" s="27"/>
    </row>
    <row r="18" spans="1:11" ht="19.5" customHeight="1" x14ac:dyDescent="0.25">
      <c r="A18" s="21" t="s">
        <v>427</v>
      </c>
      <c r="B18" s="21" t="s">
        <v>428</v>
      </c>
      <c r="C18" s="21" t="s">
        <v>416</v>
      </c>
      <c r="D18" s="35">
        <v>1</v>
      </c>
      <c r="E18" s="36">
        <v>145</v>
      </c>
      <c r="F18" s="43">
        <f t="shared" si="0"/>
        <v>155.15</v>
      </c>
      <c r="G18" s="43">
        <f t="shared" si="1"/>
        <v>139.63499999999999</v>
      </c>
      <c r="H18" s="77"/>
      <c r="I18" s="43">
        <f t="shared" si="2"/>
        <v>0</v>
      </c>
      <c r="J18" s="27"/>
    </row>
    <row r="19" spans="1:11" ht="19.5" customHeight="1" x14ac:dyDescent="0.25">
      <c r="A19" s="21" t="s">
        <v>429</v>
      </c>
      <c r="B19" s="21" t="s">
        <v>430</v>
      </c>
      <c r="C19" s="21" t="s">
        <v>416</v>
      </c>
      <c r="D19" s="35">
        <v>1</v>
      </c>
      <c r="E19" s="36">
        <v>155</v>
      </c>
      <c r="F19" s="43">
        <f t="shared" si="0"/>
        <v>165.85</v>
      </c>
      <c r="G19" s="43">
        <f t="shared" si="1"/>
        <v>149.26499999999999</v>
      </c>
      <c r="H19" s="77"/>
      <c r="I19" s="43">
        <f t="shared" si="2"/>
        <v>0</v>
      </c>
      <c r="J19" s="27"/>
    </row>
    <row r="20" spans="1:11" ht="19.5" customHeight="1" x14ac:dyDescent="0.25">
      <c r="A20" s="21" t="s">
        <v>431</v>
      </c>
      <c r="B20" s="21" t="s">
        <v>432</v>
      </c>
      <c r="C20" s="21" t="s">
        <v>416</v>
      </c>
      <c r="D20" s="35">
        <v>1</v>
      </c>
      <c r="E20" s="36">
        <v>35</v>
      </c>
      <c r="F20" s="43">
        <f t="shared" si="0"/>
        <v>37.450000000000003</v>
      </c>
      <c r="G20" s="43">
        <f t="shared" si="1"/>
        <v>33.705000000000005</v>
      </c>
      <c r="H20" s="77"/>
      <c r="I20" s="43">
        <f t="shared" si="2"/>
        <v>0</v>
      </c>
      <c r="J20" s="27"/>
    </row>
    <row r="21" spans="1:11" ht="19.5" customHeight="1" x14ac:dyDescent="0.25">
      <c r="A21" s="21" t="s">
        <v>433</v>
      </c>
      <c r="B21" s="21" t="s">
        <v>434</v>
      </c>
      <c r="C21" s="21" t="s">
        <v>416</v>
      </c>
      <c r="D21" s="35">
        <v>1</v>
      </c>
      <c r="E21" s="36">
        <v>35</v>
      </c>
      <c r="F21" s="43">
        <f t="shared" si="0"/>
        <v>37.450000000000003</v>
      </c>
      <c r="G21" s="43">
        <f t="shared" si="1"/>
        <v>33.705000000000005</v>
      </c>
      <c r="H21" s="77"/>
      <c r="I21" s="43">
        <f t="shared" si="2"/>
        <v>0</v>
      </c>
      <c r="J21" s="27"/>
    </row>
    <row r="22" spans="1:11" ht="19.5" customHeight="1" x14ac:dyDescent="0.25">
      <c r="A22" s="83"/>
      <c r="B22" s="83"/>
      <c r="C22" s="83"/>
      <c r="D22" s="90"/>
      <c r="E22" s="91"/>
      <c r="F22" s="91"/>
      <c r="G22" s="91"/>
      <c r="H22" s="89">
        <f>SUM(H2:H21)</f>
        <v>0</v>
      </c>
      <c r="I22" s="88">
        <f>SUM(I2:I21)</f>
        <v>0</v>
      </c>
      <c r="J22" s="92"/>
    </row>
    <row r="23" spans="1:11" ht="81.900000000000006" customHeight="1" x14ac:dyDescent="0.25">
      <c r="A23" s="135" t="s">
        <v>158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</row>
  </sheetData>
  <mergeCells count="3">
    <mergeCell ref="J2:J6"/>
    <mergeCell ref="J7:J11"/>
    <mergeCell ref="A23:K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P24"/>
  <sheetViews>
    <sheetView workbookViewId="0">
      <selection activeCell="H23" sqref="H23"/>
    </sheetView>
  </sheetViews>
  <sheetFormatPr baseColWidth="10" defaultColWidth="8.88671875" defaultRowHeight="13.2" x14ac:dyDescent="0.25"/>
  <cols>
    <col min="1" max="1" width="24" customWidth="1"/>
    <col min="2" max="2" width="46.88671875" customWidth="1"/>
    <col min="3" max="3" width="8.44140625" customWidth="1"/>
    <col min="4" max="4" width="5.5546875" customWidth="1"/>
    <col min="5" max="6" width="13.21875" customWidth="1"/>
    <col min="7" max="8" width="12.88671875" customWidth="1"/>
    <col min="9" max="9" width="11.88671875" customWidth="1"/>
  </cols>
  <sheetData>
    <row r="1" spans="1:9" ht="37.5" customHeight="1" x14ac:dyDescent="0.25">
      <c r="A1" s="131" t="s">
        <v>573</v>
      </c>
      <c r="B1" s="131"/>
      <c r="C1" s="131"/>
      <c r="D1" s="131"/>
      <c r="E1" s="131"/>
      <c r="F1" s="131"/>
      <c r="G1" s="131"/>
      <c r="H1" s="96"/>
    </row>
    <row r="2" spans="1:9" ht="15.75" customHeight="1" x14ac:dyDescent="0.25">
      <c r="A2" s="37" t="s">
        <v>435</v>
      </c>
      <c r="B2" s="37" t="s">
        <v>436</v>
      </c>
      <c r="C2" s="37" t="s">
        <v>437</v>
      </c>
      <c r="D2" s="38" t="s">
        <v>438</v>
      </c>
      <c r="E2" s="105" t="s">
        <v>439</v>
      </c>
      <c r="F2" s="127">
        <v>7.0000000000000007E-2</v>
      </c>
      <c r="G2" s="106">
        <v>0.1</v>
      </c>
      <c r="H2" s="107" t="s">
        <v>572</v>
      </c>
      <c r="I2" s="110" t="s">
        <v>466</v>
      </c>
    </row>
    <row r="3" spans="1:9" ht="17.25" customHeight="1" x14ac:dyDescent="0.25">
      <c r="A3" s="39" t="s">
        <v>440</v>
      </c>
      <c r="B3" s="39" t="s">
        <v>441</v>
      </c>
      <c r="C3" s="40" t="s">
        <v>442</v>
      </c>
      <c r="D3" s="41">
        <v>5.8</v>
      </c>
      <c r="E3" s="108">
        <v>8257</v>
      </c>
      <c r="F3" s="128">
        <f>E3+(E3*$F$2)</f>
        <v>8834.99</v>
      </c>
      <c r="G3" s="95">
        <f>F3-(F3*$G$2)</f>
        <v>7951.491</v>
      </c>
      <c r="H3" s="109"/>
      <c r="I3" s="95">
        <f>G3*H3</f>
        <v>0</v>
      </c>
    </row>
    <row r="4" spans="1:9" ht="17.25" customHeight="1" x14ac:dyDescent="0.25">
      <c r="A4" s="39" t="s">
        <v>443</v>
      </c>
      <c r="B4" s="39" t="s">
        <v>444</v>
      </c>
      <c r="C4" s="40" t="s">
        <v>442</v>
      </c>
      <c r="D4" s="41">
        <v>5.8</v>
      </c>
      <c r="E4" s="108">
        <v>21773</v>
      </c>
      <c r="F4" s="128">
        <f t="shared" ref="F4:F20" si="0">E4+(E4*$F$2)</f>
        <v>23297.11</v>
      </c>
      <c r="G4" s="95">
        <f t="shared" ref="G4:G20" si="1">F4-(F4*$G$2)</f>
        <v>20967.399000000001</v>
      </c>
      <c r="H4" s="109"/>
      <c r="I4" s="95">
        <f t="shared" ref="I4:I20" si="2">G4*H4</f>
        <v>0</v>
      </c>
    </row>
    <row r="5" spans="1:9" ht="17.25" customHeight="1" x14ac:dyDescent="0.25">
      <c r="A5" s="39" t="s">
        <v>445</v>
      </c>
      <c r="B5" s="39" t="s">
        <v>446</v>
      </c>
      <c r="C5" s="40" t="s">
        <v>442</v>
      </c>
      <c r="D5" s="41">
        <v>5.8</v>
      </c>
      <c r="E5" s="108">
        <v>14290</v>
      </c>
      <c r="F5" s="128">
        <f t="shared" si="0"/>
        <v>15290.3</v>
      </c>
      <c r="G5" s="95">
        <f t="shared" si="1"/>
        <v>13761.269999999999</v>
      </c>
      <c r="H5" s="109"/>
      <c r="I5" s="95">
        <f t="shared" si="2"/>
        <v>0</v>
      </c>
    </row>
    <row r="6" spans="1:9" ht="17.25" customHeight="1" x14ac:dyDescent="0.25">
      <c r="A6" s="39" t="s">
        <v>447</v>
      </c>
      <c r="B6" s="39" t="s">
        <v>448</v>
      </c>
      <c r="C6" s="40" t="s">
        <v>442</v>
      </c>
      <c r="D6" s="41">
        <v>5.8</v>
      </c>
      <c r="E6" s="108">
        <v>13678</v>
      </c>
      <c r="F6" s="128">
        <f t="shared" si="0"/>
        <v>14635.46</v>
      </c>
      <c r="G6" s="95">
        <f t="shared" si="1"/>
        <v>13171.913999999999</v>
      </c>
      <c r="H6" s="109"/>
      <c r="I6" s="95">
        <f t="shared" si="2"/>
        <v>0</v>
      </c>
    </row>
    <row r="7" spans="1:9" ht="17.25" customHeight="1" x14ac:dyDescent="0.25">
      <c r="A7" s="39" t="s">
        <v>449</v>
      </c>
      <c r="B7" s="39" t="s">
        <v>450</v>
      </c>
      <c r="C7" s="40" t="s">
        <v>442</v>
      </c>
      <c r="D7" s="41">
        <v>5.8</v>
      </c>
      <c r="E7" s="108">
        <v>7369</v>
      </c>
      <c r="F7" s="128">
        <f t="shared" si="0"/>
        <v>7884.83</v>
      </c>
      <c r="G7" s="95">
        <f t="shared" si="1"/>
        <v>7096.3469999999998</v>
      </c>
      <c r="H7" s="109"/>
      <c r="I7" s="95">
        <f t="shared" si="2"/>
        <v>0</v>
      </c>
    </row>
    <row r="8" spans="1:9" ht="17.25" customHeight="1" x14ac:dyDescent="0.25">
      <c r="A8" s="39" t="s">
        <v>451</v>
      </c>
      <c r="B8" s="39" t="s">
        <v>452</v>
      </c>
      <c r="C8" s="40" t="s">
        <v>442</v>
      </c>
      <c r="D8" s="41">
        <v>5.8</v>
      </c>
      <c r="E8" s="108">
        <v>9667</v>
      </c>
      <c r="F8" s="128">
        <f t="shared" si="0"/>
        <v>10343.69</v>
      </c>
      <c r="G8" s="95">
        <f t="shared" si="1"/>
        <v>9309.3209999999999</v>
      </c>
      <c r="H8" s="109"/>
      <c r="I8" s="95">
        <f t="shared" si="2"/>
        <v>0</v>
      </c>
    </row>
    <row r="9" spans="1:9" ht="17.25" customHeight="1" x14ac:dyDescent="0.25">
      <c r="A9" s="39" t="s">
        <v>453</v>
      </c>
      <c r="B9" s="39" t="s">
        <v>454</v>
      </c>
      <c r="C9" s="40" t="s">
        <v>442</v>
      </c>
      <c r="D9" s="41">
        <v>5.8</v>
      </c>
      <c r="E9" s="108">
        <v>13249</v>
      </c>
      <c r="F9" s="128">
        <f t="shared" si="0"/>
        <v>14176.43</v>
      </c>
      <c r="G9" s="95">
        <f t="shared" si="1"/>
        <v>12758.787</v>
      </c>
      <c r="H9" s="109"/>
      <c r="I9" s="95">
        <f t="shared" si="2"/>
        <v>0</v>
      </c>
    </row>
    <row r="10" spans="1:9" ht="17.25" customHeight="1" x14ac:dyDescent="0.25">
      <c r="A10" s="39" t="s">
        <v>455</v>
      </c>
      <c r="B10" s="39" t="s">
        <v>456</v>
      </c>
      <c r="C10" s="40" t="s">
        <v>442</v>
      </c>
      <c r="D10" s="41">
        <v>5.8</v>
      </c>
      <c r="E10" s="108">
        <v>9172</v>
      </c>
      <c r="F10" s="128">
        <f t="shared" si="0"/>
        <v>9814.0400000000009</v>
      </c>
      <c r="G10" s="95">
        <f t="shared" si="1"/>
        <v>8832.6360000000004</v>
      </c>
      <c r="H10" s="109"/>
      <c r="I10" s="95">
        <f t="shared" si="2"/>
        <v>0</v>
      </c>
    </row>
    <row r="11" spans="1:9" ht="17.25" customHeight="1" x14ac:dyDescent="0.25">
      <c r="A11" s="39" t="s">
        <v>457</v>
      </c>
      <c r="B11" s="39" t="s">
        <v>458</v>
      </c>
      <c r="C11" s="40" t="s">
        <v>442</v>
      </c>
      <c r="D11" s="41">
        <v>5.8</v>
      </c>
      <c r="E11" s="108">
        <v>8554</v>
      </c>
      <c r="F11" s="128">
        <f t="shared" si="0"/>
        <v>9152.7800000000007</v>
      </c>
      <c r="G11" s="95">
        <f t="shared" si="1"/>
        <v>8237.5020000000004</v>
      </c>
      <c r="H11" s="109"/>
      <c r="I11" s="95">
        <f t="shared" si="2"/>
        <v>0</v>
      </c>
    </row>
    <row r="12" spans="1:9" ht="17.25" customHeight="1" x14ac:dyDescent="0.25">
      <c r="A12" s="39" t="s">
        <v>459</v>
      </c>
      <c r="B12" s="39" t="s">
        <v>460</v>
      </c>
      <c r="C12" s="40" t="s">
        <v>442</v>
      </c>
      <c r="D12" s="41">
        <v>5.8</v>
      </c>
      <c r="E12" s="108">
        <v>7862</v>
      </c>
      <c r="F12" s="128">
        <f t="shared" si="0"/>
        <v>8412.34</v>
      </c>
      <c r="G12" s="95">
        <f t="shared" si="1"/>
        <v>7571.1059999999998</v>
      </c>
      <c r="H12" s="109"/>
      <c r="I12" s="95">
        <f t="shared" si="2"/>
        <v>0</v>
      </c>
    </row>
    <row r="13" spans="1:9" ht="17.25" customHeight="1" x14ac:dyDescent="0.25">
      <c r="A13" s="39" t="s">
        <v>461</v>
      </c>
      <c r="B13" s="126" t="s">
        <v>586</v>
      </c>
      <c r="C13" s="40" t="s">
        <v>442</v>
      </c>
      <c r="D13" s="41">
        <v>5.8</v>
      </c>
      <c r="E13" s="108">
        <v>7366</v>
      </c>
      <c r="F13" s="128">
        <f t="shared" si="0"/>
        <v>7881.62</v>
      </c>
      <c r="G13" s="95">
        <f t="shared" si="1"/>
        <v>7093.4579999999996</v>
      </c>
      <c r="H13" s="109"/>
      <c r="I13" s="95">
        <f t="shared" si="2"/>
        <v>0</v>
      </c>
    </row>
    <row r="14" spans="1:9" ht="17.25" customHeight="1" x14ac:dyDescent="0.25">
      <c r="A14" s="39" t="s">
        <v>462</v>
      </c>
      <c r="B14" s="39" t="s">
        <v>463</v>
      </c>
      <c r="C14" s="40" t="s">
        <v>442</v>
      </c>
      <c r="D14" s="41">
        <v>5.8</v>
      </c>
      <c r="E14" s="108">
        <v>22600</v>
      </c>
      <c r="F14" s="128">
        <f t="shared" si="0"/>
        <v>24182</v>
      </c>
      <c r="G14" s="95">
        <f t="shared" si="1"/>
        <v>21763.8</v>
      </c>
      <c r="H14" s="109"/>
      <c r="I14" s="95">
        <f t="shared" si="2"/>
        <v>0</v>
      </c>
    </row>
    <row r="15" spans="1:9" ht="17.25" customHeight="1" x14ac:dyDescent="0.25">
      <c r="A15" s="39" t="s">
        <v>464</v>
      </c>
      <c r="B15" s="39" t="s">
        <v>463</v>
      </c>
      <c r="C15" s="40" t="s">
        <v>442</v>
      </c>
      <c r="D15" s="41">
        <v>5.8</v>
      </c>
      <c r="E15" s="108">
        <v>17850</v>
      </c>
      <c r="F15" s="128">
        <f t="shared" si="0"/>
        <v>19099.5</v>
      </c>
      <c r="G15" s="95">
        <f t="shared" si="1"/>
        <v>17189.55</v>
      </c>
      <c r="H15" s="109"/>
      <c r="I15" s="95">
        <f t="shared" si="2"/>
        <v>0</v>
      </c>
    </row>
    <row r="16" spans="1:9" ht="15.75" customHeight="1" x14ac:dyDescent="0.25">
      <c r="A16" s="40" t="s">
        <v>574</v>
      </c>
      <c r="B16" s="40" t="s">
        <v>575</v>
      </c>
      <c r="C16" s="40" t="s">
        <v>442</v>
      </c>
      <c r="D16" s="41">
        <v>5.8</v>
      </c>
      <c r="E16" s="108">
        <v>13992</v>
      </c>
      <c r="F16" s="128">
        <f t="shared" si="0"/>
        <v>14971.44</v>
      </c>
      <c r="G16" s="95">
        <f t="shared" si="1"/>
        <v>13474.296</v>
      </c>
      <c r="H16" s="109"/>
      <c r="I16" s="95">
        <f t="shared" si="2"/>
        <v>0</v>
      </c>
    </row>
    <row r="17" spans="1:16" ht="15.75" customHeight="1" x14ac:dyDescent="0.25">
      <c r="A17" s="40" t="s">
        <v>576</v>
      </c>
      <c r="B17" s="40" t="s">
        <v>577</v>
      </c>
      <c r="C17" s="40" t="s">
        <v>442</v>
      </c>
      <c r="D17" s="41">
        <v>5.8</v>
      </c>
      <c r="E17" s="108">
        <v>10639</v>
      </c>
      <c r="F17" s="128">
        <f t="shared" si="0"/>
        <v>11383.73</v>
      </c>
      <c r="G17" s="95">
        <f t="shared" si="1"/>
        <v>10245.357</v>
      </c>
      <c r="H17" s="109"/>
      <c r="I17" s="95">
        <f t="shared" si="2"/>
        <v>0</v>
      </c>
    </row>
    <row r="18" spans="1:16" ht="15.75" customHeight="1" x14ac:dyDescent="0.25">
      <c r="A18" s="40" t="s">
        <v>578</v>
      </c>
      <c r="B18" s="40" t="s">
        <v>579</v>
      </c>
      <c r="C18" s="40" t="s">
        <v>442</v>
      </c>
      <c r="D18" s="41">
        <v>5.8</v>
      </c>
      <c r="E18" s="108">
        <v>16138</v>
      </c>
      <c r="F18" s="128">
        <f t="shared" si="0"/>
        <v>17267.66</v>
      </c>
      <c r="G18" s="95">
        <f t="shared" si="1"/>
        <v>15540.894</v>
      </c>
      <c r="H18" s="109"/>
      <c r="I18" s="95">
        <f t="shared" si="2"/>
        <v>0</v>
      </c>
    </row>
    <row r="19" spans="1:16" ht="15.75" customHeight="1" x14ac:dyDescent="0.25">
      <c r="A19" s="40" t="s">
        <v>580</v>
      </c>
      <c r="B19" s="40" t="s">
        <v>581</v>
      </c>
      <c r="C19" s="40" t="s">
        <v>442</v>
      </c>
      <c r="D19" s="41">
        <v>5.8</v>
      </c>
      <c r="E19" s="108">
        <v>11435</v>
      </c>
      <c r="F19" s="128">
        <f t="shared" si="0"/>
        <v>12235.45</v>
      </c>
      <c r="G19" s="95">
        <f t="shared" si="1"/>
        <v>11011.905000000001</v>
      </c>
      <c r="H19" s="109"/>
      <c r="I19" s="95">
        <f t="shared" si="2"/>
        <v>0</v>
      </c>
    </row>
    <row r="20" spans="1:16" ht="15.75" customHeight="1" x14ac:dyDescent="0.25">
      <c r="A20" s="40" t="s">
        <v>582</v>
      </c>
      <c r="B20" s="40" t="s">
        <v>583</v>
      </c>
      <c r="C20" s="40" t="s">
        <v>442</v>
      </c>
      <c r="D20" s="41">
        <v>5.8</v>
      </c>
      <c r="E20" s="108">
        <v>22069</v>
      </c>
      <c r="F20" s="128">
        <f t="shared" si="0"/>
        <v>23613.83</v>
      </c>
      <c r="G20" s="95">
        <f t="shared" si="1"/>
        <v>21252.447</v>
      </c>
      <c r="H20" s="109"/>
      <c r="I20" s="95">
        <f t="shared" si="2"/>
        <v>0</v>
      </c>
      <c r="P20">
        <v>7</v>
      </c>
    </row>
    <row r="21" spans="1:16" ht="15.75" customHeight="1" x14ac:dyDescent="0.25">
      <c r="A21" s="93"/>
      <c r="B21" s="93"/>
      <c r="C21" s="93"/>
      <c r="D21" s="94"/>
      <c r="E21" s="42"/>
      <c r="F21" s="42"/>
      <c r="G21" s="111"/>
      <c r="H21" s="112">
        <f>SUM(H3:H20)</f>
        <v>0</v>
      </c>
      <c r="I21" s="113">
        <f>SUM(I3:I20)</f>
        <v>0</v>
      </c>
    </row>
    <row r="22" spans="1:16" ht="15.75" customHeight="1" x14ac:dyDescent="0.25">
      <c r="A22" s="93"/>
      <c r="B22" s="93"/>
      <c r="C22" s="93"/>
      <c r="D22" s="94"/>
      <c r="E22" s="42"/>
      <c r="F22" s="42"/>
      <c r="G22" s="111"/>
      <c r="H22" s="112"/>
    </row>
    <row r="23" spans="1:16" ht="94.95" customHeight="1" x14ac:dyDescent="0.25">
      <c r="A23" s="131" t="s">
        <v>584</v>
      </c>
      <c r="B23" s="131"/>
      <c r="C23" s="131"/>
      <c r="D23" s="131"/>
      <c r="E23" s="131"/>
      <c r="F23" s="131"/>
      <c r="G23" s="131"/>
      <c r="H23" s="96"/>
    </row>
    <row r="24" spans="1:16" ht="46.95" customHeight="1" x14ac:dyDescent="0.25"/>
  </sheetData>
  <mergeCells count="2">
    <mergeCell ref="A1:G1"/>
    <mergeCell ref="A23:G2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opLeftCell="A40" zoomScale="130" zoomScaleNormal="130" workbookViewId="0">
      <selection activeCell="G66" sqref="G66"/>
    </sheetView>
  </sheetViews>
  <sheetFormatPr baseColWidth="10" defaultColWidth="8.88671875" defaultRowHeight="13.2" x14ac:dyDescent="0.25"/>
  <cols>
    <col min="1" max="1" width="11.77734375" customWidth="1"/>
    <col min="2" max="2" width="29.21875" customWidth="1"/>
    <col min="3" max="3" width="7" customWidth="1"/>
    <col min="4" max="4" width="8.6640625" customWidth="1"/>
    <col min="5" max="6" width="13.33203125" customWidth="1"/>
    <col min="7" max="7" width="8.33203125" customWidth="1"/>
    <col min="8" max="8" width="7.5546875" style="104" customWidth="1"/>
    <col min="9" max="9" width="13.21875" customWidth="1"/>
    <col min="10" max="10" width="21.109375" customWidth="1"/>
    <col min="11" max="11" width="2.6640625" customWidth="1"/>
  </cols>
  <sheetData>
    <row r="1" spans="1:11" ht="29.25" customHeight="1" x14ac:dyDescent="0.25">
      <c r="A1" s="131" t="s">
        <v>470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ht="16.95" customHeight="1" x14ac:dyDescent="0.25">
      <c r="A2" s="19" t="s">
        <v>119</v>
      </c>
      <c r="B2" s="19" t="s">
        <v>120</v>
      </c>
      <c r="C2" s="19" t="s">
        <v>121</v>
      </c>
      <c r="D2" s="19" t="s">
        <v>122</v>
      </c>
      <c r="E2" s="19" t="s">
        <v>123</v>
      </c>
      <c r="F2" s="46">
        <v>7.0000000000000007E-2</v>
      </c>
      <c r="G2" s="46">
        <v>0.34</v>
      </c>
      <c r="H2" s="116" t="s">
        <v>572</v>
      </c>
      <c r="I2" s="117" t="s">
        <v>466</v>
      </c>
      <c r="J2" s="20" t="s">
        <v>124</v>
      </c>
    </row>
    <row r="3" spans="1:11" ht="18.45" customHeight="1" x14ac:dyDescent="0.25">
      <c r="A3" s="21" t="s">
        <v>471</v>
      </c>
      <c r="B3" s="21" t="s">
        <v>472</v>
      </c>
      <c r="C3" s="21" t="s">
        <v>127</v>
      </c>
      <c r="D3" s="31">
        <v>5.8</v>
      </c>
      <c r="E3" s="23">
        <v>24445</v>
      </c>
      <c r="F3" s="114">
        <f>E3+(E3*$F$2)</f>
        <v>26156.15</v>
      </c>
      <c r="G3" s="114">
        <f>F3-(F3*$G$2)</f>
        <v>17263.059000000001</v>
      </c>
      <c r="H3" s="121"/>
      <c r="I3" s="118">
        <f>G3*H3</f>
        <v>0</v>
      </c>
      <c r="J3" s="138"/>
    </row>
    <row r="4" spans="1:11" ht="18.45" customHeight="1" x14ac:dyDescent="0.25">
      <c r="A4" s="21" t="s">
        <v>473</v>
      </c>
      <c r="B4" s="21" t="s">
        <v>474</v>
      </c>
      <c r="C4" s="21" t="s">
        <v>127</v>
      </c>
      <c r="D4" s="31">
        <v>5.8</v>
      </c>
      <c r="E4" s="23">
        <v>43308</v>
      </c>
      <c r="F4" s="114">
        <f t="shared" ref="F4:F63" si="0">E4+(E4*$F$2)</f>
        <v>46339.56</v>
      </c>
      <c r="G4" s="114">
        <f t="shared" ref="G4:G63" si="1">F4-(F4*$G$2)</f>
        <v>30584.109599999996</v>
      </c>
      <c r="H4" s="121"/>
      <c r="I4" s="118">
        <f t="shared" ref="I4:I63" si="2">G4*H4</f>
        <v>0</v>
      </c>
      <c r="J4" s="140"/>
    </row>
    <row r="5" spans="1:11" ht="18.45" customHeight="1" x14ac:dyDescent="0.25">
      <c r="A5" s="21" t="s">
        <v>475</v>
      </c>
      <c r="B5" s="21" t="s">
        <v>476</v>
      </c>
      <c r="C5" s="21" t="s">
        <v>127</v>
      </c>
      <c r="D5" s="31">
        <v>5.8</v>
      </c>
      <c r="E5" s="23">
        <v>43308</v>
      </c>
      <c r="F5" s="114">
        <f t="shared" si="0"/>
        <v>46339.56</v>
      </c>
      <c r="G5" s="114">
        <f t="shared" si="1"/>
        <v>30584.109599999996</v>
      </c>
      <c r="H5" s="121"/>
      <c r="I5" s="118">
        <f t="shared" si="2"/>
        <v>0</v>
      </c>
      <c r="J5" s="140"/>
    </row>
    <row r="6" spans="1:11" ht="18.45" customHeight="1" x14ac:dyDescent="0.25">
      <c r="A6" s="21" t="s">
        <v>477</v>
      </c>
      <c r="B6" s="21" t="s">
        <v>478</v>
      </c>
      <c r="C6" s="21" t="s">
        <v>127</v>
      </c>
      <c r="D6" s="31">
        <v>5.8</v>
      </c>
      <c r="E6" s="23">
        <v>43308</v>
      </c>
      <c r="F6" s="114">
        <f t="shared" si="0"/>
        <v>46339.56</v>
      </c>
      <c r="G6" s="114">
        <f t="shared" si="1"/>
        <v>30584.109599999996</v>
      </c>
      <c r="H6" s="121"/>
      <c r="I6" s="118">
        <f t="shared" si="2"/>
        <v>0</v>
      </c>
      <c r="J6" s="140"/>
    </row>
    <row r="7" spans="1:11" ht="18.45" customHeight="1" x14ac:dyDescent="0.25">
      <c r="A7" s="21" t="s">
        <v>479</v>
      </c>
      <c r="B7" s="21" t="s">
        <v>480</v>
      </c>
      <c r="C7" s="21" t="s">
        <v>127</v>
      </c>
      <c r="D7" s="31">
        <v>5.8</v>
      </c>
      <c r="E7" s="23">
        <v>43308</v>
      </c>
      <c r="F7" s="114">
        <f t="shared" si="0"/>
        <v>46339.56</v>
      </c>
      <c r="G7" s="114">
        <f t="shared" si="1"/>
        <v>30584.109599999996</v>
      </c>
      <c r="H7" s="121"/>
      <c r="I7" s="118">
        <f t="shared" si="2"/>
        <v>0</v>
      </c>
      <c r="J7" s="140"/>
    </row>
    <row r="8" spans="1:11" ht="18.45" customHeight="1" x14ac:dyDescent="0.25">
      <c r="A8" s="21" t="s">
        <v>481</v>
      </c>
      <c r="B8" s="21" t="s">
        <v>482</v>
      </c>
      <c r="C8" s="21" t="s">
        <v>127</v>
      </c>
      <c r="D8" s="31">
        <v>5.8</v>
      </c>
      <c r="E8" s="23">
        <v>43782</v>
      </c>
      <c r="F8" s="114">
        <f t="shared" si="0"/>
        <v>46846.74</v>
      </c>
      <c r="G8" s="114">
        <f t="shared" si="1"/>
        <v>30918.848399999995</v>
      </c>
      <c r="H8" s="121"/>
      <c r="I8" s="118">
        <f t="shared" si="2"/>
        <v>0</v>
      </c>
      <c r="J8" s="142"/>
    </row>
    <row r="9" spans="1:11" ht="18.45" customHeight="1" x14ac:dyDescent="0.25">
      <c r="A9" s="19" t="s">
        <v>119</v>
      </c>
      <c r="B9" s="19" t="s">
        <v>120</v>
      </c>
      <c r="C9" s="19" t="s">
        <v>121</v>
      </c>
      <c r="D9" s="19" t="s">
        <v>122</v>
      </c>
      <c r="E9" s="19" t="s">
        <v>123</v>
      </c>
      <c r="F9" s="114" t="e">
        <f t="shared" si="0"/>
        <v>#VALUE!</v>
      </c>
      <c r="G9" s="114" t="e">
        <f t="shared" si="1"/>
        <v>#VALUE!</v>
      </c>
      <c r="H9" s="119"/>
      <c r="I9" s="118"/>
      <c r="J9" s="115" t="s">
        <v>124</v>
      </c>
    </row>
    <row r="10" spans="1:11" ht="18.45" customHeight="1" x14ac:dyDescent="0.25">
      <c r="A10" s="21" t="s">
        <v>483</v>
      </c>
      <c r="B10" s="21" t="s">
        <v>484</v>
      </c>
      <c r="C10" s="21" t="s">
        <v>127</v>
      </c>
      <c r="D10" s="31">
        <v>5.8</v>
      </c>
      <c r="E10" s="23">
        <v>30228</v>
      </c>
      <c r="F10" s="114">
        <f t="shared" si="0"/>
        <v>32343.96</v>
      </c>
      <c r="G10" s="114">
        <f t="shared" si="1"/>
        <v>21347.013599999998</v>
      </c>
      <c r="H10" s="121"/>
      <c r="I10" s="118">
        <f t="shared" si="2"/>
        <v>0</v>
      </c>
      <c r="J10" s="138"/>
    </row>
    <row r="11" spans="1:11" ht="18.45" customHeight="1" x14ac:dyDescent="0.25">
      <c r="A11" s="21" t="s">
        <v>485</v>
      </c>
      <c r="B11" s="21" t="s">
        <v>486</v>
      </c>
      <c r="C11" s="21" t="s">
        <v>127</v>
      </c>
      <c r="D11" s="31">
        <v>5.8</v>
      </c>
      <c r="E11" s="23">
        <v>54884</v>
      </c>
      <c r="F11" s="114">
        <f t="shared" si="0"/>
        <v>58725.88</v>
      </c>
      <c r="G11" s="114">
        <f t="shared" si="1"/>
        <v>38759.080799999996</v>
      </c>
      <c r="H11" s="121"/>
      <c r="I11" s="118">
        <f t="shared" si="2"/>
        <v>0</v>
      </c>
      <c r="J11" s="140"/>
    </row>
    <row r="12" spans="1:11" ht="15.75" customHeight="1" x14ac:dyDescent="0.25">
      <c r="A12" s="21" t="s">
        <v>487</v>
      </c>
      <c r="B12" s="21" t="s">
        <v>488</v>
      </c>
      <c r="C12" s="21" t="s">
        <v>127</v>
      </c>
      <c r="D12" s="31">
        <v>5.8</v>
      </c>
      <c r="E12" s="23">
        <v>54884</v>
      </c>
      <c r="F12" s="114">
        <f t="shared" si="0"/>
        <v>58725.88</v>
      </c>
      <c r="G12" s="114">
        <f t="shared" si="1"/>
        <v>38759.080799999996</v>
      </c>
      <c r="H12" s="121"/>
      <c r="I12" s="118">
        <f t="shared" si="2"/>
        <v>0</v>
      </c>
      <c r="J12" s="140"/>
    </row>
    <row r="13" spans="1:11" ht="15.75" customHeight="1" x14ac:dyDescent="0.25">
      <c r="A13" s="21" t="s">
        <v>489</v>
      </c>
      <c r="B13" s="21" t="s">
        <v>490</v>
      </c>
      <c r="C13" s="21" t="s">
        <v>127</v>
      </c>
      <c r="D13" s="31">
        <v>5.8</v>
      </c>
      <c r="E13" s="23">
        <v>54884</v>
      </c>
      <c r="F13" s="114">
        <f t="shared" si="0"/>
        <v>58725.88</v>
      </c>
      <c r="G13" s="114">
        <f t="shared" si="1"/>
        <v>38759.080799999996</v>
      </c>
      <c r="H13" s="121"/>
      <c r="I13" s="118">
        <f t="shared" si="2"/>
        <v>0</v>
      </c>
      <c r="J13" s="140"/>
    </row>
    <row r="14" spans="1:11" ht="15.75" customHeight="1" x14ac:dyDescent="0.25">
      <c r="A14" s="21" t="s">
        <v>491</v>
      </c>
      <c r="B14" s="21" t="s">
        <v>492</v>
      </c>
      <c r="C14" s="21" t="s">
        <v>127</v>
      </c>
      <c r="D14" s="31">
        <v>5.8</v>
      </c>
      <c r="E14" s="23">
        <v>54884</v>
      </c>
      <c r="F14" s="114">
        <f t="shared" si="0"/>
        <v>58725.88</v>
      </c>
      <c r="G14" s="114">
        <f t="shared" si="1"/>
        <v>38759.080799999996</v>
      </c>
      <c r="H14" s="121"/>
      <c r="I14" s="118">
        <f t="shared" si="2"/>
        <v>0</v>
      </c>
      <c r="J14" s="140"/>
    </row>
    <row r="15" spans="1:11" ht="15.75" customHeight="1" x14ac:dyDescent="0.25">
      <c r="A15" s="21" t="s">
        <v>493</v>
      </c>
      <c r="B15" s="21" t="s">
        <v>494</v>
      </c>
      <c r="C15" s="21" t="s">
        <v>127</v>
      </c>
      <c r="D15" s="31">
        <v>5.8</v>
      </c>
      <c r="E15" s="23">
        <v>60061</v>
      </c>
      <c r="F15" s="114">
        <f t="shared" si="0"/>
        <v>64265.270000000004</v>
      </c>
      <c r="G15" s="114">
        <f t="shared" si="1"/>
        <v>42415.078200000004</v>
      </c>
      <c r="H15" s="121"/>
      <c r="I15" s="118">
        <f t="shared" si="2"/>
        <v>0</v>
      </c>
      <c r="J15" s="142"/>
    </row>
    <row r="16" spans="1:11" ht="18.45" customHeight="1" x14ac:dyDescent="0.25">
      <c r="A16" s="19" t="s">
        <v>119</v>
      </c>
      <c r="B16" s="19" t="s">
        <v>120</v>
      </c>
      <c r="C16" s="19" t="s">
        <v>121</v>
      </c>
      <c r="D16" s="19" t="s">
        <v>122</v>
      </c>
      <c r="E16" s="19" t="s">
        <v>123</v>
      </c>
      <c r="F16" s="114" t="e">
        <f t="shared" si="0"/>
        <v>#VALUE!</v>
      </c>
      <c r="G16" s="114" t="e">
        <f t="shared" si="1"/>
        <v>#VALUE!</v>
      </c>
      <c r="H16" s="119"/>
      <c r="I16" s="118"/>
      <c r="J16" s="115" t="s">
        <v>124</v>
      </c>
    </row>
    <row r="17" spans="1:10" ht="18.45" customHeight="1" x14ac:dyDescent="0.25">
      <c r="A17" s="21" t="s">
        <v>495</v>
      </c>
      <c r="B17" s="21" t="s">
        <v>496</v>
      </c>
      <c r="C17" s="21" t="s">
        <v>127</v>
      </c>
      <c r="D17" s="31">
        <v>5.8</v>
      </c>
      <c r="E17" s="23">
        <v>31838</v>
      </c>
      <c r="F17" s="114">
        <f t="shared" si="0"/>
        <v>34066.660000000003</v>
      </c>
      <c r="G17" s="114">
        <f t="shared" si="1"/>
        <v>22483.995600000002</v>
      </c>
      <c r="H17" s="121"/>
      <c r="I17" s="118">
        <f t="shared" si="2"/>
        <v>0</v>
      </c>
      <c r="J17" s="138"/>
    </row>
    <row r="18" spans="1:10" ht="18.45" customHeight="1" x14ac:dyDescent="0.25">
      <c r="A18" s="21" t="s">
        <v>497</v>
      </c>
      <c r="B18" s="21" t="s">
        <v>498</v>
      </c>
      <c r="C18" s="21" t="s">
        <v>127</v>
      </c>
      <c r="D18" s="31">
        <v>5.8</v>
      </c>
      <c r="E18" s="23">
        <v>55157</v>
      </c>
      <c r="F18" s="114">
        <f t="shared" si="0"/>
        <v>59017.99</v>
      </c>
      <c r="G18" s="114">
        <f t="shared" si="1"/>
        <v>38951.873399999997</v>
      </c>
      <c r="H18" s="121"/>
      <c r="I18" s="118">
        <f t="shared" si="2"/>
        <v>0</v>
      </c>
      <c r="J18" s="140"/>
    </row>
    <row r="19" spans="1:10" ht="18.45" customHeight="1" x14ac:dyDescent="0.25">
      <c r="A19" s="21" t="s">
        <v>499</v>
      </c>
      <c r="B19" s="21" t="s">
        <v>500</v>
      </c>
      <c r="C19" s="21" t="s">
        <v>127</v>
      </c>
      <c r="D19" s="31">
        <v>5.8</v>
      </c>
      <c r="E19" s="23">
        <v>55157</v>
      </c>
      <c r="F19" s="114">
        <f t="shared" si="0"/>
        <v>59017.99</v>
      </c>
      <c r="G19" s="114">
        <f t="shared" si="1"/>
        <v>38951.873399999997</v>
      </c>
      <c r="H19" s="121"/>
      <c r="I19" s="118">
        <f t="shared" si="2"/>
        <v>0</v>
      </c>
      <c r="J19" s="140"/>
    </row>
    <row r="20" spans="1:10" ht="18.45" customHeight="1" x14ac:dyDescent="0.25">
      <c r="A20" s="21" t="s">
        <v>501</v>
      </c>
      <c r="B20" s="21" t="s">
        <v>502</v>
      </c>
      <c r="C20" s="21" t="s">
        <v>127</v>
      </c>
      <c r="D20" s="31">
        <v>5.8</v>
      </c>
      <c r="E20" s="23">
        <v>55157</v>
      </c>
      <c r="F20" s="114">
        <f t="shared" si="0"/>
        <v>59017.99</v>
      </c>
      <c r="G20" s="114">
        <f t="shared" si="1"/>
        <v>38951.873399999997</v>
      </c>
      <c r="H20" s="121"/>
      <c r="I20" s="118">
        <f t="shared" si="2"/>
        <v>0</v>
      </c>
      <c r="J20" s="140"/>
    </row>
    <row r="21" spans="1:10" ht="18.45" customHeight="1" x14ac:dyDescent="0.25">
      <c r="A21" s="21" t="s">
        <v>503</v>
      </c>
      <c r="B21" s="21" t="s">
        <v>504</v>
      </c>
      <c r="C21" s="21" t="s">
        <v>127</v>
      </c>
      <c r="D21" s="31">
        <v>5.8</v>
      </c>
      <c r="E21" s="23">
        <v>55157</v>
      </c>
      <c r="F21" s="114">
        <f t="shared" si="0"/>
        <v>59017.99</v>
      </c>
      <c r="G21" s="114">
        <f t="shared" si="1"/>
        <v>38951.873399999997</v>
      </c>
      <c r="H21" s="121"/>
      <c r="I21" s="118">
        <f t="shared" si="2"/>
        <v>0</v>
      </c>
      <c r="J21" s="140"/>
    </row>
    <row r="22" spans="1:10" ht="18.45" customHeight="1" x14ac:dyDescent="0.25">
      <c r="A22" s="21" t="s">
        <v>505</v>
      </c>
      <c r="B22" s="21" t="s">
        <v>506</v>
      </c>
      <c r="C22" s="21" t="s">
        <v>127</v>
      </c>
      <c r="D22" s="31">
        <v>5.8</v>
      </c>
      <c r="E22" s="23">
        <v>55760</v>
      </c>
      <c r="F22" s="114">
        <f t="shared" si="0"/>
        <v>59663.199999999997</v>
      </c>
      <c r="G22" s="114">
        <f t="shared" si="1"/>
        <v>39377.712</v>
      </c>
      <c r="H22" s="121"/>
      <c r="I22" s="118">
        <f t="shared" si="2"/>
        <v>0</v>
      </c>
      <c r="J22" s="142"/>
    </row>
    <row r="23" spans="1:10" ht="37.950000000000003" customHeight="1" x14ac:dyDescent="0.25">
      <c r="F23" s="114">
        <f t="shared" si="0"/>
        <v>0</v>
      </c>
      <c r="G23" s="114">
        <f t="shared" si="1"/>
        <v>0</v>
      </c>
      <c r="H23" s="122"/>
      <c r="I23" s="118">
        <f t="shared" si="2"/>
        <v>0</v>
      </c>
    </row>
    <row r="24" spans="1:10" ht="18.45" customHeight="1" x14ac:dyDescent="0.25">
      <c r="A24" s="19" t="s">
        <v>119</v>
      </c>
      <c r="B24" s="19" t="s">
        <v>120</v>
      </c>
      <c r="C24" s="19" t="s">
        <v>121</v>
      </c>
      <c r="D24" s="19" t="s">
        <v>122</v>
      </c>
      <c r="E24" s="19" t="s">
        <v>123</v>
      </c>
      <c r="F24" s="114" t="e">
        <f t="shared" si="0"/>
        <v>#VALUE!</v>
      </c>
      <c r="G24" s="114" t="e">
        <f t="shared" si="1"/>
        <v>#VALUE!</v>
      </c>
      <c r="H24" s="123"/>
      <c r="I24" s="118"/>
      <c r="J24" s="115" t="s">
        <v>124</v>
      </c>
    </row>
    <row r="25" spans="1:10" ht="18.45" customHeight="1" x14ac:dyDescent="0.25">
      <c r="A25" s="21" t="s">
        <v>507</v>
      </c>
      <c r="B25" s="21" t="s">
        <v>508</v>
      </c>
      <c r="C25" s="21" t="s">
        <v>127</v>
      </c>
      <c r="D25" s="31">
        <v>5.8</v>
      </c>
      <c r="E25" s="23">
        <v>29394</v>
      </c>
      <c r="F25" s="114">
        <f t="shared" si="0"/>
        <v>31451.58</v>
      </c>
      <c r="G25" s="114">
        <f t="shared" si="1"/>
        <v>20758.042800000003</v>
      </c>
      <c r="H25" s="124"/>
      <c r="I25" s="118">
        <f t="shared" si="2"/>
        <v>0</v>
      </c>
      <c r="J25" s="138"/>
    </row>
    <row r="26" spans="1:10" ht="18.45" customHeight="1" x14ac:dyDescent="0.25">
      <c r="A26" s="21" t="s">
        <v>509</v>
      </c>
      <c r="B26" s="21" t="s">
        <v>510</v>
      </c>
      <c r="C26" s="21" t="s">
        <v>127</v>
      </c>
      <c r="D26" s="31">
        <v>5.8</v>
      </c>
      <c r="E26" s="23">
        <v>52092</v>
      </c>
      <c r="F26" s="114">
        <f t="shared" si="0"/>
        <v>55738.44</v>
      </c>
      <c r="G26" s="114">
        <f t="shared" si="1"/>
        <v>36787.3704</v>
      </c>
      <c r="H26" s="124"/>
      <c r="I26" s="118">
        <f t="shared" si="2"/>
        <v>0</v>
      </c>
      <c r="J26" s="140"/>
    </row>
    <row r="27" spans="1:10" ht="18.45" customHeight="1" x14ac:dyDescent="0.25">
      <c r="A27" s="21" t="s">
        <v>511</v>
      </c>
      <c r="B27" s="21" t="s">
        <v>512</v>
      </c>
      <c r="C27" s="21" t="s">
        <v>127</v>
      </c>
      <c r="D27" s="31">
        <v>5.8</v>
      </c>
      <c r="E27" s="23">
        <v>52092</v>
      </c>
      <c r="F27" s="114">
        <f t="shared" si="0"/>
        <v>55738.44</v>
      </c>
      <c r="G27" s="114">
        <f t="shared" si="1"/>
        <v>36787.3704</v>
      </c>
      <c r="H27" s="124"/>
      <c r="I27" s="118">
        <f t="shared" si="2"/>
        <v>0</v>
      </c>
      <c r="J27" s="140"/>
    </row>
    <row r="28" spans="1:10" ht="18.45" customHeight="1" x14ac:dyDescent="0.25">
      <c r="A28" s="21" t="s">
        <v>513</v>
      </c>
      <c r="B28" s="21" t="s">
        <v>514</v>
      </c>
      <c r="C28" s="21" t="s">
        <v>127</v>
      </c>
      <c r="D28" s="31">
        <v>5.8</v>
      </c>
      <c r="E28" s="23">
        <v>52092</v>
      </c>
      <c r="F28" s="114">
        <f t="shared" si="0"/>
        <v>55738.44</v>
      </c>
      <c r="G28" s="114">
        <f t="shared" si="1"/>
        <v>36787.3704</v>
      </c>
      <c r="H28" s="124"/>
      <c r="I28" s="118">
        <f t="shared" si="2"/>
        <v>0</v>
      </c>
      <c r="J28" s="140"/>
    </row>
    <row r="29" spans="1:10" ht="18.45" customHeight="1" x14ac:dyDescent="0.25">
      <c r="A29" s="21" t="s">
        <v>515</v>
      </c>
      <c r="B29" s="21" t="s">
        <v>516</v>
      </c>
      <c r="C29" s="21" t="s">
        <v>127</v>
      </c>
      <c r="D29" s="31">
        <v>5.8</v>
      </c>
      <c r="E29" s="23">
        <v>52092</v>
      </c>
      <c r="F29" s="114">
        <f t="shared" si="0"/>
        <v>55738.44</v>
      </c>
      <c r="G29" s="114">
        <f t="shared" si="1"/>
        <v>36787.3704</v>
      </c>
      <c r="H29" s="124"/>
      <c r="I29" s="118">
        <f t="shared" si="2"/>
        <v>0</v>
      </c>
      <c r="J29" s="140"/>
    </row>
    <row r="30" spans="1:10" ht="18.45" customHeight="1" x14ac:dyDescent="0.25">
      <c r="A30" s="21" t="s">
        <v>517</v>
      </c>
      <c r="B30" s="21" t="s">
        <v>518</v>
      </c>
      <c r="C30" s="21" t="s">
        <v>127</v>
      </c>
      <c r="D30" s="31">
        <v>6.8</v>
      </c>
      <c r="E30" s="23">
        <v>57005</v>
      </c>
      <c r="F30" s="114">
        <f t="shared" si="0"/>
        <v>60995.35</v>
      </c>
      <c r="G30" s="114">
        <f t="shared" si="1"/>
        <v>40256.930999999997</v>
      </c>
      <c r="H30" s="124"/>
      <c r="I30" s="118">
        <f t="shared" si="2"/>
        <v>0</v>
      </c>
      <c r="J30" s="142"/>
    </row>
    <row r="31" spans="1:10" ht="18.45" customHeight="1" x14ac:dyDescent="0.25">
      <c r="A31" s="19" t="s">
        <v>119</v>
      </c>
      <c r="B31" s="19" t="s">
        <v>120</v>
      </c>
      <c r="C31" s="19" t="s">
        <v>121</v>
      </c>
      <c r="D31" s="19" t="s">
        <v>122</v>
      </c>
      <c r="E31" s="19" t="s">
        <v>123</v>
      </c>
      <c r="F31" s="114" t="e">
        <f t="shared" si="0"/>
        <v>#VALUE!</v>
      </c>
      <c r="G31" s="114" t="e">
        <f t="shared" si="1"/>
        <v>#VALUE!</v>
      </c>
      <c r="H31" s="123"/>
      <c r="I31" s="118"/>
      <c r="J31" s="115" t="s">
        <v>124</v>
      </c>
    </row>
    <row r="32" spans="1:10" ht="17.55" customHeight="1" x14ac:dyDescent="0.25">
      <c r="A32" s="21" t="s">
        <v>519</v>
      </c>
      <c r="B32" s="21" t="s">
        <v>520</v>
      </c>
      <c r="C32" s="21" t="s">
        <v>127</v>
      </c>
      <c r="D32" s="31">
        <v>5.8</v>
      </c>
      <c r="E32" s="23">
        <v>48950</v>
      </c>
      <c r="F32" s="114">
        <f t="shared" si="0"/>
        <v>52376.5</v>
      </c>
      <c r="G32" s="114">
        <f t="shared" si="1"/>
        <v>34568.49</v>
      </c>
      <c r="H32" s="124"/>
      <c r="I32" s="118">
        <f t="shared" si="2"/>
        <v>0</v>
      </c>
      <c r="J32" s="138"/>
    </row>
    <row r="33" spans="1:10" ht="18.45" customHeight="1" x14ac:dyDescent="0.25">
      <c r="A33" s="21" t="s">
        <v>521</v>
      </c>
      <c r="B33" s="21" t="s">
        <v>522</v>
      </c>
      <c r="C33" s="21" t="s">
        <v>127</v>
      </c>
      <c r="D33" s="31">
        <v>5.8</v>
      </c>
      <c r="E33" s="23">
        <v>77151</v>
      </c>
      <c r="F33" s="114">
        <f t="shared" si="0"/>
        <v>82551.570000000007</v>
      </c>
      <c r="G33" s="114">
        <f t="shared" si="1"/>
        <v>54484.036200000002</v>
      </c>
      <c r="H33" s="124"/>
      <c r="I33" s="118">
        <f t="shared" si="2"/>
        <v>0</v>
      </c>
      <c r="J33" s="140"/>
    </row>
    <row r="34" spans="1:10" ht="18.45" customHeight="1" x14ac:dyDescent="0.25">
      <c r="A34" s="21" t="s">
        <v>523</v>
      </c>
      <c r="B34" s="21" t="s">
        <v>524</v>
      </c>
      <c r="C34" s="21" t="s">
        <v>127</v>
      </c>
      <c r="D34" s="31">
        <v>5.8</v>
      </c>
      <c r="E34" s="23">
        <v>77151</v>
      </c>
      <c r="F34" s="114">
        <f t="shared" si="0"/>
        <v>82551.570000000007</v>
      </c>
      <c r="G34" s="114">
        <f t="shared" si="1"/>
        <v>54484.036200000002</v>
      </c>
      <c r="H34" s="124"/>
      <c r="I34" s="118">
        <f t="shared" si="2"/>
        <v>0</v>
      </c>
      <c r="J34" s="140"/>
    </row>
    <row r="35" spans="1:10" ht="18.45" customHeight="1" x14ac:dyDescent="0.25">
      <c r="A35" s="21" t="s">
        <v>525</v>
      </c>
      <c r="B35" s="21" t="s">
        <v>526</v>
      </c>
      <c r="C35" s="21" t="s">
        <v>127</v>
      </c>
      <c r="D35" s="31">
        <v>5.8</v>
      </c>
      <c r="E35" s="23">
        <v>77151</v>
      </c>
      <c r="F35" s="114">
        <f t="shared" si="0"/>
        <v>82551.570000000007</v>
      </c>
      <c r="G35" s="114">
        <f t="shared" si="1"/>
        <v>54484.036200000002</v>
      </c>
      <c r="H35" s="124"/>
      <c r="I35" s="118">
        <f t="shared" si="2"/>
        <v>0</v>
      </c>
      <c r="J35" s="140"/>
    </row>
    <row r="36" spans="1:10" ht="18.45" customHeight="1" x14ac:dyDescent="0.25">
      <c r="A36" s="21" t="s">
        <v>527</v>
      </c>
      <c r="B36" s="21" t="s">
        <v>528</v>
      </c>
      <c r="C36" s="21" t="s">
        <v>127</v>
      </c>
      <c r="D36" s="31">
        <v>5.8</v>
      </c>
      <c r="E36" s="23">
        <v>77151</v>
      </c>
      <c r="F36" s="114">
        <f t="shared" si="0"/>
        <v>82551.570000000007</v>
      </c>
      <c r="G36" s="114">
        <f t="shared" si="1"/>
        <v>54484.036200000002</v>
      </c>
      <c r="H36" s="124"/>
      <c r="I36" s="118">
        <f t="shared" si="2"/>
        <v>0</v>
      </c>
      <c r="J36" s="140"/>
    </row>
    <row r="37" spans="1:10" ht="18.45" customHeight="1" x14ac:dyDescent="0.25">
      <c r="A37" s="21" t="s">
        <v>529</v>
      </c>
      <c r="B37" s="21" t="s">
        <v>530</v>
      </c>
      <c r="C37" s="21" t="s">
        <v>127</v>
      </c>
      <c r="D37" s="31">
        <v>6.8</v>
      </c>
      <c r="E37" s="23">
        <v>77995</v>
      </c>
      <c r="F37" s="114">
        <f t="shared" si="0"/>
        <v>83454.649999999994</v>
      </c>
      <c r="G37" s="114">
        <f t="shared" si="1"/>
        <v>55080.068999999996</v>
      </c>
      <c r="H37" s="124"/>
      <c r="I37" s="118">
        <f t="shared" si="2"/>
        <v>0</v>
      </c>
      <c r="J37" s="142"/>
    </row>
    <row r="38" spans="1:10" x14ac:dyDescent="0.25">
      <c r="F38" s="114">
        <f t="shared" si="0"/>
        <v>0</v>
      </c>
      <c r="G38" s="114">
        <f t="shared" si="1"/>
        <v>0</v>
      </c>
      <c r="H38" s="125"/>
      <c r="I38" s="118">
        <f t="shared" si="2"/>
        <v>0</v>
      </c>
    </row>
    <row r="39" spans="1:10" x14ac:dyDescent="0.25">
      <c r="A39" s="19" t="s">
        <v>119</v>
      </c>
      <c r="B39" s="19" t="s">
        <v>120</v>
      </c>
      <c r="C39" s="19" t="s">
        <v>121</v>
      </c>
      <c r="D39" s="19" t="s">
        <v>122</v>
      </c>
      <c r="E39" s="19" t="s">
        <v>123</v>
      </c>
      <c r="F39" s="114" t="e">
        <f t="shared" si="0"/>
        <v>#VALUE!</v>
      </c>
      <c r="G39" s="114" t="e">
        <f t="shared" si="1"/>
        <v>#VALUE!</v>
      </c>
      <c r="H39" s="123"/>
      <c r="I39" s="118"/>
      <c r="J39" s="115" t="s">
        <v>124</v>
      </c>
    </row>
    <row r="40" spans="1:10" x14ac:dyDescent="0.25">
      <c r="A40" s="21" t="s">
        <v>531</v>
      </c>
      <c r="B40" s="21" t="s">
        <v>532</v>
      </c>
      <c r="C40" s="21" t="s">
        <v>127</v>
      </c>
      <c r="D40" s="31">
        <v>5.8</v>
      </c>
      <c r="E40" s="23">
        <v>38397</v>
      </c>
      <c r="F40" s="114">
        <f t="shared" si="0"/>
        <v>41084.79</v>
      </c>
      <c r="G40" s="114">
        <f t="shared" si="1"/>
        <v>27115.9614</v>
      </c>
      <c r="H40" s="124"/>
      <c r="I40" s="118">
        <f t="shared" si="2"/>
        <v>0</v>
      </c>
      <c r="J40" s="138"/>
    </row>
    <row r="41" spans="1:10" x14ac:dyDescent="0.25">
      <c r="A41" s="21" t="s">
        <v>533</v>
      </c>
      <c r="B41" s="21" t="s">
        <v>534</v>
      </c>
      <c r="C41" s="21" t="s">
        <v>127</v>
      </c>
      <c r="D41" s="31">
        <v>5.8</v>
      </c>
      <c r="E41" s="23">
        <v>71772</v>
      </c>
      <c r="F41" s="114">
        <f t="shared" si="0"/>
        <v>76796.040000000008</v>
      </c>
      <c r="G41" s="114">
        <f t="shared" si="1"/>
        <v>50685.386400000003</v>
      </c>
      <c r="H41" s="124"/>
      <c r="I41" s="118">
        <f t="shared" si="2"/>
        <v>0</v>
      </c>
      <c r="J41" s="140"/>
    </row>
    <row r="42" spans="1:10" x14ac:dyDescent="0.25">
      <c r="A42" s="21" t="s">
        <v>535</v>
      </c>
      <c r="B42" s="21" t="s">
        <v>536</v>
      </c>
      <c r="C42" s="21" t="s">
        <v>127</v>
      </c>
      <c r="D42" s="31">
        <v>5.8</v>
      </c>
      <c r="E42" s="23">
        <v>71772</v>
      </c>
      <c r="F42" s="114">
        <f t="shared" si="0"/>
        <v>76796.040000000008</v>
      </c>
      <c r="G42" s="114">
        <f t="shared" si="1"/>
        <v>50685.386400000003</v>
      </c>
      <c r="H42" s="124"/>
      <c r="I42" s="118">
        <f t="shared" si="2"/>
        <v>0</v>
      </c>
      <c r="J42" s="140"/>
    </row>
    <row r="43" spans="1:10" x14ac:dyDescent="0.25">
      <c r="A43" s="21" t="s">
        <v>537</v>
      </c>
      <c r="B43" s="21" t="s">
        <v>538</v>
      </c>
      <c r="C43" s="21" t="s">
        <v>127</v>
      </c>
      <c r="D43" s="31">
        <v>5.8</v>
      </c>
      <c r="E43" s="23">
        <v>71772</v>
      </c>
      <c r="F43" s="114">
        <f t="shared" si="0"/>
        <v>76796.040000000008</v>
      </c>
      <c r="G43" s="114">
        <f t="shared" si="1"/>
        <v>50685.386400000003</v>
      </c>
      <c r="H43" s="124"/>
      <c r="I43" s="118">
        <f t="shared" si="2"/>
        <v>0</v>
      </c>
      <c r="J43" s="140"/>
    </row>
    <row r="44" spans="1:10" x14ac:dyDescent="0.25">
      <c r="A44" s="21" t="s">
        <v>539</v>
      </c>
      <c r="B44" s="21" t="s">
        <v>540</v>
      </c>
      <c r="C44" s="21" t="s">
        <v>127</v>
      </c>
      <c r="D44" s="31">
        <v>5.8</v>
      </c>
      <c r="E44" s="23">
        <v>71772</v>
      </c>
      <c r="F44" s="114">
        <f t="shared" si="0"/>
        <v>76796.040000000008</v>
      </c>
      <c r="G44" s="114">
        <f t="shared" si="1"/>
        <v>50685.386400000003</v>
      </c>
      <c r="H44" s="124"/>
      <c r="I44" s="118">
        <f t="shared" si="2"/>
        <v>0</v>
      </c>
      <c r="J44" s="140"/>
    </row>
    <row r="45" spans="1:10" x14ac:dyDescent="0.25">
      <c r="A45" s="21" t="s">
        <v>541</v>
      </c>
      <c r="B45" s="21" t="s">
        <v>542</v>
      </c>
      <c r="C45" s="21" t="s">
        <v>127</v>
      </c>
      <c r="D45" s="31">
        <v>6.8</v>
      </c>
      <c r="E45" s="23">
        <v>78541</v>
      </c>
      <c r="F45" s="114">
        <f t="shared" si="0"/>
        <v>84038.87</v>
      </c>
      <c r="G45" s="114">
        <f t="shared" si="1"/>
        <v>55465.65419999999</v>
      </c>
      <c r="H45" s="124"/>
      <c r="I45" s="118">
        <f t="shared" si="2"/>
        <v>0</v>
      </c>
      <c r="J45" s="142"/>
    </row>
    <row r="46" spans="1:10" x14ac:dyDescent="0.25">
      <c r="A46" s="21"/>
      <c r="B46" s="21"/>
      <c r="C46" s="21"/>
      <c r="D46" s="31"/>
      <c r="E46" s="23"/>
      <c r="F46" s="114">
        <f t="shared" si="0"/>
        <v>0</v>
      </c>
      <c r="G46" s="114">
        <f t="shared" si="1"/>
        <v>0</v>
      </c>
      <c r="H46" s="124"/>
      <c r="I46" s="118">
        <f t="shared" si="2"/>
        <v>0</v>
      </c>
      <c r="J46" s="97"/>
    </row>
    <row r="47" spans="1:10" x14ac:dyDescent="0.25">
      <c r="A47" s="19" t="s">
        <v>119</v>
      </c>
      <c r="B47" s="19" t="s">
        <v>120</v>
      </c>
      <c r="C47" s="19" t="s">
        <v>121</v>
      </c>
      <c r="D47" s="19" t="s">
        <v>122</v>
      </c>
      <c r="E47" s="19" t="s">
        <v>123</v>
      </c>
      <c r="F47" s="114" t="e">
        <f t="shared" si="0"/>
        <v>#VALUE!</v>
      </c>
      <c r="G47" s="114" t="e">
        <f t="shared" si="1"/>
        <v>#VALUE!</v>
      </c>
      <c r="H47" s="123"/>
      <c r="I47" s="118"/>
      <c r="J47" s="115" t="s">
        <v>124</v>
      </c>
    </row>
    <row r="48" spans="1:10" x14ac:dyDescent="0.25">
      <c r="A48" s="21" t="s">
        <v>543</v>
      </c>
      <c r="B48" s="21" t="s">
        <v>544</v>
      </c>
      <c r="C48" s="21" t="s">
        <v>127</v>
      </c>
      <c r="D48" s="31">
        <v>5.8</v>
      </c>
      <c r="E48" s="23">
        <v>31540</v>
      </c>
      <c r="F48" s="114">
        <f t="shared" si="0"/>
        <v>33747.800000000003</v>
      </c>
      <c r="G48" s="114">
        <f t="shared" si="1"/>
        <v>22273.548000000003</v>
      </c>
      <c r="H48" s="124"/>
      <c r="I48" s="118">
        <f t="shared" si="2"/>
        <v>0</v>
      </c>
      <c r="J48" s="138"/>
    </row>
    <row r="49" spans="1:10" x14ac:dyDescent="0.25">
      <c r="A49" s="21" t="s">
        <v>545</v>
      </c>
      <c r="B49" s="21" t="s">
        <v>546</v>
      </c>
      <c r="C49" s="21" t="s">
        <v>127</v>
      </c>
      <c r="D49" s="31">
        <v>5.8</v>
      </c>
      <c r="E49" s="23">
        <v>55089</v>
      </c>
      <c r="F49" s="114">
        <f t="shared" si="0"/>
        <v>58945.23</v>
      </c>
      <c r="G49" s="114">
        <f t="shared" si="1"/>
        <v>38903.851800000004</v>
      </c>
      <c r="H49" s="124"/>
      <c r="I49" s="118">
        <f t="shared" si="2"/>
        <v>0</v>
      </c>
      <c r="J49" s="140"/>
    </row>
    <row r="50" spans="1:10" x14ac:dyDescent="0.25">
      <c r="A50" s="21" t="s">
        <v>547</v>
      </c>
      <c r="B50" s="21" t="s">
        <v>548</v>
      </c>
      <c r="C50" s="21" t="s">
        <v>127</v>
      </c>
      <c r="D50" s="31">
        <v>5.8</v>
      </c>
      <c r="E50" s="23">
        <v>55089</v>
      </c>
      <c r="F50" s="114">
        <f t="shared" si="0"/>
        <v>58945.23</v>
      </c>
      <c r="G50" s="114">
        <f t="shared" si="1"/>
        <v>38903.851800000004</v>
      </c>
      <c r="H50" s="124"/>
      <c r="I50" s="118">
        <f t="shared" si="2"/>
        <v>0</v>
      </c>
      <c r="J50" s="140"/>
    </row>
    <row r="51" spans="1:10" x14ac:dyDescent="0.25">
      <c r="A51" s="21" t="s">
        <v>549</v>
      </c>
      <c r="B51" s="21" t="s">
        <v>550</v>
      </c>
      <c r="C51" s="21" t="s">
        <v>127</v>
      </c>
      <c r="D51" s="31">
        <v>5.8</v>
      </c>
      <c r="E51" s="23">
        <v>55089</v>
      </c>
      <c r="F51" s="114">
        <f t="shared" si="0"/>
        <v>58945.23</v>
      </c>
      <c r="G51" s="114">
        <f t="shared" si="1"/>
        <v>38903.851800000004</v>
      </c>
      <c r="H51" s="124"/>
      <c r="I51" s="118">
        <f t="shared" si="2"/>
        <v>0</v>
      </c>
      <c r="J51" s="140"/>
    </row>
    <row r="52" spans="1:10" x14ac:dyDescent="0.25">
      <c r="A52" s="21" t="s">
        <v>551</v>
      </c>
      <c r="B52" s="21" t="s">
        <v>552</v>
      </c>
      <c r="C52" s="21" t="s">
        <v>127</v>
      </c>
      <c r="D52" s="31">
        <v>5.8</v>
      </c>
      <c r="E52" s="23">
        <v>54952</v>
      </c>
      <c r="F52" s="114">
        <f t="shared" si="0"/>
        <v>58798.64</v>
      </c>
      <c r="G52" s="114">
        <f t="shared" si="1"/>
        <v>38807.102400000003</v>
      </c>
      <c r="H52" s="124"/>
      <c r="I52" s="118">
        <f t="shared" si="2"/>
        <v>0</v>
      </c>
      <c r="J52" s="140"/>
    </row>
    <row r="53" spans="1:10" x14ac:dyDescent="0.25">
      <c r="A53" s="21" t="s">
        <v>553</v>
      </c>
      <c r="B53" s="21" t="s">
        <v>554</v>
      </c>
      <c r="C53" s="21" t="s">
        <v>127</v>
      </c>
      <c r="D53" s="31">
        <v>5.8</v>
      </c>
      <c r="E53" s="23">
        <v>54952</v>
      </c>
      <c r="F53" s="114">
        <f t="shared" si="0"/>
        <v>58798.64</v>
      </c>
      <c r="G53" s="114">
        <f t="shared" si="1"/>
        <v>38807.102400000003</v>
      </c>
      <c r="H53" s="124"/>
      <c r="I53" s="118">
        <f t="shared" si="2"/>
        <v>0</v>
      </c>
      <c r="J53" s="142"/>
    </row>
    <row r="54" spans="1:10" x14ac:dyDescent="0.25">
      <c r="A54" s="19" t="s">
        <v>119</v>
      </c>
      <c r="B54" s="19" t="s">
        <v>120</v>
      </c>
      <c r="C54" s="19" t="s">
        <v>121</v>
      </c>
      <c r="D54" s="20" t="s">
        <v>122</v>
      </c>
      <c r="E54" s="19" t="s">
        <v>123</v>
      </c>
      <c r="F54" s="114" t="e">
        <f t="shared" si="0"/>
        <v>#VALUE!</v>
      </c>
      <c r="G54" s="114" t="e">
        <f t="shared" si="1"/>
        <v>#VALUE!</v>
      </c>
      <c r="H54" s="123"/>
      <c r="I54" s="118"/>
      <c r="J54" s="115" t="s">
        <v>124</v>
      </c>
    </row>
    <row r="55" spans="1:10" x14ac:dyDescent="0.25">
      <c r="A55" s="21" t="s">
        <v>555</v>
      </c>
      <c r="B55" s="21" t="s">
        <v>556</v>
      </c>
      <c r="C55" s="21" t="s">
        <v>127</v>
      </c>
      <c r="D55" s="98">
        <v>5.8</v>
      </c>
      <c r="E55" s="23">
        <v>7086</v>
      </c>
      <c r="F55" s="114">
        <f t="shared" si="0"/>
        <v>7582.02</v>
      </c>
      <c r="G55" s="114">
        <f t="shared" si="1"/>
        <v>5004.1332000000002</v>
      </c>
      <c r="H55" s="124"/>
      <c r="I55" s="118">
        <f t="shared" si="2"/>
        <v>0</v>
      </c>
      <c r="J55" s="138"/>
    </row>
    <row r="56" spans="1:10" x14ac:dyDescent="0.25">
      <c r="A56" s="21" t="s">
        <v>557</v>
      </c>
      <c r="B56" s="21" t="s">
        <v>558</v>
      </c>
      <c r="C56" s="21" t="s">
        <v>127</v>
      </c>
      <c r="D56" s="98">
        <v>5.8</v>
      </c>
      <c r="E56" s="23">
        <v>15106</v>
      </c>
      <c r="F56" s="114">
        <f t="shared" si="0"/>
        <v>16163.42</v>
      </c>
      <c r="G56" s="114">
        <f t="shared" si="1"/>
        <v>10667.857199999999</v>
      </c>
      <c r="H56" s="124"/>
      <c r="I56" s="118">
        <f t="shared" si="2"/>
        <v>0</v>
      </c>
      <c r="J56" s="140"/>
    </row>
    <row r="57" spans="1:10" x14ac:dyDescent="0.25">
      <c r="A57" s="99" t="s">
        <v>559</v>
      </c>
      <c r="B57" s="99" t="s">
        <v>560</v>
      </c>
      <c r="C57" s="99" t="s">
        <v>127</v>
      </c>
      <c r="D57" s="100">
        <v>5.8</v>
      </c>
      <c r="E57" s="44">
        <v>15106</v>
      </c>
      <c r="F57" s="114">
        <f t="shared" si="0"/>
        <v>16163.42</v>
      </c>
      <c r="G57" s="114">
        <f t="shared" si="1"/>
        <v>10667.857199999999</v>
      </c>
      <c r="H57" s="124"/>
      <c r="I57" s="118">
        <f t="shared" si="2"/>
        <v>0</v>
      </c>
      <c r="J57" s="140"/>
    </row>
    <row r="58" spans="1:10" x14ac:dyDescent="0.25">
      <c r="A58" s="101" t="s">
        <v>561</v>
      </c>
      <c r="B58" s="101" t="s">
        <v>562</v>
      </c>
      <c r="C58" s="101" t="s">
        <v>127</v>
      </c>
      <c r="D58" s="102">
        <v>5.8</v>
      </c>
      <c r="E58" s="103">
        <v>5584</v>
      </c>
      <c r="F58" s="114">
        <f t="shared" si="0"/>
        <v>5974.88</v>
      </c>
      <c r="G58" s="114">
        <f t="shared" si="1"/>
        <v>3943.4207999999999</v>
      </c>
      <c r="H58" s="124"/>
      <c r="I58" s="118">
        <f t="shared" si="2"/>
        <v>0</v>
      </c>
      <c r="J58" s="140"/>
    </row>
    <row r="59" spans="1:10" x14ac:dyDescent="0.25">
      <c r="A59" s="21" t="s">
        <v>563</v>
      </c>
      <c r="B59" s="21" t="s">
        <v>564</v>
      </c>
      <c r="C59" s="21" t="s">
        <v>127</v>
      </c>
      <c r="D59" s="98">
        <v>5.8</v>
      </c>
      <c r="E59" s="23">
        <v>11288</v>
      </c>
      <c r="F59" s="114">
        <f t="shared" si="0"/>
        <v>12078.16</v>
      </c>
      <c r="G59" s="114">
        <f t="shared" si="1"/>
        <v>7971.5855999999994</v>
      </c>
      <c r="H59" s="124"/>
      <c r="I59" s="118">
        <f t="shared" si="2"/>
        <v>0</v>
      </c>
      <c r="J59" s="140"/>
    </row>
    <row r="60" spans="1:10" x14ac:dyDescent="0.25">
      <c r="A60" s="21" t="s">
        <v>565</v>
      </c>
      <c r="B60" s="21" t="s">
        <v>566</v>
      </c>
      <c r="C60" s="21" t="s">
        <v>127</v>
      </c>
      <c r="D60" s="98">
        <v>5.8</v>
      </c>
      <c r="E60" s="23">
        <v>11288</v>
      </c>
      <c r="F60" s="114">
        <f t="shared" si="0"/>
        <v>12078.16</v>
      </c>
      <c r="G60" s="114">
        <f t="shared" si="1"/>
        <v>7971.5855999999994</v>
      </c>
      <c r="H60" s="124"/>
      <c r="I60" s="118">
        <f t="shared" si="2"/>
        <v>0</v>
      </c>
      <c r="J60" s="140"/>
    </row>
    <row r="61" spans="1:10" x14ac:dyDescent="0.25">
      <c r="A61" s="21" t="s">
        <v>567</v>
      </c>
      <c r="B61" s="21" t="s">
        <v>568</v>
      </c>
      <c r="C61" s="21" t="s">
        <v>127</v>
      </c>
      <c r="D61" s="98">
        <v>5.8</v>
      </c>
      <c r="E61" s="23">
        <v>11288</v>
      </c>
      <c r="F61" s="114">
        <f t="shared" si="0"/>
        <v>12078.16</v>
      </c>
      <c r="G61" s="114">
        <f t="shared" si="1"/>
        <v>7971.5855999999994</v>
      </c>
      <c r="H61" s="124"/>
      <c r="I61" s="118">
        <f t="shared" si="2"/>
        <v>0</v>
      </c>
      <c r="J61" s="140"/>
    </row>
    <row r="62" spans="1:10" x14ac:dyDescent="0.25">
      <c r="A62" s="21" t="s">
        <v>569</v>
      </c>
      <c r="B62" s="21" t="s">
        <v>570</v>
      </c>
      <c r="C62" s="21" t="s">
        <v>127</v>
      </c>
      <c r="D62" s="98">
        <v>5.8</v>
      </c>
      <c r="E62" s="23">
        <v>13891</v>
      </c>
      <c r="F62" s="114">
        <f t="shared" si="0"/>
        <v>14863.37</v>
      </c>
      <c r="G62" s="114">
        <f t="shared" si="1"/>
        <v>9809.8241999999991</v>
      </c>
      <c r="H62" s="124"/>
      <c r="I62" s="118">
        <f t="shared" si="2"/>
        <v>0</v>
      </c>
      <c r="J62" s="140"/>
    </row>
    <row r="63" spans="1:10" x14ac:dyDescent="0.25">
      <c r="A63" s="21" t="s">
        <v>571</v>
      </c>
      <c r="B63" s="21" t="s">
        <v>570</v>
      </c>
      <c r="C63" s="21" t="s">
        <v>127</v>
      </c>
      <c r="D63" s="98">
        <v>5.8</v>
      </c>
      <c r="E63" s="23">
        <v>13891</v>
      </c>
      <c r="F63" s="114">
        <f t="shared" si="0"/>
        <v>14863.37</v>
      </c>
      <c r="G63" s="114">
        <f t="shared" si="1"/>
        <v>9809.8241999999991</v>
      </c>
      <c r="H63" s="124"/>
      <c r="I63" s="118">
        <f t="shared" si="2"/>
        <v>0</v>
      </c>
      <c r="J63" s="142"/>
    </row>
    <row r="64" spans="1:10" x14ac:dyDescent="0.25">
      <c r="I64" s="82">
        <f>SUM(I3:I63)</f>
        <v>0</v>
      </c>
    </row>
  </sheetData>
  <mergeCells count="10">
    <mergeCell ref="J40:J45"/>
    <mergeCell ref="J48:J53"/>
    <mergeCell ref="J55:J57"/>
    <mergeCell ref="J58:J63"/>
    <mergeCell ref="A1:K1"/>
    <mergeCell ref="J3:J8"/>
    <mergeCell ref="J10:J15"/>
    <mergeCell ref="J17:J22"/>
    <mergeCell ref="J25:J30"/>
    <mergeCell ref="J32:J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6"/>
  <sheetViews>
    <sheetView workbookViewId="0">
      <selection activeCell="E21" sqref="E21"/>
    </sheetView>
  </sheetViews>
  <sheetFormatPr baseColWidth="10" defaultRowHeight="13.2" x14ac:dyDescent="0.25"/>
  <cols>
    <col min="2" max="2" width="19.6640625" bestFit="1" customWidth="1"/>
    <col min="3" max="3" width="16.109375" customWidth="1"/>
  </cols>
  <sheetData>
    <row r="6" spans="2:3" x14ac:dyDescent="0.25">
      <c r="B6" s="110" t="s">
        <v>585</v>
      </c>
      <c r="C6" s="120">
        <f>'CORREDERA GRANDE'!I26+'CORREDERA CHICA'!I44+COMPACT!I23+BAHAR!I63+ACCESORIOS!I42+'ACCESORIOS 2'!I34+'ACCESORIOS 3'!I22+REFUERZOS!I21+ELEGANS!I64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CORREDERA GRANDE</vt:lpstr>
      <vt:lpstr>CORREDERA CHICA</vt:lpstr>
      <vt:lpstr>COMPACT</vt:lpstr>
      <vt:lpstr>BAHAR</vt:lpstr>
      <vt:lpstr>ACCESORIOS</vt:lpstr>
      <vt:lpstr>ACCESORIOS 2</vt:lpstr>
      <vt:lpstr>ACCESORIOS 3</vt:lpstr>
      <vt:lpstr>REFUERZOS</vt:lpstr>
      <vt:lpstr>ELEGANS</vt:lpstr>
      <vt:lpstr>TOTAL PRECIO PVC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MiPc2023</dc:creator>
  <cp:lastModifiedBy>Usuario de Windows</cp:lastModifiedBy>
  <dcterms:created xsi:type="dcterms:W3CDTF">2025-03-28T15:29:58Z</dcterms:created>
  <dcterms:modified xsi:type="dcterms:W3CDTF">2026-06-04T16:13:58Z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2022-07-14T00:00:00Z</vt:filetime>
  </property>
  <property fmtid="{D5CDD505-2E9C-101B-9397-08002B2CF9AE}" pid="3" name="Creator">
    <vt:lpwstr>Nitro Pro  (11. 0. 3. 134)</vt:lpwstr>
  </property>
  <property fmtid="{D5CDD505-2E9C-101B-9397-08002B2CF9AE}" pid="4" name="LastSaved">
    <vt:filetime>2025-03-28T00:00:00Z</vt:filetime>
  </property>
  <property fmtid="{D5CDD505-2E9C-101B-9397-08002B2CF9AE}" pid="5" name="Producer">
    <vt:lpwstr>Nitro Pro  (11. 0. 3. 134)</vt:lpwstr>
  </property>
</Properties>
</file>