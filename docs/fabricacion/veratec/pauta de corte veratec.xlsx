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13_ncr:1_{DBD60F73-ECF2-46AF-854C-386231DF5097}" xr6:coauthVersionLast="47" xr6:coauthVersionMax="47" xr10:uidLastSave="{00000000-0000-0000-0000-000000000000}"/>
  <bookViews>
    <workbookView xWindow="-120" yWindow="-120" windowWidth="20730" windowHeight="11160" firstSheet="24" activeTab="27" xr2:uid="{00000000-000D-0000-FFFF-FFFF00000000}"/>
  </bookViews>
  <sheets>
    <sheet name="FIJO" sheetId="1" r:id="rId1"/>
    <sheet name="fijo con marco rebajado" sheetId="57" r:id="rId2"/>
    <sheet name="fijo con barra T horizontal" sheetId="35" r:id="rId3"/>
    <sheet name="fijo con barra T vertical" sheetId="53" r:id="rId4"/>
    <sheet name="pta ext paso libre " sheetId="21" r:id="rId5"/>
    <sheet name="Pta ext con zapata" sheetId="59" r:id="rId6"/>
    <sheet name="pta ext paso libre marco rebaja" sheetId="43" r:id="rId7"/>
    <sheet name="pta ext marco perimetral 1 hoja" sheetId="30" r:id="rId8"/>
    <sheet name="pta int paso libre" sheetId="19" r:id="rId9"/>
    <sheet name="pta interior con zapata" sheetId="58" r:id="rId10"/>
    <sheet name="pta int paso libre marco rebaja" sheetId="44" r:id="rId11"/>
    <sheet name="pta int marco perimetral" sheetId="37" r:id="rId12"/>
    <sheet name="pta ext 2 hojas paso libre" sheetId="22" r:id="rId13"/>
    <sheet name="pta exterior 2 hojas marco peri" sheetId="34" r:id="rId14"/>
    <sheet name="pta ext 2 hojas paso libre comp" sheetId="31" r:id="rId15"/>
    <sheet name="pta int 2 hojas paso libre" sheetId="23" r:id="rId16"/>
    <sheet name="pta int 2 hojas marco perimetra" sheetId="24" r:id="rId17"/>
    <sheet name="ABATIR INT Y OB" sheetId="3" r:id="rId18"/>
    <sheet name="abatir int 2 hojas" sheetId="33" r:id="rId19"/>
    <sheet name=" ABATIR EXT Y PROY" sheetId="4" r:id="rId20"/>
    <sheet name="Abatir ext y proye marco rebaja" sheetId="56" r:id="rId21"/>
    <sheet name="abatir ext 2 hojas" sheetId="32" r:id="rId22"/>
    <sheet name="abatir ext compuesta" sheetId="18" r:id="rId23"/>
    <sheet name="BASE" sheetId="2" state="hidden" r:id="rId24"/>
    <sheet name="SLIDING HOJA GRANDE" sheetId="9" r:id="rId25"/>
    <sheet name="Sliding 4 hojas grandes" sheetId="41" r:id="rId26"/>
    <sheet name="Hoja1" sheetId="29" state="hidden" r:id="rId27"/>
    <sheet name="SLIDING HOJA CHICA" sheetId="10" r:id="rId28"/>
    <sheet name="Sliding 4 hojas chicas" sheetId="42" r:id="rId29"/>
    <sheet name="sliding mono riel hoja grande" sheetId="28" r:id="rId30"/>
    <sheet name="Monoriel hoja grande desplazada" sheetId="47" r:id="rId31"/>
    <sheet name="sliding mono riel hoja chica" sheetId="45" r:id="rId32"/>
    <sheet name="Sliding monoriel 4 hojas grande" sheetId="38" r:id="rId33"/>
    <sheet name="corre 2y3 rieles 3 hojas grande" sheetId="26" r:id="rId34"/>
    <sheet name="corred2riel3hojas2mismoriel" sheetId="49" r:id="rId35"/>
    <sheet name="corred 2y3 riel 3 hojas chicas" sheetId="39" r:id="rId36"/>
    <sheet name="corred2rieles3hojas2mismoriel " sheetId="48" r:id="rId37"/>
    <sheet name="corredera grande 3 riele 6 hoja" sheetId="36" r:id="rId38"/>
    <sheet name="compact sliding 2 hojas " sheetId="12" r:id="rId39"/>
    <sheet name="compact sliding 3 hojas" sheetId="51" r:id="rId40"/>
    <sheet name="compact sliding 4 hojas" sheetId="52" r:id="rId41"/>
    <sheet name="Plegable 4-3-1" sheetId="46" r:id="rId42"/>
    <sheet name="Plegable 3-3-0" sheetId="50" r:id="rId43"/>
    <sheet name="Plegable 6-5-1" sheetId="54" r:id="rId44"/>
    <sheet name="Plegable 7-4-3" sheetId="55" r:id="rId45"/>
  </sheets>
  <externalReferences>
    <externalReference r:id="rId46"/>
  </externalReferences>
  <definedNames>
    <definedName name="_xlnm._FilterDatabase" localSheetId="23" hidden="1">BASE!$A$5:$C$200</definedName>
    <definedName name="base">[1]base!$1:$1048576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9" i="59" l="1"/>
  <c r="N18" i="59"/>
  <c r="N17" i="59"/>
  <c r="N16" i="59"/>
  <c r="N15" i="59"/>
  <c r="N14" i="59"/>
  <c r="N13" i="59"/>
  <c r="L24" i="59"/>
  <c r="N12" i="59"/>
  <c r="N11" i="59"/>
  <c r="N10" i="59"/>
  <c r="N9" i="59"/>
  <c r="N19" i="58"/>
  <c r="L25" i="59"/>
  <c r="N10" i="58"/>
  <c r="N14" i="58"/>
  <c r="L22" i="58"/>
  <c r="N18" i="58"/>
  <c r="N17" i="58"/>
  <c r="N16" i="58"/>
  <c r="N15" i="58"/>
  <c r="N13" i="58"/>
  <c r="L21" i="58"/>
  <c r="N12" i="58"/>
  <c r="N11" i="58"/>
  <c r="N9" i="58"/>
  <c r="E11" i="10"/>
  <c r="C21" i="10" s="1"/>
  <c r="C32" i="45"/>
  <c r="C31" i="45"/>
  <c r="C34" i="28"/>
  <c r="C33" i="28"/>
  <c r="C29" i="28"/>
  <c r="C30" i="28"/>
  <c r="L18" i="57"/>
  <c r="N14" i="57"/>
  <c r="N13" i="57"/>
  <c r="L17" i="57"/>
  <c r="N12" i="57"/>
  <c r="N11" i="57"/>
  <c r="N10" i="57"/>
  <c r="N9" i="57"/>
  <c r="L21" i="4"/>
  <c r="L20" i="4"/>
  <c r="L22" i="56"/>
  <c r="L21" i="56"/>
  <c r="N14" i="56"/>
  <c r="N13" i="56"/>
  <c r="N14" i="4"/>
  <c r="N15" i="4"/>
  <c r="N16" i="4"/>
  <c r="N17" i="4"/>
  <c r="N12" i="4"/>
  <c r="N13" i="4"/>
  <c r="N12" i="56"/>
  <c r="N11" i="56"/>
  <c r="N10" i="56"/>
  <c r="N9" i="56"/>
  <c r="D10" i="55"/>
  <c r="B20" i="55"/>
  <c r="D9" i="55"/>
  <c r="B16" i="55"/>
  <c r="D7" i="55"/>
  <c r="B12" i="55"/>
  <c r="D8" i="55"/>
  <c r="B21" i="55"/>
  <c r="D6" i="55"/>
  <c r="D5" i="55"/>
  <c r="D10" i="54"/>
  <c r="B20" i="54"/>
  <c r="D9" i="54"/>
  <c r="B16" i="54"/>
  <c r="D7" i="54"/>
  <c r="B12" i="54"/>
  <c r="D8" i="54"/>
  <c r="B17" i="54"/>
  <c r="D6" i="54"/>
  <c r="D5" i="54"/>
  <c r="N11" i="4"/>
  <c r="N10" i="4"/>
  <c r="L22" i="53"/>
  <c r="L21" i="53"/>
  <c r="L18" i="53"/>
  <c r="L17" i="53"/>
  <c r="N14" i="53"/>
  <c r="N13" i="53"/>
  <c r="N12" i="53"/>
  <c r="N11" i="53"/>
  <c r="N10" i="53"/>
  <c r="N9" i="53"/>
  <c r="N9" i="22"/>
  <c r="E20" i="52"/>
  <c r="E14" i="52"/>
  <c r="E16" i="52"/>
  <c r="E13" i="52"/>
  <c r="C23" i="52"/>
  <c r="E12" i="52"/>
  <c r="E11" i="52"/>
  <c r="E10" i="52"/>
  <c r="E9" i="52"/>
  <c r="B31" i="38"/>
  <c r="B32" i="38"/>
  <c r="E20" i="51"/>
  <c r="E14" i="51"/>
  <c r="E16" i="51"/>
  <c r="E13" i="51"/>
  <c r="E17" i="51"/>
  <c r="E12" i="51"/>
  <c r="E11" i="51"/>
  <c r="E10" i="51"/>
  <c r="E9" i="51"/>
  <c r="E14" i="9"/>
  <c r="E18" i="52"/>
  <c r="C24" i="52"/>
  <c r="B13" i="55"/>
  <c r="B17" i="55"/>
  <c r="B21" i="54"/>
  <c r="B13" i="54"/>
  <c r="E17" i="52"/>
  <c r="E15" i="52"/>
  <c r="E19" i="52"/>
  <c r="C23" i="51"/>
  <c r="C24" i="51"/>
  <c r="E15" i="51"/>
  <c r="E19" i="51"/>
  <c r="E18" i="51"/>
  <c r="B17" i="50"/>
  <c r="D10" i="50"/>
  <c r="D8" i="50"/>
  <c r="B13" i="50"/>
  <c r="D9" i="50"/>
  <c r="B14" i="50"/>
  <c r="D7" i="50"/>
  <c r="D6" i="50"/>
  <c r="E13" i="49"/>
  <c r="C23" i="49"/>
  <c r="E20" i="49"/>
  <c r="E19" i="49"/>
  <c r="E14" i="49"/>
  <c r="C24" i="49"/>
  <c r="E12" i="49"/>
  <c r="E11" i="49"/>
  <c r="E10" i="49"/>
  <c r="E9" i="49"/>
  <c r="E13" i="48"/>
  <c r="C23" i="48"/>
  <c r="E20" i="48"/>
  <c r="E14" i="48"/>
  <c r="E19" i="48"/>
  <c r="E12" i="48"/>
  <c r="E11" i="48"/>
  <c r="E10" i="48"/>
  <c r="E9" i="48"/>
  <c r="C34" i="47"/>
  <c r="C30" i="47"/>
  <c r="C31" i="47"/>
  <c r="E16" i="47"/>
  <c r="E18" i="47"/>
  <c r="C35" i="47"/>
  <c r="E22" i="47"/>
  <c r="E17" i="47"/>
  <c r="E19" i="47"/>
  <c r="E15" i="47"/>
  <c r="E14" i="47"/>
  <c r="E13" i="47"/>
  <c r="E12" i="47"/>
  <c r="E11" i="47"/>
  <c r="E10" i="47"/>
  <c r="D10" i="46"/>
  <c r="B19" i="46"/>
  <c r="D9" i="46"/>
  <c r="B16" i="46"/>
  <c r="D8" i="46"/>
  <c r="B15" i="46"/>
  <c r="D7" i="46"/>
  <c r="D6" i="46"/>
  <c r="E22" i="45"/>
  <c r="E20" i="45"/>
  <c r="E14" i="28"/>
  <c r="E13" i="28"/>
  <c r="E12" i="45"/>
  <c r="E11" i="45"/>
  <c r="E12" i="28"/>
  <c r="E11" i="28"/>
  <c r="E10" i="45"/>
  <c r="E9" i="45"/>
  <c r="E13" i="45"/>
  <c r="C27" i="45"/>
  <c r="E24" i="45"/>
  <c r="E23" i="45"/>
  <c r="E21" i="45"/>
  <c r="E19" i="45"/>
  <c r="E14" i="45"/>
  <c r="C28" i="45"/>
  <c r="E8" i="45"/>
  <c r="E7" i="45"/>
  <c r="E18" i="45"/>
  <c r="B18" i="50"/>
  <c r="B20" i="46"/>
  <c r="C24" i="48"/>
  <c r="E15" i="49"/>
  <c r="E16" i="49"/>
  <c r="E16" i="48"/>
  <c r="E15" i="48"/>
  <c r="E15" i="45"/>
  <c r="E17" i="45"/>
  <c r="E16" i="45"/>
  <c r="L17" i="1"/>
  <c r="N14" i="44"/>
  <c r="L22" i="44"/>
  <c r="N13" i="44"/>
  <c r="L21" i="44"/>
  <c r="N14" i="43"/>
  <c r="L22" i="43"/>
  <c r="N13" i="43"/>
  <c r="L21" i="43"/>
  <c r="N18" i="44"/>
  <c r="N17" i="44"/>
  <c r="N16" i="44"/>
  <c r="N15" i="44"/>
  <c r="N12" i="44"/>
  <c r="N11" i="44"/>
  <c r="N10" i="44"/>
  <c r="N9" i="44"/>
  <c r="N18" i="43"/>
  <c r="N17" i="43"/>
  <c r="N16" i="43"/>
  <c r="N15" i="43"/>
  <c r="N12" i="43"/>
  <c r="N11" i="43"/>
  <c r="N10" i="43"/>
  <c r="N9" i="43"/>
  <c r="D22" i="38"/>
  <c r="D21" i="38"/>
  <c r="D24" i="38"/>
  <c r="D23" i="38"/>
  <c r="E11" i="42"/>
  <c r="E18" i="42"/>
  <c r="E12" i="42"/>
  <c r="E10" i="42"/>
  <c r="E9" i="42"/>
  <c r="E8" i="42"/>
  <c r="E7" i="42"/>
  <c r="C22" i="42"/>
  <c r="E14" i="42"/>
  <c r="E15" i="42"/>
  <c r="E13" i="42"/>
  <c r="C21" i="42"/>
  <c r="E16" i="42"/>
  <c r="E17" i="42"/>
  <c r="E20" i="41"/>
  <c r="E14" i="41"/>
  <c r="C23" i="41"/>
  <c r="E13" i="41"/>
  <c r="C22" i="41"/>
  <c r="E12" i="41"/>
  <c r="E11" i="41"/>
  <c r="E10" i="41"/>
  <c r="E9" i="41"/>
  <c r="E15" i="41"/>
  <c r="E16" i="41"/>
  <c r="E18" i="41"/>
  <c r="E19" i="41"/>
  <c r="E17" i="41"/>
  <c r="E13" i="39"/>
  <c r="C23" i="39"/>
  <c r="E20" i="39"/>
  <c r="E14" i="39"/>
  <c r="E19" i="39"/>
  <c r="E12" i="39"/>
  <c r="E11" i="39"/>
  <c r="E10" i="39"/>
  <c r="E9" i="39"/>
  <c r="C24" i="39"/>
  <c r="N10" i="19"/>
  <c r="D20" i="38"/>
  <c r="D15" i="38"/>
  <c r="D14" i="38"/>
  <c r="D9" i="38"/>
  <c r="D8" i="38"/>
  <c r="B27" i="38"/>
  <c r="D18" i="38"/>
  <c r="B28" i="38"/>
  <c r="D19" i="38"/>
  <c r="N14" i="37"/>
  <c r="L22" i="37"/>
  <c r="N18" i="37"/>
  <c r="N17" i="37"/>
  <c r="N16" i="37"/>
  <c r="N15" i="37"/>
  <c r="N13" i="37"/>
  <c r="L21" i="37"/>
  <c r="N12" i="37"/>
  <c r="N11" i="37"/>
  <c r="N10" i="37"/>
  <c r="N9" i="37"/>
  <c r="E9" i="36"/>
  <c r="E13" i="36"/>
  <c r="C23" i="36"/>
  <c r="E20" i="36"/>
  <c r="E14" i="36"/>
  <c r="C24" i="36"/>
  <c r="E10" i="36"/>
  <c r="E13" i="26"/>
  <c r="E15" i="36"/>
  <c r="E19" i="36"/>
  <c r="E16" i="36"/>
  <c r="N10" i="21"/>
  <c r="L22" i="35"/>
  <c r="L21" i="35"/>
  <c r="L18" i="35"/>
  <c r="L17" i="35"/>
  <c r="N14" i="35"/>
  <c r="N13" i="35"/>
  <c r="N12" i="35"/>
  <c r="N11" i="35"/>
  <c r="N10" i="35"/>
  <c r="N9" i="35"/>
  <c r="N14" i="34"/>
  <c r="N19" i="34"/>
  <c r="N18" i="34"/>
  <c r="N16" i="34"/>
  <c r="L23" i="34"/>
  <c r="N13" i="34"/>
  <c r="L22" i="34"/>
  <c r="N12" i="34"/>
  <c r="N11" i="34"/>
  <c r="N10" i="34"/>
  <c r="N9" i="34"/>
  <c r="N13" i="22"/>
  <c r="N16" i="22"/>
  <c r="N15" i="34"/>
  <c r="N17" i="34"/>
  <c r="N14" i="33"/>
  <c r="N20" i="33"/>
  <c r="N13" i="33"/>
  <c r="N15" i="33"/>
  <c r="N12" i="33"/>
  <c r="N11" i="33"/>
  <c r="N10" i="33"/>
  <c r="N9" i="33"/>
  <c r="N17" i="33"/>
  <c r="N18" i="33"/>
  <c r="N16" i="33"/>
  <c r="L24" i="33"/>
  <c r="L23" i="33"/>
  <c r="N19" i="33"/>
  <c r="N14" i="32"/>
  <c r="N16" i="32"/>
  <c r="N13" i="32"/>
  <c r="N15" i="32"/>
  <c r="N12" i="32"/>
  <c r="N11" i="32"/>
  <c r="N10" i="32"/>
  <c r="N9" i="32"/>
  <c r="L24" i="32"/>
  <c r="L23" i="32"/>
  <c r="N19" i="32"/>
  <c r="N20" i="32"/>
  <c r="N17" i="32"/>
  <c r="N18" i="32"/>
  <c r="N19" i="31"/>
  <c r="N18" i="31"/>
  <c r="N16" i="31"/>
  <c r="N14" i="31"/>
  <c r="L23" i="31"/>
  <c r="N13" i="31"/>
  <c r="L22" i="31"/>
  <c r="N12" i="31"/>
  <c r="N11" i="31"/>
  <c r="N10" i="31"/>
  <c r="N9" i="31"/>
  <c r="N15" i="31"/>
  <c r="N17" i="31"/>
  <c r="N18" i="30"/>
  <c r="N16" i="30"/>
  <c r="N14" i="30"/>
  <c r="L22" i="30"/>
  <c r="N17" i="30"/>
  <c r="N15" i="30"/>
  <c r="N13" i="30"/>
  <c r="L21" i="30"/>
  <c r="N12" i="30"/>
  <c r="N11" i="30"/>
  <c r="N10" i="30"/>
  <c r="N9" i="30"/>
  <c r="E26" i="28"/>
  <c r="E25" i="28"/>
  <c r="E24" i="28"/>
  <c r="E23" i="28"/>
  <c r="E22" i="28"/>
  <c r="E21" i="28"/>
  <c r="E16" i="28"/>
  <c r="E15" i="28"/>
  <c r="E10" i="28"/>
  <c r="E9" i="28"/>
  <c r="E20" i="28"/>
  <c r="E18" i="28"/>
  <c r="E19" i="28"/>
  <c r="E17" i="28"/>
  <c r="E20" i="26"/>
  <c r="E14" i="26"/>
  <c r="C24" i="26"/>
  <c r="E15" i="26"/>
  <c r="E12" i="26"/>
  <c r="E11" i="26"/>
  <c r="E10" i="26"/>
  <c r="E9" i="26"/>
  <c r="E19" i="26"/>
  <c r="C23" i="26"/>
  <c r="E16" i="26"/>
  <c r="N18" i="24"/>
  <c r="N19" i="24"/>
  <c r="N14" i="24"/>
  <c r="N16" i="24"/>
  <c r="L23" i="24"/>
  <c r="N13" i="24"/>
  <c r="L22" i="24"/>
  <c r="N12" i="24"/>
  <c r="N11" i="24"/>
  <c r="N10" i="24"/>
  <c r="N9" i="24"/>
  <c r="N15" i="24"/>
  <c r="N17" i="24"/>
  <c r="P5" i="18"/>
  <c r="N19" i="23"/>
  <c r="N18" i="23"/>
  <c r="N16" i="23"/>
  <c r="N14" i="23"/>
  <c r="L23" i="23"/>
  <c r="N13" i="23"/>
  <c r="N15" i="23"/>
  <c r="N12" i="23"/>
  <c r="N11" i="23"/>
  <c r="N10" i="23"/>
  <c r="N9" i="23"/>
  <c r="N15" i="22"/>
  <c r="N12" i="22"/>
  <c r="L21" i="22"/>
  <c r="N11" i="22"/>
  <c r="N10" i="22"/>
  <c r="N8" i="22"/>
  <c r="N18" i="19"/>
  <c r="N17" i="19"/>
  <c r="N16" i="19"/>
  <c r="N15" i="19"/>
  <c r="N14" i="19"/>
  <c r="L22" i="19"/>
  <c r="N13" i="19"/>
  <c r="L21" i="19"/>
  <c r="N12" i="19"/>
  <c r="N11" i="19"/>
  <c r="N9" i="19"/>
  <c r="N18" i="21"/>
  <c r="N17" i="21"/>
  <c r="N16" i="21"/>
  <c r="N15" i="21"/>
  <c r="N14" i="21"/>
  <c r="L22" i="21"/>
  <c r="N13" i="21"/>
  <c r="L21" i="21"/>
  <c r="N12" i="21"/>
  <c r="N11" i="21"/>
  <c r="N9" i="21"/>
  <c r="L22" i="22"/>
  <c r="N17" i="23"/>
  <c r="L22" i="23"/>
  <c r="N14" i="22"/>
  <c r="N16" i="18"/>
  <c r="L24" i="18"/>
  <c r="L32" i="18"/>
  <c r="L28" i="18"/>
  <c r="L27" i="18"/>
  <c r="L23" i="18"/>
  <c r="L31" i="18"/>
  <c r="N17" i="18"/>
  <c r="N18" i="18"/>
  <c r="N15" i="18"/>
  <c r="N13" i="18"/>
  <c r="N11" i="18"/>
  <c r="N19" i="18"/>
  <c r="N12" i="18"/>
  <c r="N14" i="18"/>
  <c r="E20" i="12"/>
  <c r="E20" i="9"/>
  <c r="E18" i="10"/>
  <c r="E17" i="9"/>
  <c r="E14" i="12"/>
  <c r="E18" i="12"/>
  <c r="E13" i="12"/>
  <c r="C24" i="12"/>
  <c r="C23" i="12"/>
  <c r="E16" i="10"/>
  <c r="E15" i="10"/>
  <c r="E12" i="12"/>
  <c r="E11" i="12"/>
  <c r="E10" i="12"/>
  <c r="E9" i="12"/>
  <c r="E10" i="10"/>
  <c r="E9" i="10"/>
  <c r="E18" i="9"/>
  <c r="E13" i="9"/>
  <c r="C23" i="9"/>
  <c r="E15" i="12"/>
  <c r="E17" i="12"/>
  <c r="E16" i="12"/>
  <c r="E19" i="12"/>
  <c r="E15" i="9"/>
  <c r="E12" i="9"/>
  <c r="E11" i="9"/>
  <c r="E12" i="10"/>
  <c r="C22" i="10" s="1"/>
  <c r="E8" i="10"/>
  <c r="E7" i="10"/>
  <c r="E14" i="10"/>
  <c r="E10" i="9"/>
  <c r="E9" i="9"/>
  <c r="E19" i="9"/>
  <c r="C24" i="9"/>
  <c r="E16" i="9"/>
  <c r="L22" i="3"/>
  <c r="L21" i="3"/>
  <c r="L18" i="1"/>
  <c r="N18" i="3"/>
  <c r="N17" i="3"/>
  <c r="N9" i="4"/>
  <c r="N8" i="4"/>
  <c r="N16" i="3"/>
  <c r="N15" i="3"/>
  <c r="N14" i="3"/>
  <c r="N13" i="3"/>
  <c r="N12" i="3"/>
  <c r="N11" i="3"/>
  <c r="N10" i="3"/>
  <c r="N9" i="3"/>
  <c r="N14" i="1"/>
  <c r="N13" i="1"/>
  <c r="N12" i="1"/>
  <c r="N11" i="1"/>
  <c r="N10" i="1"/>
  <c r="N9" i="1"/>
  <c r="E17" i="10" l="1"/>
  <c r="E13" i="10"/>
</calcChain>
</file>

<file path=xl/sharedStrings.xml><?xml version="1.0" encoding="utf-8"?>
<sst xmlns="http://schemas.openxmlformats.org/spreadsheetml/2006/main" count="4362" uniqueCount="726">
  <si>
    <t>Marco</t>
  </si>
  <si>
    <t>Refuerzo</t>
  </si>
  <si>
    <t>Junquillo</t>
  </si>
  <si>
    <t>tipo</t>
  </si>
  <si>
    <t>Codigo</t>
  </si>
  <si>
    <t>Cantidad</t>
  </si>
  <si>
    <t>Corte</t>
  </si>
  <si>
    <t>45°</t>
  </si>
  <si>
    <t>90°</t>
  </si>
  <si>
    <t>Ancho</t>
  </si>
  <si>
    <t>CODIGOS SOLUEX</t>
  </si>
  <si>
    <t>DESCRIPCCION ESPAÑOL</t>
  </si>
  <si>
    <t>DESCRIPCION VERATEC</t>
  </si>
  <si>
    <t>65201VER000</t>
  </si>
  <si>
    <t>Marco Fijo blanco</t>
  </si>
  <si>
    <t>frame/Trop.White/Gray Gasket</t>
  </si>
  <si>
    <t>65201VER153</t>
  </si>
  <si>
    <t>Marco Fijo nogal</t>
  </si>
  <si>
    <t>D.Side Lam./Frame/Nussbaum/Black gasket</t>
  </si>
  <si>
    <t>65201VER043</t>
  </si>
  <si>
    <t>Marco Fijo roble dorado</t>
  </si>
  <si>
    <t>D.Side Lam./Frame/GoldenOak/Black gasket</t>
  </si>
  <si>
    <t>65212VER000</t>
  </si>
  <si>
    <t>Hoja de ventana  interior blanco</t>
  </si>
  <si>
    <t>new sash/Trop.White/Gray Gasket</t>
  </si>
  <si>
    <t>65212VER153</t>
  </si>
  <si>
    <t>Hoja de ventana  interior nogal</t>
  </si>
  <si>
    <t>D.Side Lam./Sash/Rn.Nusbaum/Black gasket</t>
  </si>
  <si>
    <t>65212VER043</t>
  </si>
  <si>
    <t>Hoja de ventana  interior roble dorado</t>
  </si>
  <si>
    <t>D.Side Lam./Sash/Rn.G.oak/Black gasket</t>
  </si>
  <si>
    <t>65209VER000</t>
  </si>
  <si>
    <t>Hoja de ventana  exterior blanco</t>
  </si>
  <si>
    <t>Outward Ope. Eco Sash Pro./White/Grey g.</t>
  </si>
  <si>
    <t>65209VER153</t>
  </si>
  <si>
    <t>Hoja de ventana  exterior nogal</t>
  </si>
  <si>
    <t>D.Side Lam./Outw Opengwnd. Ssh/Maho/Blck</t>
  </si>
  <si>
    <t>65209VER043</t>
  </si>
  <si>
    <t>Hoja de ventana  exterior roble dorado</t>
  </si>
  <si>
    <t>D.Side Lam./Outw Opengwnd.Ssh/G.Oak/Blck</t>
  </si>
  <si>
    <t>65203VER000</t>
  </si>
  <si>
    <t>Barra T Bahar blanco</t>
  </si>
  <si>
    <t>Eco Mullion/Trop.White/Gray gasket/5,8</t>
  </si>
  <si>
    <t>65203VER153</t>
  </si>
  <si>
    <t>Barra T Bahar nogal</t>
  </si>
  <si>
    <t>D.Side Lam./Mullion/Nussbaum/Black gaskt</t>
  </si>
  <si>
    <t>65203VER043</t>
  </si>
  <si>
    <t>Barra T Bahar roble dorado</t>
  </si>
  <si>
    <t>D.Side Lam./Mullion/GoldenOak/Black gskt</t>
  </si>
  <si>
    <t>65210VER000</t>
  </si>
  <si>
    <t>Hoja de puerta Exterior blanco</t>
  </si>
  <si>
    <t>Door Sash (Out Open)/White/Grey Gask</t>
  </si>
  <si>
    <t>65210VER153</t>
  </si>
  <si>
    <t>Hoja de puerta Exterior nogal</t>
  </si>
  <si>
    <t>D.Side Lam./Door Sash/Nussbaum/Black</t>
  </si>
  <si>
    <t>65210VER043</t>
  </si>
  <si>
    <t>Hoja de puerta Exterior roble dorado</t>
  </si>
  <si>
    <t>D.Side Lam./Door Sash/Golden Oak/Black</t>
  </si>
  <si>
    <t>65204VER000</t>
  </si>
  <si>
    <t>Hoja de puerta interior blanco</t>
  </si>
  <si>
    <t>Door Sash (In Openg)/Trop.White/Gray</t>
  </si>
  <si>
    <t>65204VER153</t>
  </si>
  <si>
    <t>Hoja de puerta interior nogal</t>
  </si>
  <si>
    <t>65204VER043</t>
  </si>
  <si>
    <t>Hoja de puerta interior roble dorado</t>
  </si>
  <si>
    <t>65207VER000</t>
  </si>
  <si>
    <t>Batiente Bahar blanco</t>
  </si>
  <si>
    <t>Rebatereverser/Trop.White/Gray gasket</t>
  </si>
  <si>
    <t>65207VER153</t>
  </si>
  <si>
    <t>Batiente Bahar nogal</t>
  </si>
  <si>
    <t>D.Side Lam./Rebatereverser/Nussbaum/Blck</t>
  </si>
  <si>
    <t>65207VER043</t>
  </si>
  <si>
    <t>Batiente Bahar roble dorado</t>
  </si>
  <si>
    <t>D.Side Lam./Rebatereverser/G.Oak/Black</t>
  </si>
  <si>
    <t>67088VER000</t>
  </si>
  <si>
    <t>Junquillo vidrio 4mm blanco</t>
  </si>
  <si>
    <t>Double Glezing Bead/White/Gray gasket</t>
  </si>
  <si>
    <t>67088VER153</t>
  </si>
  <si>
    <t>Junquillo vidrio 4mm nogal</t>
  </si>
  <si>
    <t>Sing.Lam/Double Glezing Bead/Nuss/Black</t>
  </si>
  <si>
    <t>67088VER043</t>
  </si>
  <si>
    <t>Junquillo vidrio 4mm roble dorado</t>
  </si>
  <si>
    <t>Sing.Lam/Double Glezing Bead/Golden Oak/</t>
  </si>
  <si>
    <t>67063VER000</t>
  </si>
  <si>
    <t>Junquillo vidrio 18mm blanco</t>
  </si>
  <si>
    <t>Doubl Glazng Bead34mm/White/Gray gasket</t>
  </si>
  <si>
    <t>67063VER153</t>
  </si>
  <si>
    <t>Junquillo vidrio 18mm nogal</t>
  </si>
  <si>
    <t>Sing.Lam/Doubl Glazng Bead/Nuss/Black</t>
  </si>
  <si>
    <t>67063VER043</t>
  </si>
  <si>
    <t>Junquillo vidrio 18mm roble dorado</t>
  </si>
  <si>
    <t>Sing.Lam/Doubl Glazng Bead/G.Oak/Black</t>
  </si>
  <si>
    <t>67464VER000</t>
  </si>
  <si>
    <t>Junquillo vidrio 24mm blanco</t>
  </si>
  <si>
    <t>Doublglazng Bead20mm/White/Gray gasket</t>
  </si>
  <si>
    <t>67464VER153</t>
  </si>
  <si>
    <t>Junquillo vidrio 24mm nogal</t>
  </si>
  <si>
    <t>Sing.Lam/Doublglazng Bead/Nussbaum/Black</t>
  </si>
  <si>
    <t>67464VER043</t>
  </si>
  <si>
    <t>Junquillo vidrio 24mm roble dorado</t>
  </si>
  <si>
    <t>Sing.Lam/Doublglazng Bead/G.Oak/Black</t>
  </si>
  <si>
    <t>67401VER000</t>
  </si>
  <si>
    <t>Marco corredera 2 hojas blanco</t>
  </si>
  <si>
    <t>Sliding Frame/Trop.White</t>
  </si>
  <si>
    <t>67401VER153</t>
  </si>
  <si>
    <t>Marco corredera 2 hojas nogal</t>
  </si>
  <si>
    <t>Ovrl.Side/SlidingFrame/Walnut/Veratec/5,</t>
  </si>
  <si>
    <t>67401VER043</t>
  </si>
  <si>
    <t>Marco corredera 2 hojas roble dorado</t>
  </si>
  <si>
    <t>Ovrl.Side/SlidingFrame/Kızıl/Veratec/5,8</t>
  </si>
  <si>
    <t>67411VER000</t>
  </si>
  <si>
    <t>Marco monorriel blanco</t>
  </si>
  <si>
    <t>Sli. Fix Frame/White/Gray gasket</t>
  </si>
  <si>
    <t>67411VER153</t>
  </si>
  <si>
    <t>Marco monorriel nogal</t>
  </si>
  <si>
    <t>67411VER043</t>
  </si>
  <si>
    <t>Marco monorriel roble dorado</t>
  </si>
  <si>
    <t>67414VER000</t>
  </si>
  <si>
    <t>Hoja corredera grande sliding blanco</t>
  </si>
  <si>
    <t>Slıdıng Sash</t>
  </si>
  <si>
    <t>67414VER153</t>
  </si>
  <si>
    <t>Hoja corredera grande sliding nogal</t>
  </si>
  <si>
    <t>D.Side Lam./Sliding Fix Fram/G.Oak/Black</t>
  </si>
  <si>
    <t>67414VER043</t>
  </si>
  <si>
    <t>Hoja corredera grande sliding roble dorado</t>
  </si>
  <si>
    <t>Slıdıng Sash/Golden Oak/Black</t>
  </si>
  <si>
    <t>67415VER000</t>
  </si>
  <si>
    <t>Hoja corredera chica sliding blanco</t>
  </si>
  <si>
    <t>67415VER153</t>
  </si>
  <si>
    <t>Hoja corredera chica sliding nogal</t>
  </si>
  <si>
    <t>67415VER043</t>
  </si>
  <si>
    <t>Hoja corredera chica sliding roble dorado</t>
  </si>
  <si>
    <t>67416VER000</t>
  </si>
  <si>
    <t>Barra T  sliding blanco</t>
  </si>
  <si>
    <t>Mullıon70*80Mm/TropWhit/VeratecGgasket</t>
  </si>
  <si>
    <t>67416VER153</t>
  </si>
  <si>
    <t>Barra T  sliding nogal</t>
  </si>
  <si>
    <t>Dbl SideLam/Slid.Mull/Walnt/Verat/Blck G</t>
  </si>
  <si>
    <t>67416VER043</t>
  </si>
  <si>
    <t>Barra T  sliding roble dorado</t>
  </si>
  <si>
    <t>Dbl SideLam/Slid.Mull/G Oak/Verat/Blck G</t>
  </si>
  <si>
    <t>67418VER000</t>
  </si>
  <si>
    <t>Traslapo corredera grande sliding blanco</t>
  </si>
  <si>
    <t>Sliding İnterlock/White/Gray gasket</t>
  </si>
  <si>
    <t>67418VER153</t>
  </si>
  <si>
    <t>Traslapo corredera grande sliding nogal</t>
  </si>
  <si>
    <t>Slıdıng Interlock</t>
  </si>
  <si>
    <t>67418VER043</t>
  </si>
  <si>
    <t>Traslapo corredera grande sliding roble dorado</t>
  </si>
  <si>
    <t>Slıdıng Interlock/Golden Oak/Black</t>
  </si>
  <si>
    <t>67419VER000</t>
  </si>
  <si>
    <t>Traslapo corredera chico sliding blanco</t>
  </si>
  <si>
    <t>Slıdıng ınterlock</t>
  </si>
  <si>
    <t>67419VER153</t>
  </si>
  <si>
    <t>Traslapo corredera chico sliding nogal</t>
  </si>
  <si>
    <t>67419VER043</t>
  </si>
  <si>
    <t>Traslapo corredera chico sliding roble dorado</t>
  </si>
  <si>
    <t>Slıdıng ınterlock/Golden Oak/Black</t>
  </si>
  <si>
    <t>67405VER000</t>
  </si>
  <si>
    <t>Remate monorriel blanco</t>
  </si>
  <si>
    <t>Slidingfix Frame Cov/White</t>
  </si>
  <si>
    <t>67405VER153</t>
  </si>
  <si>
    <t>Remate monorriel nogal</t>
  </si>
  <si>
    <t>Sing.Lam/Slidingfix Frame Cov/Nussbaum</t>
  </si>
  <si>
    <t>67405VER043</t>
  </si>
  <si>
    <t>Remate monorriel roble dorado</t>
  </si>
  <si>
    <t>Sing.Lam/Slidingfix Frame Cov/Golden Oak</t>
  </si>
  <si>
    <t>66306VER000</t>
  </si>
  <si>
    <t>Junquillo vidrio 4mm sliding blanco</t>
  </si>
  <si>
    <t>Single Glazing Bead/White/Gray gasket</t>
  </si>
  <si>
    <t>66306VER153</t>
  </si>
  <si>
    <t>Junquillo vidrio 4mm sliding nogal</t>
  </si>
  <si>
    <t>Sıngle Glazıng Bead</t>
  </si>
  <si>
    <t>66306VER043</t>
  </si>
  <si>
    <t>Junquillo vidrio 4mm sliding roble dorado</t>
  </si>
  <si>
    <t>Sıngle Glazıng Bead/Golden Oak/Black</t>
  </si>
  <si>
    <t>66307VER000</t>
  </si>
  <si>
    <t>Junquillo vidrio 20mm sliding blanco</t>
  </si>
  <si>
    <t>Double Glazing Bead/White/Gray gasket</t>
  </si>
  <si>
    <t>66307VER153</t>
  </si>
  <si>
    <t>Junquillo vidrio 20mm sliding nogal</t>
  </si>
  <si>
    <t>Double Glazıng Bead</t>
  </si>
  <si>
    <t>66307VER043</t>
  </si>
  <si>
    <t>Junquillo vidrio 20mm sliding roble dorado</t>
  </si>
  <si>
    <t>Junquillo vidrio 24mm sliding blanco</t>
  </si>
  <si>
    <t>Junquillo vidrio 24mm sliding nogal</t>
  </si>
  <si>
    <t>Junquillo vidrio 24mm sliding roble dorado</t>
  </si>
  <si>
    <t>67460VER000</t>
  </si>
  <si>
    <t>Marco corredera compact sliding blanco</t>
  </si>
  <si>
    <t>Newslidingfr-Mullion/Trop.White</t>
  </si>
  <si>
    <t>67460VER153</t>
  </si>
  <si>
    <t>Marco corredera compact sliding nogal</t>
  </si>
  <si>
    <t>Ovrl.Side/Mullion/Walnut/Veratec/5,8</t>
  </si>
  <si>
    <t>67460VER043</t>
  </si>
  <si>
    <t>Marco corredera compact sliding roble dorado</t>
  </si>
  <si>
    <t>Ovrl.Side/Mullion/Kızıl/Veratec/5,8</t>
  </si>
  <si>
    <t>67461VER000</t>
  </si>
  <si>
    <t>Hoja corredera compact sliding blanco</t>
  </si>
  <si>
    <t>New Slidng Sash/Trop.Whte/Sli.Brush Gray</t>
  </si>
  <si>
    <t>67461VER153</t>
  </si>
  <si>
    <t>Hoja corredera compact sliding nogal</t>
  </si>
  <si>
    <t>D.Side Lam./Sliding Sash/Nussbaum/Black</t>
  </si>
  <si>
    <t>67461VER043</t>
  </si>
  <si>
    <t>Hoja corredera compact sliding roble dorado</t>
  </si>
  <si>
    <t>D.Side Lam./Sliding Sash/Goldn Oak/Black</t>
  </si>
  <si>
    <t>67463VER000</t>
  </si>
  <si>
    <t>Traslapo compact sliding blanco</t>
  </si>
  <si>
    <t>Slidinginterlock/Trop.White</t>
  </si>
  <si>
    <t>67463VER153</t>
  </si>
  <si>
    <t>Traslapo compact sliding nogal</t>
  </si>
  <si>
    <t>L Lam/Slidinginterlock/Nussbaum</t>
  </si>
  <si>
    <t>67463VER043</t>
  </si>
  <si>
    <t>Traslapo compact sliding roble dorado</t>
  </si>
  <si>
    <t>L Lam/Slidinginterlock/Golden Oak</t>
  </si>
  <si>
    <t>67062VER000</t>
  </si>
  <si>
    <t>Junquillo vidrio 4mm compact sliding blanco</t>
  </si>
  <si>
    <t>Singl Glazngbead 4mm/White/Gray gasket</t>
  </si>
  <si>
    <t>67062VER153</t>
  </si>
  <si>
    <t>Junquillo vidrio 4mm compact sliding nogal</t>
  </si>
  <si>
    <t>Sing.Lam/Singl Glazngbead/Nussbaum/Black</t>
  </si>
  <si>
    <t>67062VER043</t>
  </si>
  <si>
    <t>Junquillo vidrio 4mm compact sliding roble dorado</t>
  </si>
  <si>
    <t>Sing.Lam/Singl Glazngbead/G.Oak/Black</t>
  </si>
  <si>
    <t>Junquillo vidrio 20mm compact sliding blanco</t>
  </si>
  <si>
    <t>Junquillo vidrio 20mm compact sliding nogal</t>
  </si>
  <si>
    <t>Junquillo vidrio 20mm compact sliding roble dorado</t>
  </si>
  <si>
    <t>66020VER000</t>
  </si>
  <si>
    <t>Esquinero 60x60 blanco</t>
  </si>
  <si>
    <t>60*60 Box/Trop.White</t>
  </si>
  <si>
    <t>66020VER153</t>
  </si>
  <si>
    <t>Esquinero 60x60 nogal</t>
  </si>
  <si>
    <t>L Lam/60*60 Box/Nussbaum</t>
  </si>
  <si>
    <t>66020VER043</t>
  </si>
  <si>
    <t>Esquinero 60x60 roble dorado</t>
  </si>
  <si>
    <t>L Lam/60*60 Box/Golden Oak</t>
  </si>
  <si>
    <t>66016VER000</t>
  </si>
  <si>
    <t>Tubular angulo variable 52mm blanco</t>
  </si>
  <si>
    <t>Corner Post Pipe/Trop.White</t>
  </si>
  <si>
    <t>66016VER153</t>
  </si>
  <si>
    <t>Tubular angulo variable 52mm nogal</t>
  </si>
  <si>
    <t>Ovrl.Lam/Corner Post Pipe/Nussbaum</t>
  </si>
  <si>
    <t>66016VER043</t>
  </si>
  <si>
    <t>Tubular angulo variable 52mm roble dorado</t>
  </si>
  <si>
    <t>Ovrl.Lam/Corner Post Pipe/Golden Oak</t>
  </si>
  <si>
    <t>66015VER000</t>
  </si>
  <si>
    <t>Terminal angulo variable 60mm blanco</t>
  </si>
  <si>
    <t>Corner Post Pipe Adapting/Trop.White</t>
  </si>
  <si>
    <t>66015VER153</t>
  </si>
  <si>
    <t>Terminal angulo variable 60mm nogal</t>
  </si>
  <si>
    <t>D.Side Lam./Cornerpost Pipe Adaptg/Nusbm</t>
  </si>
  <si>
    <t>66015VER043</t>
  </si>
  <si>
    <t>Terminal angulo variable 60mm roble dorado</t>
  </si>
  <si>
    <t>D.Side Lam./C.Pipe Adaptg/Golden Oak</t>
  </si>
  <si>
    <t>67251VER000</t>
  </si>
  <si>
    <t>Panel de puerta  blanco</t>
  </si>
  <si>
    <t>Panel 24X150 mm/Trop.White</t>
  </si>
  <si>
    <t>67251VER153</t>
  </si>
  <si>
    <t>Panel de puerta  nogal</t>
  </si>
  <si>
    <t>D.Side Lam./Panel/Nussbaum</t>
  </si>
  <si>
    <t>67251VER043</t>
  </si>
  <si>
    <t>Panel de puerta  roble dorado</t>
  </si>
  <si>
    <t>D.Side Lam./Panel/Golden Oak</t>
  </si>
  <si>
    <t>66051VER000</t>
  </si>
  <si>
    <t>Perfil 60x100 blanco</t>
  </si>
  <si>
    <t>60*100 Box (Chambered)/Trop.White</t>
  </si>
  <si>
    <t>66051VER153</t>
  </si>
  <si>
    <t>Perfil 60x100 nogal</t>
  </si>
  <si>
    <t>D.Side Lam./60*100Box/Nussbaum</t>
  </si>
  <si>
    <t>66051VER043</t>
  </si>
  <si>
    <t>Perfil 60x100 roble dorado</t>
  </si>
  <si>
    <t>D.Side Lam./60*100Box/Golden Oak</t>
  </si>
  <si>
    <t>66056VER000</t>
  </si>
  <si>
    <t>Angulo de revestimiento blanco</t>
  </si>
  <si>
    <t>L Masking/Trop.White</t>
  </si>
  <si>
    <t>66056VER153</t>
  </si>
  <si>
    <t>Angulo de revestimiento nogal</t>
  </si>
  <si>
    <t>Ovrl.Lam/L Masking/Nussbaum</t>
  </si>
  <si>
    <t>66056VER043</t>
  </si>
  <si>
    <t>Angulo de revestimiento roble dorado</t>
  </si>
  <si>
    <t>Ovrl.Lam/L Masking/Golden Oak</t>
  </si>
  <si>
    <t>66014VER000</t>
  </si>
  <si>
    <t>acople 61mm blanco</t>
  </si>
  <si>
    <t>Narrow Coupling/Trop.White</t>
  </si>
  <si>
    <t>66014VER258</t>
  </si>
  <si>
    <t>acople 61mm café</t>
  </si>
  <si>
    <t>Narrow Coupling/New D.Brown</t>
  </si>
  <si>
    <t>61001VER000</t>
  </si>
  <si>
    <t>Terminal angulo variable 52mm blanco</t>
  </si>
  <si>
    <t>2605 angle post white</t>
  </si>
  <si>
    <t>61001VER153</t>
  </si>
  <si>
    <t>Terminal angulo variable 52mm nogal</t>
  </si>
  <si>
    <t>2605 angle post d-s. lam.</t>
  </si>
  <si>
    <t>61001VER043</t>
  </si>
  <si>
    <t>Terminal angulo variable 52mm roble dorado</t>
  </si>
  <si>
    <t>61016VER001</t>
  </si>
  <si>
    <t>Riel Sliding</t>
  </si>
  <si>
    <t>Sliding Alm. Rail Anodized</t>
  </si>
  <si>
    <t>61013VER001</t>
  </si>
  <si>
    <t>Riel compact Sliding</t>
  </si>
  <si>
    <t>Sash coupling Anodized</t>
  </si>
  <si>
    <t>61005VER001</t>
  </si>
  <si>
    <t>Acople 52mm</t>
  </si>
  <si>
    <t>2474 coupling pres.</t>
  </si>
  <si>
    <t>61004VER001</t>
  </si>
  <si>
    <t>Cuarta hoja Sliding</t>
  </si>
  <si>
    <t>61014VER001</t>
  </si>
  <si>
    <t>Cuarta hoja compact Sliding</t>
  </si>
  <si>
    <t>61009VER001</t>
  </si>
  <si>
    <t>Zapata aluminio</t>
  </si>
  <si>
    <t>61010VER001</t>
  </si>
  <si>
    <t>Porta felpa puerta</t>
  </si>
  <si>
    <t>Union mecanica barra T bahar</t>
  </si>
  <si>
    <t>ob 5200 system zmc mullion cnnct. chock</t>
  </si>
  <si>
    <t>61008VER000</t>
  </si>
  <si>
    <t>Tapa batiente blanco</t>
  </si>
  <si>
    <t>hk rbt rev.prf cap . (as-5200) white</t>
  </si>
  <si>
    <t>61008VER258</t>
  </si>
  <si>
    <t>Tapa batiente café</t>
  </si>
  <si>
    <t>rbt rev.prf cap . (as-5200) narrow brwn</t>
  </si>
  <si>
    <t>Union mecanica zapata aluminio blanco</t>
  </si>
  <si>
    <t>5200 serie alu. thresh. cover r-l white</t>
  </si>
  <si>
    <t>61001VER258</t>
  </si>
  <si>
    <t>Union mecanica zapata aluminio café</t>
  </si>
  <si>
    <t>5200 serie alu. thresh. covr r-l d.brown</t>
  </si>
  <si>
    <t>61213VER002</t>
  </si>
  <si>
    <t>Burlete zapata aluminio</t>
  </si>
  <si>
    <t>(225528)dr ssh alu drainr prf RAL9016 wh</t>
  </si>
  <si>
    <t>61012VER000</t>
  </si>
  <si>
    <t>Tope estanco Sliding blanco</t>
  </si>
  <si>
    <t>frame interlocking part</t>
  </si>
  <si>
    <t>61012VER258</t>
  </si>
  <si>
    <t>Tope estanco Sliding café</t>
  </si>
  <si>
    <t>sa 7401 s.frame ara s.pls.51,5 mm dbrwn</t>
  </si>
  <si>
    <t>61013VER000</t>
  </si>
  <si>
    <t>Tope estanco monorriel blanco</t>
  </si>
  <si>
    <t>fixed frame interlocking part</t>
  </si>
  <si>
    <t>61013VER258</t>
  </si>
  <si>
    <t>Tope estanco monorriel café</t>
  </si>
  <si>
    <t>sa 7403-7411 srme arasd.pls.31,5mmd.brwn</t>
  </si>
  <si>
    <t>61016VER000</t>
  </si>
  <si>
    <t>Tope estanco compact Sliding blanco</t>
  </si>
  <si>
    <t>sa 7460 s.frame-mullion sizd. 36mm white</t>
  </si>
  <si>
    <t>61016VER258</t>
  </si>
  <si>
    <t>Tope estanco compact Sliding café</t>
  </si>
  <si>
    <t>sa 7460 s.frame-mullion sizd. 36mmdbrwn</t>
  </si>
  <si>
    <t>61023VER001</t>
  </si>
  <si>
    <t>Union mecanica barra T Sliding</t>
  </si>
  <si>
    <t>7416 Mullion Connector</t>
  </si>
  <si>
    <t>61018VER000</t>
  </si>
  <si>
    <t>Burlete cubre ranura blanco</t>
  </si>
  <si>
    <t>70mm bead channel clos. gasket white</t>
  </si>
  <si>
    <t>61018VER258</t>
  </si>
  <si>
    <t>Burlete cubre ranura café</t>
  </si>
  <si>
    <t>70mm bead channel clos. gasket black</t>
  </si>
  <si>
    <t>62003VER000</t>
  </si>
  <si>
    <t>tapa deflectora blanco</t>
  </si>
  <si>
    <t>tt wtr dreng cap white</t>
  </si>
  <si>
    <t>62003VER258</t>
  </si>
  <si>
    <t>tapa deflectora café</t>
  </si>
  <si>
    <t>tt wtr dreng cap narrow brwn</t>
  </si>
  <si>
    <t>61004VER002</t>
  </si>
  <si>
    <t>refuerzo esquina hoja puerta interior</t>
  </si>
  <si>
    <t>kt 7057-58(ds1048 u)crner cln.setz.26*39</t>
  </si>
  <si>
    <t>61001VER002</t>
  </si>
  <si>
    <t>refuerzo esquina hoja puerta exterior</t>
  </si>
  <si>
    <t>kt 5200 crner cleaning.(44*32)</t>
  </si>
  <si>
    <t>61011VER003</t>
  </si>
  <si>
    <t>Refuerzo 1,5mm (5201-5203-5207-5209-5212)</t>
  </si>
  <si>
    <t>5201-5203-5207-5209-5212rein for. 1.50mm</t>
  </si>
  <si>
    <t>61025VER003</t>
  </si>
  <si>
    <t>Refuerzo 1,5mm (5210)</t>
  </si>
  <si>
    <t>5210-eco out. op.dr. ssh reinfor 1.50mm</t>
  </si>
  <si>
    <t>61040VER003</t>
  </si>
  <si>
    <t>Refuerzo 1,5mm (7460)</t>
  </si>
  <si>
    <t>7460 slidg fra-mull reinfor. 1.50 mm box</t>
  </si>
  <si>
    <t>61014VER003</t>
  </si>
  <si>
    <t>Refuerzo 1,5mm (7461-7403)</t>
  </si>
  <si>
    <t>7401-7403 sldg frame reinfrcmnt 1.50 mm</t>
  </si>
  <si>
    <t>61069VER003</t>
  </si>
  <si>
    <t>Refuerzo 1,5mm (7414)</t>
  </si>
  <si>
    <t>DS 7084 fr. 1.50mm</t>
  </si>
  <si>
    <t>61070VER003</t>
  </si>
  <si>
    <t>Reinforcement profile 23x24x1,5 box</t>
  </si>
  <si>
    <t>61071VER003</t>
  </si>
  <si>
    <t>Refuerzo 1,5mm (7415)</t>
  </si>
  <si>
    <t>7413 frame reinfrcmt 1.20 mm</t>
  </si>
  <si>
    <t>67060VER002</t>
  </si>
  <si>
    <t>Felpa hoja corredera</t>
  </si>
  <si>
    <t>insert brush 067 x 600 mm</t>
  </si>
  <si>
    <t>61024VER001</t>
  </si>
  <si>
    <t>Union mecanica monorriel</t>
  </si>
  <si>
    <t>mullion connector zamac</t>
  </si>
  <si>
    <t>65013VER004</t>
  </si>
  <si>
    <t>Fresa 7460 (BC05013-C)</t>
  </si>
  <si>
    <t>7460 sliding mullion cutter</t>
  </si>
  <si>
    <t>65011VER004</t>
  </si>
  <si>
    <t>fresa 7460 (BC05011)</t>
  </si>
  <si>
    <t>63002VER004</t>
  </si>
  <si>
    <t>Fresa limpiadora esquina marco 5200</t>
  </si>
  <si>
    <t>5200 frame corner cleaning cutter</t>
  </si>
  <si>
    <t>63001VER004</t>
  </si>
  <si>
    <t>fresa limpiadora esquina hoja 5201</t>
  </si>
  <si>
    <t>5200 win.sash-d.sash c.clean.cut. gasket</t>
  </si>
  <si>
    <t>63003VER004</t>
  </si>
  <si>
    <t>fresa 5203 (BC03003-CV)</t>
  </si>
  <si>
    <t>Mullion cutter for 5203</t>
  </si>
  <si>
    <t>63008VER004</t>
  </si>
  <si>
    <t>fresa limpiadora esquina hoja 5209</t>
  </si>
  <si>
    <t>5209 out.open.win.sash cor.clean.cut.</t>
  </si>
  <si>
    <t>61021VER004</t>
  </si>
  <si>
    <t>Plantilla de soldar (5201N)</t>
  </si>
  <si>
    <t>mk sngl crner welding tool</t>
  </si>
  <si>
    <t>61022VER004</t>
  </si>
  <si>
    <t>Plantilla de soldar (5212N/5210N/
5204N)</t>
  </si>
  <si>
    <t>61023VER004</t>
  </si>
  <si>
    <t>Plantilla de soldar (7401)</t>
  </si>
  <si>
    <t>61024VER004</t>
  </si>
  <si>
    <t>Plantilla de soldar (7414/7415)</t>
  </si>
  <si>
    <t>61025VER004</t>
  </si>
  <si>
    <t>Plantilla de soldar (7461)</t>
  </si>
  <si>
    <t>61026VER004</t>
  </si>
  <si>
    <t>Plantilla de soldar (7460)</t>
  </si>
  <si>
    <t>61011VER004</t>
  </si>
  <si>
    <t>Plantilla de soldar (5201n)</t>
  </si>
  <si>
    <t>mk dbl. crner welding tool</t>
  </si>
  <si>
    <t>61012VER004</t>
  </si>
  <si>
    <t>61013VER004</t>
  </si>
  <si>
    <t>61014VER004</t>
  </si>
  <si>
    <t>61015VER004</t>
  </si>
  <si>
    <t>61016VER004</t>
  </si>
  <si>
    <t>61001VER004</t>
  </si>
  <si>
    <t>Plantilla de soldar (7088+7063+7
464)</t>
  </si>
  <si>
    <t>mk asas bead cutter tool</t>
  </si>
  <si>
    <t>61002VER004</t>
  </si>
  <si>
    <t>Plantilla de soldar (6306+6307+7
062)</t>
  </si>
  <si>
    <t>67252VER000</t>
  </si>
  <si>
    <t>esquinero 70x70 blanco</t>
  </si>
  <si>
    <t>70*70 Box/Trop.White</t>
  </si>
  <si>
    <t>67252VER153</t>
  </si>
  <si>
    <t>esquinero 70x70 nogal</t>
  </si>
  <si>
    <t>L Lam/70*70 Box/Nussbaum</t>
  </si>
  <si>
    <t>67252VER043</t>
  </si>
  <si>
    <t>esquinero 70x70 roble dorado</t>
  </si>
  <si>
    <t>L Lam/70*70 Box/Golden Oak</t>
  </si>
  <si>
    <t>67254VER000</t>
  </si>
  <si>
    <t>Tubular angulo variable 70mm blanco</t>
  </si>
  <si>
    <t>Pipe70 mm/Trop.White</t>
  </si>
  <si>
    <t>67254VER153</t>
  </si>
  <si>
    <t>Tubular angulo variable 70mm nogal</t>
  </si>
  <si>
    <t>Ovrl.Lam/Pipe/Nussbaum</t>
  </si>
  <si>
    <t>67254VER043</t>
  </si>
  <si>
    <t>Tubular angulo variable 70mm roble dorado</t>
  </si>
  <si>
    <t>Ovrl.Lam/Pipe/Golden Oak</t>
  </si>
  <si>
    <t>67255VER000</t>
  </si>
  <si>
    <t>Terminal angulo variable 70mm blanco</t>
  </si>
  <si>
    <t>Cornerpostadapting/Trop. White</t>
  </si>
  <si>
    <t>67255VER153</t>
  </si>
  <si>
    <t>Terminal angulo variable 70mm nogal</t>
  </si>
  <si>
    <t>D.Side Lam./Cornerpostadapting/Nussbau m</t>
  </si>
  <si>
    <t>67255VER043</t>
  </si>
  <si>
    <t>Terminal angulo variable 70mm roble dorado</t>
  </si>
  <si>
    <t>D.Side Lam./Cornerpostadapting/Goldn Oak</t>
  </si>
  <si>
    <t>67275VER000</t>
  </si>
  <si>
    <t>acople 70mm blanco</t>
  </si>
  <si>
    <t>67275VER153</t>
  </si>
  <si>
    <t>acople 70mm nogal</t>
  </si>
  <si>
    <t>D.Side Lam./Narrow Coupling/Magohany</t>
  </si>
  <si>
    <t>67275VER043</t>
  </si>
  <si>
    <t>acople 70mm roble dorado</t>
  </si>
  <si>
    <t>D.Side Lam./Narrow Coupling/Golden Oak</t>
  </si>
  <si>
    <t>61012VER005</t>
  </si>
  <si>
    <t>galce 18mm</t>
  </si>
  <si>
    <t>tt adjstbl glazing chock 18mm</t>
  </si>
  <si>
    <t>61009VER005</t>
  </si>
  <si>
    <t>galce 24mm</t>
  </si>
  <si>
    <t>glazing support 24 mm</t>
  </si>
  <si>
    <t>61093VER005</t>
  </si>
  <si>
    <t>Cortador cuñas</t>
  </si>
  <si>
    <t>Ayarlı cam takozu makası</t>
  </si>
  <si>
    <t>61006VER005</t>
  </si>
  <si>
    <t>cuña acristalar  5x28</t>
  </si>
  <si>
    <t>tt glazing chock wide 5.0*28</t>
  </si>
  <si>
    <t>61007VER005</t>
  </si>
  <si>
    <t xml:space="preserve">cuña acristalar 3x28 </t>
  </si>
  <si>
    <t>tt glazing chock middle 3.0*28</t>
  </si>
  <si>
    <t>61004VER005</t>
  </si>
  <si>
    <t xml:space="preserve">cuña acristalar 3x20 </t>
  </si>
  <si>
    <t>tt glazing chock middle 3.0*20</t>
  </si>
  <si>
    <t>61003VER005</t>
  </si>
  <si>
    <t>cuña acristalar 5x20</t>
  </si>
  <si>
    <t>tt glazing chock wide 5.0*20</t>
  </si>
  <si>
    <t>61001VER005</t>
  </si>
  <si>
    <t xml:space="preserve">cuña acristalar 4x7,5 </t>
  </si>
  <si>
    <t>tt sngl glazing chock wide 4.0*7.5</t>
  </si>
  <si>
    <t>61008VER005</t>
  </si>
  <si>
    <t xml:space="preserve">cuña acristalar 2x28 </t>
  </si>
  <si>
    <t>tt glazing chock thin 2.0*28</t>
  </si>
  <si>
    <t>67080VER002</t>
  </si>
  <si>
    <t>felpa hoja traslapo</t>
  </si>
  <si>
    <t>insert brush 067 x 800 mm</t>
  </si>
  <si>
    <t>61011VER999</t>
  </si>
  <si>
    <t>marco fijo</t>
  </si>
  <si>
    <t>61011VER991</t>
  </si>
  <si>
    <t>hoja ex, hoja int, barra T</t>
  </si>
  <si>
    <t>61013VER999</t>
  </si>
  <si>
    <t>hoja puerta int</t>
  </si>
  <si>
    <t>61025VER999</t>
  </si>
  <si>
    <t>hoja puerta ext</t>
  </si>
  <si>
    <t>61014VER999</t>
  </si>
  <si>
    <t>marco corredera</t>
  </si>
  <si>
    <t>61083VER999</t>
  </si>
  <si>
    <t>monorriel</t>
  </si>
  <si>
    <t>61060VER999</t>
  </si>
  <si>
    <t>61013VER991</t>
  </si>
  <si>
    <t>61069VER999</t>
  </si>
  <si>
    <t>hoja corredera grande</t>
  </si>
  <si>
    <t>61070VER999</t>
  </si>
  <si>
    <t>61071VER999</t>
  </si>
  <si>
    <t>hoja corredera chica</t>
  </si>
  <si>
    <t>61072VER999</t>
  </si>
  <si>
    <t>barra t corredera</t>
  </si>
  <si>
    <t>61040VER999</t>
  </si>
  <si>
    <t>marco corredera 60mm</t>
  </si>
  <si>
    <t>61041VER999</t>
  </si>
  <si>
    <t>hoja corredera</t>
  </si>
  <si>
    <t>61010VER999</t>
  </si>
  <si>
    <t>esquinero</t>
  </si>
  <si>
    <t>61035VER999</t>
  </si>
  <si>
    <t>65201VER</t>
  </si>
  <si>
    <t>todos</t>
  </si>
  <si>
    <t>ALTO</t>
  </si>
  <si>
    <t>ANCHO</t>
  </si>
  <si>
    <t>KSG+6</t>
  </si>
  <si>
    <t>KSY+6</t>
  </si>
  <si>
    <t>KSG-85</t>
  </si>
  <si>
    <t>KSY-85</t>
  </si>
  <si>
    <t>KSG-80</t>
  </si>
  <si>
    <t>KSY-80</t>
  </si>
  <si>
    <t>CANTIDAD</t>
  </si>
  <si>
    <t>CODIGO</t>
  </si>
  <si>
    <t>DESCRIPCION</t>
  </si>
  <si>
    <t>65212VER</t>
  </si>
  <si>
    <t>61011VER990</t>
  </si>
  <si>
    <t>Vidrio</t>
  </si>
  <si>
    <t>Alto</t>
  </si>
  <si>
    <t>KSY-90</t>
  </si>
  <si>
    <t>KSG-90</t>
  </si>
  <si>
    <t>Hoja de ventana Interior</t>
  </si>
  <si>
    <t>KSG-58</t>
  </si>
  <si>
    <t>KSY-58</t>
  </si>
  <si>
    <t>KSY-178</t>
  </si>
  <si>
    <t>KSG-178</t>
  </si>
  <si>
    <t>KSG-173</t>
  </si>
  <si>
    <t>KSY-173</t>
  </si>
  <si>
    <t xml:space="preserve">Junquillos </t>
  </si>
  <si>
    <t>67088VER</t>
  </si>
  <si>
    <t>67063VER</t>
  </si>
  <si>
    <t>67464VER</t>
  </si>
  <si>
    <t>4mm</t>
  </si>
  <si>
    <t>18mm</t>
  </si>
  <si>
    <t>24mm</t>
  </si>
  <si>
    <t>000</t>
  </si>
  <si>
    <t>153</t>
  </si>
  <si>
    <t>043</t>
  </si>
  <si>
    <t>Blanco</t>
  </si>
  <si>
    <t>Nogal</t>
  </si>
  <si>
    <t>Roble dorado</t>
  </si>
  <si>
    <t>Codigo de color</t>
  </si>
  <si>
    <t>Hoja de ventana Exterior</t>
  </si>
  <si>
    <t>KSG-176</t>
  </si>
  <si>
    <t>KSY-176</t>
  </si>
  <si>
    <t>KSG-186</t>
  </si>
  <si>
    <t>KSY-186</t>
  </si>
  <si>
    <t>KSG-183</t>
  </si>
  <si>
    <t>KSY-183</t>
  </si>
  <si>
    <t>65209VER</t>
  </si>
  <si>
    <t>puente acristalar 18mm</t>
  </si>
  <si>
    <t xml:space="preserve">calzo acristalar 3x20 </t>
  </si>
  <si>
    <t>KSG-181</t>
  </si>
  <si>
    <t>ancho</t>
  </si>
  <si>
    <t>alto</t>
  </si>
  <si>
    <t>x2</t>
  </si>
  <si>
    <t>codigo</t>
  </si>
  <si>
    <t>item</t>
  </si>
  <si>
    <t>medida de corte</t>
  </si>
  <si>
    <t>cantidad</t>
  </si>
  <si>
    <t>angulo</t>
  </si>
  <si>
    <t>Medidas de ventana</t>
  </si>
  <si>
    <t>Hoja de ventana exterior</t>
  </si>
  <si>
    <t>termo</t>
  </si>
  <si>
    <t>ABATIR INTERIOR</t>
  </si>
  <si>
    <t>67401VER</t>
  </si>
  <si>
    <t>Hoja Grande</t>
  </si>
  <si>
    <t>67415VER</t>
  </si>
  <si>
    <t>CORREDERA GRANDE</t>
  </si>
  <si>
    <t>67414VER</t>
  </si>
  <si>
    <t>Hoja Chica</t>
  </si>
  <si>
    <t>69014STL001</t>
  </si>
  <si>
    <t>69069STL000</t>
  </si>
  <si>
    <t>x4</t>
  </si>
  <si>
    <t>69041STL000</t>
  </si>
  <si>
    <t>COMPACT SLIDING</t>
  </si>
  <si>
    <t>67411VER</t>
  </si>
  <si>
    <t>69083STL001</t>
  </si>
  <si>
    <t>69060STL001</t>
  </si>
  <si>
    <t>Hoja Grande/traslapo F.</t>
  </si>
  <si>
    <t>x1</t>
  </si>
  <si>
    <t>Junquillo/hoja</t>
  </si>
  <si>
    <t>Junquillo/fijo</t>
  </si>
  <si>
    <t>67405ver</t>
  </si>
  <si>
    <t>remate monorriel</t>
  </si>
  <si>
    <t>HOJA</t>
  </si>
  <si>
    <t>FIJO</t>
  </si>
  <si>
    <t>67460VER</t>
  </si>
  <si>
    <t>67461VER</t>
  </si>
  <si>
    <t>Hoja corredera</t>
  </si>
  <si>
    <t>67418ver</t>
  </si>
  <si>
    <t>61016ver</t>
  </si>
  <si>
    <t>TRASLAPO</t>
  </si>
  <si>
    <t>RIEL</t>
  </si>
  <si>
    <t>67419ver</t>
  </si>
  <si>
    <t>67463ver</t>
  </si>
  <si>
    <t>61013ver</t>
  </si>
  <si>
    <t>67414ver000</t>
  </si>
  <si>
    <t>barra t</t>
  </si>
  <si>
    <t>A</t>
  </si>
  <si>
    <t>B</t>
  </si>
  <si>
    <t>C</t>
  </si>
  <si>
    <t>Vidrio A 18mm</t>
  </si>
  <si>
    <t>Vidrio B 18mm</t>
  </si>
  <si>
    <t>Vidrio  C 18mm</t>
  </si>
  <si>
    <t>6520043er15</t>
  </si>
  <si>
    <t>INGRESE MEDIDAS AQUÍ</t>
  </si>
  <si>
    <t>Medidas de puerta</t>
  </si>
  <si>
    <t>65204VER</t>
  </si>
  <si>
    <t>Hoja de puerta exterior</t>
  </si>
  <si>
    <t>PASO LIBRE</t>
  </si>
  <si>
    <t>69070STL001</t>
  </si>
  <si>
    <t>65210VER</t>
  </si>
  <si>
    <t>69025STL000</t>
  </si>
  <si>
    <t>ABATIR INTERIOR PUERTA</t>
  </si>
  <si>
    <t>Hoja de puerta interior</t>
  </si>
  <si>
    <t>69013STL001</t>
  </si>
  <si>
    <t>ABATIR EXTERIOR PUERTA 2 hojas</t>
  </si>
  <si>
    <t>65207VER</t>
  </si>
  <si>
    <t>inversora</t>
  </si>
  <si>
    <t>p</t>
  </si>
  <si>
    <t>ABATIR INTERIOR PUERTA 2 hojas</t>
  </si>
  <si>
    <t>45/90</t>
  </si>
  <si>
    <t>Hoja de puerta int</t>
  </si>
  <si>
    <t>Marco Perimetral</t>
  </si>
  <si>
    <t>x6</t>
  </si>
  <si>
    <t>x3</t>
  </si>
  <si>
    <t>marco perimetral</t>
  </si>
  <si>
    <t xml:space="preserve">PUERTA ABATIR EXTERIOR </t>
  </si>
  <si>
    <t>ABATIR EXTERIOR PUERTA 2 hojas compuesta</t>
  </si>
  <si>
    <t>ventana abatir ext 2 hojas</t>
  </si>
  <si>
    <t>Hoja de ventana ext</t>
  </si>
  <si>
    <t>69011STL001</t>
  </si>
  <si>
    <t>ventana abatir interior 2 hojas</t>
  </si>
  <si>
    <t>MARCO FIJO CON BARRA T</t>
  </si>
  <si>
    <t>Vidrio  A 18mm</t>
  </si>
  <si>
    <t>CORREDERA GRANDE 3 rieles 6 hojas</t>
  </si>
  <si>
    <t>x12</t>
  </si>
  <si>
    <t>x8</t>
  </si>
  <si>
    <t>|</t>
  </si>
  <si>
    <t>MARCO PERIMETRAL</t>
  </si>
  <si>
    <t>X</t>
  </si>
  <si>
    <t>ABATIR EXTERIOR O PROYE</t>
  </si>
  <si>
    <t xml:space="preserve"> FIJO</t>
  </si>
  <si>
    <t>CORREDERA GRANDE 2 y 3 rieles 3 hojas grandes</t>
  </si>
  <si>
    <t>CORREDERA GRANDE 2 y 3 rieles 3 hojas chicas</t>
  </si>
  <si>
    <t>69071STL000</t>
  </si>
  <si>
    <t>CORREDERA SLIDING HOJA CHICA</t>
  </si>
  <si>
    <t>CORREDERA GRANDE 4 HOJASCHICAS</t>
  </si>
  <si>
    <t xml:space="preserve">CORREDERA GRANDE 4 HOJAS GRANDES </t>
  </si>
  <si>
    <t>Hoja chica</t>
  </si>
  <si>
    <t>PASO LIBRE marco rebajado</t>
  </si>
  <si>
    <t>Hoja CHICA</t>
  </si>
  <si>
    <t>Hoja CHICA/traslapo F.</t>
  </si>
  <si>
    <t>MONORRIEL HOJA CHICA</t>
  </si>
  <si>
    <t xml:space="preserve">MONORRIEL HOJA GRANDE </t>
  </si>
  <si>
    <t>CORREDERA MONORRIEL 4 HOJAS GRANDES</t>
  </si>
  <si>
    <t>490 x 906</t>
  </si>
  <si>
    <t>plegable 4/3/1</t>
  </si>
  <si>
    <t>ventana terminada</t>
  </si>
  <si>
    <t>pocicion</t>
  </si>
  <si>
    <t>perfil</t>
  </si>
  <si>
    <t>corte</t>
  </si>
  <si>
    <t>marco 5201</t>
  </si>
  <si>
    <t>hoja 5204</t>
  </si>
  <si>
    <t>primera hoja 5204</t>
  </si>
  <si>
    <t>ancho de hoja</t>
  </si>
  <si>
    <t>MONORRIEL HOJA GRANDE DESPLAZADA</t>
  </si>
  <si>
    <t>corredera sliding 2 rieles 3 hojas grandes 2 en mismo riel</t>
  </si>
  <si>
    <t>corredera sliding 2 rieles 3 hojas chicas 2 en mismo riel</t>
  </si>
  <si>
    <t>plegable 3/3/0</t>
  </si>
  <si>
    <t>COMPACT SLIDING 3 HOJAS</t>
  </si>
  <si>
    <t>COMPACT SLIDING 4 HOJAS</t>
  </si>
  <si>
    <t>67401 o 67413</t>
  </si>
  <si>
    <t>69070VER999</t>
  </si>
  <si>
    <t>69011VER990</t>
  </si>
  <si>
    <t>90/45</t>
  </si>
  <si>
    <t>HORIZONTAL</t>
  </si>
  <si>
    <t>VERTICAL</t>
  </si>
  <si>
    <t>plegable 6/5/1</t>
  </si>
  <si>
    <t>cuarta hoja 5204</t>
  </si>
  <si>
    <t>Vidrios hojas 2-3-5-6</t>
  </si>
  <si>
    <t>Vidrio hoja 1</t>
  </si>
  <si>
    <t>Vidrio hoja 4</t>
  </si>
  <si>
    <t>x2 o 3</t>
  </si>
  <si>
    <t>plegable 7/4/3</t>
  </si>
  <si>
    <t>primeras hojas 5204</t>
  </si>
  <si>
    <t>5410 x 2277</t>
  </si>
  <si>
    <t>5410 X 2337</t>
  </si>
  <si>
    <t>abatir ext y proye marco rebajado</t>
  </si>
  <si>
    <t>ABATIR EXTERIOR Y PROYE</t>
  </si>
  <si>
    <t>69011VER</t>
  </si>
  <si>
    <t>desde hoja interior</t>
  </si>
  <si>
    <t xml:space="preserve"> FIJO CON MARCO REBAJADO</t>
  </si>
  <si>
    <t>PUERTA CON ZAPATA</t>
  </si>
  <si>
    <t>zapata de aluminio</t>
  </si>
  <si>
    <t>61009ver001</t>
  </si>
  <si>
    <t xml:space="preserve">PUERTA ABATIR INTERIOR </t>
  </si>
  <si>
    <t>Medidas de puerta terminada</t>
  </si>
  <si>
    <t>45/90y90/45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</si>
</sst>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41" formatCode="_ * #,##0_ ;_ * \-#,##0_ ;_ * &quot;-&quot;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rgb="FF000000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000000"/>
      <name val="Arial"/>
      <family val="2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155">
    <xf numFmtId="0" fontId="0" fillId="0" borderId="0" xfId="0"/>
    <xf numFmtId="0" fontId="2" fillId="0" borderId="0" xfId="0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vertical="top"/>
    </xf>
    <xf numFmtId="49" fontId="6" fillId="0" borderId="0" xfId="0" applyNumberFormat="1" applyFon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center" vertical="top"/>
    </xf>
    <xf numFmtId="0" fontId="4" fillId="0" borderId="2" xfId="0" applyFont="1" applyBorder="1" applyAlignment="1">
      <alignment vertical="top" wrapText="1"/>
    </xf>
    <xf numFmtId="0" fontId="4" fillId="0" borderId="3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/>
    </xf>
    <xf numFmtId="49" fontId="6" fillId="0" borderId="1" xfId="1" applyNumberFormat="1" applyFont="1" applyBorder="1" applyAlignment="1">
      <alignment horizontal="center" vertical="top"/>
    </xf>
    <xf numFmtId="0" fontId="7" fillId="0" borderId="3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49" fontId="6" fillId="0" borderId="1" xfId="0" applyNumberFormat="1" applyFont="1" applyBorder="1" applyAlignment="1">
      <alignment horizontal="center" vertical="top"/>
    </xf>
    <xf numFmtId="0" fontId="5" fillId="0" borderId="5" xfId="0" applyFont="1" applyBorder="1" applyAlignment="1">
      <alignment horizontal="left" vertical="top"/>
    </xf>
    <xf numFmtId="0" fontId="5" fillId="0" borderId="6" xfId="0" applyFont="1" applyBorder="1" applyAlignment="1">
      <alignment horizontal="left" vertical="top"/>
    </xf>
    <xf numFmtId="0" fontId="7" fillId="0" borderId="7" xfId="0" applyFont="1" applyBorder="1" applyAlignment="1">
      <alignment horizontal="left" vertical="top"/>
    </xf>
    <xf numFmtId="42" fontId="5" fillId="2" borderId="4" xfId="2" applyFont="1" applyFill="1" applyBorder="1" applyAlignment="1">
      <alignment vertical="top"/>
    </xf>
    <xf numFmtId="0" fontId="7" fillId="0" borderId="7" xfId="0" applyFont="1" applyBorder="1" applyAlignment="1">
      <alignment horizontal="left" vertical="top" wrapText="1"/>
    </xf>
    <xf numFmtId="49" fontId="6" fillId="0" borderId="9" xfId="0" applyNumberFormat="1" applyFont="1" applyBorder="1" applyAlignment="1">
      <alignment horizontal="center" vertical="top"/>
    </xf>
    <xf numFmtId="0" fontId="0" fillId="0" borderId="1" xfId="0" applyBorder="1"/>
    <xf numFmtId="49" fontId="6" fillId="0" borderId="9" xfId="0" applyNumberFormat="1" applyFont="1" applyBorder="1" applyAlignment="1">
      <alignment horizontal="center"/>
    </xf>
    <xf numFmtId="0" fontId="0" fillId="0" borderId="9" xfId="0" applyBorder="1"/>
    <xf numFmtId="0" fontId="5" fillId="0" borderId="8" xfId="0" applyFont="1" applyBorder="1" applyAlignment="1">
      <alignment horizontal="left" vertical="top"/>
    </xf>
    <xf numFmtId="49" fontId="6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49" fontId="6" fillId="0" borderId="1" xfId="1" applyNumberFormat="1" applyFont="1" applyBorder="1" applyAlignment="1">
      <alignment horizontal="left" vertical="top"/>
    </xf>
    <xf numFmtId="0" fontId="0" fillId="0" borderId="1" xfId="0" applyBorder="1" applyAlignment="1">
      <alignment horizontal="left"/>
    </xf>
    <xf numFmtId="49" fontId="6" fillId="0" borderId="1" xfId="0" applyNumberFormat="1" applyFont="1" applyBorder="1" applyAlignment="1">
      <alignment horizontal="left" vertical="top"/>
    </xf>
    <xf numFmtId="0" fontId="0" fillId="0" borderId="10" xfId="0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49" fontId="6" fillId="0" borderId="1" xfId="1" applyNumberFormat="1" applyFont="1" applyBorder="1" applyAlignment="1">
      <alignment vertical="top"/>
    </xf>
    <xf numFmtId="0" fontId="6" fillId="0" borderId="1" xfId="0" applyFont="1" applyBorder="1" applyAlignment="1">
      <alignment vertical="center" wrapText="1"/>
    </xf>
    <xf numFmtId="49" fontId="6" fillId="0" borderId="1" xfId="0" applyNumberFormat="1" applyFont="1" applyBorder="1" applyAlignment="1">
      <alignment vertical="top"/>
    </xf>
    <xf numFmtId="0" fontId="0" fillId="3" borderId="0" xfId="0" applyFill="1"/>
    <xf numFmtId="0" fontId="0" fillId="0" borderId="0" xfId="0" applyAlignment="1">
      <alignment horizontal="left"/>
    </xf>
    <xf numFmtId="0" fontId="10" fillId="0" borderId="1" xfId="0" applyFont="1" applyBorder="1"/>
    <xf numFmtId="0" fontId="0" fillId="0" borderId="20" xfId="0" applyBorder="1"/>
    <xf numFmtId="0" fontId="0" fillId="0" borderId="27" xfId="0" applyBorder="1"/>
    <xf numFmtId="0" fontId="0" fillId="0" borderId="13" xfId="0" applyBorder="1"/>
    <xf numFmtId="0" fontId="10" fillId="0" borderId="29" xfId="0" applyFont="1" applyBorder="1"/>
    <xf numFmtId="0" fontId="0" fillId="0" borderId="19" xfId="0" applyBorder="1"/>
    <xf numFmtId="0" fontId="10" fillId="0" borderId="22" xfId="0" applyFont="1" applyBorder="1"/>
    <xf numFmtId="0" fontId="0" fillId="0" borderId="33" xfId="0" applyBorder="1"/>
    <xf numFmtId="0" fontId="0" fillId="0" borderId="34" xfId="0" applyBorder="1"/>
    <xf numFmtId="0" fontId="0" fillId="0" borderId="28" xfId="0" applyBorder="1" applyAlignment="1">
      <alignment horizontal="left"/>
    </xf>
    <xf numFmtId="0" fontId="0" fillId="0" borderId="28" xfId="0" applyBorder="1"/>
    <xf numFmtId="0" fontId="0" fillId="0" borderId="32" xfId="0" applyBorder="1"/>
    <xf numFmtId="0" fontId="0" fillId="0" borderId="35" xfId="0" applyBorder="1"/>
    <xf numFmtId="49" fontId="6" fillId="0" borderId="20" xfId="1" applyNumberFormat="1" applyFont="1" applyBorder="1" applyAlignment="1">
      <alignment horizontal="left" vertical="top"/>
    </xf>
    <xf numFmtId="0" fontId="0" fillId="0" borderId="36" xfId="0" applyBorder="1"/>
    <xf numFmtId="0" fontId="0" fillId="0" borderId="37" xfId="0" applyBorder="1"/>
    <xf numFmtId="0" fontId="0" fillId="0" borderId="24" xfId="0" applyBorder="1"/>
    <xf numFmtId="0" fontId="0" fillId="4" borderId="23" xfId="0" applyFill="1" applyBorder="1"/>
    <xf numFmtId="0" fontId="11" fillId="0" borderId="1" xfId="0" applyFont="1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2" xfId="0" applyBorder="1"/>
    <xf numFmtId="0" fontId="0" fillId="0" borderId="0" xfId="0" applyAlignment="1">
      <alignment vertical="center"/>
    </xf>
    <xf numFmtId="0" fontId="0" fillId="0" borderId="17" xfId="0" applyBorder="1"/>
    <xf numFmtId="0" fontId="0" fillId="0" borderId="41" xfId="0" applyBorder="1"/>
    <xf numFmtId="0" fontId="0" fillId="0" borderId="1" xfId="0" applyBorder="1" applyAlignment="1">
      <alignment horizontal="right"/>
    </xf>
    <xf numFmtId="0" fontId="0" fillId="0" borderId="25" xfId="0" applyBorder="1"/>
    <xf numFmtId="0" fontId="0" fillId="0" borderId="30" xfId="0" applyBorder="1"/>
    <xf numFmtId="0" fontId="0" fillId="0" borderId="26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31" xfId="0" applyBorder="1"/>
    <xf numFmtId="0" fontId="0" fillId="0" borderId="29" xfId="0" applyBorder="1"/>
    <xf numFmtId="0" fontId="0" fillId="0" borderId="0" xfId="0" applyAlignment="1">
      <alignment horizontal="center" wrapText="1"/>
    </xf>
    <xf numFmtId="0" fontId="10" fillId="0" borderId="0" xfId="0" applyFont="1" applyAlignment="1">
      <alignment horizontal="center"/>
    </xf>
    <xf numFmtId="0" fontId="0" fillId="0" borderId="31" xfId="0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13" fillId="0" borderId="43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0" fontId="16" fillId="0" borderId="21" xfId="0" applyFont="1" applyBorder="1"/>
    <xf numFmtId="0" fontId="16" fillId="0" borderId="19" xfId="0" applyFont="1" applyBorder="1"/>
    <xf numFmtId="0" fontId="0" fillId="0" borderId="23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7" fillId="0" borderId="1" xfId="0" applyFont="1" applyBorder="1"/>
    <xf numFmtId="0" fontId="0" fillId="0" borderId="9" xfId="0" applyBorder="1" applyAlignment="1">
      <alignment horizontal="center"/>
    </xf>
    <xf numFmtId="0" fontId="0" fillId="0" borderId="34" xfId="0" applyBorder="1" applyAlignment="1">
      <alignment horizontal="right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16" xfId="0" applyBorder="1" applyAlignment="1">
      <alignment horizontal="center"/>
    </xf>
    <xf numFmtId="0" fontId="0" fillId="0" borderId="46" xfId="0" applyBorder="1"/>
    <xf numFmtId="0" fontId="0" fillId="0" borderId="47" xfId="0" applyBorder="1"/>
    <xf numFmtId="0" fontId="0" fillId="0" borderId="18" xfId="0" applyBorder="1"/>
    <xf numFmtId="0" fontId="0" fillId="0" borderId="48" xfId="0" applyBorder="1"/>
    <xf numFmtId="0" fontId="0" fillId="0" borderId="9" xfId="0" applyBorder="1" applyAlignment="1">
      <alignment horizontal="left"/>
    </xf>
    <xf numFmtId="0" fontId="0" fillId="0" borderId="49" xfId="0" applyBorder="1"/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7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10" fillId="0" borderId="43" xfId="0" applyFont="1" applyBorder="1" applyAlignment="1">
      <alignment horizontal="center"/>
    </xf>
    <xf numFmtId="0" fontId="7" fillId="0" borderId="2" xfId="0" applyFont="1" applyBorder="1" applyAlignment="1">
      <alignment horizontal="center" vertical="top"/>
    </xf>
    <xf numFmtId="0" fontId="7" fillId="0" borderId="3" xfId="0" applyFont="1" applyBorder="1" applyAlignment="1">
      <alignment horizontal="center" vertical="top"/>
    </xf>
    <xf numFmtId="0" fontId="0" fillId="0" borderId="31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0" fillId="0" borderId="23" xfId="0" applyBorder="1" applyAlignment="1">
      <alignment horizontal="left"/>
    </xf>
    <xf numFmtId="0" fontId="0" fillId="0" borderId="24" xfId="0" applyBorder="1" applyAlignment="1">
      <alignment horizontal="left"/>
    </xf>
    <xf numFmtId="0" fontId="10" fillId="0" borderId="30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50" xfId="0" applyBorder="1" applyAlignment="1">
      <alignment horizontal="left"/>
    </xf>
    <xf numFmtId="0" fontId="0" fillId="0" borderId="51" xfId="0" applyBorder="1" applyAlignment="1">
      <alignment horizontal="left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42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4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3">
    <cellStyle name="Millares [0]" xfId="1" builtinId="6"/>
    <cellStyle name="Moneda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9525</xdr:colOff>
      <xdr:row>3</xdr:row>
      <xdr:rowOff>9525</xdr:rowOff>
    </xdr:from>
    <xdr:to>
      <xdr:col>18</xdr:col>
      <xdr:colOff>752475</xdr:colOff>
      <xdr:row>11</xdr:row>
      <xdr:rowOff>9525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165E7000-30A9-4515-8850-494AE13081C1}"/>
            </a:ext>
          </a:extLst>
        </xdr:cNvPr>
        <xdr:cNvCxnSpPr/>
      </xdr:nvCxnSpPr>
      <xdr:spPr>
        <a:xfrm>
          <a:off x="8001000" y="609600"/>
          <a:ext cx="1504950" cy="15716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28575</xdr:colOff>
      <xdr:row>3</xdr:row>
      <xdr:rowOff>1</xdr:rowOff>
    </xdr:from>
    <xdr:to>
      <xdr:col>20</xdr:col>
      <xdr:colOff>752475</xdr:colOff>
      <xdr:row>10</xdr:row>
      <xdr:rowOff>180975</xdr:rowOff>
    </xdr:to>
    <xdr:cxnSp macro="">
      <xdr:nvCxnSpPr>
        <xdr:cNvPr id="10" name="Conector recto 9">
          <a:extLst>
            <a:ext uri="{FF2B5EF4-FFF2-40B4-BE49-F238E27FC236}">
              <a16:creationId xmlns:a16="http://schemas.microsoft.com/office/drawing/2014/main" id="{7EDF1B1F-E769-4493-BB6B-6599022EB466}"/>
            </a:ext>
          </a:extLst>
        </xdr:cNvPr>
        <xdr:cNvCxnSpPr/>
      </xdr:nvCxnSpPr>
      <xdr:spPr>
        <a:xfrm flipV="1">
          <a:off x="9544050" y="600076"/>
          <a:ext cx="1485900" cy="156209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752475</xdr:colOff>
      <xdr:row>2</xdr:row>
      <xdr:rowOff>180975</xdr:rowOff>
    </xdr:from>
    <xdr:to>
      <xdr:col>18</xdr:col>
      <xdr:colOff>752475</xdr:colOff>
      <xdr:row>19</xdr:row>
      <xdr:rowOff>0</xdr:rowOff>
    </xdr:to>
    <xdr:cxnSp macro="">
      <xdr:nvCxnSpPr>
        <xdr:cNvPr id="13" name="Conector recto 12">
          <a:extLst>
            <a:ext uri="{FF2B5EF4-FFF2-40B4-BE49-F238E27FC236}">
              <a16:creationId xmlns:a16="http://schemas.microsoft.com/office/drawing/2014/main" id="{544A6C88-A43A-4BE9-B7E2-09DE2C63DFA1}"/>
            </a:ext>
          </a:extLst>
        </xdr:cNvPr>
        <xdr:cNvCxnSpPr/>
      </xdr:nvCxnSpPr>
      <xdr:spPr>
        <a:xfrm>
          <a:off x="9505950" y="581025"/>
          <a:ext cx="0" cy="312420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38100</xdr:colOff>
      <xdr:row>2</xdr:row>
      <xdr:rowOff>190500</xdr:rowOff>
    </xdr:from>
    <xdr:to>
      <xdr:col>19</xdr:col>
      <xdr:colOff>38100</xdr:colOff>
      <xdr:row>19</xdr:row>
      <xdr:rowOff>9525</xdr:rowOff>
    </xdr:to>
    <xdr:cxnSp macro="">
      <xdr:nvCxnSpPr>
        <xdr:cNvPr id="17" name="Conector recto 16">
          <a:extLst>
            <a:ext uri="{FF2B5EF4-FFF2-40B4-BE49-F238E27FC236}">
              <a16:creationId xmlns:a16="http://schemas.microsoft.com/office/drawing/2014/main" id="{5CD3C3AE-4EFD-466B-A45D-AA5E7F88DE5F}"/>
            </a:ext>
          </a:extLst>
        </xdr:cNvPr>
        <xdr:cNvCxnSpPr/>
      </xdr:nvCxnSpPr>
      <xdr:spPr>
        <a:xfrm>
          <a:off x="9553575" y="590550"/>
          <a:ext cx="0" cy="312420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28575</xdr:colOff>
      <xdr:row>11</xdr:row>
      <xdr:rowOff>9525</xdr:rowOff>
    </xdr:from>
    <xdr:to>
      <xdr:col>20</xdr:col>
      <xdr:colOff>752477</xdr:colOff>
      <xdr:row>18</xdr:row>
      <xdr:rowOff>190501</xdr:rowOff>
    </xdr:to>
    <xdr:cxnSp macro="">
      <xdr:nvCxnSpPr>
        <xdr:cNvPr id="21" name="Conector recto 20">
          <a:extLst>
            <a:ext uri="{FF2B5EF4-FFF2-40B4-BE49-F238E27FC236}">
              <a16:creationId xmlns:a16="http://schemas.microsoft.com/office/drawing/2014/main" id="{9C45DDC7-9D8D-40BA-A5C2-F6B91FD610CE}"/>
            </a:ext>
          </a:extLst>
        </xdr:cNvPr>
        <xdr:cNvCxnSpPr/>
      </xdr:nvCxnSpPr>
      <xdr:spPr>
        <a:xfrm flipH="1" flipV="1">
          <a:off x="9544050" y="2181225"/>
          <a:ext cx="1485902" cy="15144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752475</xdr:colOff>
      <xdr:row>11</xdr:row>
      <xdr:rowOff>9525</xdr:rowOff>
    </xdr:from>
    <xdr:to>
      <xdr:col>18</xdr:col>
      <xdr:colOff>752475</xdr:colOff>
      <xdr:row>18</xdr:row>
      <xdr:rowOff>190501</xdr:rowOff>
    </xdr:to>
    <xdr:cxnSp macro="">
      <xdr:nvCxnSpPr>
        <xdr:cNvPr id="25" name="Conector recto 24">
          <a:extLst>
            <a:ext uri="{FF2B5EF4-FFF2-40B4-BE49-F238E27FC236}">
              <a16:creationId xmlns:a16="http://schemas.microsoft.com/office/drawing/2014/main" id="{A89DF514-2824-4666-87FA-076F191D8089}"/>
            </a:ext>
          </a:extLst>
        </xdr:cNvPr>
        <xdr:cNvCxnSpPr/>
      </xdr:nvCxnSpPr>
      <xdr:spPr>
        <a:xfrm flipV="1">
          <a:off x="7981950" y="2181225"/>
          <a:ext cx="1524000" cy="15144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11</xdr:row>
      <xdr:rowOff>180975</xdr:rowOff>
    </xdr:from>
    <xdr:to>
      <xdr:col>18</xdr:col>
      <xdr:colOff>752475</xdr:colOff>
      <xdr:row>12</xdr:row>
      <xdr:rowOff>1</xdr:rowOff>
    </xdr:to>
    <xdr:cxnSp macro="">
      <xdr:nvCxnSpPr>
        <xdr:cNvPr id="30" name="Conector recto 29">
          <a:extLst>
            <a:ext uri="{FF2B5EF4-FFF2-40B4-BE49-F238E27FC236}">
              <a16:creationId xmlns:a16="http://schemas.microsoft.com/office/drawing/2014/main" id="{A3B7DDC1-34B8-4BB8-B94B-F19273FB22B5}"/>
            </a:ext>
          </a:extLst>
        </xdr:cNvPr>
        <xdr:cNvCxnSpPr/>
      </xdr:nvCxnSpPr>
      <xdr:spPr>
        <a:xfrm>
          <a:off x="7991475" y="2352675"/>
          <a:ext cx="1514475" cy="9526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47625</xdr:colOff>
      <xdr:row>12</xdr:row>
      <xdr:rowOff>9525</xdr:rowOff>
    </xdr:from>
    <xdr:to>
      <xdr:col>21</xdr:col>
      <xdr:colOff>0</xdr:colOff>
      <xdr:row>12</xdr:row>
      <xdr:rowOff>9526</xdr:rowOff>
    </xdr:to>
    <xdr:cxnSp macro="">
      <xdr:nvCxnSpPr>
        <xdr:cNvPr id="33" name="Conector recto 32">
          <a:extLst>
            <a:ext uri="{FF2B5EF4-FFF2-40B4-BE49-F238E27FC236}">
              <a16:creationId xmlns:a16="http://schemas.microsoft.com/office/drawing/2014/main" id="{FC201BA4-EB38-4B12-B264-AA58F3E6A482}"/>
            </a:ext>
          </a:extLst>
        </xdr:cNvPr>
        <xdr:cNvCxnSpPr/>
      </xdr:nvCxnSpPr>
      <xdr:spPr>
        <a:xfrm flipV="1">
          <a:off x="9563100" y="2371725"/>
          <a:ext cx="1476375" cy="1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352425</xdr:colOff>
      <xdr:row>2</xdr:row>
      <xdr:rowOff>190500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91287351-C77D-4F59-9578-ECEC39A631AB}"/>
            </a:ext>
          </a:extLst>
        </xdr:cNvPr>
        <xdr:cNvCxnSpPr/>
      </xdr:nvCxnSpPr>
      <xdr:spPr>
        <a:xfrm>
          <a:off x="3667125" y="200025"/>
          <a:ext cx="352425" cy="381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419100</xdr:colOff>
      <xdr:row>0</xdr:row>
      <xdr:rowOff>190500</xdr:rowOff>
    </xdr:from>
    <xdr:to>
      <xdr:col>13</xdr:col>
      <xdr:colOff>742950</xdr:colOff>
      <xdr:row>3</xdr:row>
      <xdr:rowOff>9525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DF71CA35-2E27-4A53-A79B-C96022C7AC5B}"/>
            </a:ext>
          </a:extLst>
        </xdr:cNvPr>
        <xdr:cNvCxnSpPr/>
      </xdr:nvCxnSpPr>
      <xdr:spPr>
        <a:xfrm flipH="1">
          <a:off x="4086225" y="190500"/>
          <a:ext cx="323850" cy="4095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4</xdr:row>
      <xdr:rowOff>114300</xdr:rowOff>
    </xdr:from>
    <xdr:to>
      <xdr:col>6</xdr:col>
      <xdr:colOff>600075</xdr:colOff>
      <xdr:row>4</xdr:row>
      <xdr:rowOff>114300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A319AE55-4EA0-4BEB-853A-2D721B19CDF8}"/>
            </a:ext>
          </a:extLst>
        </xdr:cNvPr>
        <xdr:cNvCxnSpPr/>
      </xdr:nvCxnSpPr>
      <xdr:spPr>
        <a:xfrm flipH="1">
          <a:off x="6048375" y="695325"/>
          <a:ext cx="4476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123825</xdr:colOff>
      <xdr:row>4</xdr:row>
      <xdr:rowOff>133350</xdr:rowOff>
    </xdr:from>
    <xdr:to>
      <xdr:col>7</xdr:col>
      <xdr:colOff>619126</xdr:colOff>
      <xdr:row>4</xdr:row>
      <xdr:rowOff>133350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1035A7E8-EEFC-44A1-B6E6-9FDB91E92057}"/>
            </a:ext>
          </a:extLst>
        </xdr:cNvPr>
        <xdr:cNvCxnSpPr/>
      </xdr:nvCxnSpPr>
      <xdr:spPr>
        <a:xfrm>
          <a:off x="6781800" y="714375"/>
          <a:ext cx="49530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</xdr:colOff>
      <xdr:row>3</xdr:row>
      <xdr:rowOff>114300</xdr:rowOff>
    </xdr:from>
    <xdr:to>
      <xdr:col>5</xdr:col>
      <xdr:colOff>600075</xdr:colOff>
      <xdr:row>3</xdr:row>
      <xdr:rowOff>114300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B610CA65-B182-48CF-905D-D3B8218351D6}"/>
            </a:ext>
          </a:extLst>
        </xdr:cNvPr>
        <xdr:cNvCxnSpPr/>
      </xdr:nvCxnSpPr>
      <xdr:spPr>
        <a:xfrm flipH="1">
          <a:off x="5810250" y="695325"/>
          <a:ext cx="4476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123825</xdr:colOff>
      <xdr:row>3</xdr:row>
      <xdr:rowOff>133350</xdr:rowOff>
    </xdr:from>
    <xdr:to>
      <xdr:col>6</xdr:col>
      <xdr:colOff>619126</xdr:colOff>
      <xdr:row>3</xdr:row>
      <xdr:rowOff>133350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6BEE37B9-87CE-4433-B720-98F4B66DA184}"/>
            </a:ext>
          </a:extLst>
        </xdr:cNvPr>
        <xdr:cNvCxnSpPr/>
      </xdr:nvCxnSpPr>
      <xdr:spPr>
        <a:xfrm>
          <a:off x="6543675" y="714375"/>
          <a:ext cx="49530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4</xdr:row>
      <xdr:rowOff>114300</xdr:rowOff>
    </xdr:from>
    <xdr:to>
      <xdr:col>6</xdr:col>
      <xdr:colOff>600075</xdr:colOff>
      <xdr:row>4</xdr:row>
      <xdr:rowOff>114300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20328161-3290-442D-B3AD-1C85B3BCB41A}"/>
            </a:ext>
          </a:extLst>
        </xdr:cNvPr>
        <xdr:cNvCxnSpPr/>
      </xdr:nvCxnSpPr>
      <xdr:spPr>
        <a:xfrm flipH="1">
          <a:off x="6619875" y="885825"/>
          <a:ext cx="4476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123825</xdr:colOff>
      <xdr:row>4</xdr:row>
      <xdr:rowOff>133350</xdr:rowOff>
    </xdr:from>
    <xdr:to>
      <xdr:col>7</xdr:col>
      <xdr:colOff>619126</xdr:colOff>
      <xdr:row>4</xdr:row>
      <xdr:rowOff>133350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28435FCE-235F-4CD7-9474-115D87C2CF43}"/>
            </a:ext>
          </a:extLst>
        </xdr:cNvPr>
        <xdr:cNvCxnSpPr/>
      </xdr:nvCxnSpPr>
      <xdr:spPr>
        <a:xfrm>
          <a:off x="7353300" y="904875"/>
          <a:ext cx="49530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berto%20Coloma/Desktop/Veratec%20Chile/CODIGOS%20PARA%20PROFORM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 de precios"/>
      <sheetName val="Hoja8"/>
      <sheetName val="Hoja5"/>
      <sheetName val="Hoja4"/>
      <sheetName val="Hoja6"/>
      <sheetName val="Hoja7"/>
      <sheetName val="Hoja2"/>
      <sheetName val="Hoja1"/>
      <sheetName val="Hoja3"/>
      <sheetName val="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1">
          <cell r="J1" t="str">
            <v>dólar</v>
          </cell>
          <cell r="K1">
            <v>650</v>
          </cell>
        </row>
        <row r="2">
          <cell r="J2" t="str">
            <v>costo envio</v>
          </cell>
          <cell r="K2">
            <v>0.06</v>
          </cell>
        </row>
        <row r="6">
          <cell r="A6" t="str">
            <v>5201NEB3VVGG58</v>
          </cell>
          <cell r="B6" t="str">
            <v>frame/Trop.White/Gray Gasket</v>
          </cell>
          <cell r="C6">
            <v>22</v>
          </cell>
          <cell r="D6">
            <v>765.6</v>
          </cell>
          <cell r="E6" t="str">
            <v>M</v>
          </cell>
          <cell r="F6">
            <v>1.536</v>
          </cell>
          <cell r="G6">
            <v>1.5359979101358412</v>
          </cell>
          <cell r="H6">
            <v>8.9087878787878783</v>
          </cell>
          <cell r="I6">
            <v>5790.712121212121</v>
          </cell>
          <cell r="J6">
            <v>347.44272727272727</v>
          </cell>
          <cell r="K6">
            <v>6138.1548484848481</v>
          </cell>
          <cell r="L6">
            <v>1175.96</v>
          </cell>
          <cell r="M6" t="str">
            <v>USD</v>
          </cell>
        </row>
        <row r="7">
          <cell r="A7" t="str">
            <v>5201NLK3153VVSS58</v>
          </cell>
          <cell r="B7" t="str">
            <v>D.Side Lam./Frame/Nussbaum/Black gasket</v>
          </cell>
          <cell r="C7">
            <v>22</v>
          </cell>
          <cell r="D7">
            <v>765.6</v>
          </cell>
          <cell r="E7" t="str">
            <v>M</v>
          </cell>
          <cell r="F7">
            <v>2.6076000000000001</v>
          </cell>
          <cell r="G7">
            <v>2.607601880877743</v>
          </cell>
          <cell r="H7">
            <v>15.12409090909091</v>
          </cell>
          <cell r="I7">
            <v>9830.6590909090919</v>
          </cell>
          <cell r="J7">
            <v>589.83954545454549</v>
          </cell>
          <cell r="K7">
            <v>10420.498636363638</v>
          </cell>
          <cell r="L7">
            <v>1996.38</v>
          </cell>
          <cell r="M7" t="str">
            <v>USD</v>
          </cell>
        </row>
        <row r="8">
          <cell r="A8" t="str">
            <v>5201NLK3043VVSS58</v>
          </cell>
          <cell r="B8" t="str">
            <v>D.Side Lam./Frame/GoldenOak/Black gasket</v>
          </cell>
          <cell r="C8">
            <v>22</v>
          </cell>
          <cell r="D8">
            <v>765.6</v>
          </cell>
          <cell r="E8" t="str">
            <v>M</v>
          </cell>
          <cell r="F8">
            <v>2.6076000000000001</v>
          </cell>
          <cell r="G8">
            <v>2.607601880877743</v>
          </cell>
          <cell r="H8">
            <v>15.12409090909091</v>
          </cell>
          <cell r="I8">
            <v>9830.6590909090919</v>
          </cell>
          <cell r="J8">
            <v>589.83954545454549</v>
          </cell>
          <cell r="K8">
            <v>10420.498636363638</v>
          </cell>
          <cell r="L8">
            <v>1996.38</v>
          </cell>
          <cell r="M8" t="str">
            <v>USD</v>
          </cell>
        </row>
        <row r="9">
          <cell r="A9" t="str">
            <v>5212NEB3VVGG58</v>
          </cell>
          <cell r="B9" t="str">
            <v>new sash/Trop.White/Gray Gasket</v>
          </cell>
          <cell r="C9">
            <v>8</v>
          </cell>
          <cell r="D9">
            <v>278.39999999999998</v>
          </cell>
          <cell r="E9" t="str">
            <v>M</v>
          </cell>
          <cell r="F9">
            <v>1.9392</v>
          </cell>
          <cell r="G9">
            <v>1.9392241379310347</v>
          </cell>
          <cell r="H9">
            <v>11.2475</v>
          </cell>
          <cell r="I9">
            <v>7310.875</v>
          </cell>
          <cell r="J9">
            <v>438.65249999999997</v>
          </cell>
          <cell r="K9">
            <v>7749.5275000000001</v>
          </cell>
          <cell r="L9">
            <v>539.88</v>
          </cell>
          <cell r="M9" t="str">
            <v>USD</v>
          </cell>
        </row>
        <row r="10">
          <cell r="A10" t="str">
            <v>5212NLK3153VVSS58</v>
          </cell>
          <cell r="B10" t="str">
            <v>D.Side Lam./Sash/Rn.Nusbaum/Black gasket</v>
          </cell>
          <cell r="C10">
            <v>8</v>
          </cell>
          <cell r="D10">
            <v>278.39999999999998</v>
          </cell>
          <cell r="E10" t="str">
            <v>M</v>
          </cell>
          <cell r="F10">
            <v>3.2012</v>
          </cell>
          <cell r="G10">
            <v>3.2012212643678164</v>
          </cell>
          <cell r="H10">
            <v>18.567083333333336</v>
          </cell>
          <cell r="I10">
            <v>12068.604166666668</v>
          </cell>
          <cell r="J10">
            <v>724.11625000000004</v>
          </cell>
          <cell r="K10">
            <v>12792.720416666667</v>
          </cell>
          <cell r="L10">
            <v>891.22</v>
          </cell>
          <cell r="M10" t="str">
            <v>USD</v>
          </cell>
        </row>
        <row r="11">
          <cell r="A11" t="str">
            <v>5212NLK3043VVSS58</v>
          </cell>
          <cell r="B11" t="str">
            <v>D.Side Lam./Sash/Rn.G.oak/Black gasket</v>
          </cell>
          <cell r="C11">
            <v>7</v>
          </cell>
          <cell r="D11">
            <v>255.2</v>
          </cell>
          <cell r="E11" t="str">
            <v>M</v>
          </cell>
          <cell r="F11">
            <v>3.2012</v>
          </cell>
          <cell r="G11">
            <v>3.20121473354232</v>
          </cell>
          <cell r="H11">
            <v>18.567045454545454</v>
          </cell>
          <cell r="I11">
            <v>12068.579545454546</v>
          </cell>
          <cell r="J11">
            <v>724.11477272727268</v>
          </cell>
          <cell r="K11">
            <v>12792.694318181819</v>
          </cell>
          <cell r="L11">
            <v>816.95</v>
          </cell>
          <cell r="M11" t="str">
            <v>USD</v>
          </cell>
        </row>
        <row r="12">
          <cell r="A12" t="str">
            <v>5209NEB3VVGG58</v>
          </cell>
          <cell r="B12" t="str">
            <v>Outward Ope. Eco Sash Pro./White/Grey g.</v>
          </cell>
          <cell r="C12">
            <v>13</v>
          </cell>
          <cell r="D12">
            <v>452.4</v>
          </cell>
          <cell r="E12" t="str">
            <v>M</v>
          </cell>
          <cell r="F12">
            <v>1.9248000000000001</v>
          </cell>
          <cell r="G12">
            <v>1.9248010610079576</v>
          </cell>
          <cell r="H12">
            <v>11.163846153846153</v>
          </cell>
          <cell r="I12">
            <v>7256.4999999999991</v>
          </cell>
          <cell r="J12">
            <v>435.38999999999993</v>
          </cell>
          <cell r="K12">
            <v>7691.8899999999994</v>
          </cell>
          <cell r="L12">
            <v>870.78</v>
          </cell>
          <cell r="M12" t="str">
            <v>USD</v>
          </cell>
        </row>
        <row r="13">
          <cell r="A13" t="str">
            <v>5209NLK3153VVSS58</v>
          </cell>
          <cell r="B13" t="str">
            <v>D.Side Lam./Outw Opengwnd. Ssh/Maho/Blck</v>
          </cell>
          <cell r="C13">
            <v>1</v>
          </cell>
          <cell r="D13">
            <v>452.4</v>
          </cell>
          <cell r="E13" t="str">
            <v>M</v>
          </cell>
          <cell r="F13">
            <v>3.1482000000000001</v>
          </cell>
          <cell r="G13">
            <v>3.148209549071618</v>
          </cell>
          <cell r="H13">
            <v>18.259615384615383</v>
          </cell>
          <cell r="I13">
            <v>11868.75</v>
          </cell>
          <cell r="J13">
            <v>712.125</v>
          </cell>
          <cell r="K13">
            <v>12580.875</v>
          </cell>
          <cell r="L13">
            <v>1424.25</v>
          </cell>
          <cell r="M13" t="str">
            <v>USD</v>
          </cell>
        </row>
        <row r="14">
          <cell r="A14" t="str">
            <v>5209NLK3043VVSS58</v>
          </cell>
          <cell r="B14" t="str">
            <v>D.Side Lam./Outw Opengwnd.Ssh/G.Oak/Blck</v>
          </cell>
          <cell r="C14">
            <v>1</v>
          </cell>
          <cell r="D14">
            <v>452.4</v>
          </cell>
          <cell r="E14" t="str">
            <v>M</v>
          </cell>
          <cell r="F14">
            <v>3.1482000000000001</v>
          </cell>
          <cell r="G14">
            <v>3.148209549071618</v>
          </cell>
          <cell r="H14">
            <v>18.259615384615383</v>
          </cell>
          <cell r="I14">
            <v>11868.75</v>
          </cell>
          <cell r="J14">
            <v>712.125</v>
          </cell>
          <cell r="K14">
            <v>12580.875</v>
          </cell>
          <cell r="L14">
            <v>1424.25</v>
          </cell>
          <cell r="M14" t="str">
            <v>USD</v>
          </cell>
        </row>
        <row r="15">
          <cell r="A15" t="str">
            <v>5203NEB3VVGG58</v>
          </cell>
          <cell r="B15" t="str">
            <v>Eco Mullion/Trop.White/Gray gasket/5,8</v>
          </cell>
          <cell r="C15">
            <v>7</v>
          </cell>
          <cell r="D15">
            <v>243.6</v>
          </cell>
          <cell r="E15" t="str">
            <v>M</v>
          </cell>
          <cell r="F15">
            <v>1.9152</v>
          </cell>
          <cell r="G15">
            <v>1.9151888341543515</v>
          </cell>
          <cell r="H15">
            <v>11.108095238095238</v>
          </cell>
          <cell r="I15">
            <v>7220.2619047619046</v>
          </cell>
          <cell r="J15">
            <v>433.21571428571428</v>
          </cell>
          <cell r="K15">
            <v>7653.4776190476186</v>
          </cell>
          <cell r="L15">
            <v>466.54</v>
          </cell>
          <cell r="M15" t="str">
            <v>USD</v>
          </cell>
        </row>
        <row r="16">
          <cell r="A16" t="str">
            <v>5203NLK3153VVSS58</v>
          </cell>
          <cell r="B16" t="str">
            <v>D.Side Lam./Mullion/Nussbaum/Black gaskt</v>
          </cell>
          <cell r="C16">
            <v>7</v>
          </cell>
          <cell r="D16">
            <v>243.6</v>
          </cell>
          <cell r="E16" t="str">
            <v>M</v>
          </cell>
          <cell r="F16">
            <v>3.2330000000000001</v>
          </cell>
          <cell r="G16">
            <v>3.2330049261083742</v>
          </cell>
          <cell r="H16">
            <v>18.751428571428569</v>
          </cell>
          <cell r="I16">
            <v>12188.428571428571</v>
          </cell>
          <cell r="J16">
            <v>731.3057142857142</v>
          </cell>
          <cell r="K16">
            <v>12919.734285714285</v>
          </cell>
          <cell r="L16">
            <v>787.56</v>
          </cell>
          <cell r="M16" t="str">
            <v>USD</v>
          </cell>
        </row>
        <row r="17">
          <cell r="A17" t="str">
            <v>5203NLK3043VVSS58</v>
          </cell>
          <cell r="B17" t="str">
            <v>D.Side Lam./Mullion/GoldenOak/Black gskt</v>
          </cell>
          <cell r="C17">
            <v>7</v>
          </cell>
          <cell r="D17">
            <v>243.6</v>
          </cell>
          <cell r="E17" t="str">
            <v>M</v>
          </cell>
          <cell r="F17">
            <v>3.2330000000000001</v>
          </cell>
          <cell r="G17">
            <v>3.2330049261083742</v>
          </cell>
          <cell r="H17">
            <v>18.751428571428569</v>
          </cell>
          <cell r="I17">
            <v>12188.428571428571</v>
          </cell>
          <cell r="J17">
            <v>731.3057142857142</v>
          </cell>
          <cell r="K17">
            <v>12919.734285714285</v>
          </cell>
          <cell r="L17">
            <v>787.56</v>
          </cell>
          <cell r="M17" t="str">
            <v>USD</v>
          </cell>
        </row>
        <row r="18">
          <cell r="A18" t="str">
            <v>5210NEB3VVGG58</v>
          </cell>
          <cell r="B18" t="str">
            <v>Door Sash (Out Open)/White/Grey Gask</v>
          </cell>
          <cell r="C18">
            <v>8</v>
          </cell>
          <cell r="D18">
            <v>185.6</v>
          </cell>
          <cell r="E18" t="str">
            <v>M</v>
          </cell>
          <cell r="F18">
            <v>2.3376000000000001</v>
          </cell>
          <cell r="G18">
            <v>2.3376077586206896</v>
          </cell>
          <cell r="H18">
            <v>13.558124999999999</v>
          </cell>
          <cell r="I18">
            <v>8812.78125</v>
          </cell>
          <cell r="J18">
            <v>528.76687500000003</v>
          </cell>
          <cell r="K18">
            <v>9341.5481249999993</v>
          </cell>
          <cell r="L18">
            <v>433.86</v>
          </cell>
          <cell r="M18" t="str">
            <v>USD</v>
          </cell>
        </row>
        <row r="19">
          <cell r="A19" t="str">
            <v>5210NLK3153VVSS58</v>
          </cell>
          <cell r="B19" t="str">
            <v>D.Side Lam./Door Sash/Nussbaum/Black</v>
          </cell>
          <cell r="C19">
            <v>8</v>
          </cell>
          <cell r="D19">
            <v>185.6</v>
          </cell>
          <cell r="E19" t="str">
            <v>M</v>
          </cell>
          <cell r="F19">
            <v>4.0227000000000004</v>
          </cell>
          <cell r="G19">
            <v>4.0226831896551722</v>
          </cell>
          <cell r="H19">
            <v>23.331562499999997</v>
          </cell>
          <cell r="I19">
            <v>15165.515624999998</v>
          </cell>
          <cell r="J19">
            <v>909.93093749999991</v>
          </cell>
          <cell r="K19">
            <v>16075.446562499998</v>
          </cell>
          <cell r="L19">
            <v>746.61</v>
          </cell>
          <cell r="M19" t="str">
            <v>USD</v>
          </cell>
        </row>
        <row r="20">
          <cell r="A20" t="str">
            <v>5210NLK3043VVSS58</v>
          </cell>
          <cell r="B20" t="str">
            <v>D.Side Lam./Door Sash/Golden Oak/Black</v>
          </cell>
          <cell r="C20">
            <v>8</v>
          </cell>
          <cell r="D20">
            <v>185.6</v>
          </cell>
          <cell r="E20" t="str">
            <v>M</v>
          </cell>
          <cell r="F20">
            <v>4.0227000000000004</v>
          </cell>
          <cell r="G20">
            <v>4.0226831896551722</v>
          </cell>
          <cell r="H20">
            <v>23.331562499999997</v>
          </cell>
          <cell r="I20">
            <v>15165.515624999998</v>
          </cell>
          <cell r="J20">
            <v>909.93093749999991</v>
          </cell>
          <cell r="K20">
            <v>16075.446562499998</v>
          </cell>
          <cell r="L20">
            <v>746.61</v>
          </cell>
          <cell r="M20" t="str">
            <v>USD</v>
          </cell>
        </row>
        <row r="21">
          <cell r="A21" t="str">
            <v>5204NEB3VVGG58</v>
          </cell>
          <cell r="B21" t="str">
            <v>Door Sash (In Openg)/Trop.White/Gray</v>
          </cell>
          <cell r="C21">
            <v>6</v>
          </cell>
          <cell r="D21">
            <v>139.19999999999999</v>
          </cell>
          <cell r="E21" t="str">
            <v>M</v>
          </cell>
          <cell r="F21">
            <v>2.5007999999999999</v>
          </cell>
          <cell r="G21">
            <v>2.5007902298850579</v>
          </cell>
          <cell r="H21">
            <v>14.504583333333336</v>
          </cell>
          <cell r="I21">
            <v>9427.9791666666679</v>
          </cell>
          <cell r="J21">
            <v>565.67875000000004</v>
          </cell>
          <cell r="K21">
            <v>9993.657916666667</v>
          </cell>
          <cell r="L21">
            <v>348.11</v>
          </cell>
          <cell r="M21" t="str">
            <v>USD</v>
          </cell>
        </row>
        <row r="22">
          <cell r="A22" t="str">
            <v>5204NLK3153VVSS58</v>
          </cell>
          <cell r="B22" t="str">
            <v>D.Side Lam./Door Sash/Nussbaum/Black</v>
          </cell>
          <cell r="C22">
            <v>6</v>
          </cell>
          <cell r="D22">
            <v>139.19999999999999</v>
          </cell>
          <cell r="E22" t="str">
            <v>M</v>
          </cell>
          <cell r="F22">
            <v>4.4996999999999998</v>
          </cell>
          <cell r="G22">
            <v>4.4997126436781612</v>
          </cell>
          <cell r="H22">
            <v>26.098333333333333</v>
          </cell>
          <cell r="I22">
            <v>16963.916666666668</v>
          </cell>
          <cell r="J22">
            <v>1017.835</v>
          </cell>
          <cell r="K22">
            <v>17981.751666666667</v>
          </cell>
          <cell r="L22">
            <v>626.36</v>
          </cell>
          <cell r="M22" t="str">
            <v>USD</v>
          </cell>
        </row>
        <row r="23">
          <cell r="A23" t="str">
            <v>5204NLK3043VVSS58</v>
          </cell>
          <cell r="B23" t="str">
            <v>D.Side Lam./Door Sash/Golden Oak/Black</v>
          </cell>
          <cell r="C23">
            <v>6</v>
          </cell>
          <cell r="D23">
            <v>139.19999999999999</v>
          </cell>
          <cell r="E23" t="str">
            <v>M</v>
          </cell>
          <cell r="F23">
            <v>4.4996999999999998</v>
          </cell>
          <cell r="G23">
            <v>4.4997126436781612</v>
          </cell>
          <cell r="H23">
            <v>26.098333333333333</v>
          </cell>
          <cell r="I23">
            <v>16963.916666666668</v>
          </cell>
          <cell r="J23">
            <v>1017.835</v>
          </cell>
          <cell r="K23">
            <v>17981.751666666667</v>
          </cell>
          <cell r="L23">
            <v>626.36</v>
          </cell>
          <cell r="M23" t="str">
            <v>USD</v>
          </cell>
        </row>
        <row r="24">
          <cell r="A24" t="str">
            <v>5207B3VVGG58</v>
          </cell>
          <cell r="B24" t="str">
            <v>Rebatereverser/Trop.White/Gray gasket</v>
          </cell>
          <cell r="C24">
            <v>4</v>
          </cell>
          <cell r="D24">
            <v>139.19999999999999</v>
          </cell>
          <cell r="E24" t="str">
            <v>M</v>
          </cell>
          <cell r="F24">
            <v>1.8191999999999999</v>
          </cell>
          <cell r="G24">
            <v>1.8191810344827586</v>
          </cell>
          <cell r="H24">
            <v>10.55125</v>
          </cell>
          <cell r="I24">
            <v>6858.3125</v>
          </cell>
          <cell r="J24">
            <v>411.49874999999997</v>
          </cell>
          <cell r="K24">
            <v>7269.8112499999997</v>
          </cell>
          <cell r="L24">
            <v>253.23</v>
          </cell>
          <cell r="M24" t="str">
            <v>USD</v>
          </cell>
        </row>
        <row r="25">
          <cell r="A25" t="str">
            <v>5207LK3153VVSS58</v>
          </cell>
          <cell r="B25" t="str">
            <v>D.Side Lam./Rebatereverser/Nussbaum/Blck</v>
          </cell>
          <cell r="C25">
            <v>4</v>
          </cell>
          <cell r="D25">
            <v>139.19999999999999</v>
          </cell>
          <cell r="E25" t="str">
            <v>M</v>
          </cell>
          <cell r="F25">
            <v>3.1747000000000001</v>
          </cell>
          <cell r="G25">
            <v>3.1747126436781614</v>
          </cell>
          <cell r="H25">
            <v>18.413333333333334</v>
          </cell>
          <cell r="I25">
            <v>11968.666666666668</v>
          </cell>
          <cell r="J25">
            <v>718.12</v>
          </cell>
          <cell r="K25">
            <v>12686.786666666669</v>
          </cell>
          <cell r="L25">
            <v>441.92</v>
          </cell>
          <cell r="M25" t="str">
            <v>USD</v>
          </cell>
        </row>
        <row r="26">
          <cell r="A26" t="str">
            <v>5207LK3043VVSS58</v>
          </cell>
          <cell r="B26" t="str">
            <v>D.Side Lam./Rebatereverser/G.Oak/Black</v>
          </cell>
          <cell r="C26">
            <v>4</v>
          </cell>
          <cell r="D26">
            <v>139.19999999999999</v>
          </cell>
          <cell r="E26" t="str">
            <v>M</v>
          </cell>
          <cell r="F26">
            <v>3.1747000000000001</v>
          </cell>
          <cell r="G26">
            <v>3.1747126436781614</v>
          </cell>
          <cell r="H26">
            <v>18.413333333333334</v>
          </cell>
          <cell r="I26">
            <v>11968.666666666668</v>
          </cell>
          <cell r="J26">
            <v>718.12</v>
          </cell>
          <cell r="K26">
            <v>12686.786666666669</v>
          </cell>
          <cell r="L26">
            <v>441.92</v>
          </cell>
          <cell r="M26" t="str">
            <v>USD</v>
          </cell>
        </row>
        <row r="27">
          <cell r="A27" t="str">
            <v>7088B1XXGG58</v>
          </cell>
          <cell r="B27" t="str">
            <v>Double Glezing Bead/White/Gray gasket</v>
          </cell>
          <cell r="C27">
            <v>4</v>
          </cell>
          <cell r="D27">
            <v>580</v>
          </cell>
          <cell r="E27" t="str">
            <v>M</v>
          </cell>
          <cell r="F27">
            <v>0.47039999999999998</v>
          </cell>
          <cell r="G27">
            <v>0.47039655172413791</v>
          </cell>
          <cell r="H27">
            <v>2.7282999999999999</v>
          </cell>
          <cell r="I27">
            <v>1773.395</v>
          </cell>
          <cell r="J27">
            <v>106.4037</v>
          </cell>
          <cell r="K27">
            <v>1879.7987000000001</v>
          </cell>
          <cell r="L27">
            <v>272.83</v>
          </cell>
          <cell r="M27" t="str">
            <v>USD</v>
          </cell>
        </row>
        <row r="28">
          <cell r="A28" t="str">
            <v>7088LK3154XXSS58</v>
          </cell>
          <cell r="B28" t="str">
            <v>Sing.Lam/Double Glezing Bead/Nuss/Black</v>
          </cell>
          <cell r="C28">
            <v>4</v>
          </cell>
          <cell r="D28">
            <v>580</v>
          </cell>
          <cell r="E28" t="str">
            <v>M</v>
          </cell>
          <cell r="F28">
            <v>0.91159999999999997</v>
          </cell>
          <cell r="G28">
            <v>0.91160344827586215</v>
          </cell>
          <cell r="H28">
            <v>5.2873000000000001</v>
          </cell>
          <cell r="I28">
            <v>3436.7449999999999</v>
          </cell>
          <cell r="J28">
            <v>206.20469999999997</v>
          </cell>
          <cell r="K28">
            <v>3642.9496999999997</v>
          </cell>
          <cell r="L28">
            <v>528.73</v>
          </cell>
          <cell r="M28" t="str">
            <v>USD</v>
          </cell>
        </row>
        <row r="29">
          <cell r="A29" t="str">
            <v>7088LK3044XXSS58</v>
          </cell>
          <cell r="B29" t="str">
            <v>Sing.Lam/Double Glezing Bead/Golden Oak/</v>
          </cell>
          <cell r="C29">
            <v>4</v>
          </cell>
          <cell r="D29">
            <v>580</v>
          </cell>
          <cell r="E29" t="str">
            <v>M</v>
          </cell>
          <cell r="F29">
            <v>0.91159999999999997</v>
          </cell>
          <cell r="G29">
            <v>0.91160344827586215</v>
          </cell>
          <cell r="H29">
            <v>5.2873000000000001</v>
          </cell>
          <cell r="I29">
            <v>3436.7449999999999</v>
          </cell>
          <cell r="J29">
            <v>206.20469999999997</v>
          </cell>
          <cell r="K29">
            <v>3642.9496999999997</v>
          </cell>
          <cell r="L29">
            <v>528.73</v>
          </cell>
          <cell r="M29" t="str">
            <v>USD</v>
          </cell>
        </row>
        <row r="30">
          <cell r="A30" t="str">
            <v>7063B1XXGG58</v>
          </cell>
          <cell r="B30" t="str">
            <v>Doubl Glazng Bead34mm/White/Gray gasket</v>
          </cell>
          <cell r="C30">
            <v>12</v>
          </cell>
          <cell r="D30">
            <v>1740</v>
          </cell>
          <cell r="E30" t="str">
            <v>M</v>
          </cell>
          <cell r="F30">
            <v>0.36480000000000001</v>
          </cell>
          <cell r="G30">
            <v>0.36479885057471262</v>
          </cell>
          <cell r="H30">
            <v>2.1158333333333332</v>
          </cell>
          <cell r="I30">
            <v>1375.2916666666665</v>
          </cell>
          <cell r="J30">
            <v>82.517499999999984</v>
          </cell>
          <cell r="K30">
            <v>1457.8091666666664</v>
          </cell>
          <cell r="L30">
            <v>634.75</v>
          </cell>
          <cell r="M30" t="str">
            <v>USD</v>
          </cell>
        </row>
        <row r="31">
          <cell r="A31" t="str">
            <v>7063LK3154XXSS58</v>
          </cell>
          <cell r="B31" t="str">
            <v>Sing.Lam/Doubl Glazng Bead/Nuss/Black</v>
          </cell>
          <cell r="C31">
            <v>21</v>
          </cell>
          <cell r="D31">
            <v>1450</v>
          </cell>
          <cell r="E31" t="str">
            <v>M</v>
          </cell>
          <cell r="F31">
            <v>0.73670000000000002</v>
          </cell>
          <cell r="G31">
            <v>0.73669655172413795</v>
          </cell>
          <cell r="H31">
            <v>4.2728400000000004</v>
          </cell>
          <cell r="I31">
            <v>2777.3460000000005</v>
          </cell>
          <cell r="J31">
            <v>166.64076000000003</v>
          </cell>
          <cell r="K31">
            <v>2943.9867600000007</v>
          </cell>
          <cell r="L31">
            <v>1068.21</v>
          </cell>
          <cell r="M31" t="str">
            <v>USD</v>
          </cell>
        </row>
        <row r="32">
          <cell r="A32" t="str">
            <v>7063LK3044XXSS58</v>
          </cell>
          <cell r="B32" t="str">
            <v>Sing.Lam/Doubl Glazng Bead/G.Oak/Black</v>
          </cell>
          <cell r="C32">
            <v>17</v>
          </cell>
          <cell r="D32">
            <v>1160</v>
          </cell>
          <cell r="E32" t="str">
            <v>M</v>
          </cell>
          <cell r="F32">
            <v>0.73670000000000002</v>
          </cell>
          <cell r="G32">
            <v>0.73669827586206904</v>
          </cell>
          <cell r="H32">
            <v>4.27285</v>
          </cell>
          <cell r="I32">
            <v>2777.3525</v>
          </cell>
          <cell r="J32">
            <v>166.64114999999998</v>
          </cell>
          <cell r="K32">
            <v>2943.9936499999999</v>
          </cell>
          <cell r="L32">
            <v>854.57</v>
          </cell>
          <cell r="M32" t="str">
            <v>USD</v>
          </cell>
        </row>
        <row r="33">
          <cell r="A33" t="str">
            <v>7464B1XXGG58</v>
          </cell>
          <cell r="B33" t="str">
            <v>Doublglazng Bead20mm/White/Gray gasket</v>
          </cell>
          <cell r="C33">
            <v>12</v>
          </cell>
          <cell r="D33">
            <v>1740</v>
          </cell>
          <cell r="E33" t="str">
            <v>M</v>
          </cell>
          <cell r="F33">
            <v>0.32640000000000002</v>
          </cell>
          <cell r="G33">
            <v>0.32640229885057476</v>
          </cell>
          <cell r="H33">
            <v>1.8931333333333336</v>
          </cell>
          <cell r="I33">
            <v>1230.5366666666669</v>
          </cell>
          <cell r="J33">
            <v>73.832200000000014</v>
          </cell>
          <cell r="K33">
            <v>1304.3688666666669</v>
          </cell>
          <cell r="L33">
            <v>567.94000000000005</v>
          </cell>
          <cell r="M33" t="str">
            <v>USD</v>
          </cell>
        </row>
        <row r="34">
          <cell r="A34" t="str">
            <v>7464LK3154XXSS58</v>
          </cell>
          <cell r="B34" t="str">
            <v>Sing.Lam/Doublglazng Bead/Nussbaum/Black</v>
          </cell>
          <cell r="C34">
            <v>21</v>
          </cell>
          <cell r="D34">
            <v>1450</v>
          </cell>
          <cell r="E34" t="str">
            <v>M</v>
          </cell>
          <cell r="F34">
            <v>0.66249999999999998</v>
          </cell>
          <cell r="G34">
            <v>0.66249655172413791</v>
          </cell>
          <cell r="H34">
            <v>3.8424799999999997</v>
          </cell>
          <cell r="I34">
            <v>2497.6119999999996</v>
          </cell>
          <cell r="J34">
            <v>149.85671999999997</v>
          </cell>
          <cell r="K34">
            <v>2647.4687199999994</v>
          </cell>
          <cell r="L34">
            <v>960.62</v>
          </cell>
          <cell r="M34" t="str">
            <v>USD</v>
          </cell>
        </row>
        <row r="35">
          <cell r="A35" t="str">
            <v>7464LK3044XXSS58</v>
          </cell>
          <cell r="B35" t="str">
            <v>Sing.Lam/Doublglazng Bead/G.Oak/Black</v>
          </cell>
          <cell r="C35">
            <v>17</v>
          </cell>
          <cell r="D35">
            <v>1160</v>
          </cell>
          <cell r="E35" t="str">
            <v>M</v>
          </cell>
          <cell r="F35">
            <v>0.66249999999999998</v>
          </cell>
          <cell r="G35">
            <v>0.66249999999999998</v>
          </cell>
          <cell r="H35">
            <v>3.8424999999999998</v>
          </cell>
          <cell r="I35">
            <v>2497.625</v>
          </cell>
          <cell r="J35">
            <v>149.85749999999999</v>
          </cell>
          <cell r="K35">
            <v>2647.4825000000001</v>
          </cell>
          <cell r="L35">
            <v>768.5</v>
          </cell>
          <cell r="M35" t="str">
            <v>USD</v>
          </cell>
        </row>
        <row r="36">
          <cell r="A36" t="str">
            <v>7401B3VV58</v>
          </cell>
          <cell r="B36" t="str">
            <v>Sliding Frame/Trop.White</v>
          </cell>
          <cell r="C36">
            <v>20</v>
          </cell>
          <cell r="D36">
            <v>696</v>
          </cell>
          <cell r="E36" t="str">
            <v>M</v>
          </cell>
          <cell r="F36">
            <v>2.2416</v>
          </cell>
          <cell r="G36">
            <v>2.2415948275862072</v>
          </cell>
          <cell r="H36">
            <v>13.001250000000001</v>
          </cell>
          <cell r="I36">
            <v>8450.8125</v>
          </cell>
          <cell r="J36">
            <v>507.04874999999998</v>
          </cell>
          <cell r="K36">
            <v>8957.8612499999999</v>
          </cell>
          <cell r="L36">
            <v>1560.15</v>
          </cell>
          <cell r="M36" t="str">
            <v>USD</v>
          </cell>
        </row>
        <row r="37">
          <cell r="A37" t="str">
            <v>7401LK3155VV58</v>
          </cell>
          <cell r="B37" t="str">
            <v>Ovrl.Side/SlidingFrame/Walnut/Veratec/5,</v>
          </cell>
          <cell r="C37">
            <v>20</v>
          </cell>
          <cell r="D37">
            <v>696</v>
          </cell>
          <cell r="E37" t="str">
            <v>M</v>
          </cell>
          <cell r="F37">
            <v>3.4556</v>
          </cell>
          <cell r="G37">
            <v>3.4556034482758617</v>
          </cell>
          <cell r="H37">
            <v>20.042499999999997</v>
          </cell>
          <cell r="I37">
            <v>13027.624999999998</v>
          </cell>
          <cell r="J37">
            <v>781.65749999999991</v>
          </cell>
          <cell r="K37">
            <v>13809.282499999998</v>
          </cell>
          <cell r="L37">
            <v>2405.1</v>
          </cell>
          <cell r="M37" t="str">
            <v>USD</v>
          </cell>
        </row>
        <row r="38">
          <cell r="A38" t="str">
            <v>7401LK3045VV58</v>
          </cell>
          <cell r="B38" t="str">
            <v>Ovrl.Side/SlidingFrame/Kızıl/Veratec/5,8</v>
          </cell>
          <cell r="C38">
            <v>13</v>
          </cell>
          <cell r="D38">
            <v>452.4</v>
          </cell>
          <cell r="E38" t="str">
            <v>M</v>
          </cell>
          <cell r="F38">
            <v>3.4556</v>
          </cell>
          <cell r="G38">
            <v>3.4555923961096378</v>
          </cell>
          <cell r="H38">
            <v>20.042435897435897</v>
          </cell>
          <cell r="I38">
            <v>13027.583333333334</v>
          </cell>
          <cell r="J38">
            <v>781.65499999999997</v>
          </cell>
          <cell r="K38">
            <v>13809.238333333335</v>
          </cell>
          <cell r="L38">
            <v>1563.31</v>
          </cell>
          <cell r="M38" t="str">
            <v>USD</v>
          </cell>
        </row>
        <row r="39">
          <cell r="A39" t="str">
            <v>7411NEB3VVGG58</v>
          </cell>
          <cell r="B39" t="str">
            <v>Sli. Fix Frame/White/Gray gasket</v>
          </cell>
          <cell r="C39">
            <v>17</v>
          </cell>
          <cell r="D39">
            <v>394.4</v>
          </cell>
          <cell r="E39" t="str">
            <v>M</v>
          </cell>
          <cell r="F39">
            <v>2.7263999999999999</v>
          </cell>
          <cell r="G39">
            <v>2.7263945233265723</v>
          </cell>
          <cell r="H39">
            <v>15.813088235294119</v>
          </cell>
          <cell r="I39">
            <v>10278.507352941177</v>
          </cell>
          <cell r="J39">
            <v>616.71044117647057</v>
          </cell>
          <cell r="K39">
            <v>10895.217794117647</v>
          </cell>
          <cell r="L39">
            <v>1075.29</v>
          </cell>
          <cell r="M39" t="str">
            <v>USD</v>
          </cell>
        </row>
        <row r="40">
          <cell r="A40" t="str">
            <v>7411NLK3155VVSS58</v>
          </cell>
          <cell r="B40" t="str">
            <v>Ovrl.Side/SlidingFrame/Walnut/Veratec/5,</v>
          </cell>
          <cell r="C40">
            <v>17</v>
          </cell>
          <cell r="D40">
            <v>417.6</v>
          </cell>
          <cell r="E40" t="str">
            <v>M</v>
          </cell>
          <cell r="F40">
            <v>4.2877000000000001</v>
          </cell>
          <cell r="G40">
            <v>4.2876915708812255</v>
          </cell>
          <cell r="H40">
            <v>24.868611111111107</v>
          </cell>
          <cell r="I40">
            <v>16164.597222222219</v>
          </cell>
          <cell r="J40">
            <v>969.87583333333305</v>
          </cell>
          <cell r="K40">
            <v>17134.473055555551</v>
          </cell>
          <cell r="L40">
            <v>1790.54</v>
          </cell>
          <cell r="M40" t="str">
            <v>USD</v>
          </cell>
        </row>
        <row r="41">
          <cell r="A41" t="str">
            <v>7411NLK3045VVSS58</v>
          </cell>
          <cell r="B41" t="str">
            <v>Ovrl.Side/SlidingFrame/Kızıl/Veratec/5,8</v>
          </cell>
          <cell r="C41">
            <v>11</v>
          </cell>
          <cell r="D41">
            <v>255.2</v>
          </cell>
          <cell r="E41" t="str">
            <v>M</v>
          </cell>
          <cell r="F41">
            <v>4.2877000000000001</v>
          </cell>
          <cell r="G41">
            <v>4.2876959247648907</v>
          </cell>
          <cell r="H41">
            <v>24.868636363636366</v>
          </cell>
          <cell r="I41">
            <v>16164.613636363638</v>
          </cell>
          <cell r="J41">
            <v>969.87681818181818</v>
          </cell>
          <cell r="K41">
            <v>17134.490454545456</v>
          </cell>
          <cell r="L41">
            <v>1094.22</v>
          </cell>
          <cell r="M41" t="str">
            <v>USD</v>
          </cell>
        </row>
        <row r="42">
          <cell r="A42" t="str">
            <v>7414B3VVF258</v>
          </cell>
          <cell r="B42" t="str">
            <v>Slıdıng Sash</v>
          </cell>
          <cell r="C42">
            <v>32</v>
          </cell>
          <cell r="D42">
            <v>742.4</v>
          </cell>
          <cell r="E42" t="str">
            <v>M</v>
          </cell>
          <cell r="F42">
            <v>2.6255999999999999</v>
          </cell>
          <cell r="G42">
            <v>2.6256061422413794</v>
          </cell>
          <cell r="H42">
            <v>15.228515625</v>
          </cell>
          <cell r="I42">
            <v>9898.53515625</v>
          </cell>
          <cell r="J42">
            <v>593.912109375</v>
          </cell>
          <cell r="K42">
            <v>10492.447265625</v>
          </cell>
          <cell r="L42">
            <v>1949.25</v>
          </cell>
          <cell r="M42" t="str">
            <v>USD</v>
          </cell>
        </row>
        <row r="43">
          <cell r="A43" t="str">
            <v>7414LK3153VVSS58</v>
          </cell>
          <cell r="B43" t="str">
            <v>D.Side Lam./Sliding Fix Fram/G.Oak/Black</v>
          </cell>
          <cell r="C43">
            <v>32</v>
          </cell>
          <cell r="D43">
            <v>742.4</v>
          </cell>
          <cell r="E43" t="str">
            <v>M</v>
          </cell>
          <cell r="F43">
            <v>4.2824</v>
          </cell>
          <cell r="G43">
            <v>4.2823949353448274</v>
          </cell>
          <cell r="H43">
            <v>24.837890624999996</v>
          </cell>
          <cell r="I43">
            <v>16144.628906249998</v>
          </cell>
          <cell r="J43">
            <v>968.67773437499989</v>
          </cell>
          <cell r="K43">
            <v>17113.306640624996</v>
          </cell>
          <cell r="L43">
            <v>3179.25</v>
          </cell>
          <cell r="M43" t="str">
            <v>USD</v>
          </cell>
        </row>
        <row r="44">
          <cell r="A44" t="str">
            <v>7414LK3043VVSS58</v>
          </cell>
          <cell r="B44" t="str">
            <v>Slıdıng Sash/Golden Oak/Black</v>
          </cell>
          <cell r="C44">
            <v>23</v>
          </cell>
          <cell r="D44">
            <v>533.6</v>
          </cell>
          <cell r="E44" t="str">
            <v>M</v>
          </cell>
          <cell r="F44">
            <v>4.2824</v>
          </cell>
          <cell r="G44">
            <v>4.2824025487256376</v>
          </cell>
          <cell r="H44">
            <v>24.837934782608698</v>
          </cell>
          <cell r="I44">
            <v>16144.657608695654</v>
          </cell>
          <cell r="J44">
            <v>968.67945652173921</v>
          </cell>
          <cell r="K44">
            <v>17113.337065217394</v>
          </cell>
          <cell r="L44">
            <v>2285.09</v>
          </cell>
          <cell r="M44" t="str">
            <v>USD</v>
          </cell>
        </row>
        <row r="45">
          <cell r="A45" t="str">
            <v>7415B3VVF258</v>
          </cell>
          <cell r="B45" t="str">
            <v>Slıdıng Sash</v>
          </cell>
          <cell r="C45">
            <v>20</v>
          </cell>
          <cell r="D45">
            <v>464</v>
          </cell>
          <cell r="E45" t="str">
            <v>M</v>
          </cell>
          <cell r="F45">
            <v>2.2991999999999999</v>
          </cell>
          <cell r="G45">
            <v>2.2992025862068965</v>
          </cell>
          <cell r="H45">
            <v>13.335374999999999</v>
          </cell>
          <cell r="I45">
            <v>8667.9937499999996</v>
          </cell>
          <cell r="J45">
            <v>520.07962499999996</v>
          </cell>
          <cell r="K45">
            <v>9188.0733749999999</v>
          </cell>
          <cell r="L45">
            <v>1066.83</v>
          </cell>
          <cell r="M45" t="str">
            <v>USD</v>
          </cell>
        </row>
        <row r="46">
          <cell r="A46" t="str">
            <v>7415LK3153VVSS58</v>
          </cell>
          <cell r="B46" t="str">
            <v>Slıdıng Sash</v>
          </cell>
          <cell r="C46">
            <v>20</v>
          </cell>
          <cell r="D46">
            <v>464</v>
          </cell>
          <cell r="E46" t="str">
            <v>M</v>
          </cell>
          <cell r="F46">
            <v>3.6781999999999999</v>
          </cell>
          <cell r="G46">
            <v>3.6781896551724138</v>
          </cell>
          <cell r="H46">
            <v>21.333500000000001</v>
          </cell>
          <cell r="I46">
            <v>13866.775</v>
          </cell>
          <cell r="J46">
            <v>832.00649999999996</v>
          </cell>
          <cell r="K46">
            <v>14698.781499999999</v>
          </cell>
          <cell r="L46">
            <v>1706.68</v>
          </cell>
          <cell r="M46" t="str">
            <v>USD</v>
          </cell>
        </row>
        <row r="47">
          <cell r="A47" t="str">
            <v>7415LK3043VVSS58</v>
          </cell>
          <cell r="B47" t="str">
            <v>Slıdıng Sash/Golden Oak/Black</v>
          </cell>
          <cell r="C47">
            <v>20</v>
          </cell>
          <cell r="D47">
            <v>464</v>
          </cell>
          <cell r="E47" t="str">
            <v>M</v>
          </cell>
          <cell r="F47">
            <v>3.6781999999999999</v>
          </cell>
          <cell r="G47">
            <v>3.6781896551724138</v>
          </cell>
          <cell r="H47">
            <v>21.333500000000001</v>
          </cell>
          <cell r="I47">
            <v>13866.775</v>
          </cell>
          <cell r="J47">
            <v>832.00649999999996</v>
          </cell>
          <cell r="K47">
            <v>14698.781499999999</v>
          </cell>
          <cell r="L47">
            <v>1706.68</v>
          </cell>
          <cell r="M47" t="str">
            <v>USD</v>
          </cell>
        </row>
        <row r="48">
          <cell r="A48" t="str">
            <v>7416B3VVGG58</v>
          </cell>
          <cell r="B48" t="str">
            <v>Mullıon70*80Mm/TropWhit/VeratecGgasket</v>
          </cell>
          <cell r="C48">
            <v>6</v>
          </cell>
          <cell r="D48">
            <v>208.8</v>
          </cell>
          <cell r="E48" t="str">
            <v>M</v>
          </cell>
          <cell r="F48">
            <v>1.8335999999999999</v>
          </cell>
          <cell r="G48">
            <v>1.8336206896551723</v>
          </cell>
          <cell r="H48">
            <v>10.635</v>
          </cell>
          <cell r="I48">
            <v>6912.75</v>
          </cell>
          <cell r="J48">
            <v>414.76499999999999</v>
          </cell>
          <cell r="K48">
            <v>7327.5150000000003</v>
          </cell>
          <cell r="L48">
            <v>382.86</v>
          </cell>
          <cell r="M48" t="str">
            <v>USD</v>
          </cell>
        </row>
        <row r="49">
          <cell r="A49" t="str">
            <v>7416LK3153VVSS58</v>
          </cell>
          <cell r="B49" t="str">
            <v>Dbl SideLam/Slid.Mull/Walnt/Verat/Blck G</v>
          </cell>
          <cell r="C49">
            <v>6</v>
          </cell>
          <cell r="D49">
            <v>139.19999999999999</v>
          </cell>
          <cell r="E49" t="str">
            <v>M</v>
          </cell>
          <cell r="F49">
            <v>3.2170999999999998</v>
          </cell>
          <cell r="G49">
            <v>3.2170977011494255</v>
          </cell>
          <cell r="H49">
            <v>18.659166666666668</v>
          </cell>
          <cell r="I49">
            <v>12128.458333333334</v>
          </cell>
          <cell r="J49">
            <v>727.70749999999998</v>
          </cell>
          <cell r="K49">
            <v>12856.165833333334</v>
          </cell>
          <cell r="L49">
            <v>447.82</v>
          </cell>
          <cell r="M49" t="str">
            <v>USD</v>
          </cell>
        </row>
        <row r="50">
          <cell r="A50" t="str">
            <v>7416LK3043VVSS58</v>
          </cell>
          <cell r="B50" t="str">
            <v>Dbl SideLam/Slid.Mull/G Oak/Verat/Blck G</v>
          </cell>
          <cell r="C50">
            <v>6</v>
          </cell>
          <cell r="D50">
            <v>139.19999999999999</v>
          </cell>
          <cell r="E50" t="str">
            <v>M</v>
          </cell>
          <cell r="F50">
            <v>3.2170999999999998</v>
          </cell>
          <cell r="G50">
            <v>3.2170977011494255</v>
          </cell>
          <cell r="H50">
            <v>18.659166666666668</v>
          </cell>
          <cell r="I50">
            <v>12128.458333333334</v>
          </cell>
          <cell r="J50">
            <v>727.70749999999998</v>
          </cell>
          <cell r="K50">
            <v>12856.165833333334</v>
          </cell>
          <cell r="L50">
            <v>447.82</v>
          </cell>
          <cell r="M50" t="str">
            <v>USD</v>
          </cell>
        </row>
        <row r="51">
          <cell r="A51" t="str">
            <v>7418B3XXGG58</v>
          </cell>
          <cell r="B51" t="str">
            <v>Sliding İnterlock/White/Gray gasket</v>
          </cell>
          <cell r="C51">
            <v>8</v>
          </cell>
          <cell r="D51">
            <v>464</v>
          </cell>
          <cell r="E51" t="str">
            <v>M</v>
          </cell>
          <cell r="F51">
            <v>0.83040000000000003</v>
          </cell>
          <cell r="G51">
            <v>0.8304094827586207</v>
          </cell>
          <cell r="H51">
            <v>4.8163749999999999</v>
          </cell>
          <cell r="I51">
            <v>3130.6437499999997</v>
          </cell>
          <cell r="J51">
            <v>187.83862499999998</v>
          </cell>
          <cell r="K51">
            <v>3318.4823749999996</v>
          </cell>
          <cell r="L51">
            <v>385.31</v>
          </cell>
          <cell r="M51" t="str">
            <v>USD</v>
          </cell>
        </row>
        <row r="52">
          <cell r="A52" t="str">
            <v>7418LK3157XXSS58</v>
          </cell>
          <cell r="B52" t="str">
            <v>Slıdıng Interlock</v>
          </cell>
          <cell r="C52">
            <v>8</v>
          </cell>
          <cell r="D52">
            <v>464</v>
          </cell>
          <cell r="E52" t="str">
            <v>M</v>
          </cell>
          <cell r="F52">
            <v>1.7383999999999999</v>
          </cell>
          <cell r="G52">
            <v>1.7384051724137932</v>
          </cell>
          <cell r="H52">
            <v>10.082750000000001</v>
          </cell>
          <cell r="I52">
            <v>6553.7875000000004</v>
          </cell>
          <cell r="J52">
            <v>393.22725000000003</v>
          </cell>
          <cell r="K52">
            <v>6947.0147500000003</v>
          </cell>
          <cell r="L52">
            <v>806.62</v>
          </cell>
          <cell r="M52" t="str">
            <v>USD</v>
          </cell>
        </row>
        <row r="53">
          <cell r="A53" t="str">
            <v>7418LK3047XXSS58</v>
          </cell>
          <cell r="B53" t="str">
            <v>Slıdıng Interlock/Golden Oak/Black</v>
          </cell>
          <cell r="C53">
            <v>4</v>
          </cell>
          <cell r="D53">
            <v>232</v>
          </cell>
          <cell r="E53" t="str">
            <v>M</v>
          </cell>
          <cell r="F53">
            <v>1.7383999999999999</v>
          </cell>
          <cell r="G53">
            <v>1.7384051724137932</v>
          </cell>
          <cell r="H53">
            <v>10.082750000000001</v>
          </cell>
          <cell r="I53">
            <v>6553.7875000000004</v>
          </cell>
          <cell r="J53">
            <v>393.22725000000003</v>
          </cell>
          <cell r="K53">
            <v>6947.0147500000003</v>
          </cell>
          <cell r="L53">
            <v>403.31</v>
          </cell>
          <cell r="M53" t="str">
            <v>USD</v>
          </cell>
        </row>
        <row r="54">
          <cell r="A54" t="str">
            <v>7419B3XXGG58</v>
          </cell>
          <cell r="B54" t="str">
            <v>Slıdıng ınterlock</v>
          </cell>
          <cell r="C54">
            <v>4</v>
          </cell>
          <cell r="D54">
            <v>232</v>
          </cell>
          <cell r="E54" t="str">
            <v>M</v>
          </cell>
          <cell r="F54">
            <v>0.78239999999999998</v>
          </cell>
          <cell r="G54">
            <v>0.78241379310344827</v>
          </cell>
          <cell r="H54">
            <v>4.5380000000000003</v>
          </cell>
          <cell r="I54">
            <v>2949.7000000000003</v>
          </cell>
          <cell r="J54">
            <v>176.982</v>
          </cell>
          <cell r="K54">
            <v>3126.6820000000002</v>
          </cell>
          <cell r="L54">
            <v>181.52</v>
          </cell>
          <cell r="M54" t="str">
            <v>USD</v>
          </cell>
        </row>
        <row r="55">
          <cell r="A55" t="str">
            <v>7419LK3157XXSS58</v>
          </cell>
          <cell r="B55" t="str">
            <v>Slıdıng ınterlock</v>
          </cell>
          <cell r="C55">
            <v>4</v>
          </cell>
          <cell r="D55">
            <v>232</v>
          </cell>
          <cell r="E55" t="str">
            <v>M</v>
          </cell>
          <cell r="F55">
            <v>1.6112</v>
          </cell>
          <cell r="G55">
            <v>1.6112068965517241</v>
          </cell>
          <cell r="H55">
            <v>9.3449999999999989</v>
          </cell>
          <cell r="I55">
            <v>6074.2499999999991</v>
          </cell>
          <cell r="J55">
            <v>364.45499999999993</v>
          </cell>
          <cell r="K55">
            <v>6438.704999999999</v>
          </cell>
          <cell r="L55">
            <v>373.8</v>
          </cell>
          <cell r="M55" t="str">
            <v>USD</v>
          </cell>
        </row>
        <row r="56">
          <cell r="A56" t="str">
            <v>7419LK3047XXSS58</v>
          </cell>
          <cell r="B56" t="str">
            <v>Slıdıng ınterlock/Golden Oak/Black</v>
          </cell>
          <cell r="C56">
            <v>4</v>
          </cell>
          <cell r="D56">
            <v>232</v>
          </cell>
          <cell r="E56" t="str">
            <v>M</v>
          </cell>
          <cell r="F56">
            <v>1.6112</v>
          </cell>
          <cell r="G56">
            <v>1.6112068965517241</v>
          </cell>
          <cell r="H56">
            <v>9.3449999999999989</v>
          </cell>
          <cell r="I56">
            <v>6074.2499999999991</v>
          </cell>
          <cell r="J56">
            <v>364.45499999999993</v>
          </cell>
          <cell r="K56">
            <v>6438.704999999999</v>
          </cell>
          <cell r="L56">
            <v>373.8</v>
          </cell>
          <cell r="M56" t="str">
            <v>USD</v>
          </cell>
        </row>
        <row r="57">
          <cell r="A57" t="str">
            <v>7405NB3XX58</v>
          </cell>
          <cell r="B57" t="str">
            <v>Slidingfix Frame Cov/White</v>
          </cell>
          <cell r="C57">
            <v>4</v>
          </cell>
          <cell r="D57">
            <v>232</v>
          </cell>
          <cell r="E57" t="str">
            <v>M</v>
          </cell>
          <cell r="F57">
            <v>0.68159999999999998</v>
          </cell>
          <cell r="G57">
            <v>0.68159482758620693</v>
          </cell>
          <cell r="H57">
            <v>3.9532500000000002</v>
          </cell>
          <cell r="I57">
            <v>2569.6125000000002</v>
          </cell>
          <cell r="J57">
            <v>154.17675</v>
          </cell>
          <cell r="K57">
            <v>2723.7892500000003</v>
          </cell>
          <cell r="L57">
            <v>158.13</v>
          </cell>
          <cell r="M57" t="str">
            <v>USD</v>
          </cell>
        </row>
        <row r="58">
          <cell r="A58" t="str">
            <v>7405NLB1154XX58</v>
          </cell>
          <cell r="B58" t="str">
            <v>Sing.Lam/Slidingfix Frame Cov/Nussbaum</v>
          </cell>
          <cell r="C58">
            <v>4</v>
          </cell>
          <cell r="D58">
            <v>232</v>
          </cell>
          <cell r="E58" t="str">
            <v>M</v>
          </cell>
          <cell r="F58">
            <v>1.3886000000000001</v>
          </cell>
          <cell r="G58">
            <v>1.3886206896551725</v>
          </cell>
          <cell r="H58">
            <v>8.0540000000000003</v>
          </cell>
          <cell r="I58">
            <v>5235.1000000000004</v>
          </cell>
          <cell r="J58">
            <v>314.10599999999999</v>
          </cell>
          <cell r="K58">
            <v>5549.2060000000001</v>
          </cell>
          <cell r="L58">
            <v>322.16000000000003</v>
          </cell>
          <cell r="M58" t="str">
            <v>USD</v>
          </cell>
        </row>
        <row r="59">
          <cell r="A59" t="str">
            <v>7405NLB1044XX58</v>
          </cell>
          <cell r="B59" t="str">
            <v>Sing.Lam/Slidingfix Frame Cov/Golden Oak</v>
          </cell>
          <cell r="C59">
            <v>4</v>
          </cell>
          <cell r="D59">
            <v>232</v>
          </cell>
          <cell r="E59" t="str">
            <v>M</v>
          </cell>
          <cell r="F59">
            <v>1.3886000000000001</v>
          </cell>
          <cell r="G59">
            <v>1.3886206896551725</v>
          </cell>
          <cell r="H59">
            <v>8.0540000000000003</v>
          </cell>
          <cell r="I59">
            <v>5235.1000000000004</v>
          </cell>
          <cell r="J59">
            <v>314.10599999999999</v>
          </cell>
          <cell r="K59">
            <v>5549.2060000000001</v>
          </cell>
          <cell r="L59">
            <v>322.16000000000003</v>
          </cell>
          <cell r="M59" t="str">
            <v>USD</v>
          </cell>
        </row>
        <row r="60">
          <cell r="A60" t="str">
            <v>6306B1XXGG58</v>
          </cell>
          <cell r="B60" t="str">
            <v>Single Glazing Bead/White/Gray gasket</v>
          </cell>
          <cell r="C60">
            <v>4</v>
          </cell>
          <cell r="D60">
            <v>580</v>
          </cell>
          <cell r="E60" t="str">
            <v>M</v>
          </cell>
          <cell r="F60">
            <v>0.49919999999999998</v>
          </cell>
          <cell r="G60">
            <v>0.49920689655172418</v>
          </cell>
          <cell r="H60">
            <v>2.8954</v>
          </cell>
          <cell r="I60">
            <v>1882.01</v>
          </cell>
          <cell r="J60">
            <v>112.92059999999999</v>
          </cell>
          <cell r="K60">
            <v>1994.9305999999999</v>
          </cell>
          <cell r="L60">
            <v>289.54000000000002</v>
          </cell>
          <cell r="M60" t="str">
            <v>USD</v>
          </cell>
        </row>
        <row r="61">
          <cell r="A61" t="str">
            <v>6306LK3154XXSS58</v>
          </cell>
          <cell r="B61" t="str">
            <v>Sıngle Glazıng Bead</v>
          </cell>
          <cell r="C61">
            <v>4</v>
          </cell>
          <cell r="D61">
            <v>580</v>
          </cell>
          <cell r="E61" t="str">
            <v>M</v>
          </cell>
          <cell r="F61">
            <v>1.0652999999999999</v>
          </cell>
          <cell r="G61">
            <v>1.0652931034482758</v>
          </cell>
          <cell r="H61">
            <v>6.1786999999999992</v>
          </cell>
          <cell r="I61">
            <v>4016.1549999999993</v>
          </cell>
          <cell r="J61">
            <v>240.96929999999995</v>
          </cell>
          <cell r="K61">
            <v>4257.1242999999995</v>
          </cell>
          <cell r="L61">
            <v>617.87</v>
          </cell>
          <cell r="M61" t="str">
            <v>USD</v>
          </cell>
        </row>
        <row r="62">
          <cell r="A62" t="str">
            <v>6306LK3044XXSS58</v>
          </cell>
          <cell r="B62" t="str">
            <v>Sıngle Glazıng Bead/Golden Oak/Black</v>
          </cell>
          <cell r="C62">
            <v>4</v>
          </cell>
          <cell r="D62">
            <v>580</v>
          </cell>
          <cell r="E62" t="str">
            <v>M</v>
          </cell>
          <cell r="F62">
            <v>1.0652999999999999</v>
          </cell>
          <cell r="G62">
            <v>1.0652931034482758</v>
          </cell>
          <cell r="H62">
            <v>6.1786999999999992</v>
          </cell>
          <cell r="I62">
            <v>4016.1549999999993</v>
          </cell>
          <cell r="J62">
            <v>240.96929999999995</v>
          </cell>
          <cell r="K62">
            <v>4257.1242999999995</v>
          </cell>
          <cell r="L62">
            <v>617.87</v>
          </cell>
          <cell r="M62" t="str">
            <v>USD</v>
          </cell>
        </row>
        <row r="63">
          <cell r="A63" t="str">
            <v>6307B1XXGG58</v>
          </cell>
          <cell r="B63" t="str">
            <v>Double Glazing Bead/White/Gray gasket</v>
          </cell>
          <cell r="C63">
            <v>8</v>
          </cell>
          <cell r="D63">
            <v>1160</v>
          </cell>
          <cell r="E63" t="str">
            <v>M</v>
          </cell>
          <cell r="F63">
            <v>0.39360000000000001</v>
          </cell>
          <cell r="G63">
            <v>0.39360344827586208</v>
          </cell>
          <cell r="H63">
            <v>2.2829000000000002</v>
          </cell>
          <cell r="I63">
            <v>1483.885</v>
          </cell>
          <cell r="J63">
            <v>89.03309999999999</v>
          </cell>
          <cell r="K63">
            <v>1572.9180999999999</v>
          </cell>
          <cell r="L63">
            <v>456.58</v>
          </cell>
          <cell r="M63" t="str">
            <v>USD</v>
          </cell>
        </row>
        <row r="64">
          <cell r="A64" t="str">
            <v>6307LK3154XXSS58</v>
          </cell>
          <cell r="B64" t="str">
            <v>Double Glazıng Bead</v>
          </cell>
          <cell r="C64">
            <v>17</v>
          </cell>
          <cell r="D64">
            <v>1160</v>
          </cell>
          <cell r="E64" t="str">
            <v>M</v>
          </cell>
          <cell r="F64">
            <v>0.79500000000000004</v>
          </cell>
          <cell r="G64">
            <v>0.79500000000000004</v>
          </cell>
          <cell r="H64">
            <v>4.6109999999999998</v>
          </cell>
          <cell r="I64">
            <v>2997.1499999999996</v>
          </cell>
          <cell r="J64">
            <v>179.82899999999998</v>
          </cell>
          <cell r="K64">
            <v>3176.9789999999998</v>
          </cell>
          <cell r="L64">
            <v>922.2</v>
          </cell>
          <cell r="M64" t="str">
            <v>USD</v>
          </cell>
        </row>
        <row r="65">
          <cell r="A65" t="str">
            <v>6307LK3044XXSS58</v>
          </cell>
          <cell r="B65" t="str">
            <v>Double Glazıng Bead</v>
          </cell>
          <cell r="C65">
            <v>8</v>
          </cell>
          <cell r="D65">
            <v>580</v>
          </cell>
          <cell r="E65" t="str">
            <v>M</v>
          </cell>
          <cell r="F65">
            <v>0.79500000000000004</v>
          </cell>
          <cell r="G65">
            <v>0.79500000000000004</v>
          </cell>
          <cell r="H65">
            <v>4.6109999999999998</v>
          </cell>
          <cell r="I65">
            <v>2997.1499999999996</v>
          </cell>
          <cell r="J65">
            <v>179.82899999999998</v>
          </cell>
          <cell r="K65">
            <v>3176.9789999999998</v>
          </cell>
          <cell r="L65">
            <v>461.1</v>
          </cell>
          <cell r="M65" t="str">
            <v>USD</v>
          </cell>
        </row>
        <row r="66">
          <cell r="A66" t="str">
            <v>7063B1XXGG58</v>
          </cell>
          <cell r="B66" t="str">
            <v>Doubl Glazng Bead34mm/White/Gray gasket</v>
          </cell>
          <cell r="C66">
            <v>4</v>
          </cell>
          <cell r="D66">
            <v>580</v>
          </cell>
          <cell r="E66" t="str">
            <v>M</v>
          </cell>
          <cell r="F66">
            <v>0.36480000000000001</v>
          </cell>
          <cell r="G66">
            <v>0.36479310344827587</v>
          </cell>
          <cell r="H66">
            <v>2.1158000000000001</v>
          </cell>
          <cell r="I66">
            <v>1375.27</v>
          </cell>
          <cell r="J66">
            <v>82.516199999999998</v>
          </cell>
          <cell r="K66">
            <v>1457.7862</v>
          </cell>
          <cell r="L66">
            <v>211.58</v>
          </cell>
          <cell r="M66" t="str">
            <v>USD</v>
          </cell>
        </row>
        <row r="67">
          <cell r="A67" t="str">
            <v>7063LK3154XXSS58</v>
          </cell>
          <cell r="B67" t="str">
            <v>Sing.Lam/Doubl Glazng Bead/Nuss/Black</v>
          </cell>
          <cell r="C67">
            <v>8</v>
          </cell>
          <cell r="D67">
            <v>580</v>
          </cell>
          <cell r="E67" t="str">
            <v>M</v>
          </cell>
          <cell r="F67">
            <v>0.73670000000000002</v>
          </cell>
          <cell r="G67">
            <v>0.73670689655172417</v>
          </cell>
          <cell r="H67">
            <v>4.2728999999999999</v>
          </cell>
          <cell r="I67">
            <v>2777.3849999999998</v>
          </cell>
          <cell r="J67">
            <v>166.64309999999998</v>
          </cell>
          <cell r="K67">
            <v>2944.0280999999995</v>
          </cell>
          <cell r="L67">
            <v>427.29</v>
          </cell>
          <cell r="M67" t="str">
            <v>USD</v>
          </cell>
        </row>
        <row r="68">
          <cell r="A68" t="str">
            <v>7063LK3044XXSS58</v>
          </cell>
          <cell r="B68" t="str">
            <v>Sing.Lam/Doubl Glazng Bead/G.Oak/Black</v>
          </cell>
          <cell r="C68">
            <v>8</v>
          </cell>
          <cell r="D68">
            <v>580</v>
          </cell>
          <cell r="E68" t="str">
            <v>M</v>
          </cell>
          <cell r="F68">
            <v>0.73670000000000002</v>
          </cell>
          <cell r="G68">
            <v>0.73670689655172417</v>
          </cell>
          <cell r="H68">
            <v>4.2728999999999999</v>
          </cell>
          <cell r="I68">
            <v>2777.3849999999998</v>
          </cell>
          <cell r="J68">
            <v>166.64309999999998</v>
          </cell>
          <cell r="K68">
            <v>2944.0280999999995</v>
          </cell>
          <cell r="L68">
            <v>427.29</v>
          </cell>
          <cell r="M68" t="str">
            <v>USD</v>
          </cell>
        </row>
        <row r="69">
          <cell r="A69" t="str">
            <v>7460B3VV58</v>
          </cell>
          <cell r="B69" t="str">
            <v>Newslidingfr-Mullion/Trop.White</v>
          </cell>
          <cell r="C69">
            <v>13</v>
          </cell>
          <cell r="D69">
            <v>468</v>
          </cell>
          <cell r="E69" t="str">
            <v>M</v>
          </cell>
          <cell r="F69">
            <v>1.7423999999999999</v>
          </cell>
          <cell r="G69">
            <v>1.7423931623931626</v>
          </cell>
          <cell r="H69">
            <v>10.105880341880342</v>
          </cell>
          <cell r="I69">
            <v>6568.8222222222221</v>
          </cell>
          <cell r="J69">
            <v>394.12933333333331</v>
          </cell>
          <cell r="K69">
            <v>6962.9515555555554</v>
          </cell>
          <cell r="L69">
            <v>815.44</v>
          </cell>
          <cell r="M69" t="str">
            <v>USD</v>
          </cell>
        </row>
        <row r="70">
          <cell r="A70" t="str">
            <v>7460LK3155VV58</v>
          </cell>
          <cell r="B70" t="str">
            <v>Ovrl.Side/Mullion/Walnut/Veratec/5,8</v>
          </cell>
          <cell r="C70">
            <v>13</v>
          </cell>
          <cell r="D70">
            <v>468</v>
          </cell>
          <cell r="E70" t="str">
            <v>M</v>
          </cell>
          <cell r="F70">
            <v>2.8460999999999999</v>
          </cell>
          <cell r="G70">
            <v>2.8460897435897436</v>
          </cell>
          <cell r="H70">
            <v>16.507320512820513</v>
          </cell>
          <cell r="I70">
            <v>10729.758333333333</v>
          </cell>
          <cell r="J70">
            <v>643.78549999999996</v>
          </cell>
          <cell r="K70">
            <v>11373.543833333333</v>
          </cell>
          <cell r="L70">
            <v>1331.97</v>
          </cell>
          <cell r="M70" t="str">
            <v>USD</v>
          </cell>
        </row>
        <row r="71">
          <cell r="A71" t="str">
            <v>7460LK3045VV58</v>
          </cell>
          <cell r="B71" t="str">
            <v>Ovrl.Side/Mullion/Kızıl/Veratec/5,8</v>
          </cell>
          <cell r="C71">
            <v>13</v>
          </cell>
          <cell r="D71">
            <v>468</v>
          </cell>
          <cell r="E71" t="str">
            <v>M</v>
          </cell>
          <cell r="F71">
            <v>2.8460999999999999</v>
          </cell>
          <cell r="G71">
            <v>2.8460897435897436</v>
          </cell>
          <cell r="H71">
            <v>16.507320512820513</v>
          </cell>
          <cell r="I71">
            <v>10729.758333333333</v>
          </cell>
          <cell r="J71">
            <v>643.78549999999996</v>
          </cell>
          <cell r="K71">
            <v>11373.543833333333</v>
          </cell>
          <cell r="L71">
            <v>1331.97</v>
          </cell>
          <cell r="M71" t="str">
            <v>USD</v>
          </cell>
        </row>
        <row r="72">
          <cell r="A72" t="str">
            <v>7461B3VVF258</v>
          </cell>
          <cell r="B72" t="str">
            <v>New Slidng Sash/Trop.Whte/Sli.Brush Gray</v>
          </cell>
          <cell r="C72">
            <v>14</v>
          </cell>
          <cell r="D72">
            <v>487.2</v>
          </cell>
          <cell r="E72" t="str">
            <v>M</v>
          </cell>
          <cell r="F72">
            <v>1.9296</v>
          </cell>
          <cell r="G72">
            <v>1.9295977011494254</v>
          </cell>
          <cell r="H72">
            <v>11.191666666666666</v>
          </cell>
          <cell r="I72">
            <v>7274.583333333333</v>
          </cell>
          <cell r="J72">
            <v>436.47499999999997</v>
          </cell>
          <cell r="K72">
            <v>7711.0583333333334</v>
          </cell>
          <cell r="L72">
            <v>940.1</v>
          </cell>
          <cell r="M72" t="str">
            <v>USD</v>
          </cell>
        </row>
        <row r="73">
          <cell r="A73" t="str">
            <v>7461LK3153VVSS58</v>
          </cell>
          <cell r="B73" t="str">
            <v>D.Side Lam./Sliding Sash/Nussbaum/Black</v>
          </cell>
          <cell r="C73">
            <v>14</v>
          </cell>
          <cell r="D73">
            <v>487.2</v>
          </cell>
          <cell r="E73" t="str">
            <v>M</v>
          </cell>
          <cell r="F73">
            <v>3.1322999999999999</v>
          </cell>
          <cell r="G73">
            <v>3.1323070607553367</v>
          </cell>
          <cell r="H73">
            <v>18.167380952380952</v>
          </cell>
          <cell r="I73">
            <v>11808.797619047618</v>
          </cell>
          <cell r="J73">
            <v>708.5278571428571</v>
          </cell>
          <cell r="K73">
            <v>12517.325476190475</v>
          </cell>
          <cell r="L73">
            <v>1526.06</v>
          </cell>
          <cell r="M73" t="str">
            <v>USD</v>
          </cell>
        </row>
        <row r="74">
          <cell r="A74" t="str">
            <v>7461LK3043VVSS58</v>
          </cell>
          <cell r="B74" t="str">
            <v>D.Side Lam./Sliding Sash/Goldn Oak/Black</v>
          </cell>
          <cell r="C74">
            <v>14</v>
          </cell>
          <cell r="D74">
            <v>487.2</v>
          </cell>
          <cell r="E74" t="str">
            <v>M</v>
          </cell>
          <cell r="F74">
            <v>3.1322999999999999</v>
          </cell>
          <cell r="G74">
            <v>3.1323070607553367</v>
          </cell>
          <cell r="H74">
            <v>18.167380952380952</v>
          </cell>
          <cell r="I74">
            <v>11808.797619047618</v>
          </cell>
          <cell r="J74">
            <v>708.5278571428571</v>
          </cell>
          <cell r="K74">
            <v>12517.325476190475</v>
          </cell>
          <cell r="L74">
            <v>1526.06</v>
          </cell>
          <cell r="M74" t="str">
            <v>USD</v>
          </cell>
        </row>
        <row r="75">
          <cell r="A75" t="str">
            <v>7463B3XX58</v>
          </cell>
          <cell r="B75" t="str">
            <v>Slidinginterlock/Trop.White</v>
          </cell>
          <cell r="C75">
            <v>4</v>
          </cell>
          <cell r="D75">
            <v>232</v>
          </cell>
          <cell r="E75" t="str">
            <v>M</v>
          </cell>
          <cell r="F75">
            <v>0.48480000000000001</v>
          </cell>
          <cell r="G75">
            <v>0.48478448275862068</v>
          </cell>
          <cell r="H75">
            <v>2.81175</v>
          </cell>
          <cell r="I75">
            <v>1827.6375</v>
          </cell>
          <cell r="J75">
            <v>109.65825</v>
          </cell>
          <cell r="K75">
            <v>1937.29575</v>
          </cell>
          <cell r="L75">
            <v>112.47</v>
          </cell>
          <cell r="M75" t="str">
            <v>USD</v>
          </cell>
        </row>
        <row r="76">
          <cell r="A76" t="str">
            <v>7463LK3157XX58</v>
          </cell>
          <cell r="B76" t="str">
            <v>L Lam/Slidinginterlock/Nussbaum</v>
          </cell>
          <cell r="C76">
            <v>4</v>
          </cell>
          <cell r="D76">
            <v>232</v>
          </cell>
          <cell r="E76" t="str">
            <v>M</v>
          </cell>
          <cell r="F76">
            <v>1.2031000000000001</v>
          </cell>
          <cell r="G76">
            <v>1.203103448275862</v>
          </cell>
          <cell r="H76">
            <v>6.9779999999999998</v>
          </cell>
          <cell r="I76">
            <v>4535.7</v>
          </cell>
          <cell r="J76">
            <v>272.142</v>
          </cell>
          <cell r="K76">
            <v>4807.8419999999996</v>
          </cell>
          <cell r="L76">
            <v>279.12</v>
          </cell>
          <cell r="M76" t="str">
            <v>USD</v>
          </cell>
        </row>
        <row r="77">
          <cell r="A77" t="str">
            <v>7463LK3047XX58</v>
          </cell>
          <cell r="B77" t="str">
            <v>L Lam/Slidinginterlock/Golden Oak</v>
          </cell>
          <cell r="C77">
            <v>4</v>
          </cell>
          <cell r="D77">
            <v>232</v>
          </cell>
          <cell r="E77" t="str">
            <v>M</v>
          </cell>
          <cell r="F77">
            <v>1.2031000000000001</v>
          </cell>
          <cell r="G77">
            <v>1.203103448275862</v>
          </cell>
          <cell r="H77">
            <v>6.9779999999999998</v>
          </cell>
          <cell r="I77">
            <v>4535.7</v>
          </cell>
          <cell r="J77">
            <v>272.142</v>
          </cell>
          <cell r="K77">
            <v>4807.8419999999996</v>
          </cell>
          <cell r="L77">
            <v>279.12</v>
          </cell>
          <cell r="M77" t="str">
            <v>USD</v>
          </cell>
        </row>
        <row r="78">
          <cell r="A78" t="str">
            <v>7062B1XXGG58</v>
          </cell>
          <cell r="B78" t="str">
            <v>Singl Glazngbead 4mm/White/Gray gasket</v>
          </cell>
          <cell r="C78">
            <v>4</v>
          </cell>
          <cell r="D78">
            <v>580</v>
          </cell>
          <cell r="E78" t="str">
            <v>M</v>
          </cell>
          <cell r="F78">
            <v>0.432</v>
          </cell>
          <cell r="G78">
            <v>0.432</v>
          </cell>
          <cell r="H78">
            <v>2.5055999999999998</v>
          </cell>
          <cell r="I78">
            <v>1628.6399999999999</v>
          </cell>
          <cell r="J78">
            <v>97.718399999999988</v>
          </cell>
          <cell r="K78">
            <v>1726.3583999999998</v>
          </cell>
          <cell r="L78">
            <v>250.56</v>
          </cell>
          <cell r="M78" t="str">
            <v>USD</v>
          </cell>
        </row>
        <row r="79">
          <cell r="A79" t="str">
            <v>7062LK3154XXSS58</v>
          </cell>
          <cell r="B79" t="str">
            <v>Sing.Lam/Singl Glazngbead/Nussbaum/Black</v>
          </cell>
          <cell r="C79">
            <v>4</v>
          </cell>
          <cell r="D79">
            <v>580</v>
          </cell>
          <cell r="E79" t="str">
            <v>M</v>
          </cell>
          <cell r="F79">
            <v>0.86919999999999997</v>
          </cell>
          <cell r="G79">
            <v>0.86920689655172412</v>
          </cell>
          <cell r="H79">
            <v>5.0413999999999994</v>
          </cell>
          <cell r="I79">
            <v>3276.91</v>
          </cell>
          <cell r="J79">
            <v>196.6146</v>
          </cell>
          <cell r="K79">
            <v>3473.5245999999997</v>
          </cell>
          <cell r="L79">
            <v>504.14</v>
          </cell>
          <cell r="M79" t="str">
            <v>USD</v>
          </cell>
        </row>
        <row r="80">
          <cell r="A80" t="str">
            <v>7062LK3044XXSS58</v>
          </cell>
          <cell r="B80" t="str">
            <v>Sing.Lam/Singl Glazngbead/G.Oak/Black</v>
          </cell>
          <cell r="C80">
            <v>4</v>
          </cell>
          <cell r="D80">
            <v>580</v>
          </cell>
          <cell r="E80" t="str">
            <v>M</v>
          </cell>
          <cell r="F80">
            <v>0.86919999999999997</v>
          </cell>
          <cell r="G80">
            <v>0.86920689655172412</v>
          </cell>
          <cell r="H80">
            <v>5.0413999999999994</v>
          </cell>
          <cell r="I80">
            <v>3276.91</v>
          </cell>
          <cell r="J80">
            <v>196.6146</v>
          </cell>
          <cell r="K80">
            <v>3473.5245999999997</v>
          </cell>
          <cell r="L80">
            <v>504.14</v>
          </cell>
          <cell r="M80" t="str">
            <v>USD</v>
          </cell>
        </row>
        <row r="81">
          <cell r="A81" t="str">
            <v>7464B1XXGG58</v>
          </cell>
          <cell r="B81" t="str">
            <v>Doublglazng Bead20mm/White/Gray gasket</v>
          </cell>
          <cell r="C81">
            <v>4</v>
          </cell>
          <cell r="D81">
            <v>580</v>
          </cell>
          <cell r="E81" t="str">
            <v>M</v>
          </cell>
          <cell r="F81">
            <v>0.32640000000000002</v>
          </cell>
          <cell r="G81">
            <v>0.32639655172413795</v>
          </cell>
          <cell r="H81">
            <v>1.8931</v>
          </cell>
          <cell r="I81">
            <v>1230.5150000000001</v>
          </cell>
          <cell r="J81">
            <v>73.8309</v>
          </cell>
          <cell r="K81">
            <v>1304.3459</v>
          </cell>
          <cell r="L81">
            <v>189.31</v>
          </cell>
          <cell r="M81" t="str">
            <v>USD</v>
          </cell>
        </row>
        <row r="82">
          <cell r="A82" t="str">
            <v>7464LK3154XXSS58</v>
          </cell>
          <cell r="B82" t="str">
            <v>Sing.Lam/Doublglazng Bead/Nussbaum/Black</v>
          </cell>
          <cell r="C82">
            <v>8</v>
          </cell>
          <cell r="D82">
            <v>580</v>
          </cell>
          <cell r="E82" t="str">
            <v>M</v>
          </cell>
          <cell r="F82">
            <v>0.66249999999999998</v>
          </cell>
          <cell r="G82">
            <v>0.66249999999999998</v>
          </cell>
          <cell r="H82">
            <v>3.8424999999999998</v>
          </cell>
          <cell r="I82">
            <v>2497.625</v>
          </cell>
          <cell r="J82">
            <v>149.85749999999999</v>
          </cell>
          <cell r="K82">
            <v>2647.4825000000001</v>
          </cell>
          <cell r="L82">
            <v>384.25</v>
          </cell>
          <cell r="M82" t="str">
            <v>USD</v>
          </cell>
        </row>
        <row r="83">
          <cell r="A83" t="str">
            <v>7464LK3044XXSS58</v>
          </cell>
          <cell r="B83" t="str">
            <v>Sing.Lam/Doublglazng Bead/G.Oak/Black</v>
          </cell>
          <cell r="C83">
            <v>8</v>
          </cell>
          <cell r="D83">
            <v>580</v>
          </cell>
          <cell r="E83" t="str">
            <v>M</v>
          </cell>
          <cell r="F83">
            <v>0.66249999999999998</v>
          </cell>
          <cell r="G83">
            <v>0.66249999999999998</v>
          </cell>
          <cell r="H83">
            <v>3.8424999999999998</v>
          </cell>
          <cell r="I83">
            <v>2497.625</v>
          </cell>
          <cell r="J83">
            <v>149.85749999999999</v>
          </cell>
          <cell r="K83">
            <v>2647.4825000000001</v>
          </cell>
          <cell r="L83">
            <v>384.25</v>
          </cell>
          <cell r="M83" t="str">
            <v>USD</v>
          </cell>
        </row>
        <row r="84">
          <cell r="A84" t="str">
            <v>6020B3XX58</v>
          </cell>
          <cell r="B84" t="str">
            <v>60*60 Box/Trop.White</v>
          </cell>
          <cell r="C84">
            <v>4</v>
          </cell>
          <cell r="D84">
            <v>139.19999999999999</v>
          </cell>
          <cell r="E84" t="str">
            <v>M</v>
          </cell>
          <cell r="F84">
            <v>1.6512</v>
          </cell>
          <cell r="G84">
            <v>1.6512212643678161</v>
          </cell>
          <cell r="H84">
            <v>9.5770833333333325</v>
          </cell>
          <cell r="I84">
            <v>6225.1041666666661</v>
          </cell>
          <cell r="J84">
            <v>373.50624999999997</v>
          </cell>
          <cell r="K84">
            <v>6598.6104166666664</v>
          </cell>
          <cell r="L84">
            <v>229.85</v>
          </cell>
          <cell r="M84" t="str">
            <v>USD</v>
          </cell>
        </row>
        <row r="85">
          <cell r="A85" t="str">
            <v>6020LB1157XX58</v>
          </cell>
          <cell r="B85" t="str">
            <v>L Lam/60*60 Box/Nussbaum</v>
          </cell>
          <cell r="C85">
            <v>4</v>
          </cell>
          <cell r="D85">
            <v>139.19999999999999</v>
          </cell>
          <cell r="E85" t="str">
            <v>M</v>
          </cell>
          <cell r="F85">
            <v>3.0263</v>
          </cell>
          <cell r="G85">
            <v>3.0262931034482761</v>
          </cell>
          <cell r="H85">
            <v>17.552500000000002</v>
          </cell>
          <cell r="I85">
            <v>11409.125000000002</v>
          </cell>
          <cell r="J85">
            <v>684.54750000000013</v>
          </cell>
          <cell r="K85">
            <v>12093.672500000002</v>
          </cell>
          <cell r="L85">
            <v>421.26</v>
          </cell>
          <cell r="M85" t="str">
            <v>USD</v>
          </cell>
        </row>
        <row r="86">
          <cell r="A86" t="str">
            <v>6020LB1047XX58</v>
          </cell>
          <cell r="B86" t="str">
            <v>L Lam/60*60 Box/Golden Oak</v>
          </cell>
          <cell r="C86">
            <v>4</v>
          </cell>
          <cell r="D86">
            <v>139.19999999999999</v>
          </cell>
          <cell r="E86" t="str">
            <v>M</v>
          </cell>
          <cell r="F86">
            <v>3.0263</v>
          </cell>
          <cell r="G86">
            <v>3.0262931034482761</v>
          </cell>
          <cell r="H86">
            <v>17.552500000000002</v>
          </cell>
          <cell r="I86">
            <v>11409.125000000002</v>
          </cell>
          <cell r="J86">
            <v>684.54750000000013</v>
          </cell>
          <cell r="K86">
            <v>12093.672500000002</v>
          </cell>
          <cell r="L86">
            <v>421.26</v>
          </cell>
          <cell r="M86" t="str">
            <v>USD</v>
          </cell>
        </row>
        <row r="87">
          <cell r="A87" t="str">
            <v>6016B3XX58</v>
          </cell>
          <cell r="B87" t="str">
            <v>Corner Post Pipe/Trop.White</v>
          </cell>
          <cell r="C87">
            <v>4</v>
          </cell>
          <cell r="D87">
            <v>185.6</v>
          </cell>
          <cell r="E87" t="str">
            <v>M</v>
          </cell>
          <cell r="F87">
            <v>1.1328</v>
          </cell>
          <cell r="G87">
            <v>1.1328125</v>
          </cell>
          <cell r="H87">
            <v>6.5703125</v>
          </cell>
          <cell r="I87">
            <v>4270.703125</v>
          </cell>
          <cell r="J87">
            <v>256.2421875</v>
          </cell>
          <cell r="K87">
            <v>4526.9453125</v>
          </cell>
          <cell r="L87">
            <v>210.25</v>
          </cell>
          <cell r="M87" t="str">
            <v>USD</v>
          </cell>
        </row>
        <row r="88">
          <cell r="A88" t="str">
            <v>6016LB1155XX58</v>
          </cell>
          <cell r="B88" t="str">
            <v>Ovrl.Lam/Corner Post Pipe/Nussbaum</v>
          </cell>
          <cell r="C88">
            <v>4</v>
          </cell>
          <cell r="D88">
            <v>185.6</v>
          </cell>
          <cell r="E88" t="str">
            <v>M</v>
          </cell>
          <cell r="F88">
            <v>2.9203000000000001</v>
          </cell>
          <cell r="G88">
            <v>2.9203125000000001</v>
          </cell>
          <cell r="H88">
            <v>16.9378125</v>
          </cell>
          <cell r="I88">
            <v>11009.578125</v>
          </cell>
          <cell r="J88">
            <v>660.57468749999998</v>
          </cell>
          <cell r="K88">
            <v>11670.1528125</v>
          </cell>
          <cell r="L88">
            <v>542.01</v>
          </cell>
          <cell r="M88" t="str">
            <v>USD</v>
          </cell>
        </row>
        <row r="89">
          <cell r="A89" t="str">
            <v>6016LB1045XX58</v>
          </cell>
          <cell r="B89" t="str">
            <v>Ovrl.Lam/Corner Post Pipe/Golden Oak</v>
          </cell>
          <cell r="C89">
            <v>4</v>
          </cell>
          <cell r="D89">
            <v>185.6</v>
          </cell>
          <cell r="E89" t="str">
            <v>M</v>
          </cell>
          <cell r="F89">
            <v>2.9203000000000001</v>
          </cell>
          <cell r="G89">
            <v>2.9203125000000001</v>
          </cell>
          <cell r="H89">
            <v>16.9378125</v>
          </cell>
          <cell r="I89">
            <v>11009.578125</v>
          </cell>
          <cell r="J89">
            <v>660.57468749999998</v>
          </cell>
          <cell r="K89">
            <v>11670.1528125</v>
          </cell>
          <cell r="L89">
            <v>542.01</v>
          </cell>
          <cell r="M89" t="str">
            <v>USD</v>
          </cell>
        </row>
        <row r="90">
          <cell r="A90" t="str">
            <v>6015B3XX58</v>
          </cell>
          <cell r="B90" t="str">
            <v>Corner Post Pipe Adapting/Trop.White</v>
          </cell>
          <cell r="C90">
            <v>4</v>
          </cell>
          <cell r="D90">
            <v>232</v>
          </cell>
          <cell r="E90" t="str">
            <v>M</v>
          </cell>
          <cell r="F90">
            <v>1.2383999999999999</v>
          </cell>
          <cell r="G90">
            <v>1.2384051724137932</v>
          </cell>
          <cell r="H90">
            <v>7.1827500000000004</v>
          </cell>
          <cell r="I90">
            <v>4668.7875000000004</v>
          </cell>
          <cell r="J90">
            <v>280.12725</v>
          </cell>
          <cell r="K90">
            <v>4948.9147499999999</v>
          </cell>
          <cell r="L90">
            <v>287.31</v>
          </cell>
          <cell r="M90" t="str">
            <v>USD</v>
          </cell>
        </row>
        <row r="91">
          <cell r="A91" t="str">
            <v>6015LB1153XX58</v>
          </cell>
          <cell r="B91" t="str">
            <v>D.Side Lam./Cornerpost Pipe Adaptg/Nusbm</v>
          </cell>
          <cell r="C91">
            <v>4</v>
          </cell>
          <cell r="D91">
            <v>232</v>
          </cell>
          <cell r="E91" t="str">
            <v>M</v>
          </cell>
          <cell r="F91">
            <v>2.12</v>
          </cell>
          <cell r="G91">
            <v>2.12</v>
          </cell>
          <cell r="H91">
            <v>12.295999999999999</v>
          </cell>
          <cell r="I91">
            <v>7992.4</v>
          </cell>
          <cell r="J91">
            <v>479.54399999999998</v>
          </cell>
          <cell r="K91">
            <v>8471.9439999999995</v>
          </cell>
          <cell r="L91">
            <v>491.84</v>
          </cell>
          <cell r="M91" t="str">
            <v>USD</v>
          </cell>
        </row>
        <row r="92">
          <cell r="A92" t="str">
            <v>6015LB1043XX58</v>
          </cell>
          <cell r="B92" t="str">
            <v>D.Side Lam./C.Pipe Adaptg/Golden Oak</v>
          </cell>
          <cell r="C92">
            <v>4</v>
          </cell>
          <cell r="D92">
            <v>232</v>
          </cell>
          <cell r="E92" t="str">
            <v>M</v>
          </cell>
          <cell r="F92">
            <v>2.12</v>
          </cell>
          <cell r="G92">
            <v>2.12</v>
          </cell>
          <cell r="H92">
            <v>12.295999999999999</v>
          </cell>
          <cell r="I92">
            <v>7992.4</v>
          </cell>
          <cell r="J92">
            <v>479.54399999999998</v>
          </cell>
          <cell r="K92">
            <v>8471.9439999999995</v>
          </cell>
          <cell r="L92">
            <v>491.84</v>
          </cell>
          <cell r="M92" t="str">
            <v>USD</v>
          </cell>
        </row>
        <row r="93">
          <cell r="A93" t="str">
            <v>7251B3XX58</v>
          </cell>
          <cell r="B93" t="str">
            <v>Panel 24X150 mm/Trop.White</v>
          </cell>
          <cell r="C93">
            <v>4</v>
          </cell>
          <cell r="D93">
            <v>139.19999999999999</v>
          </cell>
          <cell r="E93" t="str">
            <v>M</v>
          </cell>
          <cell r="F93">
            <v>2.0688</v>
          </cell>
          <cell r="G93">
            <v>2.06882183908046</v>
          </cell>
          <cell r="H93">
            <v>11.999166666666667</v>
          </cell>
          <cell r="I93">
            <v>7799.4583333333339</v>
          </cell>
          <cell r="J93">
            <v>467.96750000000003</v>
          </cell>
          <cell r="K93">
            <v>8267.4258333333346</v>
          </cell>
          <cell r="L93">
            <v>287.98</v>
          </cell>
          <cell r="M93" t="str">
            <v>USD</v>
          </cell>
        </row>
        <row r="94">
          <cell r="A94" t="str">
            <v>7251LB1153BB58</v>
          </cell>
          <cell r="B94" t="str">
            <v>D.Side Lam./Panel/Nussbaum</v>
          </cell>
          <cell r="C94">
            <v>4</v>
          </cell>
          <cell r="D94">
            <v>139.19999999999999</v>
          </cell>
          <cell r="E94" t="str">
            <v>M</v>
          </cell>
          <cell r="F94">
            <v>5.3954000000000004</v>
          </cell>
          <cell r="G94">
            <v>5.3954022988505752</v>
          </cell>
          <cell r="H94">
            <v>31.293333333333337</v>
          </cell>
          <cell r="I94">
            <v>20340.666666666668</v>
          </cell>
          <cell r="J94">
            <v>1220.44</v>
          </cell>
          <cell r="K94">
            <v>21561.106666666667</v>
          </cell>
          <cell r="L94">
            <v>751.04</v>
          </cell>
          <cell r="M94" t="str">
            <v>USD</v>
          </cell>
        </row>
        <row r="95">
          <cell r="A95" t="str">
            <v>7251LB1043BB58</v>
          </cell>
          <cell r="B95" t="str">
            <v>D.Side Lam./Panel/Golden Oak</v>
          </cell>
          <cell r="C95">
            <v>4</v>
          </cell>
          <cell r="D95">
            <v>139.19999999999999</v>
          </cell>
          <cell r="E95" t="str">
            <v>M</v>
          </cell>
          <cell r="F95">
            <v>5.3954000000000004</v>
          </cell>
          <cell r="G95">
            <v>5.3954022988505752</v>
          </cell>
          <cell r="H95">
            <v>31.293333333333337</v>
          </cell>
          <cell r="I95">
            <v>20340.666666666668</v>
          </cell>
          <cell r="J95">
            <v>1220.44</v>
          </cell>
          <cell r="K95">
            <v>21561.106666666667</v>
          </cell>
          <cell r="L95">
            <v>751.04</v>
          </cell>
          <cell r="M95" t="str">
            <v>USD</v>
          </cell>
        </row>
        <row r="96">
          <cell r="A96" t="str">
            <v>6051B3XX58</v>
          </cell>
          <cell r="B96" t="str">
            <v>60*100 Box (Chambered)/Trop.White</v>
          </cell>
          <cell r="C96">
            <v>4</v>
          </cell>
          <cell r="D96">
            <v>92.8</v>
          </cell>
          <cell r="E96" t="str">
            <v>M</v>
          </cell>
          <cell r="F96">
            <v>2.6448</v>
          </cell>
          <cell r="G96">
            <v>2.6448275862068966</v>
          </cell>
          <cell r="H96">
            <v>15.34</v>
          </cell>
          <cell r="I96">
            <v>9971</v>
          </cell>
          <cell r="J96">
            <v>598.26</v>
          </cell>
          <cell r="K96">
            <v>10569.26</v>
          </cell>
          <cell r="L96">
            <v>245.44</v>
          </cell>
          <cell r="M96" t="str">
            <v>USD</v>
          </cell>
        </row>
        <row r="97">
          <cell r="A97" t="str">
            <v>6051LB1153XX58</v>
          </cell>
          <cell r="B97" t="str">
            <v>D.Side Lam./60*100Box/Nussbaum</v>
          </cell>
          <cell r="C97">
            <v>4</v>
          </cell>
          <cell r="D97">
            <v>92.8</v>
          </cell>
          <cell r="E97" t="str">
            <v>M</v>
          </cell>
          <cell r="F97">
            <v>5.0933000000000002</v>
          </cell>
          <cell r="G97">
            <v>5.0933189655172422</v>
          </cell>
          <cell r="H97">
            <v>29.541250000000005</v>
          </cell>
          <cell r="I97">
            <v>19201.812500000004</v>
          </cell>
          <cell r="J97">
            <v>1152.1087500000001</v>
          </cell>
          <cell r="K97">
            <v>20353.921250000003</v>
          </cell>
          <cell r="L97">
            <v>472.66</v>
          </cell>
          <cell r="M97" t="str">
            <v>USD</v>
          </cell>
        </row>
        <row r="98">
          <cell r="A98" t="str">
            <v>6051LB1043XX58</v>
          </cell>
          <cell r="B98" t="str">
            <v>D.Side Lam./60*100Box/Golden Oak</v>
          </cell>
          <cell r="C98">
            <v>4</v>
          </cell>
          <cell r="D98">
            <v>92.8</v>
          </cell>
          <cell r="E98" t="str">
            <v>M</v>
          </cell>
          <cell r="F98">
            <v>5.0933000000000002</v>
          </cell>
          <cell r="G98">
            <v>5.0933189655172422</v>
          </cell>
          <cell r="H98">
            <v>29.541250000000005</v>
          </cell>
          <cell r="I98">
            <v>19201.812500000004</v>
          </cell>
          <cell r="J98">
            <v>1152.1087500000001</v>
          </cell>
          <cell r="K98">
            <v>20353.921250000003</v>
          </cell>
          <cell r="L98">
            <v>472.66</v>
          </cell>
          <cell r="M98" t="str">
            <v>USD</v>
          </cell>
        </row>
        <row r="99">
          <cell r="A99" t="str">
            <v>6056B3XX58</v>
          </cell>
          <cell r="B99" t="str">
            <v>L Masking/Trop.White</v>
          </cell>
          <cell r="C99">
            <v>4</v>
          </cell>
          <cell r="D99">
            <v>464</v>
          </cell>
          <cell r="E99" t="str">
            <v>M</v>
          </cell>
          <cell r="F99">
            <v>0.7056</v>
          </cell>
          <cell r="G99">
            <v>0.70560344827586197</v>
          </cell>
          <cell r="H99">
            <v>4.0924999999999994</v>
          </cell>
          <cell r="I99">
            <v>2660.1249999999995</v>
          </cell>
          <cell r="J99">
            <v>159.60749999999996</v>
          </cell>
          <cell r="K99">
            <v>2819.7324999999996</v>
          </cell>
          <cell r="L99">
            <v>327.39999999999998</v>
          </cell>
          <cell r="M99" t="str">
            <v>USD</v>
          </cell>
        </row>
        <row r="100">
          <cell r="A100" t="str">
            <v>6056LB1155XX58</v>
          </cell>
          <cell r="B100" t="str">
            <v>Ovrl.Lam/L Masking/Nussbaum</v>
          </cell>
          <cell r="C100">
            <v>4</v>
          </cell>
          <cell r="D100">
            <v>464</v>
          </cell>
          <cell r="E100" t="str">
            <v>M</v>
          </cell>
          <cell r="F100">
            <v>1.9716</v>
          </cell>
          <cell r="G100">
            <v>1.971594827586207</v>
          </cell>
          <cell r="H100">
            <v>11.43525</v>
          </cell>
          <cell r="I100">
            <v>7432.9125000000004</v>
          </cell>
          <cell r="J100">
            <v>445.97475000000003</v>
          </cell>
          <cell r="K100">
            <v>7878.8872500000007</v>
          </cell>
          <cell r="L100">
            <v>914.82</v>
          </cell>
          <cell r="M100" t="str">
            <v>USD</v>
          </cell>
        </row>
        <row r="101">
          <cell r="A101" t="str">
            <v>6056LB1045XX58</v>
          </cell>
          <cell r="B101" t="str">
            <v>Ovrl.Lam/L Masking/Golden Oak</v>
          </cell>
          <cell r="C101">
            <v>0</v>
          </cell>
          <cell r="D101">
            <v>464</v>
          </cell>
          <cell r="E101" t="str">
            <v>M</v>
          </cell>
          <cell r="F101">
            <v>1.9716</v>
          </cell>
          <cell r="G101">
            <v>1.971594827586207</v>
          </cell>
          <cell r="H101">
            <v>11.43525</v>
          </cell>
          <cell r="I101">
            <v>7432.9125000000004</v>
          </cell>
          <cell r="J101">
            <v>445.97475000000003</v>
          </cell>
          <cell r="K101">
            <v>7878.8872500000007</v>
          </cell>
          <cell r="L101">
            <v>914.82</v>
          </cell>
          <cell r="M101" t="str">
            <v>USD</v>
          </cell>
        </row>
        <row r="102">
          <cell r="A102" t="str">
            <v>6014B3XX58</v>
          </cell>
          <cell r="B102" t="str">
            <v>Narrow Coupling/Trop.White</v>
          </cell>
          <cell r="C102">
            <v>4</v>
          </cell>
          <cell r="D102">
            <v>464</v>
          </cell>
          <cell r="E102" t="str">
            <v>M</v>
          </cell>
          <cell r="F102">
            <v>0.48480000000000001</v>
          </cell>
          <cell r="G102">
            <v>0.48480603448275861</v>
          </cell>
          <cell r="H102">
            <v>2.8118749999999997</v>
          </cell>
          <cell r="I102">
            <v>1827.7187499999998</v>
          </cell>
          <cell r="J102">
            <v>109.66312499999998</v>
          </cell>
          <cell r="K102">
            <v>1937.3818749999998</v>
          </cell>
          <cell r="L102">
            <v>224.95</v>
          </cell>
          <cell r="M102" t="str">
            <v>USD</v>
          </cell>
        </row>
        <row r="103">
          <cell r="A103" t="str">
            <v>6014K3XX58</v>
          </cell>
          <cell r="B103" t="str">
            <v>Narrow Coupling/New D.Brown</v>
          </cell>
          <cell r="C103">
            <v>4</v>
          </cell>
          <cell r="D103">
            <v>464</v>
          </cell>
          <cell r="E103" t="str">
            <v>M</v>
          </cell>
          <cell r="F103">
            <v>0.48480000000000001</v>
          </cell>
          <cell r="G103">
            <v>0.48480603448275861</v>
          </cell>
          <cell r="H103">
            <v>2.8118749999999997</v>
          </cell>
          <cell r="I103">
            <v>1827.7187499999998</v>
          </cell>
          <cell r="J103">
            <v>109.66312499999998</v>
          </cell>
          <cell r="K103">
            <v>1937.3818749999998</v>
          </cell>
          <cell r="L103">
            <v>224.95</v>
          </cell>
          <cell r="M103" t="str">
            <v>USD</v>
          </cell>
        </row>
        <row r="104">
          <cell r="A104" t="str">
            <v>AB01001-B</v>
          </cell>
          <cell r="B104" t="str">
            <v>2605 angle post white</v>
          </cell>
          <cell r="C104">
            <v>4</v>
          </cell>
          <cell r="D104">
            <v>150</v>
          </cell>
          <cell r="E104" t="str">
            <v>M</v>
          </cell>
          <cell r="F104">
            <v>2.8795000000000002</v>
          </cell>
          <cell r="G104">
            <v>2.8794666666666666</v>
          </cell>
          <cell r="H104">
            <v>16.700906666666665</v>
          </cell>
          <cell r="I104">
            <v>10855.589333333332</v>
          </cell>
          <cell r="J104">
            <v>651.33535999999992</v>
          </cell>
          <cell r="K104">
            <v>11506.924693333331</v>
          </cell>
          <cell r="L104">
            <v>431.92</v>
          </cell>
          <cell r="M104" t="str">
            <v>USD</v>
          </cell>
        </row>
        <row r="105">
          <cell r="A105" t="str">
            <v>AB01001-Ç/Y</v>
          </cell>
          <cell r="B105" t="str">
            <v>2605 angle post d-s. lam.</v>
          </cell>
          <cell r="C105">
            <v>4</v>
          </cell>
          <cell r="D105">
            <v>150</v>
          </cell>
          <cell r="E105" t="str">
            <v>M</v>
          </cell>
          <cell r="F105">
            <v>3.5815000000000001</v>
          </cell>
          <cell r="G105">
            <v>3.581466666666667</v>
          </cell>
          <cell r="H105">
            <v>20.772506666666668</v>
          </cell>
          <cell r="I105">
            <v>13502.129333333334</v>
          </cell>
          <cell r="J105">
            <v>810.12775999999997</v>
          </cell>
          <cell r="K105">
            <v>14312.257093333334</v>
          </cell>
          <cell r="L105">
            <v>537.22</v>
          </cell>
          <cell r="M105" t="str">
            <v>USD</v>
          </cell>
        </row>
        <row r="106">
          <cell r="A106" t="str">
            <v>AB01001-Ç/Y</v>
          </cell>
          <cell r="B106" t="str">
            <v>2605 angle post d-s. lam.</v>
          </cell>
          <cell r="C106">
            <v>4</v>
          </cell>
          <cell r="D106">
            <v>150</v>
          </cell>
          <cell r="E106" t="str">
            <v>M</v>
          </cell>
          <cell r="F106">
            <v>3.5815000000000001</v>
          </cell>
          <cell r="G106">
            <v>3.581466666666667</v>
          </cell>
          <cell r="H106">
            <v>20.772506666666668</v>
          </cell>
          <cell r="I106">
            <v>13502.129333333334</v>
          </cell>
          <cell r="J106">
            <v>810.12775999999997</v>
          </cell>
          <cell r="K106">
            <v>14312.257093333334</v>
          </cell>
          <cell r="L106">
            <v>537.22</v>
          </cell>
          <cell r="M106" t="str">
            <v>USD</v>
          </cell>
        </row>
        <row r="107">
          <cell r="A107" t="str">
            <v>AB01016-E</v>
          </cell>
          <cell r="B107" t="str">
            <v>Sliding Alm. Rail Anodized</v>
          </cell>
          <cell r="C107">
            <v>29</v>
          </cell>
          <cell r="D107">
            <v>5052</v>
          </cell>
          <cell r="E107" t="str">
            <v>M</v>
          </cell>
          <cell r="F107">
            <v>0.65</v>
          </cell>
          <cell r="G107">
            <v>0.65</v>
          </cell>
          <cell r="H107">
            <v>3.77</v>
          </cell>
          <cell r="I107">
            <v>2450.5</v>
          </cell>
          <cell r="J107">
            <v>147.03</v>
          </cell>
          <cell r="K107">
            <v>2597.5300000000002</v>
          </cell>
          <cell r="L107">
            <v>3283.8</v>
          </cell>
          <cell r="M107" t="str">
            <v>USD</v>
          </cell>
        </row>
        <row r="108">
          <cell r="A108" t="str">
            <v>AB01013-E</v>
          </cell>
          <cell r="B108" t="str">
            <v>Sash coupling Anodized</v>
          </cell>
          <cell r="C108">
            <v>76</v>
          </cell>
          <cell r="D108">
            <v>2658</v>
          </cell>
          <cell r="E108" t="str">
            <v>M</v>
          </cell>
          <cell r="F108">
            <v>0.45500000000000002</v>
          </cell>
          <cell r="G108">
            <v>0.45500000000000002</v>
          </cell>
          <cell r="H108">
            <v>2.6389999999999998</v>
          </cell>
          <cell r="I108">
            <v>1715.35</v>
          </cell>
          <cell r="J108">
            <v>102.92099999999999</v>
          </cell>
          <cell r="K108">
            <v>1818.271</v>
          </cell>
          <cell r="L108">
            <v>1209.3900000000001</v>
          </cell>
          <cell r="M108" t="str">
            <v>USD</v>
          </cell>
        </row>
        <row r="109">
          <cell r="A109" t="str">
            <v>AB01005-P</v>
          </cell>
          <cell r="B109" t="str">
            <v>2474 coupling pres.</v>
          </cell>
          <cell r="C109">
            <v>7</v>
          </cell>
          <cell r="D109">
            <v>258</v>
          </cell>
          <cell r="E109" t="str">
            <v>M</v>
          </cell>
          <cell r="F109">
            <v>2.4765000000000001</v>
          </cell>
          <cell r="G109">
            <v>2.476511627906977</v>
          </cell>
          <cell r="H109">
            <v>14.363767441860466</v>
          </cell>
          <cell r="I109">
            <v>9336.4488372093019</v>
          </cell>
          <cell r="J109">
            <v>560.1869302325581</v>
          </cell>
          <cell r="K109">
            <v>9896.6357674418596</v>
          </cell>
          <cell r="L109">
            <v>638.94000000000005</v>
          </cell>
          <cell r="M109" t="str">
            <v>USD</v>
          </cell>
        </row>
        <row r="110">
          <cell r="A110" t="str">
            <v>AB01004-E</v>
          </cell>
          <cell r="B110" t="str">
            <v>Sash coupling Anodized</v>
          </cell>
          <cell r="C110">
            <v>7</v>
          </cell>
          <cell r="D110">
            <v>258</v>
          </cell>
          <cell r="E110" t="str">
            <v>M</v>
          </cell>
          <cell r="F110">
            <v>3.0289999999999999</v>
          </cell>
          <cell r="G110">
            <v>3.0289922480620155</v>
          </cell>
          <cell r="H110">
            <v>17.568155038759688</v>
          </cell>
          <cell r="I110">
            <v>11419.300775193797</v>
          </cell>
          <cell r="J110">
            <v>685.15804651162773</v>
          </cell>
          <cell r="K110">
            <v>12104.458821705424</v>
          </cell>
          <cell r="L110">
            <v>781.48</v>
          </cell>
          <cell r="M110" t="str">
            <v>USD</v>
          </cell>
        </row>
        <row r="111">
          <cell r="A111" t="str">
            <v>AB01014-E</v>
          </cell>
          <cell r="B111" t="str">
            <v>Sash coupling Anodized</v>
          </cell>
          <cell r="C111">
            <v>4</v>
          </cell>
          <cell r="D111">
            <v>150</v>
          </cell>
          <cell r="E111" t="str">
            <v>M</v>
          </cell>
          <cell r="F111">
            <v>2.7364999999999999</v>
          </cell>
          <cell r="G111">
            <v>2.7364666666666668</v>
          </cell>
          <cell r="H111">
            <v>15.871506666666667</v>
          </cell>
          <cell r="I111">
            <v>10316.479333333333</v>
          </cell>
          <cell r="J111">
            <v>618.98875999999996</v>
          </cell>
          <cell r="K111">
            <v>10935.468093333333</v>
          </cell>
          <cell r="L111">
            <v>410.47</v>
          </cell>
          <cell r="M111" t="str">
            <v>USD</v>
          </cell>
        </row>
        <row r="112">
          <cell r="A112" t="str">
            <v>AB01009-E</v>
          </cell>
          <cell r="B112" t="str">
            <v>Sash coupling Anodized</v>
          </cell>
          <cell r="C112">
            <v>3</v>
          </cell>
          <cell r="D112">
            <v>114</v>
          </cell>
          <cell r="E112" t="str">
            <v>M</v>
          </cell>
          <cell r="F112">
            <v>3.9325000000000001</v>
          </cell>
          <cell r="G112">
            <v>3.9324561403508773</v>
          </cell>
          <cell r="H112">
            <v>22.808245614035087</v>
          </cell>
          <cell r="I112">
            <v>14825.359649122807</v>
          </cell>
          <cell r="J112">
            <v>889.52157894736843</v>
          </cell>
          <cell r="K112">
            <v>15714.881228070175</v>
          </cell>
          <cell r="L112">
            <v>448.3</v>
          </cell>
          <cell r="M112" t="str">
            <v>USD</v>
          </cell>
        </row>
        <row r="113">
          <cell r="A113" t="str">
            <v>AB01010-E</v>
          </cell>
          <cell r="B113" t="str">
            <v>Sash coupling Anodized</v>
          </cell>
          <cell r="C113">
            <v>3</v>
          </cell>
          <cell r="D113">
            <v>114</v>
          </cell>
          <cell r="E113" t="str">
            <v>M</v>
          </cell>
          <cell r="F113">
            <v>1.9955000000000001</v>
          </cell>
          <cell r="G113">
            <v>1.9955263157894738</v>
          </cell>
          <cell r="H113">
            <v>11.574052631578947</v>
          </cell>
          <cell r="I113">
            <v>7523.1342105263157</v>
          </cell>
          <cell r="J113">
            <v>451.38805263157894</v>
          </cell>
          <cell r="K113">
            <v>7974.5222631578945</v>
          </cell>
          <cell r="L113">
            <v>227.49</v>
          </cell>
          <cell r="M113" t="str">
            <v>USD</v>
          </cell>
        </row>
        <row r="114">
          <cell r="A114" t="str">
            <v>OB01004N</v>
          </cell>
          <cell r="B114" t="str">
            <v>ob 5200 system zmc mullion cnnct. chock</v>
          </cell>
          <cell r="C114">
            <v>0</v>
          </cell>
          <cell r="D114">
            <v>1000</v>
          </cell>
          <cell r="E114" t="str">
            <v>PCS</v>
          </cell>
          <cell r="F114">
            <v>0.31</v>
          </cell>
          <cell r="G114">
            <v>0.31</v>
          </cell>
          <cell r="H114">
            <v>0.31</v>
          </cell>
          <cell r="I114">
            <v>201.5</v>
          </cell>
          <cell r="J114">
            <v>12.09</v>
          </cell>
          <cell r="K114">
            <v>213.59</v>
          </cell>
          <cell r="L114">
            <v>310</v>
          </cell>
          <cell r="M114" t="str">
            <v>USD</v>
          </cell>
        </row>
        <row r="115">
          <cell r="A115" t="str">
            <v>HK01008</v>
          </cell>
          <cell r="B115" t="str">
            <v>hk rbt rev.prf cap . (as-5200) white</v>
          </cell>
          <cell r="C115">
            <v>0</v>
          </cell>
          <cell r="D115">
            <v>500</v>
          </cell>
          <cell r="E115" t="str">
            <v>PAIR</v>
          </cell>
          <cell r="F115">
            <v>0.28999999999999998</v>
          </cell>
          <cell r="G115">
            <v>0.28999999999999998</v>
          </cell>
          <cell r="H115">
            <v>0.28999999999999998</v>
          </cell>
          <cell r="I115">
            <v>188.5</v>
          </cell>
          <cell r="J115">
            <v>11.309999999999999</v>
          </cell>
          <cell r="K115">
            <v>199.81</v>
          </cell>
          <cell r="L115">
            <v>145</v>
          </cell>
          <cell r="M115" t="str">
            <v>USD</v>
          </cell>
        </row>
        <row r="116">
          <cell r="A116" t="str">
            <v>HK01008-1</v>
          </cell>
          <cell r="B116" t="str">
            <v>rbt rev.prf cap . (as-5200) narrow brwn</v>
          </cell>
          <cell r="C116">
            <v>0</v>
          </cell>
          <cell r="D116">
            <v>500</v>
          </cell>
          <cell r="E116" t="str">
            <v>PAIR</v>
          </cell>
          <cell r="F116">
            <v>0.28999999999999998</v>
          </cell>
          <cell r="G116">
            <v>0.28999999999999998</v>
          </cell>
          <cell r="H116">
            <v>0.28999999999999998</v>
          </cell>
          <cell r="I116">
            <v>188.5</v>
          </cell>
          <cell r="J116">
            <v>11.309999999999999</v>
          </cell>
          <cell r="K116">
            <v>199.81</v>
          </cell>
          <cell r="L116">
            <v>145</v>
          </cell>
          <cell r="M116" t="str">
            <v>USD</v>
          </cell>
        </row>
        <row r="117">
          <cell r="A117" t="str">
            <v>EK01001</v>
          </cell>
          <cell r="B117" t="str">
            <v>5200 serie alu. thresh. cover r-l white</v>
          </cell>
          <cell r="C117">
            <v>0</v>
          </cell>
          <cell r="D117">
            <v>200</v>
          </cell>
          <cell r="E117" t="str">
            <v>PAIR</v>
          </cell>
          <cell r="F117">
            <v>0.28999999999999998</v>
          </cell>
          <cell r="G117">
            <v>0.28999999999999998</v>
          </cell>
          <cell r="H117">
            <v>0.28999999999999998</v>
          </cell>
          <cell r="I117">
            <v>188.5</v>
          </cell>
          <cell r="J117">
            <v>11.309999999999999</v>
          </cell>
          <cell r="K117">
            <v>199.81</v>
          </cell>
          <cell r="L117">
            <v>58</v>
          </cell>
          <cell r="M117" t="str">
            <v>USD</v>
          </cell>
        </row>
        <row r="118">
          <cell r="A118" t="str">
            <v>EK01001-1</v>
          </cell>
          <cell r="B118" t="str">
            <v>5200 serie alu. thresh. covr r-l d.brown</v>
          </cell>
          <cell r="C118">
            <v>0</v>
          </cell>
          <cell r="D118">
            <v>200</v>
          </cell>
          <cell r="E118" t="str">
            <v>PAIR</v>
          </cell>
          <cell r="F118">
            <v>0.28999999999999998</v>
          </cell>
          <cell r="G118">
            <v>0.28999999999999998</v>
          </cell>
          <cell r="H118">
            <v>0.28999999999999998</v>
          </cell>
          <cell r="I118">
            <v>188.5</v>
          </cell>
          <cell r="J118">
            <v>11.309999999999999</v>
          </cell>
          <cell r="K118">
            <v>199.81</v>
          </cell>
          <cell r="L118">
            <v>58</v>
          </cell>
          <cell r="M118" t="str">
            <v>USD</v>
          </cell>
        </row>
        <row r="119">
          <cell r="A119" t="str">
            <v>DA01213</v>
          </cell>
          <cell r="B119" t="str">
            <v>(225528)dr ssh alu drainr prf RAL9016 wh</v>
          </cell>
          <cell r="C119">
            <v>0</v>
          </cell>
          <cell r="D119">
            <v>100</v>
          </cell>
          <cell r="E119" t="str">
            <v>M</v>
          </cell>
          <cell r="F119">
            <v>5</v>
          </cell>
          <cell r="G119">
            <v>5</v>
          </cell>
          <cell r="H119">
            <v>29</v>
          </cell>
          <cell r="I119">
            <v>18850</v>
          </cell>
          <cell r="J119">
            <v>1131</v>
          </cell>
          <cell r="K119">
            <v>19981</v>
          </cell>
          <cell r="L119">
            <v>500</v>
          </cell>
          <cell r="M119" t="str">
            <v>USD</v>
          </cell>
        </row>
        <row r="120">
          <cell r="A120" t="str">
            <v>SA01012</v>
          </cell>
          <cell r="B120" t="str">
            <v>frame interlocking part</v>
          </cell>
          <cell r="C120">
            <v>5</v>
          </cell>
          <cell r="D120">
            <v>500</v>
          </cell>
          <cell r="E120" t="str">
            <v>PCS</v>
          </cell>
          <cell r="F120">
            <v>0.1</v>
          </cell>
          <cell r="G120">
            <v>0.1</v>
          </cell>
          <cell r="H120">
            <v>0.1</v>
          </cell>
          <cell r="I120">
            <v>65</v>
          </cell>
          <cell r="J120">
            <v>3.9</v>
          </cell>
          <cell r="K120">
            <v>68.900000000000006</v>
          </cell>
          <cell r="L120">
            <v>50</v>
          </cell>
          <cell r="M120" t="str">
            <v>USD</v>
          </cell>
        </row>
        <row r="121">
          <cell r="A121" t="str">
            <v>SA01012-1</v>
          </cell>
          <cell r="B121" t="str">
            <v>sa 7401 s.frame ara s.pls.51,5 mm dbrwn</v>
          </cell>
          <cell r="C121">
            <v>0</v>
          </cell>
          <cell r="D121">
            <v>500</v>
          </cell>
          <cell r="E121" t="str">
            <v>PCS</v>
          </cell>
          <cell r="F121">
            <v>0.1</v>
          </cell>
          <cell r="G121">
            <v>0.1</v>
          </cell>
          <cell r="H121">
            <v>0.1</v>
          </cell>
          <cell r="I121">
            <v>65</v>
          </cell>
          <cell r="J121">
            <v>3.9</v>
          </cell>
          <cell r="K121">
            <v>68.900000000000006</v>
          </cell>
          <cell r="L121">
            <v>50</v>
          </cell>
          <cell r="M121" t="str">
            <v>USD</v>
          </cell>
        </row>
        <row r="122">
          <cell r="A122" t="str">
            <v>SA01013</v>
          </cell>
          <cell r="B122" t="str">
            <v>fixed frame interlocking part</v>
          </cell>
          <cell r="C122">
            <v>2</v>
          </cell>
          <cell r="D122">
            <v>200</v>
          </cell>
          <cell r="E122" t="str">
            <v>PCS</v>
          </cell>
          <cell r="F122">
            <v>0.1</v>
          </cell>
          <cell r="G122">
            <v>0.1</v>
          </cell>
          <cell r="H122">
            <v>0.1</v>
          </cell>
          <cell r="I122">
            <v>65</v>
          </cell>
          <cell r="J122">
            <v>3.9</v>
          </cell>
          <cell r="K122">
            <v>68.900000000000006</v>
          </cell>
          <cell r="L122">
            <v>20</v>
          </cell>
          <cell r="M122" t="str">
            <v>USD</v>
          </cell>
        </row>
        <row r="123">
          <cell r="A123" t="str">
            <v>SA01013-1</v>
          </cell>
          <cell r="B123" t="str">
            <v>sa 7403-7411 srme arasd.pls.31,5mmd.brwn</v>
          </cell>
          <cell r="C123">
            <v>0</v>
          </cell>
          <cell r="D123">
            <v>200</v>
          </cell>
          <cell r="E123" t="str">
            <v>PCS</v>
          </cell>
          <cell r="F123">
            <v>0.1</v>
          </cell>
          <cell r="G123">
            <v>0.1</v>
          </cell>
          <cell r="H123">
            <v>0.1</v>
          </cell>
          <cell r="I123">
            <v>65</v>
          </cell>
          <cell r="J123">
            <v>3.9</v>
          </cell>
          <cell r="K123">
            <v>68.900000000000006</v>
          </cell>
          <cell r="L123">
            <v>20</v>
          </cell>
          <cell r="M123" t="str">
            <v>USD</v>
          </cell>
        </row>
        <row r="124">
          <cell r="A124" t="str">
            <v>SA01016</v>
          </cell>
          <cell r="B124" t="str">
            <v>sa 7460 s.frame-mullion sizd. 36mm white</v>
          </cell>
          <cell r="C124">
            <v>0</v>
          </cell>
          <cell r="D124">
            <v>500</v>
          </cell>
          <cell r="E124" t="str">
            <v>PCS</v>
          </cell>
          <cell r="F124">
            <v>0.1</v>
          </cell>
          <cell r="G124">
            <v>0.1</v>
          </cell>
          <cell r="H124">
            <v>0.1</v>
          </cell>
          <cell r="I124">
            <v>65</v>
          </cell>
          <cell r="J124">
            <v>3.9</v>
          </cell>
          <cell r="K124">
            <v>68.900000000000006</v>
          </cell>
          <cell r="L124">
            <v>50</v>
          </cell>
          <cell r="M124" t="str">
            <v>USD</v>
          </cell>
        </row>
        <row r="125">
          <cell r="A125" t="str">
            <v>SA01016-1</v>
          </cell>
          <cell r="B125" t="str">
            <v>sa 7460 s.frame-mullion sizd. 36mmdbrwn</v>
          </cell>
          <cell r="C125">
            <v>0</v>
          </cell>
          <cell r="D125">
            <v>500</v>
          </cell>
          <cell r="E125" t="str">
            <v>PCS</v>
          </cell>
          <cell r="F125">
            <v>0.1</v>
          </cell>
          <cell r="G125">
            <v>0.1</v>
          </cell>
          <cell r="H125">
            <v>0.1</v>
          </cell>
          <cell r="I125">
            <v>65</v>
          </cell>
          <cell r="J125">
            <v>3.9</v>
          </cell>
          <cell r="K125">
            <v>68.900000000000006</v>
          </cell>
          <cell r="L125">
            <v>50</v>
          </cell>
          <cell r="M125" t="str">
            <v>USD</v>
          </cell>
        </row>
        <row r="126">
          <cell r="A126" t="str">
            <v>OB01023</v>
          </cell>
          <cell r="B126" t="str">
            <v>7416 Mullion Connector</v>
          </cell>
          <cell r="C126">
            <v>0</v>
          </cell>
          <cell r="D126">
            <v>400</v>
          </cell>
          <cell r="E126" t="str">
            <v>PCS</v>
          </cell>
          <cell r="F126">
            <v>0.35</v>
          </cell>
          <cell r="G126">
            <v>0.35</v>
          </cell>
          <cell r="H126">
            <v>0.35</v>
          </cell>
          <cell r="I126">
            <v>227.49999999999997</v>
          </cell>
          <cell r="J126">
            <v>13.649999999999999</v>
          </cell>
          <cell r="K126">
            <v>241.14999999999998</v>
          </cell>
          <cell r="L126">
            <v>140</v>
          </cell>
          <cell r="M126" t="str">
            <v>USD</v>
          </cell>
        </row>
        <row r="127">
          <cell r="A127" t="str">
            <v>CC01018</v>
          </cell>
          <cell r="B127" t="str">
            <v>70mm bead channel clos. gasket white</v>
          </cell>
          <cell r="C127">
            <v>0</v>
          </cell>
          <cell r="D127">
            <v>15</v>
          </cell>
          <cell r="E127" t="str">
            <v>KG</v>
          </cell>
          <cell r="F127">
            <v>5</v>
          </cell>
          <cell r="G127">
            <v>5</v>
          </cell>
          <cell r="H127">
            <v>0.15</v>
          </cell>
          <cell r="I127">
            <v>97.5</v>
          </cell>
          <cell r="J127">
            <v>5.85</v>
          </cell>
          <cell r="K127">
            <v>103.35</v>
          </cell>
          <cell r="L127">
            <v>75</v>
          </cell>
          <cell r="M127" t="str">
            <v>USD</v>
          </cell>
        </row>
        <row r="128">
          <cell r="A128" t="str">
            <v>CC01018-1</v>
          </cell>
          <cell r="B128" t="str">
            <v>70mm bead channel clos. gasket black</v>
          </cell>
          <cell r="C128">
            <v>0</v>
          </cell>
          <cell r="D128">
            <v>15</v>
          </cell>
          <cell r="E128" t="str">
            <v>KG</v>
          </cell>
          <cell r="F128">
            <v>5</v>
          </cell>
          <cell r="G128">
            <v>5</v>
          </cell>
          <cell r="H128">
            <v>0.15</v>
          </cell>
          <cell r="I128">
            <v>97.5</v>
          </cell>
          <cell r="J128">
            <v>5.85</v>
          </cell>
          <cell r="K128">
            <v>103.35</v>
          </cell>
          <cell r="L128">
            <v>75</v>
          </cell>
          <cell r="M128" t="str">
            <v>USD</v>
          </cell>
        </row>
        <row r="129">
          <cell r="A129" t="str">
            <v>TT02003</v>
          </cell>
          <cell r="B129" t="str">
            <v>tt wtr dreng cap white</v>
          </cell>
          <cell r="C129">
            <v>0</v>
          </cell>
          <cell r="D129">
            <v>5000</v>
          </cell>
          <cell r="E129" t="str">
            <v>PCS</v>
          </cell>
          <cell r="F129">
            <v>6.6E-3</v>
          </cell>
          <cell r="G129">
            <v>6.5599999999999999E-3</v>
          </cell>
          <cell r="H129">
            <v>6.5599999999999999E-3</v>
          </cell>
          <cell r="I129">
            <v>4.2640000000000002</v>
          </cell>
          <cell r="J129">
            <v>0.25584000000000001</v>
          </cell>
          <cell r="K129">
            <v>4.5198400000000003</v>
          </cell>
          <cell r="L129">
            <v>32.799999999999997</v>
          </cell>
          <cell r="M129" t="str">
            <v>USD</v>
          </cell>
        </row>
        <row r="130">
          <cell r="A130" t="str">
            <v>TT02003-1</v>
          </cell>
          <cell r="B130" t="str">
            <v>tt wtr dreng cap narrow brwn</v>
          </cell>
          <cell r="C130">
            <v>0</v>
          </cell>
          <cell r="D130">
            <v>5000</v>
          </cell>
          <cell r="E130" t="str">
            <v>PCS</v>
          </cell>
          <cell r="F130">
            <v>6.6E-3</v>
          </cell>
          <cell r="G130">
            <v>6.5599999999999999E-3</v>
          </cell>
          <cell r="H130">
            <v>6.5599999999999999E-3</v>
          </cell>
          <cell r="I130">
            <v>4.2640000000000002</v>
          </cell>
          <cell r="J130">
            <v>0.25584000000000001</v>
          </cell>
          <cell r="K130">
            <v>4.5198400000000003</v>
          </cell>
          <cell r="L130">
            <v>32.799999999999997</v>
          </cell>
          <cell r="M130" t="str">
            <v>USD</v>
          </cell>
        </row>
        <row r="131">
          <cell r="A131" t="str">
            <v>KT01004</v>
          </cell>
          <cell r="B131" t="str">
            <v>kt 7057-58(ds1048 u)crner cln.setz.26*39</v>
          </cell>
          <cell r="C131">
            <v>0</v>
          </cell>
          <cell r="D131">
            <v>50</v>
          </cell>
          <cell r="E131" t="str">
            <v>PCS</v>
          </cell>
          <cell r="F131">
            <v>0.43</v>
          </cell>
          <cell r="G131">
            <v>0.43</v>
          </cell>
          <cell r="H131">
            <v>0.43</v>
          </cell>
          <cell r="I131">
            <v>279.5</v>
          </cell>
          <cell r="J131">
            <v>16.77</v>
          </cell>
          <cell r="K131">
            <v>296.27</v>
          </cell>
          <cell r="L131">
            <v>21.5</v>
          </cell>
          <cell r="M131" t="str">
            <v>USD</v>
          </cell>
        </row>
        <row r="132">
          <cell r="A132" t="str">
            <v>KT01001</v>
          </cell>
          <cell r="B132" t="str">
            <v>kt 5200 crner cleaning.(44*32)</v>
          </cell>
          <cell r="C132">
            <v>0</v>
          </cell>
          <cell r="D132">
            <v>50</v>
          </cell>
          <cell r="E132" t="str">
            <v>PCS</v>
          </cell>
          <cell r="F132">
            <v>0.43</v>
          </cell>
          <cell r="G132">
            <v>0.43</v>
          </cell>
          <cell r="H132">
            <v>0.43</v>
          </cell>
          <cell r="I132">
            <v>279.5</v>
          </cell>
          <cell r="J132">
            <v>16.77</v>
          </cell>
          <cell r="K132">
            <v>296.27</v>
          </cell>
          <cell r="L132">
            <v>21.5</v>
          </cell>
          <cell r="M132" t="str">
            <v>USD</v>
          </cell>
        </row>
        <row r="133">
          <cell r="A133" t="str">
            <v>DS01011-2</v>
          </cell>
          <cell r="B133" t="str">
            <v>5201-5203-5207-5209-5212rein for. 1.50mm</v>
          </cell>
          <cell r="C133">
            <v>10</v>
          </cell>
          <cell r="D133">
            <v>60</v>
          </cell>
          <cell r="E133" t="str">
            <v>M</v>
          </cell>
          <cell r="F133">
            <v>0.6</v>
          </cell>
          <cell r="G133">
            <v>0.6</v>
          </cell>
          <cell r="H133">
            <v>3.48</v>
          </cell>
          <cell r="I133">
            <v>2262</v>
          </cell>
          <cell r="J133">
            <v>135.72</v>
          </cell>
          <cell r="K133">
            <v>2397.7199999999998</v>
          </cell>
          <cell r="L133">
            <v>36</v>
          </cell>
          <cell r="M133" t="str">
            <v>USD</v>
          </cell>
        </row>
        <row r="134">
          <cell r="A134" t="str">
            <v>DS01025-2</v>
          </cell>
          <cell r="B134" t="str">
            <v>5210-eco out. op.dr. ssh reinfor 1.50mm</v>
          </cell>
          <cell r="C134">
            <v>10</v>
          </cell>
          <cell r="D134">
            <v>60</v>
          </cell>
          <cell r="E134" t="str">
            <v>M</v>
          </cell>
          <cell r="F134">
            <v>1.3</v>
          </cell>
          <cell r="G134">
            <v>1.3</v>
          </cell>
          <cell r="H134">
            <v>7.54</v>
          </cell>
          <cell r="I134">
            <v>4901</v>
          </cell>
          <cell r="J134">
            <v>294.06</v>
          </cell>
          <cell r="K134">
            <v>5195.0600000000004</v>
          </cell>
          <cell r="L134">
            <v>78</v>
          </cell>
          <cell r="M134" t="str">
            <v>USD</v>
          </cell>
        </row>
        <row r="135">
          <cell r="A135" t="str">
            <v>DS01025-2</v>
          </cell>
          <cell r="B135" t="str">
            <v>5210-eco out. op.dr. ssh reinfor 1.50mm</v>
          </cell>
          <cell r="C135">
            <v>10</v>
          </cell>
          <cell r="D135">
            <v>60</v>
          </cell>
          <cell r="E135" t="str">
            <v>M</v>
          </cell>
          <cell r="F135">
            <v>1.3</v>
          </cell>
          <cell r="G135">
            <v>1.3</v>
          </cell>
          <cell r="H135">
            <v>7.54</v>
          </cell>
          <cell r="I135">
            <v>4901</v>
          </cell>
          <cell r="J135">
            <v>294.06</v>
          </cell>
          <cell r="K135">
            <v>5195.0600000000004</v>
          </cell>
          <cell r="L135">
            <v>78</v>
          </cell>
          <cell r="M135" t="str">
            <v>USD</v>
          </cell>
        </row>
        <row r="136">
          <cell r="A136" t="str">
            <v>DS01040-2K</v>
          </cell>
          <cell r="B136" t="str">
            <v>7460 slidg fra-mull reinfor. 1.50 mm box</v>
          </cell>
          <cell r="C136">
            <v>10</v>
          </cell>
          <cell r="D136">
            <v>60</v>
          </cell>
          <cell r="E136" t="str">
            <v>M</v>
          </cell>
          <cell r="F136">
            <v>0.9</v>
          </cell>
          <cell r="G136">
            <v>0.9</v>
          </cell>
          <cell r="H136">
            <v>5.22</v>
          </cell>
          <cell r="I136">
            <v>3393</v>
          </cell>
          <cell r="J136">
            <v>203.57999999999998</v>
          </cell>
          <cell r="K136">
            <v>3596.58</v>
          </cell>
          <cell r="L136">
            <v>54</v>
          </cell>
          <cell r="M136" t="str">
            <v>USD</v>
          </cell>
        </row>
        <row r="137">
          <cell r="A137" t="str">
            <v>DS01014-2</v>
          </cell>
          <cell r="B137" t="str">
            <v>7401-7403 sldg frame reinfrcmnt 1.50 mm</v>
          </cell>
          <cell r="C137">
            <v>10</v>
          </cell>
          <cell r="D137">
            <v>60</v>
          </cell>
          <cell r="E137" t="str">
            <v>M</v>
          </cell>
          <cell r="F137">
            <v>1.1000000000000001</v>
          </cell>
          <cell r="G137">
            <v>1.1000000000000001</v>
          </cell>
          <cell r="H137">
            <v>6.38</v>
          </cell>
          <cell r="I137">
            <v>4147</v>
          </cell>
          <cell r="J137">
            <v>248.82</v>
          </cell>
          <cell r="K137">
            <v>4395.82</v>
          </cell>
          <cell r="L137">
            <v>66</v>
          </cell>
          <cell r="M137" t="str">
            <v>USD</v>
          </cell>
        </row>
        <row r="138">
          <cell r="A138" t="str">
            <v>DS01069-2</v>
          </cell>
          <cell r="B138" t="str">
            <v>DS 7084 fr. 1.50mm</v>
          </cell>
          <cell r="C138">
            <v>10</v>
          </cell>
          <cell r="D138">
            <v>60</v>
          </cell>
          <cell r="E138" t="str">
            <v>M</v>
          </cell>
          <cell r="F138">
            <v>1.19</v>
          </cell>
          <cell r="G138">
            <v>1.1900000000000002</v>
          </cell>
          <cell r="H138">
            <v>6.902000000000001</v>
          </cell>
          <cell r="I138">
            <v>4486.3000000000011</v>
          </cell>
          <cell r="J138">
            <v>269.17800000000005</v>
          </cell>
          <cell r="K138">
            <v>4755.478000000001</v>
          </cell>
          <cell r="L138">
            <v>71.400000000000006</v>
          </cell>
          <cell r="M138" t="str">
            <v>USD</v>
          </cell>
        </row>
        <row r="139">
          <cell r="A139" t="str">
            <v>DS01070-2K</v>
          </cell>
          <cell r="B139" t="str">
            <v>Reinforcement profile 23x24x1,5 box</v>
          </cell>
          <cell r="C139">
            <v>10</v>
          </cell>
          <cell r="D139">
            <v>60</v>
          </cell>
          <cell r="E139" t="str">
            <v>M</v>
          </cell>
          <cell r="F139">
            <v>0.96</v>
          </cell>
          <cell r="G139">
            <v>0.96000000000000008</v>
          </cell>
          <cell r="H139">
            <v>5.5680000000000005</v>
          </cell>
          <cell r="I139">
            <v>3619.2000000000003</v>
          </cell>
          <cell r="J139">
            <v>217.15200000000002</v>
          </cell>
          <cell r="K139">
            <v>3836.3520000000003</v>
          </cell>
          <cell r="L139">
            <v>57.6</v>
          </cell>
          <cell r="M139" t="str">
            <v>USD</v>
          </cell>
        </row>
        <row r="140">
          <cell r="A140" t="str">
            <v>DS01071-3</v>
          </cell>
          <cell r="B140" t="str">
            <v>7413 frame reinfrcmt 1.20 mm</v>
          </cell>
          <cell r="C140">
            <v>10</v>
          </cell>
          <cell r="D140">
            <v>60</v>
          </cell>
          <cell r="E140" t="str">
            <v>M</v>
          </cell>
          <cell r="F140">
            <v>1.01</v>
          </cell>
          <cell r="G140">
            <v>1.01</v>
          </cell>
          <cell r="H140">
            <v>5.8579999999999997</v>
          </cell>
          <cell r="I140">
            <v>3807.7</v>
          </cell>
          <cell r="J140">
            <v>228.46199999999999</v>
          </cell>
          <cell r="K140">
            <v>4036.1619999999998</v>
          </cell>
          <cell r="L140">
            <v>60.6</v>
          </cell>
          <cell r="M140" t="str">
            <v>USD</v>
          </cell>
        </row>
        <row r="141">
          <cell r="A141" t="str">
            <v>PSIN0BR067060</v>
          </cell>
          <cell r="B141" t="str">
            <v>insert brush 067 x 600 mm</v>
          </cell>
          <cell r="C141">
            <v>0</v>
          </cell>
          <cell r="D141">
            <v>10400</v>
          </cell>
          <cell r="E141" t="str">
            <v>M</v>
          </cell>
          <cell r="F141">
            <v>8.8400000000000006E-2</v>
          </cell>
          <cell r="G141">
            <v>8.8400000000000006E-2</v>
          </cell>
          <cell r="H141">
            <v>8.8400000000000006E-2</v>
          </cell>
          <cell r="I141">
            <v>57.46</v>
          </cell>
          <cell r="J141">
            <v>3.4476</v>
          </cell>
          <cell r="K141">
            <v>60.907600000000002</v>
          </cell>
          <cell r="L141">
            <v>919.36</v>
          </cell>
          <cell r="M141" t="str">
            <v>USD</v>
          </cell>
        </row>
        <row r="142">
          <cell r="A142" t="str">
            <v>PSIN0BR067080</v>
          </cell>
          <cell r="B142" t="str">
            <v>insert brush 067 x 800 mm</v>
          </cell>
          <cell r="C142">
            <v>0</v>
          </cell>
          <cell r="D142">
            <v>3600</v>
          </cell>
          <cell r="E142" t="str">
            <v>M</v>
          </cell>
          <cell r="F142">
            <v>0.10879999999999999</v>
          </cell>
          <cell r="G142">
            <v>0.10880000000000001</v>
          </cell>
          <cell r="H142">
            <v>0.10880000000000001</v>
          </cell>
          <cell r="I142">
            <v>70.72</v>
          </cell>
          <cell r="J142">
            <v>4.2431999999999999</v>
          </cell>
          <cell r="K142">
            <v>74.963200000000001</v>
          </cell>
          <cell r="L142">
            <v>391.68</v>
          </cell>
          <cell r="M142" t="str">
            <v>USD</v>
          </cell>
        </row>
        <row r="143">
          <cell r="A143" t="str">
            <v>OB01024</v>
          </cell>
          <cell r="B143" t="str">
            <v>mullion connector zamac</v>
          </cell>
          <cell r="C143">
            <v>1</v>
          </cell>
          <cell r="D143">
            <v>50</v>
          </cell>
          <cell r="E143" t="str">
            <v>PAIR</v>
          </cell>
          <cell r="F143">
            <v>1.19</v>
          </cell>
          <cell r="G143">
            <v>1.19</v>
          </cell>
          <cell r="H143">
            <v>1.19</v>
          </cell>
          <cell r="I143">
            <v>773.5</v>
          </cell>
          <cell r="J143">
            <v>46.41</v>
          </cell>
          <cell r="K143">
            <v>819.91</v>
          </cell>
          <cell r="L143">
            <v>59.5</v>
          </cell>
          <cell r="M143" t="str">
            <v>USD</v>
          </cell>
        </row>
        <row r="144">
          <cell r="A144" t="str">
            <v>BC05013-C</v>
          </cell>
          <cell r="B144" t="str">
            <v>7460 sliding mullion cutter</v>
          </cell>
          <cell r="C144">
            <v>0</v>
          </cell>
          <cell r="D144">
            <v>15</v>
          </cell>
          <cell r="E144" t="str">
            <v>PCS</v>
          </cell>
          <cell r="F144">
            <v>28</v>
          </cell>
          <cell r="G144">
            <v>28</v>
          </cell>
          <cell r="H144">
            <v>28</v>
          </cell>
          <cell r="I144">
            <v>18200</v>
          </cell>
          <cell r="J144">
            <v>1092</v>
          </cell>
          <cell r="K144">
            <v>19292</v>
          </cell>
          <cell r="L144">
            <v>420</v>
          </cell>
          <cell r="M144" t="str">
            <v>USD</v>
          </cell>
        </row>
        <row r="145">
          <cell r="A145" t="str">
            <v>BC05011</v>
          </cell>
          <cell r="B145" t="str">
            <v>7460 sliding mullion cutter</v>
          </cell>
          <cell r="C145">
            <v>0</v>
          </cell>
          <cell r="D145">
            <v>15</v>
          </cell>
          <cell r="E145" t="str">
            <v>PCS</v>
          </cell>
          <cell r="F145">
            <v>27</v>
          </cell>
          <cell r="G145">
            <v>27</v>
          </cell>
          <cell r="H145">
            <v>27</v>
          </cell>
          <cell r="I145">
            <v>17550</v>
          </cell>
          <cell r="J145">
            <v>1053</v>
          </cell>
          <cell r="K145">
            <v>18603</v>
          </cell>
          <cell r="L145">
            <v>405</v>
          </cell>
          <cell r="M145" t="str">
            <v>USD</v>
          </cell>
        </row>
        <row r="146">
          <cell r="A146" t="str">
            <v>BC03002</v>
          </cell>
          <cell r="B146" t="str">
            <v>5200 frame corner cleaning cutter</v>
          </cell>
          <cell r="C146">
            <v>0</v>
          </cell>
          <cell r="D146">
            <v>15</v>
          </cell>
          <cell r="E146" t="str">
            <v>PCS</v>
          </cell>
          <cell r="F146">
            <v>12</v>
          </cell>
          <cell r="G146">
            <v>12</v>
          </cell>
          <cell r="H146">
            <v>12</v>
          </cell>
          <cell r="I146">
            <v>7800</v>
          </cell>
          <cell r="J146">
            <v>468</v>
          </cell>
          <cell r="K146">
            <v>8268</v>
          </cell>
          <cell r="L146">
            <v>180</v>
          </cell>
          <cell r="M146" t="str">
            <v>USD</v>
          </cell>
        </row>
        <row r="147">
          <cell r="A147" t="str">
            <v>BC03001-C</v>
          </cell>
          <cell r="B147" t="str">
            <v>5200 win.sash-d.sash c.clean.cut. gasket</v>
          </cell>
          <cell r="C147">
            <v>0</v>
          </cell>
          <cell r="D147">
            <v>15</v>
          </cell>
          <cell r="E147" t="str">
            <v>PCS</v>
          </cell>
          <cell r="F147">
            <v>25</v>
          </cell>
          <cell r="G147">
            <v>25</v>
          </cell>
          <cell r="H147">
            <v>25</v>
          </cell>
          <cell r="I147">
            <v>16250</v>
          </cell>
          <cell r="J147">
            <v>975</v>
          </cell>
          <cell r="K147">
            <v>17225</v>
          </cell>
          <cell r="L147">
            <v>375</v>
          </cell>
          <cell r="M147" t="str">
            <v>USD</v>
          </cell>
        </row>
        <row r="148">
          <cell r="A148" t="str">
            <v>BC03003-CV</v>
          </cell>
          <cell r="B148" t="str">
            <v>Mullion cutter for 5203</v>
          </cell>
          <cell r="C148">
            <v>0</v>
          </cell>
          <cell r="D148">
            <v>15</v>
          </cell>
          <cell r="E148" t="str">
            <v>PCS</v>
          </cell>
          <cell r="F148">
            <v>42</v>
          </cell>
          <cell r="G148">
            <v>42</v>
          </cell>
          <cell r="H148">
            <v>42</v>
          </cell>
          <cell r="I148">
            <v>27300</v>
          </cell>
          <cell r="J148">
            <v>1638</v>
          </cell>
          <cell r="K148">
            <v>28938</v>
          </cell>
          <cell r="L148">
            <v>630</v>
          </cell>
          <cell r="M148" t="str">
            <v>USD</v>
          </cell>
        </row>
        <row r="149">
          <cell r="A149" t="str">
            <v>BC03008-C</v>
          </cell>
          <cell r="B149" t="str">
            <v>5209 out.open.win.sash cor.clean.cut.</v>
          </cell>
          <cell r="C149">
            <v>0</v>
          </cell>
          <cell r="D149">
            <v>15</v>
          </cell>
          <cell r="E149" t="str">
            <v>PCS</v>
          </cell>
          <cell r="F149">
            <v>25</v>
          </cell>
          <cell r="G149">
            <v>25</v>
          </cell>
          <cell r="H149">
            <v>25</v>
          </cell>
          <cell r="I149">
            <v>16250</v>
          </cell>
          <cell r="J149">
            <v>975</v>
          </cell>
          <cell r="K149">
            <v>17225</v>
          </cell>
          <cell r="L149">
            <v>375</v>
          </cell>
          <cell r="M149" t="str">
            <v>USD</v>
          </cell>
        </row>
        <row r="150">
          <cell r="A150" t="str">
            <v>MK09102</v>
          </cell>
          <cell r="B150" t="str">
            <v>mk sngl crner welding tool</v>
          </cell>
          <cell r="C150">
            <v>0</v>
          </cell>
          <cell r="D150">
            <v>15</v>
          </cell>
          <cell r="E150" t="str">
            <v>PCS</v>
          </cell>
          <cell r="F150">
            <v>25</v>
          </cell>
          <cell r="G150">
            <v>25</v>
          </cell>
          <cell r="H150">
            <v>25</v>
          </cell>
          <cell r="I150">
            <v>16250</v>
          </cell>
          <cell r="J150">
            <v>975</v>
          </cell>
          <cell r="K150">
            <v>17225</v>
          </cell>
          <cell r="L150">
            <v>375</v>
          </cell>
          <cell r="M150" t="str">
            <v>USD</v>
          </cell>
        </row>
        <row r="151">
          <cell r="A151" t="str">
            <v>MK09102</v>
          </cell>
          <cell r="B151" t="str">
            <v>mk sngl crner welding tool</v>
          </cell>
          <cell r="C151">
            <v>0</v>
          </cell>
          <cell r="D151">
            <v>15</v>
          </cell>
          <cell r="E151" t="str">
            <v>PCS</v>
          </cell>
          <cell r="F151">
            <v>40</v>
          </cell>
          <cell r="G151">
            <v>40</v>
          </cell>
          <cell r="H151">
            <v>40</v>
          </cell>
          <cell r="I151">
            <v>26000</v>
          </cell>
          <cell r="J151">
            <v>1560</v>
          </cell>
          <cell r="K151">
            <v>27560</v>
          </cell>
          <cell r="L151">
            <v>600</v>
          </cell>
          <cell r="M151" t="str">
            <v>USD</v>
          </cell>
        </row>
        <row r="152">
          <cell r="A152" t="str">
            <v>MK09102</v>
          </cell>
          <cell r="B152" t="str">
            <v>mk sngl crner welding tool</v>
          </cell>
          <cell r="C152">
            <v>0</v>
          </cell>
          <cell r="D152">
            <v>15</v>
          </cell>
          <cell r="E152" t="str">
            <v>PCS</v>
          </cell>
          <cell r="F152">
            <v>25</v>
          </cell>
          <cell r="G152">
            <v>25</v>
          </cell>
          <cell r="H152">
            <v>25</v>
          </cell>
          <cell r="I152">
            <v>16250</v>
          </cell>
          <cell r="J152">
            <v>975</v>
          </cell>
          <cell r="K152">
            <v>17225</v>
          </cell>
          <cell r="L152">
            <v>375</v>
          </cell>
          <cell r="M152" t="str">
            <v>USD</v>
          </cell>
        </row>
        <row r="153">
          <cell r="A153" t="str">
            <v>MK09102</v>
          </cell>
          <cell r="B153" t="str">
            <v>mk sngl crner welding tool</v>
          </cell>
          <cell r="C153">
            <v>0</v>
          </cell>
          <cell r="D153">
            <v>15</v>
          </cell>
          <cell r="E153" t="str">
            <v>PCS</v>
          </cell>
          <cell r="F153">
            <v>40</v>
          </cell>
          <cell r="G153">
            <v>40</v>
          </cell>
          <cell r="H153">
            <v>40</v>
          </cell>
          <cell r="I153">
            <v>26000</v>
          </cell>
          <cell r="J153">
            <v>1560</v>
          </cell>
          <cell r="K153">
            <v>27560</v>
          </cell>
          <cell r="L153">
            <v>600</v>
          </cell>
          <cell r="M153" t="str">
            <v>USD</v>
          </cell>
        </row>
        <row r="154">
          <cell r="A154" t="str">
            <v>MK09102</v>
          </cell>
          <cell r="B154" t="str">
            <v>mk sngl crner welding tool</v>
          </cell>
          <cell r="C154">
            <v>0</v>
          </cell>
          <cell r="D154">
            <v>15</v>
          </cell>
          <cell r="E154" t="str">
            <v>PCS</v>
          </cell>
          <cell r="F154">
            <v>40</v>
          </cell>
          <cell r="G154">
            <v>40</v>
          </cell>
          <cell r="H154">
            <v>40</v>
          </cell>
          <cell r="I154">
            <v>26000</v>
          </cell>
          <cell r="J154">
            <v>1560</v>
          </cell>
          <cell r="K154">
            <v>27560</v>
          </cell>
          <cell r="L154">
            <v>600</v>
          </cell>
          <cell r="M154" t="str">
            <v>USD</v>
          </cell>
        </row>
        <row r="155">
          <cell r="A155" t="str">
            <v>MK09102</v>
          </cell>
          <cell r="B155" t="str">
            <v>mk sngl crner welding tool</v>
          </cell>
          <cell r="C155">
            <v>0</v>
          </cell>
          <cell r="D155">
            <v>15</v>
          </cell>
          <cell r="E155" t="str">
            <v>PCS</v>
          </cell>
          <cell r="F155">
            <v>25</v>
          </cell>
          <cell r="G155">
            <v>25</v>
          </cell>
          <cell r="H155">
            <v>25</v>
          </cell>
          <cell r="I155">
            <v>16250</v>
          </cell>
          <cell r="J155">
            <v>975</v>
          </cell>
          <cell r="K155">
            <v>17225</v>
          </cell>
          <cell r="L155">
            <v>375</v>
          </cell>
          <cell r="M155" t="str">
            <v>USD</v>
          </cell>
        </row>
        <row r="156">
          <cell r="A156" t="str">
            <v>MK09101</v>
          </cell>
          <cell r="B156" t="str">
            <v>mk dbl. crner welding tool</v>
          </cell>
          <cell r="C156">
            <v>0</v>
          </cell>
          <cell r="D156">
            <v>15</v>
          </cell>
          <cell r="E156" t="str">
            <v>PCS</v>
          </cell>
          <cell r="F156">
            <v>50</v>
          </cell>
          <cell r="G156">
            <v>50</v>
          </cell>
          <cell r="H156">
            <v>50</v>
          </cell>
          <cell r="I156">
            <v>32500</v>
          </cell>
          <cell r="J156">
            <v>1950</v>
          </cell>
          <cell r="K156">
            <v>34450</v>
          </cell>
          <cell r="L156">
            <v>750</v>
          </cell>
          <cell r="M156" t="str">
            <v>USD</v>
          </cell>
        </row>
        <row r="157">
          <cell r="A157" t="str">
            <v>MK09101</v>
          </cell>
          <cell r="B157" t="str">
            <v>mk dbl. crner welding tool</v>
          </cell>
          <cell r="C157">
            <v>0</v>
          </cell>
          <cell r="D157">
            <v>15</v>
          </cell>
          <cell r="E157" t="str">
            <v>PCS</v>
          </cell>
          <cell r="F157">
            <v>80</v>
          </cell>
          <cell r="G157">
            <v>80</v>
          </cell>
          <cell r="H157">
            <v>80</v>
          </cell>
          <cell r="I157">
            <v>52000</v>
          </cell>
          <cell r="J157">
            <v>3120</v>
          </cell>
          <cell r="K157">
            <v>55120</v>
          </cell>
          <cell r="L157">
            <v>1200</v>
          </cell>
          <cell r="M157" t="str">
            <v>USD</v>
          </cell>
        </row>
        <row r="158">
          <cell r="A158" t="str">
            <v>MK09101</v>
          </cell>
          <cell r="B158" t="str">
            <v>mk dbl. crner welding tool</v>
          </cell>
          <cell r="C158">
            <v>0</v>
          </cell>
          <cell r="D158">
            <v>15</v>
          </cell>
          <cell r="E158" t="str">
            <v>PCS</v>
          </cell>
          <cell r="F158">
            <v>50</v>
          </cell>
          <cell r="G158">
            <v>50</v>
          </cell>
          <cell r="H158">
            <v>50</v>
          </cell>
          <cell r="I158">
            <v>32500</v>
          </cell>
          <cell r="J158">
            <v>1950</v>
          </cell>
          <cell r="K158">
            <v>34450</v>
          </cell>
          <cell r="L158">
            <v>750</v>
          </cell>
          <cell r="M158" t="str">
            <v>USD</v>
          </cell>
        </row>
        <row r="159">
          <cell r="A159" t="str">
            <v>MK09101</v>
          </cell>
          <cell r="B159" t="str">
            <v>mk dbl. crner welding tool</v>
          </cell>
          <cell r="C159">
            <v>0</v>
          </cell>
          <cell r="D159">
            <v>15</v>
          </cell>
          <cell r="E159" t="str">
            <v>PCS</v>
          </cell>
          <cell r="F159">
            <v>80</v>
          </cell>
          <cell r="G159">
            <v>80</v>
          </cell>
          <cell r="H159">
            <v>80</v>
          </cell>
          <cell r="I159">
            <v>52000</v>
          </cell>
          <cell r="J159">
            <v>3120</v>
          </cell>
          <cell r="K159">
            <v>55120</v>
          </cell>
          <cell r="L159">
            <v>1200</v>
          </cell>
          <cell r="M159" t="str">
            <v>USD</v>
          </cell>
        </row>
        <row r="160">
          <cell r="A160" t="str">
            <v>MK09101</v>
          </cell>
          <cell r="B160" t="str">
            <v>mk dbl. crner welding tool</v>
          </cell>
          <cell r="C160">
            <v>0</v>
          </cell>
          <cell r="D160">
            <v>15</v>
          </cell>
          <cell r="E160" t="str">
            <v>PCS</v>
          </cell>
          <cell r="F160">
            <v>80</v>
          </cell>
          <cell r="G160">
            <v>80</v>
          </cell>
          <cell r="H160">
            <v>80</v>
          </cell>
          <cell r="I160">
            <v>52000</v>
          </cell>
          <cell r="J160">
            <v>3120</v>
          </cell>
          <cell r="K160">
            <v>55120</v>
          </cell>
          <cell r="L160">
            <v>1200</v>
          </cell>
          <cell r="M160" t="str">
            <v>USD</v>
          </cell>
        </row>
        <row r="161">
          <cell r="A161" t="str">
            <v>MK09101</v>
          </cell>
          <cell r="B161" t="str">
            <v>mk dbl. crner welding tool</v>
          </cell>
          <cell r="C161">
            <v>0</v>
          </cell>
          <cell r="D161">
            <v>15</v>
          </cell>
          <cell r="E161" t="str">
            <v>PCS</v>
          </cell>
          <cell r="F161">
            <v>50</v>
          </cell>
          <cell r="G161">
            <v>50</v>
          </cell>
          <cell r="H161">
            <v>50</v>
          </cell>
          <cell r="I161">
            <v>32500</v>
          </cell>
          <cell r="J161">
            <v>1950</v>
          </cell>
          <cell r="K161">
            <v>34450</v>
          </cell>
          <cell r="L161">
            <v>750</v>
          </cell>
          <cell r="M161" t="str">
            <v>USD</v>
          </cell>
        </row>
        <row r="162">
          <cell r="A162" t="str">
            <v>MK09100</v>
          </cell>
          <cell r="B162" t="str">
            <v>mk asas bead cutter tool</v>
          </cell>
          <cell r="C162">
            <v>0</v>
          </cell>
          <cell r="D162">
            <v>15</v>
          </cell>
          <cell r="E162" t="str">
            <v>PCS</v>
          </cell>
          <cell r="F162">
            <v>85</v>
          </cell>
          <cell r="G162">
            <v>85</v>
          </cell>
          <cell r="H162">
            <v>85</v>
          </cell>
          <cell r="I162">
            <v>55250</v>
          </cell>
          <cell r="J162">
            <v>3315</v>
          </cell>
          <cell r="K162">
            <v>58565</v>
          </cell>
          <cell r="L162">
            <v>1275</v>
          </cell>
          <cell r="M162" t="str">
            <v>USD</v>
          </cell>
        </row>
        <row r="163">
          <cell r="A163" t="str">
            <v>MK09100</v>
          </cell>
          <cell r="B163" t="str">
            <v>mk asas bead cutter tool</v>
          </cell>
          <cell r="C163">
            <v>0</v>
          </cell>
          <cell r="D163">
            <v>15</v>
          </cell>
          <cell r="E163" t="str">
            <v>PCS</v>
          </cell>
          <cell r="F163">
            <v>85</v>
          </cell>
          <cell r="G163">
            <v>85</v>
          </cell>
          <cell r="H163">
            <v>85</v>
          </cell>
          <cell r="I163">
            <v>55250</v>
          </cell>
          <cell r="J163">
            <v>3315</v>
          </cell>
          <cell r="K163">
            <v>58565</v>
          </cell>
          <cell r="L163">
            <v>1275</v>
          </cell>
          <cell r="M163" t="str">
            <v>USD</v>
          </cell>
        </row>
        <row r="164">
          <cell r="A164" t="str">
            <v>7252B3XX58</v>
          </cell>
          <cell r="B164" t="str">
            <v>70*70 Box/Trop.White</v>
          </cell>
          <cell r="C164">
            <v>6</v>
          </cell>
          <cell r="D164">
            <v>139.19999999999999</v>
          </cell>
          <cell r="E164" t="str">
            <v>M</v>
          </cell>
          <cell r="F164">
            <v>2.4384000000000001</v>
          </cell>
          <cell r="G164">
            <v>2.4384339080459774</v>
          </cell>
          <cell r="H164">
            <v>14.142916666666668</v>
          </cell>
          <cell r="I164">
            <v>9192.8958333333339</v>
          </cell>
          <cell r="J164">
            <v>551.57375000000002</v>
          </cell>
          <cell r="K164">
            <v>9744.4695833333335</v>
          </cell>
          <cell r="L164">
            <v>339.43</v>
          </cell>
          <cell r="M164" t="str">
            <v>USD</v>
          </cell>
        </row>
        <row r="165">
          <cell r="A165" t="str">
            <v>7252LB1157XX58</v>
          </cell>
          <cell r="B165" t="str">
            <v>L Lam/70*70 Box/Nussbaum</v>
          </cell>
          <cell r="C165">
            <v>6</v>
          </cell>
          <cell r="D165">
            <v>139.19999999999999</v>
          </cell>
          <cell r="E165" t="str">
            <v>M</v>
          </cell>
          <cell r="F165">
            <v>4.1234000000000002</v>
          </cell>
          <cell r="G165">
            <v>4.1234195402298859</v>
          </cell>
          <cell r="H165">
            <v>23.915833333333339</v>
          </cell>
          <cell r="I165">
            <v>15545.29166666667</v>
          </cell>
          <cell r="J165">
            <v>932.7175000000002</v>
          </cell>
          <cell r="K165">
            <v>16478.00916666667</v>
          </cell>
          <cell r="L165">
            <v>573.98</v>
          </cell>
          <cell r="M165" t="str">
            <v>USD</v>
          </cell>
        </row>
        <row r="166">
          <cell r="A166" t="str">
            <v>7252LB1047XX58</v>
          </cell>
          <cell r="B166" t="str">
            <v>L Lam/70*70 Box/Golden Oak</v>
          </cell>
          <cell r="C166">
            <v>6</v>
          </cell>
          <cell r="D166">
            <v>139.19999999999999</v>
          </cell>
          <cell r="E166" t="str">
            <v>M</v>
          </cell>
          <cell r="F166">
            <v>4.1234000000000002</v>
          </cell>
          <cell r="G166">
            <v>4.1234195402298859</v>
          </cell>
          <cell r="H166">
            <v>23.915833333333339</v>
          </cell>
          <cell r="I166">
            <v>15545.29166666667</v>
          </cell>
          <cell r="J166">
            <v>932.7175000000002</v>
          </cell>
          <cell r="K166">
            <v>16478.00916666667</v>
          </cell>
          <cell r="L166">
            <v>573.98</v>
          </cell>
          <cell r="M166" t="str">
            <v>USD</v>
          </cell>
        </row>
        <row r="167">
          <cell r="A167" t="str">
            <v>7254B3XX58</v>
          </cell>
          <cell r="B167" t="str">
            <v>Pipe70 mm/Trop.White</v>
          </cell>
          <cell r="C167">
            <v>5</v>
          </cell>
          <cell r="D167">
            <v>145</v>
          </cell>
          <cell r="E167" t="str">
            <v>M</v>
          </cell>
          <cell r="F167">
            <v>1.9056</v>
          </cell>
          <cell r="G167">
            <v>1.9055862068965517</v>
          </cell>
          <cell r="H167">
            <v>11.052399999999999</v>
          </cell>
          <cell r="I167">
            <v>7184.0599999999995</v>
          </cell>
          <cell r="J167">
            <v>431.04359999999997</v>
          </cell>
          <cell r="K167">
            <v>7615.1035999999995</v>
          </cell>
          <cell r="L167">
            <v>276.31</v>
          </cell>
          <cell r="M167" t="str">
            <v>USD</v>
          </cell>
        </row>
        <row r="168">
          <cell r="A168" t="str">
            <v>7254LB1155XX58</v>
          </cell>
          <cell r="B168" t="str">
            <v>Ovrl.Lam/Pipe/Nussbaum</v>
          </cell>
          <cell r="C168">
            <v>4</v>
          </cell>
          <cell r="D168">
            <v>116</v>
          </cell>
          <cell r="E168" t="str">
            <v>M</v>
          </cell>
          <cell r="F168">
            <v>3.8690000000000002</v>
          </cell>
          <cell r="G168">
            <v>3.8689655172413793</v>
          </cell>
          <cell r="H168">
            <v>22.439999999999998</v>
          </cell>
          <cell r="I168">
            <v>14585.999999999998</v>
          </cell>
          <cell r="J168">
            <v>875.15999999999985</v>
          </cell>
          <cell r="K168">
            <v>15461.159999999998</v>
          </cell>
          <cell r="L168">
            <v>448.8</v>
          </cell>
          <cell r="M168" t="str">
            <v>USD</v>
          </cell>
        </row>
        <row r="169">
          <cell r="A169" t="str">
            <v>7254LB1045XX58</v>
          </cell>
          <cell r="B169" t="str">
            <v>Ovrl.Lam/Pipe/Golden Oak</v>
          </cell>
          <cell r="C169">
            <v>4</v>
          </cell>
          <cell r="D169">
            <v>116</v>
          </cell>
          <cell r="E169" t="str">
            <v>M</v>
          </cell>
          <cell r="F169">
            <v>3.8690000000000002</v>
          </cell>
          <cell r="G169">
            <v>3.8689655172413793</v>
          </cell>
          <cell r="H169">
            <v>22.439999999999998</v>
          </cell>
          <cell r="I169">
            <v>14585.999999999998</v>
          </cell>
          <cell r="J169">
            <v>875.15999999999985</v>
          </cell>
          <cell r="K169">
            <v>15461.159999999998</v>
          </cell>
          <cell r="L169">
            <v>448.8</v>
          </cell>
          <cell r="M169" t="str">
            <v>USD</v>
          </cell>
        </row>
        <row r="170">
          <cell r="A170" t="str">
            <v>7255B3XX58</v>
          </cell>
          <cell r="B170" t="str">
            <v>Cornerpostadapting/Trop. White</v>
          </cell>
          <cell r="C170">
            <v>4</v>
          </cell>
          <cell r="D170">
            <v>232</v>
          </cell>
          <cell r="E170" t="str">
            <v>M</v>
          </cell>
          <cell r="F170">
            <v>1.3056000000000001</v>
          </cell>
          <cell r="G170">
            <v>1.3056034482758621</v>
          </cell>
          <cell r="H170">
            <v>7.5724999999999998</v>
          </cell>
          <cell r="I170">
            <v>4922.125</v>
          </cell>
          <cell r="J170">
            <v>295.32749999999999</v>
          </cell>
          <cell r="K170">
            <v>5217.4525000000003</v>
          </cell>
          <cell r="L170">
            <v>302.89999999999998</v>
          </cell>
          <cell r="M170" t="str">
            <v>USD</v>
          </cell>
        </row>
        <row r="171">
          <cell r="A171" t="str">
            <v>7255LB1153XX58</v>
          </cell>
          <cell r="B171" t="str">
            <v>D.Side Lam./Cornerpostadapting/Nussbau m</v>
          </cell>
          <cell r="C171">
            <v>4</v>
          </cell>
          <cell r="D171">
            <v>232</v>
          </cell>
          <cell r="E171" t="str">
            <v>M</v>
          </cell>
          <cell r="F171">
            <v>2.1677</v>
          </cell>
          <cell r="G171">
            <v>2.1677155172413793</v>
          </cell>
          <cell r="H171">
            <v>12.572749999999999</v>
          </cell>
          <cell r="I171">
            <v>8172.2874999999995</v>
          </cell>
          <cell r="J171">
            <v>490.33724999999993</v>
          </cell>
          <cell r="K171">
            <v>8662.624749999999</v>
          </cell>
          <cell r="L171">
            <v>502.91</v>
          </cell>
          <cell r="M171" t="str">
            <v>USD</v>
          </cell>
        </row>
        <row r="172">
          <cell r="A172" t="str">
            <v>7255LB1043XX58</v>
          </cell>
          <cell r="B172" t="str">
            <v>D.Side Lam./Cornerpostadapting/Goldn Oak</v>
          </cell>
          <cell r="C172">
            <v>4</v>
          </cell>
          <cell r="D172">
            <v>232</v>
          </cell>
          <cell r="E172" t="str">
            <v>M</v>
          </cell>
          <cell r="F172">
            <v>2.1677</v>
          </cell>
          <cell r="G172">
            <v>2.1677155172413793</v>
          </cell>
          <cell r="H172">
            <v>12.572749999999999</v>
          </cell>
          <cell r="I172">
            <v>8172.2874999999995</v>
          </cell>
          <cell r="J172">
            <v>490.33724999999993</v>
          </cell>
          <cell r="K172">
            <v>8662.624749999999</v>
          </cell>
          <cell r="L172">
            <v>502.91</v>
          </cell>
          <cell r="M172" t="str">
            <v>USD</v>
          </cell>
        </row>
        <row r="173">
          <cell r="A173" t="str">
            <v>7275B3XX58</v>
          </cell>
          <cell r="B173" t="str">
            <v>Narrow Coupling/Trop.White</v>
          </cell>
          <cell r="C173">
            <v>8</v>
          </cell>
          <cell r="D173">
            <v>464</v>
          </cell>
          <cell r="E173" t="str">
            <v>M</v>
          </cell>
          <cell r="F173">
            <v>0.78720000000000001</v>
          </cell>
          <cell r="G173">
            <v>0.78719827586206892</v>
          </cell>
          <cell r="H173">
            <v>4.5657499999999995</v>
          </cell>
          <cell r="I173">
            <v>2967.7374999999997</v>
          </cell>
          <cell r="J173">
            <v>178.06424999999999</v>
          </cell>
          <cell r="K173">
            <v>3145.8017499999996</v>
          </cell>
          <cell r="L173">
            <v>365.26</v>
          </cell>
          <cell r="M173" t="str">
            <v>USD</v>
          </cell>
        </row>
        <row r="174">
          <cell r="A174" t="str">
            <v>7275LB1153XX58</v>
          </cell>
          <cell r="B174" t="str">
            <v>D.Side Lam./Narrow Coupling/Magohany</v>
          </cell>
          <cell r="C174">
            <v>8</v>
          </cell>
          <cell r="D174">
            <v>464</v>
          </cell>
          <cell r="E174" t="str">
            <v>M</v>
          </cell>
          <cell r="F174">
            <v>1.5369999999999999</v>
          </cell>
          <cell r="G174">
            <v>1.5370043103448274</v>
          </cell>
          <cell r="H174">
            <v>8.9146249999999991</v>
          </cell>
          <cell r="I174">
            <v>5794.5062499999995</v>
          </cell>
          <cell r="J174">
            <v>347.67037499999998</v>
          </cell>
          <cell r="K174">
            <v>6142.1766249999991</v>
          </cell>
          <cell r="L174">
            <v>713.17</v>
          </cell>
          <cell r="M174" t="str">
            <v>USD</v>
          </cell>
        </row>
        <row r="175">
          <cell r="A175" t="str">
            <v>7275LB1043XX58</v>
          </cell>
          <cell r="B175" t="str">
            <v>D.Side Lam./Narrow Coupling/Golden Oak</v>
          </cell>
          <cell r="C175">
            <v>8</v>
          </cell>
          <cell r="D175">
            <v>464</v>
          </cell>
          <cell r="E175" t="str">
            <v>M</v>
          </cell>
          <cell r="F175">
            <v>1.5369999999999999</v>
          </cell>
          <cell r="G175">
            <v>1.5370043103448274</v>
          </cell>
          <cell r="H175">
            <v>8.9146249999999991</v>
          </cell>
          <cell r="I175">
            <v>5794.5062499999995</v>
          </cell>
          <cell r="J175">
            <v>347.67037499999998</v>
          </cell>
          <cell r="K175">
            <v>6142.1766249999991</v>
          </cell>
          <cell r="L175">
            <v>713.17</v>
          </cell>
          <cell r="M175" t="str">
            <v>USD</v>
          </cell>
        </row>
        <row r="176">
          <cell r="A176" t="str">
            <v>TT01012</v>
          </cell>
          <cell r="B176" t="str">
            <v>tt adjstbl glazing chock 18mm</v>
          </cell>
          <cell r="C176">
            <v>0</v>
          </cell>
          <cell r="D176">
            <v>5000</v>
          </cell>
          <cell r="E176" t="str">
            <v>PCS</v>
          </cell>
          <cell r="F176">
            <v>7.4999999999999997E-2</v>
          </cell>
          <cell r="G176">
            <v>7.4999999999999997E-2</v>
          </cell>
          <cell r="H176">
            <v>7.4999999999999997E-2</v>
          </cell>
          <cell r="I176">
            <v>48.75</v>
          </cell>
          <cell r="J176">
            <v>2.9249999999999998</v>
          </cell>
          <cell r="K176">
            <v>51.674999999999997</v>
          </cell>
          <cell r="L176">
            <v>375</v>
          </cell>
          <cell r="M176" t="str">
            <v>USD</v>
          </cell>
        </row>
        <row r="177">
          <cell r="A177" t="str">
            <v>TT01009</v>
          </cell>
          <cell r="B177" t="str">
            <v>glazing support 24 mm</v>
          </cell>
          <cell r="C177">
            <v>13</v>
          </cell>
          <cell r="D177">
            <v>5000</v>
          </cell>
          <cell r="E177" t="str">
            <v>PCS</v>
          </cell>
          <cell r="F177">
            <v>9.5000000000000001E-2</v>
          </cell>
          <cell r="G177">
            <v>9.5000000000000001E-2</v>
          </cell>
          <cell r="H177">
            <v>9.5000000000000001E-2</v>
          </cell>
          <cell r="I177">
            <v>61.75</v>
          </cell>
          <cell r="J177">
            <v>3.7050000000000001</v>
          </cell>
          <cell r="K177">
            <v>65.454999999999998</v>
          </cell>
          <cell r="L177">
            <v>475</v>
          </cell>
          <cell r="M177" t="str">
            <v>USD</v>
          </cell>
        </row>
        <row r="178">
          <cell r="A178" t="str">
            <v>DT01093</v>
          </cell>
          <cell r="B178" t="str">
            <v>Ayarlı cam takozu makası</v>
          </cell>
          <cell r="C178">
            <v>0</v>
          </cell>
          <cell r="D178">
            <v>10</v>
          </cell>
          <cell r="E178" t="str">
            <v>PCS</v>
          </cell>
          <cell r="F178">
            <v>6.25</v>
          </cell>
          <cell r="G178">
            <v>6.25</v>
          </cell>
          <cell r="H178">
            <v>6.25</v>
          </cell>
          <cell r="I178">
            <v>4062.5</v>
          </cell>
          <cell r="J178">
            <v>243.75</v>
          </cell>
          <cell r="K178">
            <v>4306.25</v>
          </cell>
          <cell r="L178">
            <v>62.5</v>
          </cell>
          <cell r="M178" t="str">
            <v>USD</v>
          </cell>
        </row>
        <row r="179">
          <cell r="A179" t="str">
            <v>TT01006</v>
          </cell>
          <cell r="B179" t="str">
            <v>tt glazing chock wide 5.0*28</v>
          </cell>
          <cell r="C179">
            <v>0</v>
          </cell>
          <cell r="D179">
            <v>5000</v>
          </cell>
          <cell r="E179" t="str">
            <v>PCS</v>
          </cell>
          <cell r="F179">
            <v>8.3999999999999995E-3</v>
          </cell>
          <cell r="G179">
            <v>8.3800000000000003E-3</v>
          </cell>
          <cell r="H179">
            <v>8.3800000000000003E-3</v>
          </cell>
          <cell r="I179">
            <v>5.4470000000000001</v>
          </cell>
          <cell r="J179">
            <v>0.32682</v>
          </cell>
          <cell r="K179">
            <v>5.7738199999999997</v>
          </cell>
          <cell r="L179">
            <v>41.9</v>
          </cell>
          <cell r="M179" t="str">
            <v>USD</v>
          </cell>
        </row>
        <row r="180">
          <cell r="A180" t="str">
            <v>TT01007</v>
          </cell>
          <cell r="B180" t="str">
            <v>tt glazing chock middle 3.0*28</v>
          </cell>
          <cell r="C180">
            <v>0</v>
          </cell>
          <cell r="D180">
            <v>10000</v>
          </cell>
          <cell r="E180" t="str">
            <v>PCS</v>
          </cell>
          <cell r="F180">
            <v>8.3000000000000001E-3</v>
          </cell>
          <cell r="G180">
            <v>8.2500000000000004E-3</v>
          </cell>
          <cell r="H180">
            <v>8.2500000000000004E-3</v>
          </cell>
          <cell r="I180">
            <v>5.3624999999999998</v>
          </cell>
          <cell r="J180">
            <v>0.32174999999999998</v>
          </cell>
          <cell r="K180">
            <v>5.6842499999999996</v>
          </cell>
          <cell r="L180">
            <v>82.5</v>
          </cell>
          <cell r="M180" t="str">
            <v>USD</v>
          </cell>
        </row>
        <row r="181">
          <cell r="A181" t="str">
            <v>TT01004</v>
          </cell>
          <cell r="B181" t="str">
            <v>tt glazing chock middle 3.0*20</v>
          </cell>
          <cell r="C181">
            <v>0</v>
          </cell>
          <cell r="D181">
            <v>5000</v>
          </cell>
          <cell r="E181" t="str">
            <v>PCS</v>
          </cell>
          <cell r="F181">
            <v>5.1000000000000004E-3</v>
          </cell>
          <cell r="G181">
            <v>5.13E-3</v>
          </cell>
          <cell r="H181">
            <v>5.13E-3</v>
          </cell>
          <cell r="I181">
            <v>3.3344999999999998</v>
          </cell>
          <cell r="J181">
            <v>0.20006999999999997</v>
          </cell>
          <cell r="K181">
            <v>3.5345699999999995</v>
          </cell>
          <cell r="L181">
            <v>25.65</v>
          </cell>
          <cell r="M181" t="str">
            <v>USD</v>
          </cell>
        </row>
        <row r="182">
          <cell r="A182" t="str">
            <v>TT01003</v>
          </cell>
          <cell r="B182" t="str">
            <v>tt glazing chock wide 5.0*20</v>
          </cell>
          <cell r="C182">
            <v>0</v>
          </cell>
          <cell r="D182">
            <v>5000</v>
          </cell>
          <cell r="E182" t="str">
            <v>PCS</v>
          </cell>
          <cell r="F182">
            <v>5.3E-3</v>
          </cell>
          <cell r="G182">
            <v>5.2500000000000003E-3</v>
          </cell>
          <cell r="H182">
            <v>5.2500000000000003E-3</v>
          </cell>
          <cell r="I182">
            <v>3.4125000000000001</v>
          </cell>
          <cell r="J182">
            <v>0.20474999999999999</v>
          </cell>
          <cell r="K182">
            <v>3.6172500000000003</v>
          </cell>
          <cell r="L182">
            <v>26.25</v>
          </cell>
          <cell r="M182" t="str">
            <v>USD</v>
          </cell>
        </row>
        <row r="183">
          <cell r="A183" t="str">
            <v>TT01001</v>
          </cell>
          <cell r="B183" t="str">
            <v>tt sngl glazing chock wide 4.0*7.5</v>
          </cell>
          <cell r="C183">
            <v>0</v>
          </cell>
          <cell r="D183">
            <v>10000</v>
          </cell>
          <cell r="E183" t="str">
            <v>PCS</v>
          </cell>
          <cell r="F183">
            <v>5.0000000000000001E-3</v>
          </cell>
          <cell r="G183">
            <v>5.0000000000000001E-3</v>
          </cell>
          <cell r="H183">
            <v>5.0000000000000001E-3</v>
          </cell>
          <cell r="I183">
            <v>3.25</v>
          </cell>
          <cell r="J183">
            <v>0.19500000000000001</v>
          </cell>
          <cell r="K183">
            <v>3.4449999999999998</v>
          </cell>
          <cell r="L183">
            <v>50</v>
          </cell>
          <cell r="M183" t="str">
            <v>USD</v>
          </cell>
        </row>
        <row r="184">
          <cell r="A184" t="str">
            <v>TT01008</v>
          </cell>
          <cell r="B184" t="str">
            <v>tt glazing chock thin 2.0*28</v>
          </cell>
          <cell r="C184">
            <v>0</v>
          </cell>
          <cell r="D184">
            <v>5000</v>
          </cell>
          <cell r="E184" t="str">
            <v>PCS</v>
          </cell>
          <cell r="F184">
            <v>8.0000000000000002E-3</v>
          </cell>
          <cell r="G184">
            <v>8.0000000000000002E-3</v>
          </cell>
          <cell r="H184">
            <v>8.0000000000000002E-3</v>
          </cell>
          <cell r="I184">
            <v>5.2</v>
          </cell>
          <cell r="J184">
            <v>0.312</v>
          </cell>
          <cell r="K184">
            <v>5.5120000000000005</v>
          </cell>
          <cell r="L184">
            <v>40</v>
          </cell>
          <cell r="M184" t="str">
            <v>USD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4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3:P22"/>
  <sheetViews>
    <sheetView topLeftCell="J2" workbookViewId="0">
      <selection activeCell="L25" sqref="L25"/>
    </sheetView>
  </sheetViews>
  <sheetFormatPr baseColWidth="10" defaultColWidth="10.7109375" defaultRowHeight="15" x14ac:dyDescent="0.25"/>
  <cols>
    <col min="1" max="1" width="18.7109375" hidden="1" customWidth="1"/>
    <col min="2" max="2" width="0" hidden="1" customWidth="1"/>
    <col min="3" max="3" width="12.42578125" hidden="1" customWidth="1"/>
    <col min="4" max="6" width="0" hidden="1" customWidth="1"/>
    <col min="7" max="7" width="12.85546875" hidden="1" customWidth="1"/>
    <col min="8" max="9" width="0" hidden="1" customWidth="1"/>
    <col min="12" max="12" width="12.42578125" bestFit="1" customWidth="1"/>
    <col min="14" max="14" width="15.42578125" bestFit="1" customWidth="1"/>
  </cols>
  <sheetData>
    <row r="3" spans="3:16" x14ac:dyDescent="0.25">
      <c r="K3" s="103" t="s">
        <v>669</v>
      </c>
      <c r="L3" s="103"/>
    </row>
    <row r="4" spans="3:16" x14ac:dyDescent="0.25">
      <c r="D4" s="105"/>
      <c r="E4" s="105"/>
      <c r="F4" s="105"/>
      <c r="G4" s="105"/>
      <c r="H4" s="105"/>
      <c r="I4" s="105"/>
      <c r="K4" s="109" t="s">
        <v>587</v>
      </c>
      <c r="L4" s="110"/>
      <c r="M4" s="21"/>
    </row>
    <row r="5" spans="3:16" x14ac:dyDescent="0.25">
      <c r="C5" s="21" t="s">
        <v>4</v>
      </c>
      <c r="D5" s="21" t="s">
        <v>3</v>
      </c>
      <c r="E5" s="21" t="s">
        <v>531</v>
      </c>
      <c r="F5" s="21" t="s">
        <v>5</v>
      </c>
      <c r="G5" s="21" t="s">
        <v>530</v>
      </c>
      <c r="H5" s="21" t="s">
        <v>5</v>
      </c>
      <c r="I5" s="21" t="s">
        <v>6</v>
      </c>
      <c r="K5" s="21" t="s">
        <v>579</v>
      </c>
      <c r="L5" s="38">
        <v>1000</v>
      </c>
      <c r="M5" s="99" t="s">
        <v>632</v>
      </c>
      <c r="N5" s="100"/>
    </row>
    <row r="6" spans="3:16" x14ac:dyDescent="0.25">
      <c r="C6" s="27" t="s">
        <v>528</v>
      </c>
      <c r="D6" s="21" t="s">
        <v>0</v>
      </c>
      <c r="E6" s="21" t="s">
        <v>532</v>
      </c>
      <c r="F6" s="21">
        <v>2</v>
      </c>
      <c r="G6" s="21" t="s">
        <v>533</v>
      </c>
      <c r="H6" s="21">
        <v>2</v>
      </c>
      <c r="I6" s="21" t="s">
        <v>7</v>
      </c>
      <c r="K6" s="21" t="s">
        <v>580</v>
      </c>
      <c r="L6" s="38">
        <v>1000</v>
      </c>
      <c r="M6" s="101"/>
      <c r="N6" s="102"/>
    </row>
    <row r="7" spans="3:16" x14ac:dyDescent="0.25">
      <c r="C7" s="28" t="s">
        <v>500</v>
      </c>
      <c r="D7" s="21" t="s">
        <v>1</v>
      </c>
      <c r="E7" s="21" t="s">
        <v>534</v>
      </c>
      <c r="F7" s="21">
        <v>2</v>
      </c>
      <c r="G7" s="21" t="s">
        <v>535</v>
      </c>
      <c r="H7" s="21">
        <v>2</v>
      </c>
      <c r="I7" s="21" t="s">
        <v>8</v>
      </c>
    </row>
    <row r="8" spans="3:16" x14ac:dyDescent="0.25">
      <c r="C8" s="28" t="s">
        <v>529</v>
      </c>
      <c r="D8" s="21" t="s">
        <v>2</v>
      </c>
      <c r="E8" s="21" t="s">
        <v>536</v>
      </c>
      <c r="F8" s="21">
        <v>2</v>
      </c>
      <c r="G8" s="21" t="s">
        <v>537</v>
      </c>
      <c r="H8" s="21">
        <v>2</v>
      </c>
      <c r="I8" s="21" t="s">
        <v>7</v>
      </c>
      <c r="K8" s="21"/>
      <c r="L8" s="21" t="s">
        <v>582</v>
      </c>
      <c r="M8" s="21" t="s">
        <v>583</v>
      </c>
      <c r="N8" s="21" t="s">
        <v>584</v>
      </c>
      <c r="O8" s="21" t="s">
        <v>585</v>
      </c>
      <c r="P8" s="21" t="s">
        <v>586</v>
      </c>
    </row>
    <row r="9" spans="3:16" x14ac:dyDescent="0.25">
      <c r="K9" s="21" t="s">
        <v>579</v>
      </c>
      <c r="L9" s="27" t="s">
        <v>528</v>
      </c>
      <c r="M9" s="21" t="s">
        <v>0</v>
      </c>
      <c r="N9" s="21">
        <f>L5+6</f>
        <v>1006</v>
      </c>
      <c r="O9" s="21" t="s">
        <v>581</v>
      </c>
      <c r="P9" s="21">
        <v>45</v>
      </c>
    </row>
    <row r="10" spans="3:16" x14ac:dyDescent="0.25">
      <c r="D10" s="108"/>
      <c r="E10" s="108"/>
      <c r="K10" s="21" t="s">
        <v>580</v>
      </c>
      <c r="L10" s="27" t="s">
        <v>528</v>
      </c>
      <c r="M10" s="21" t="s">
        <v>0</v>
      </c>
      <c r="N10" s="21">
        <f>L6+6</f>
        <v>1006</v>
      </c>
      <c r="O10" s="21" t="s">
        <v>581</v>
      </c>
      <c r="P10" s="21">
        <v>45</v>
      </c>
    </row>
    <row r="11" spans="3:16" x14ac:dyDescent="0.25">
      <c r="C11" s="21" t="s">
        <v>539</v>
      </c>
      <c r="D11" s="107" t="s">
        <v>540</v>
      </c>
      <c r="E11" s="107"/>
      <c r="F11" s="21" t="s">
        <v>538</v>
      </c>
      <c r="K11" s="21" t="s">
        <v>579</v>
      </c>
      <c r="L11" s="28" t="s">
        <v>500</v>
      </c>
      <c r="M11" s="21" t="s">
        <v>1</v>
      </c>
      <c r="N11" s="21">
        <f>L5-85</f>
        <v>915</v>
      </c>
      <c r="O11" s="21" t="s">
        <v>581</v>
      </c>
      <c r="P11" s="21">
        <v>90</v>
      </c>
    </row>
    <row r="12" spans="3:16" x14ac:dyDescent="0.25">
      <c r="C12" s="14" t="s">
        <v>470</v>
      </c>
      <c r="D12" s="106" t="s">
        <v>576</v>
      </c>
      <c r="E12" s="106"/>
      <c r="F12" s="21">
        <v>4</v>
      </c>
      <c r="K12" s="21" t="s">
        <v>580</v>
      </c>
      <c r="L12" s="28" t="s">
        <v>500</v>
      </c>
      <c r="M12" s="21" t="s">
        <v>1</v>
      </c>
      <c r="N12" s="21">
        <f>L6-85</f>
        <v>915</v>
      </c>
      <c r="O12" s="21" t="s">
        <v>581</v>
      </c>
      <c r="P12" s="21">
        <v>90</v>
      </c>
    </row>
    <row r="13" spans="3:16" x14ac:dyDescent="0.25">
      <c r="C13" s="14" t="s">
        <v>485</v>
      </c>
      <c r="D13" s="106" t="s">
        <v>577</v>
      </c>
      <c r="E13" s="106"/>
      <c r="F13" s="21">
        <v>8</v>
      </c>
      <c r="K13" s="21" t="s">
        <v>579</v>
      </c>
      <c r="L13" s="28" t="s">
        <v>529</v>
      </c>
      <c r="M13" s="21" t="s">
        <v>2</v>
      </c>
      <c r="N13" s="21">
        <f>L5-80</f>
        <v>920</v>
      </c>
      <c r="O13" s="21" t="s">
        <v>581</v>
      </c>
      <c r="P13" s="21">
        <v>45</v>
      </c>
    </row>
    <row r="14" spans="3:16" x14ac:dyDescent="0.25">
      <c r="K14" s="21" t="s">
        <v>580</v>
      </c>
      <c r="L14" s="28" t="s">
        <v>529</v>
      </c>
      <c r="M14" s="21" t="s">
        <v>2</v>
      </c>
      <c r="N14" s="21">
        <f>L6-80</f>
        <v>920</v>
      </c>
      <c r="O14" s="21" t="s">
        <v>581</v>
      </c>
      <c r="P14" s="21">
        <v>45</v>
      </c>
    </row>
    <row r="15" spans="3:16" x14ac:dyDescent="0.25">
      <c r="C15" s="104" t="s">
        <v>543</v>
      </c>
      <c r="D15" s="104"/>
    </row>
    <row r="16" spans="3:16" x14ac:dyDescent="0.25">
      <c r="C16" s="21" t="s">
        <v>9</v>
      </c>
      <c r="D16" s="21" t="s">
        <v>546</v>
      </c>
      <c r="K16" s="21" t="s">
        <v>589</v>
      </c>
      <c r="L16" s="21"/>
    </row>
    <row r="17" spans="3:13" x14ac:dyDescent="0.25">
      <c r="C17" s="21" t="s">
        <v>544</v>
      </c>
      <c r="D17" s="21" t="s">
        <v>545</v>
      </c>
      <c r="K17" s="21" t="s">
        <v>579</v>
      </c>
      <c r="L17" s="60">
        <f>L5-90</f>
        <v>910</v>
      </c>
      <c r="M17" s="111">
        <v>1</v>
      </c>
    </row>
    <row r="18" spans="3:13" x14ac:dyDescent="0.25">
      <c r="K18" s="21" t="s">
        <v>580</v>
      </c>
      <c r="L18" s="60">
        <f>L6-90</f>
        <v>910</v>
      </c>
      <c r="M18" s="112"/>
    </row>
    <row r="19" spans="3:13" x14ac:dyDescent="0.25">
      <c r="C19" s="104" t="s">
        <v>554</v>
      </c>
      <c r="D19" s="104"/>
      <c r="F19" s="104" t="s">
        <v>567</v>
      </c>
      <c r="G19" s="104"/>
      <c r="M19" s="61"/>
    </row>
    <row r="20" spans="3:13" x14ac:dyDescent="0.25">
      <c r="C20" s="14" t="s">
        <v>555</v>
      </c>
      <c r="D20" s="21" t="s">
        <v>558</v>
      </c>
      <c r="F20" s="14" t="s">
        <v>561</v>
      </c>
      <c r="G20" s="21" t="s">
        <v>564</v>
      </c>
    </row>
    <row r="21" spans="3:13" x14ac:dyDescent="0.25">
      <c r="C21" s="14" t="s">
        <v>556</v>
      </c>
      <c r="D21" s="21" t="s">
        <v>559</v>
      </c>
      <c r="F21" s="14" t="s">
        <v>562</v>
      </c>
      <c r="G21" s="21" t="s">
        <v>565</v>
      </c>
    </row>
    <row r="22" spans="3:13" x14ac:dyDescent="0.25">
      <c r="C22" s="14" t="s">
        <v>557</v>
      </c>
      <c r="D22" s="21" t="s">
        <v>560</v>
      </c>
      <c r="F22" s="14" t="s">
        <v>563</v>
      </c>
      <c r="G22" s="21" t="s">
        <v>566</v>
      </c>
    </row>
  </sheetData>
  <mergeCells count="13">
    <mergeCell ref="M5:N6"/>
    <mergeCell ref="K3:L3"/>
    <mergeCell ref="C15:D15"/>
    <mergeCell ref="C19:D19"/>
    <mergeCell ref="F19:G19"/>
    <mergeCell ref="D4:F4"/>
    <mergeCell ref="G4:I4"/>
    <mergeCell ref="D12:E12"/>
    <mergeCell ref="D13:E13"/>
    <mergeCell ref="D11:E11"/>
    <mergeCell ref="D10:E10"/>
    <mergeCell ref="K4:L4"/>
    <mergeCell ref="M17:M18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89223-1DF3-4B8E-B699-F0731E29FF28}">
  <dimension ref="A3:P22"/>
  <sheetViews>
    <sheetView topLeftCell="J1" workbookViewId="0">
      <selection activeCell="Q22" sqref="Q22"/>
    </sheetView>
  </sheetViews>
  <sheetFormatPr baseColWidth="10" defaultColWidth="10.7109375" defaultRowHeight="15" x14ac:dyDescent="0.25"/>
  <cols>
    <col min="1" max="1" width="18.7109375" hidden="1" customWidth="1"/>
    <col min="2" max="2" width="0" hidden="1" customWidth="1"/>
    <col min="3" max="3" width="12.42578125" hidden="1" customWidth="1"/>
    <col min="4" max="6" width="0" hidden="1" customWidth="1"/>
    <col min="7" max="7" width="12.85546875" hidden="1" customWidth="1"/>
    <col min="8" max="9" width="0" hidden="1" customWidth="1"/>
    <col min="12" max="12" width="12.42578125" bestFit="1" customWidth="1"/>
    <col min="14" max="14" width="15.42578125" bestFit="1" customWidth="1"/>
  </cols>
  <sheetData>
    <row r="3" spans="3:16" x14ac:dyDescent="0.25">
      <c r="K3" s="103" t="s">
        <v>719</v>
      </c>
      <c r="L3" s="103"/>
      <c r="M3" t="s">
        <v>718</v>
      </c>
    </row>
    <row r="4" spans="3:16" x14ac:dyDescent="0.25">
      <c r="D4" s="105"/>
      <c r="E4" s="105"/>
      <c r="F4" s="105"/>
      <c r="G4" s="105"/>
      <c r="H4" s="105"/>
      <c r="I4" s="105"/>
      <c r="K4" s="109" t="s">
        <v>587</v>
      </c>
      <c r="L4" s="110"/>
      <c r="M4" s="21"/>
    </row>
    <row r="5" spans="3:16" x14ac:dyDescent="0.25">
      <c r="C5" s="21" t="s">
        <v>4</v>
      </c>
      <c r="D5" s="21" t="s">
        <v>3</v>
      </c>
      <c r="E5" s="21" t="s">
        <v>531</v>
      </c>
      <c r="F5" s="21" t="s">
        <v>5</v>
      </c>
      <c r="G5" s="21" t="s">
        <v>530</v>
      </c>
      <c r="H5" s="21" t="s">
        <v>5</v>
      </c>
      <c r="I5" s="21" t="s">
        <v>6</v>
      </c>
      <c r="K5" s="21" t="s">
        <v>579</v>
      </c>
      <c r="L5" s="38">
        <v>1000</v>
      </c>
      <c r="M5" s="99" t="s">
        <v>632</v>
      </c>
      <c r="N5" s="100"/>
    </row>
    <row r="6" spans="3:16" x14ac:dyDescent="0.25">
      <c r="C6" s="27" t="s">
        <v>528</v>
      </c>
      <c r="D6" s="21" t="s">
        <v>0</v>
      </c>
      <c r="E6" s="21" t="s">
        <v>532</v>
      </c>
      <c r="F6" s="21">
        <v>2</v>
      </c>
      <c r="G6" s="21" t="s">
        <v>533</v>
      </c>
      <c r="H6" s="21">
        <v>2</v>
      </c>
      <c r="I6" s="21" t="s">
        <v>7</v>
      </c>
      <c r="K6" s="21" t="s">
        <v>580</v>
      </c>
      <c r="L6" s="38">
        <v>1000</v>
      </c>
      <c r="M6" s="101"/>
      <c r="N6" s="102"/>
    </row>
    <row r="7" spans="3:16" x14ac:dyDescent="0.25">
      <c r="C7" s="28" t="s">
        <v>500</v>
      </c>
      <c r="D7" s="21" t="s">
        <v>1</v>
      </c>
      <c r="E7" s="21" t="s">
        <v>534</v>
      </c>
      <c r="F7" s="21">
        <v>2</v>
      </c>
      <c r="G7" s="21" t="s">
        <v>535</v>
      </c>
      <c r="H7" s="21">
        <v>2</v>
      </c>
      <c r="I7" s="21" t="s">
        <v>8</v>
      </c>
    </row>
    <row r="8" spans="3:16" x14ac:dyDescent="0.25">
      <c r="C8" s="28" t="s">
        <v>529</v>
      </c>
      <c r="D8" s="21" t="s">
        <v>2</v>
      </c>
      <c r="E8" s="21" t="s">
        <v>536</v>
      </c>
      <c r="F8" s="21">
        <v>2</v>
      </c>
      <c r="G8" s="21" t="s">
        <v>537</v>
      </c>
      <c r="H8" s="21">
        <v>2</v>
      </c>
      <c r="I8" s="21" t="s">
        <v>7</v>
      </c>
      <c r="K8" s="21"/>
      <c r="L8" s="21" t="s">
        <v>582</v>
      </c>
      <c r="M8" s="21" t="s">
        <v>583</v>
      </c>
      <c r="N8" s="21" t="s">
        <v>584</v>
      </c>
      <c r="O8" s="21" t="s">
        <v>585</v>
      </c>
      <c r="P8" s="21" t="s">
        <v>586</v>
      </c>
    </row>
    <row r="9" spans="3:16" x14ac:dyDescent="0.25">
      <c r="K9" s="21" t="s">
        <v>579</v>
      </c>
      <c r="L9" s="27" t="s">
        <v>528</v>
      </c>
      <c r="M9" s="21" t="s">
        <v>0</v>
      </c>
      <c r="N9" s="21">
        <f>L5+6</f>
        <v>1006</v>
      </c>
      <c r="O9" s="21" t="s">
        <v>581</v>
      </c>
      <c r="P9" s="21">
        <v>45</v>
      </c>
    </row>
    <row r="10" spans="3:16" x14ac:dyDescent="0.25">
      <c r="D10" s="108"/>
      <c r="E10" s="108"/>
      <c r="K10" s="21" t="s">
        <v>580</v>
      </c>
      <c r="L10" s="27" t="s">
        <v>528</v>
      </c>
      <c r="M10" s="21" t="s">
        <v>0</v>
      </c>
      <c r="N10" s="21">
        <f>L6+6</f>
        <v>1006</v>
      </c>
      <c r="O10" s="21" t="s">
        <v>581</v>
      </c>
      <c r="P10" s="21">
        <v>45</v>
      </c>
    </row>
    <row r="11" spans="3:16" x14ac:dyDescent="0.25">
      <c r="C11" s="21" t="s">
        <v>539</v>
      </c>
      <c r="D11" s="107" t="s">
        <v>540</v>
      </c>
      <c r="E11" s="107"/>
      <c r="F11" s="21" t="s">
        <v>538</v>
      </c>
      <c r="K11" s="21" t="s">
        <v>579</v>
      </c>
      <c r="L11" s="28" t="s">
        <v>500</v>
      </c>
      <c r="M11" s="21" t="s">
        <v>1</v>
      </c>
      <c r="N11" s="21">
        <f>L5-85</f>
        <v>915</v>
      </c>
      <c r="O11" s="21" t="s">
        <v>581</v>
      </c>
      <c r="P11" s="21">
        <v>90</v>
      </c>
    </row>
    <row r="12" spans="3:16" x14ac:dyDescent="0.25">
      <c r="C12" s="14" t="s">
        <v>470</v>
      </c>
      <c r="D12" s="106" t="s">
        <v>576</v>
      </c>
      <c r="E12" s="106"/>
      <c r="F12" s="21">
        <v>4</v>
      </c>
      <c r="K12" s="21" t="s">
        <v>580</v>
      </c>
      <c r="L12" s="28" t="s">
        <v>500</v>
      </c>
      <c r="M12" s="21" t="s">
        <v>1</v>
      </c>
      <c r="N12" s="21">
        <f>L6-85</f>
        <v>915</v>
      </c>
      <c r="O12" s="21" t="s">
        <v>581</v>
      </c>
      <c r="P12" s="21">
        <v>90</v>
      </c>
    </row>
    <row r="13" spans="3:16" x14ac:dyDescent="0.25">
      <c r="C13" s="14" t="s">
        <v>485</v>
      </c>
      <c r="D13" s="106" t="s">
        <v>577</v>
      </c>
      <c r="E13" s="106"/>
      <c r="F13" s="21">
        <v>8</v>
      </c>
      <c r="K13" s="21" t="s">
        <v>579</v>
      </c>
      <c r="L13" s="28" t="s">
        <v>529</v>
      </c>
      <c r="M13" s="21" t="s">
        <v>2</v>
      </c>
      <c r="N13" s="21">
        <f>L5-72</f>
        <v>928</v>
      </c>
      <c r="O13" s="21" t="s">
        <v>581</v>
      </c>
      <c r="P13" s="21">
        <v>45</v>
      </c>
    </row>
    <row r="14" spans="3:16" x14ac:dyDescent="0.25">
      <c r="K14" s="21" t="s">
        <v>580</v>
      </c>
      <c r="L14" s="28" t="s">
        <v>529</v>
      </c>
      <c r="M14" s="21" t="s">
        <v>2</v>
      </c>
      <c r="N14" s="21">
        <f>L6-72</f>
        <v>928</v>
      </c>
      <c r="O14" s="21" t="s">
        <v>581</v>
      </c>
      <c r="P14" s="21">
        <v>45</v>
      </c>
    </row>
    <row r="15" spans="3:16" x14ac:dyDescent="0.25">
      <c r="C15" s="104" t="s">
        <v>543</v>
      </c>
      <c r="D15" s="104"/>
    </row>
    <row r="16" spans="3:16" x14ac:dyDescent="0.25">
      <c r="C16" s="21" t="s">
        <v>9</v>
      </c>
      <c r="D16" s="21" t="s">
        <v>546</v>
      </c>
      <c r="K16" s="21" t="s">
        <v>589</v>
      </c>
      <c r="L16" s="21"/>
    </row>
    <row r="17" spans="3:13" x14ac:dyDescent="0.25">
      <c r="C17" s="21" t="s">
        <v>544</v>
      </c>
      <c r="D17" s="21" t="s">
        <v>545</v>
      </c>
      <c r="K17" s="21" t="s">
        <v>579</v>
      </c>
      <c r="L17" s="60">
        <f>L5-82</f>
        <v>918</v>
      </c>
      <c r="M17" s="111">
        <v>1</v>
      </c>
    </row>
    <row r="18" spans="3:13" x14ac:dyDescent="0.25">
      <c r="K18" s="21" t="s">
        <v>580</v>
      </c>
      <c r="L18" s="60">
        <f>L6-82</f>
        <v>918</v>
      </c>
      <c r="M18" s="112"/>
    </row>
    <row r="19" spans="3:13" x14ac:dyDescent="0.25">
      <c r="C19" s="104" t="s">
        <v>554</v>
      </c>
      <c r="D19" s="104"/>
      <c r="F19" s="104" t="s">
        <v>567</v>
      </c>
      <c r="G19" s="104"/>
      <c r="M19" s="61"/>
    </row>
    <row r="20" spans="3:13" x14ac:dyDescent="0.25">
      <c r="C20" s="14" t="s">
        <v>555</v>
      </c>
      <c r="D20" s="21" t="s">
        <v>558</v>
      </c>
      <c r="F20" s="14" t="s">
        <v>561</v>
      </c>
      <c r="G20" s="21" t="s">
        <v>564</v>
      </c>
    </row>
    <row r="21" spans="3:13" x14ac:dyDescent="0.25">
      <c r="C21" s="14" t="s">
        <v>556</v>
      </c>
      <c r="D21" s="21" t="s">
        <v>559</v>
      </c>
      <c r="F21" s="14" t="s">
        <v>562</v>
      </c>
      <c r="G21" s="21" t="s">
        <v>565</v>
      </c>
    </row>
    <row r="22" spans="3:13" x14ac:dyDescent="0.25">
      <c r="C22" s="14" t="s">
        <v>557</v>
      </c>
      <c r="D22" s="21" t="s">
        <v>560</v>
      </c>
      <c r="F22" s="14" t="s">
        <v>563</v>
      </c>
      <c r="G22" s="21" t="s">
        <v>566</v>
      </c>
    </row>
  </sheetData>
  <mergeCells count="13">
    <mergeCell ref="M5:N6"/>
    <mergeCell ref="D10:E10"/>
    <mergeCell ref="C19:D19"/>
    <mergeCell ref="F19:G19"/>
    <mergeCell ref="K3:L3"/>
    <mergeCell ref="D4:F4"/>
    <mergeCell ref="G4:I4"/>
    <mergeCell ref="K4:L4"/>
    <mergeCell ref="D11:E11"/>
    <mergeCell ref="D12:E12"/>
    <mergeCell ref="D13:E13"/>
    <mergeCell ref="C15:D15"/>
    <mergeCell ref="M17:M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2"/>
  <sheetViews>
    <sheetView topLeftCell="J1" workbookViewId="0">
      <selection activeCell="L13" sqref="L13"/>
    </sheetView>
  </sheetViews>
  <sheetFormatPr baseColWidth="10" defaultColWidth="10.7109375" defaultRowHeight="15" x14ac:dyDescent="0.25"/>
  <cols>
    <col min="1" max="1" width="18.7109375" hidden="1" customWidth="1"/>
    <col min="2" max="2" width="0" hidden="1" customWidth="1"/>
    <col min="3" max="3" width="12.42578125" hidden="1" customWidth="1"/>
    <col min="4" max="4" width="22.7109375" hidden="1" customWidth="1"/>
    <col min="5" max="6" width="0" hidden="1" customWidth="1"/>
    <col min="7" max="7" width="12.85546875" hidden="1" customWidth="1"/>
    <col min="8" max="9" width="0" hidden="1" customWidth="1"/>
    <col min="10" max="10" width="6.5703125" customWidth="1"/>
    <col min="12" max="12" width="13.85546875" customWidth="1"/>
    <col min="13" max="13" width="23.140625" bestFit="1" customWidth="1"/>
  </cols>
  <sheetData>
    <row r="1" spans="1:18" ht="15.75" thickBot="1" x14ac:dyDescent="0.3">
      <c r="C1" s="21" t="s">
        <v>4</v>
      </c>
      <c r="D1" s="21" t="s">
        <v>3</v>
      </c>
      <c r="E1" s="21" t="s">
        <v>531</v>
      </c>
      <c r="F1" s="21" t="s">
        <v>5</v>
      </c>
      <c r="G1" s="21" t="s">
        <v>530</v>
      </c>
      <c r="H1" s="21" t="s">
        <v>5</v>
      </c>
      <c r="I1" s="21" t="s">
        <v>6</v>
      </c>
      <c r="K1" s="120"/>
      <c r="L1" s="120"/>
      <c r="N1" s="75"/>
      <c r="O1" s="74"/>
    </row>
    <row r="2" spans="1:18" ht="15.75" thickBot="1" x14ac:dyDescent="0.3">
      <c r="C2" s="27" t="s">
        <v>528</v>
      </c>
      <c r="D2" s="21" t="s">
        <v>0</v>
      </c>
      <c r="E2" s="21" t="s">
        <v>532</v>
      </c>
      <c r="F2" s="21">
        <v>2</v>
      </c>
      <c r="G2" s="21" t="s">
        <v>533</v>
      </c>
      <c r="H2" s="21">
        <v>2</v>
      </c>
      <c r="I2" s="21" t="s">
        <v>7</v>
      </c>
      <c r="K2" s="121" t="s">
        <v>660</v>
      </c>
      <c r="L2" s="122"/>
      <c r="N2" s="115" t="s">
        <v>625</v>
      </c>
      <c r="O2" s="117">
        <v>1000</v>
      </c>
      <c r="Q2" s="99" t="s">
        <v>632</v>
      </c>
      <c r="R2" s="100"/>
    </row>
    <row r="3" spans="1:18" ht="15.75" thickBot="1" x14ac:dyDescent="0.3">
      <c r="C3" s="28" t="s">
        <v>500</v>
      </c>
      <c r="D3" s="21" t="s">
        <v>1</v>
      </c>
      <c r="E3" s="21" t="s">
        <v>534</v>
      </c>
      <c r="F3" s="21">
        <v>2</v>
      </c>
      <c r="G3" s="21" t="s">
        <v>535</v>
      </c>
      <c r="H3" s="21">
        <v>2</v>
      </c>
      <c r="I3" s="21" t="s">
        <v>8</v>
      </c>
      <c r="K3" s="123" t="s">
        <v>703</v>
      </c>
      <c r="L3" s="124"/>
      <c r="N3" s="116"/>
      <c r="O3" s="117"/>
      <c r="P3" s="84">
        <v>1000</v>
      </c>
      <c r="Q3" s="101"/>
      <c r="R3" s="102"/>
    </row>
    <row r="4" spans="1:18" x14ac:dyDescent="0.25">
      <c r="C4" s="28"/>
      <c r="D4" s="21"/>
      <c r="E4" s="21"/>
      <c r="F4" s="21"/>
      <c r="G4" s="21"/>
      <c r="H4" s="21"/>
      <c r="I4" s="21"/>
      <c r="N4" s="115" t="s">
        <v>626</v>
      </c>
      <c r="O4" s="117">
        <v>1000</v>
      </c>
      <c r="P4" s="84" t="s">
        <v>580</v>
      </c>
    </row>
    <row r="5" spans="1:18" ht="15.75" thickBot="1" x14ac:dyDescent="0.3">
      <c r="C5" s="28"/>
      <c r="D5" s="21"/>
      <c r="E5" s="21"/>
      <c r="F5" s="21"/>
      <c r="G5" s="21"/>
      <c r="H5" s="21"/>
      <c r="I5" s="21"/>
      <c r="N5" s="116"/>
      <c r="O5" s="117"/>
    </row>
    <row r="6" spans="1:18" x14ac:dyDescent="0.25">
      <c r="C6" s="28"/>
      <c r="D6" s="21"/>
      <c r="E6" s="21"/>
      <c r="F6" s="21"/>
      <c r="G6" s="21"/>
      <c r="H6" s="21"/>
      <c r="I6" s="21"/>
      <c r="N6" s="84">
        <v>1000</v>
      </c>
    </row>
    <row r="7" spans="1:18" x14ac:dyDescent="0.25">
      <c r="C7" s="29" t="s">
        <v>575</v>
      </c>
      <c r="D7" s="21" t="s">
        <v>568</v>
      </c>
      <c r="E7" s="21" t="s">
        <v>548</v>
      </c>
      <c r="F7" s="21">
        <v>2</v>
      </c>
      <c r="G7" s="21" t="s">
        <v>549</v>
      </c>
      <c r="H7" s="21">
        <v>2</v>
      </c>
      <c r="I7" s="21" t="s">
        <v>7</v>
      </c>
      <c r="N7" s="84" t="s">
        <v>579</v>
      </c>
    </row>
    <row r="8" spans="1:18" x14ac:dyDescent="0.25">
      <c r="C8" s="28" t="s">
        <v>542</v>
      </c>
      <c r="D8" s="21" t="s">
        <v>1</v>
      </c>
      <c r="E8" s="21" t="s">
        <v>578</v>
      </c>
      <c r="F8" s="21">
        <v>2</v>
      </c>
      <c r="G8" s="21" t="s">
        <v>570</v>
      </c>
      <c r="H8" s="21">
        <v>2</v>
      </c>
      <c r="I8" s="21" t="s">
        <v>8</v>
      </c>
      <c r="K8" s="21"/>
      <c r="L8" s="21" t="s">
        <v>582</v>
      </c>
      <c r="M8" s="21" t="s">
        <v>583</v>
      </c>
      <c r="N8" s="21" t="s">
        <v>584</v>
      </c>
      <c r="O8" s="21" t="s">
        <v>585</v>
      </c>
      <c r="P8" s="21" t="s">
        <v>586</v>
      </c>
    </row>
    <row r="9" spans="1:18" x14ac:dyDescent="0.25">
      <c r="C9" s="28" t="s">
        <v>529</v>
      </c>
      <c r="D9" s="21" t="s">
        <v>2</v>
      </c>
      <c r="E9" s="21" t="s">
        <v>569</v>
      </c>
      <c r="F9" s="21">
        <v>2</v>
      </c>
      <c r="G9" s="21" t="s">
        <v>570</v>
      </c>
      <c r="H9" s="21">
        <v>2</v>
      </c>
      <c r="I9" s="21" t="s">
        <v>7</v>
      </c>
      <c r="K9" s="21" t="s">
        <v>579</v>
      </c>
      <c r="L9" s="27" t="s">
        <v>528</v>
      </c>
      <c r="M9" s="21" t="s">
        <v>0</v>
      </c>
      <c r="N9" s="21">
        <f>N6+6</f>
        <v>1006</v>
      </c>
      <c r="O9" s="21" t="s">
        <v>581</v>
      </c>
      <c r="P9" s="21">
        <v>45</v>
      </c>
    </row>
    <row r="10" spans="1:18" x14ac:dyDescent="0.25">
      <c r="D10" s="30"/>
      <c r="E10" s="30"/>
      <c r="K10" s="21" t="s">
        <v>580</v>
      </c>
      <c r="L10" s="27" t="s">
        <v>528</v>
      </c>
      <c r="M10" s="21" t="s">
        <v>0</v>
      </c>
      <c r="N10" s="21">
        <f>P3+6</f>
        <v>1006</v>
      </c>
      <c r="O10" s="21" t="s">
        <v>581</v>
      </c>
      <c r="P10" s="21">
        <v>45</v>
      </c>
    </row>
    <row r="11" spans="1:18" x14ac:dyDescent="0.25">
      <c r="C11" s="21" t="s">
        <v>539</v>
      </c>
      <c r="D11" s="109" t="s">
        <v>540</v>
      </c>
      <c r="E11" s="110"/>
      <c r="F11" s="21" t="s">
        <v>538</v>
      </c>
      <c r="K11" s="21" t="s">
        <v>579</v>
      </c>
      <c r="L11" s="28" t="s">
        <v>500</v>
      </c>
      <c r="M11" s="21" t="s">
        <v>1</v>
      </c>
      <c r="N11" s="21">
        <f>N6-85</f>
        <v>915</v>
      </c>
      <c r="O11" s="21" t="s">
        <v>581</v>
      </c>
      <c r="P11" s="21">
        <v>90</v>
      </c>
    </row>
    <row r="12" spans="1:18" x14ac:dyDescent="0.25">
      <c r="A12" t="s">
        <v>631</v>
      </c>
      <c r="C12" s="14" t="s">
        <v>470</v>
      </c>
      <c r="D12" s="118" t="s">
        <v>576</v>
      </c>
      <c r="E12" s="119"/>
      <c r="F12" s="21">
        <v>8</v>
      </c>
      <c r="K12" s="21" t="s">
        <v>580</v>
      </c>
      <c r="L12" s="28" t="s">
        <v>500</v>
      </c>
      <c r="M12" s="21" t="s">
        <v>1</v>
      </c>
      <c r="N12" s="21">
        <f>P3-85</f>
        <v>915</v>
      </c>
      <c r="O12" s="21" t="s">
        <v>581</v>
      </c>
      <c r="P12" s="21">
        <v>90</v>
      </c>
    </row>
    <row r="13" spans="1:18" x14ac:dyDescent="0.25">
      <c r="K13" s="21" t="s">
        <v>579</v>
      </c>
      <c r="L13" s="28" t="s">
        <v>624</v>
      </c>
      <c r="M13" s="21" t="s">
        <v>624</v>
      </c>
      <c r="N13" s="21">
        <f>N6-74</f>
        <v>926</v>
      </c>
      <c r="O13" s="21" t="s">
        <v>606</v>
      </c>
      <c r="P13" s="21"/>
    </row>
    <row r="14" spans="1:18" x14ac:dyDescent="0.25">
      <c r="K14" s="21" t="s">
        <v>579</v>
      </c>
      <c r="L14" s="28" t="s">
        <v>500</v>
      </c>
      <c r="M14" s="21" t="s">
        <v>1</v>
      </c>
      <c r="N14" s="21">
        <f>N6-85</f>
        <v>915</v>
      </c>
      <c r="O14" s="21" t="s">
        <v>606</v>
      </c>
      <c r="P14" s="21">
        <v>90</v>
      </c>
    </row>
    <row r="15" spans="1:18" x14ac:dyDescent="0.25">
      <c r="C15" s="113" t="s">
        <v>554</v>
      </c>
      <c r="D15" s="114"/>
      <c r="F15" s="113" t="s">
        <v>567</v>
      </c>
      <c r="G15" s="114"/>
    </row>
    <row r="16" spans="1:18" x14ac:dyDescent="0.25">
      <c r="C16" s="14" t="s">
        <v>555</v>
      </c>
      <c r="D16" s="21" t="s">
        <v>558</v>
      </c>
      <c r="F16" s="14" t="s">
        <v>561</v>
      </c>
      <c r="G16" s="21" t="s">
        <v>564</v>
      </c>
      <c r="K16" s="113" t="s">
        <v>661</v>
      </c>
      <c r="L16" s="114"/>
    </row>
    <row r="17" spans="3:13" x14ac:dyDescent="0.25">
      <c r="C17" s="14" t="s">
        <v>556</v>
      </c>
      <c r="D17" s="21" t="s">
        <v>559</v>
      </c>
      <c r="F17" s="14" t="s">
        <v>562</v>
      </c>
      <c r="G17" s="21" t="s">
        <v>565</v>
      </c>
      <c r="K17" s="21" t="s">
        <v>9</v>
      </c>
      <c r="L17" s="21">
        <f>N6-90</f>
        <v>910</v>
      </c>
      <c r="M17" s="111">
        <v>1</v>
      </c>
    </row>
    <row r="18" spans="3:13" x14ac:dyDescent="0.25">
      <c r="C18" s="14" t="s">
        <v>557</v>
      </c>
      <c r="D18" s="21" t="s">
        <v>560</v>
      </c>
      <c r="F18" s="14" t="s">
        <v>563</v>
      </c>
      <c r="G18" s="21" t="s">
        <v>566</v>
      </c>
      <c r="K18" s="21" t="s">
        <v>544</v>
      </c>
      <c r="L18" s="21">
        <f>O2-70</f>
        <v>930</v>
      </c>
      <c r="M18" s="112"/>
    </row>
    <row r="20" spans="3:13" x14ac:dyDescent="0.25">
      <c r="C20" s="105"/>
      <c r="D20" s="105"/>
      <c r="K20" s="113" t="s">
        <v>629</v>
      </c>
      <c r="L20" s="114"/>
    </row>
    <row r="21" spans="3:13" x14ac:dyDescent="0.25">
      <c r="K21" s="21" t="s">
        <v>9</v>
      </c>
      <c r="L21" s="21">
        <f>N6-90</f>
        <v>910</v>
      </c>
      <c r="M21" s="111">
        <v>1</v>
      </c>
    </row>
    <row r="22" spans="3:13" x14ac:dyDescent="0.25">
      <c r="K22" s="21" t="s">
        <v>544</v>
      </c>
      <c r="L22" s="21">
        <f>O4-70</f>
        <v>930</v>
      </c>
      <c r="M22" s="112"/>
    </row>
  </sheetData>
  <mergeCells count="17">
    <mergeCell ref="K1:L1"/>
    <mergeCell ref="K2:L2"/>
    <mergeCell ref="N2:N3"/>
    <mergeCell ref="O2:O3"/>
    <mergeCell ref="Q2:R3"/>
    <mergeCell ref="K3:L3"/>
    <mergeCell ref="N4:N5"/>
    <mergeCell ref="O4:O5"/>
    <mergeCell ref="D11:E11"/>
    <mergeCell ref="D12:E12"/>
    <mergeCell ref="C15:D15"/>
    <mergeCell ref="F15:G15"/>
    <mergeCell ref="K16:L16"/>
    <mergeCell ref="M17:M18"/>
    <mergeCell ref="C20:D20"/>
    <mergeCell ref="K20:L20"/>
    <mergeCell ref="M21:M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3A720-923E-4285-A74B-0354A89D35D8}">
  <dimension ref="A1:R22"/>
  <sheetViews>
    <sheetView topLeftCell="J1" zoomScaleNormal="100" workbookViewId="0">
      <selection activeCell="R11" sqref="R11"/>
    </sheetView>
  </sheetViews>
  <sheetFormatPr baseColWidth="10" defaultColWidth="10.7109375" defaultRowHeight="15" x14ac:dyDescent="0.25"/>
  <cols>
    <col min="1" max="1" width="18.7109375" hidden="1" customWidth="1"/>
    <col min="2" max="2" width="0" hidden="1" customWidth="1"/>
    <col min="3" max="3" width="12.42578125" hidden="1" customWidth="1"/>
    <col min="4" max="4" width="22.7109375" hidden="1" customWidth="1"/>
    <col min="5" max="6" width="0" hidden="1" customWidth="1"/>
    <col min="7" max="7" width="12.85546875" hidden="1" customWidth="1"/>
    <col min="8" max="9" width="0" hidden="1" customWidth="1"/>
    <col min="10" max="10" width="6.5703125" customWidth="1"/>
    <col min="12" max="12" width="13.85546875" customWidth="1"/>
    <col min="13" max="13" width="23.140625" bestFit="1" customWidth="1"/>
  </cols>
  <sheetData>
    <row r="1" spans="1:18" ht="15.75" thickBot="1" x14ac:dyDescent="0.3">
      <c r="C1" s="21" t="s">
        <v>4</v>
      </c>
      <c r="D1" s="21" t="s">
        <v>3</v>
      </c>
      <c r="E1" s="21" t="s">
        <v>531</v>
      </c>
      <c r="F1" s="21" t="s">
        <v>5</v>
      </c>
      <c r="G1" s="21" t="s">
        <v>530</v>
      </c>
      <c r="H1" s="21" t="s">
        <v>5</v>
      </c>
      <c r="I1" s="21" t="s">
        <v>6</v>
      </c>
      <c r="K1" s="120"/>
      <c r="L1" s="120"/>
      <c r="N1" s="75"/>
      <c r="O1" s="74"/>
      <c r="Q1" s="99" t="s">
        <v>632</v>
      </c>
      <c r="R1" s="100"/>
    </row>
    <row r="2" spans="1:18" ht="15.75" thickBot="1" x14ac:dyDescent="0.3">
      <c r="C2" s="27" t="s">
        <v>528</v>
      </c>
      <c r="D2" s="21" t="s">
        <v>0</v>
      </c>
      <c r="E2" s="21" t="s">
        <v>532</v>
      </c>
      <c r="F2" s="21">
        <v>2</v>
      </c>
      <c r="G2" s="21" t="s">
        <v>533</v>
      </c>
      <c r="H2" s="21">
        <v>2</v>
      </c>
      <c r="I2" s="21" t="s">
        <v>7</v>
      </c>
      <c r="K2" s="121" t="s">
        <v>660</v>
      </c>
      <c r="L2" s="122"/>
      <c r="N2" s="115" t="s">
        <v>625</v>
      </c>
      <c r="O2" s="117">
        <v>1000</v>
      </c>
      <c r="Q2" s="101"/>
      <c r="R2" s="102"/>
    </row>
    <row r="3" spans="1:18" ht="15.75" thickBot="1" x14ac:dyDescent="0.3">
      <c r="C3" s="28" t="s">
        <v>500</v>
      </c>
      <c r="D3" s="21" t="s">
        <v>1</v>
      </c>
      <c r="E3" s="21" t="s">
        <v>534</v>
      </c>
      <c r="F3" s="21">
        <v>2</v>
      </c>
      <c r="G3" s="21" t="s">
        <v>535</v>
      </c>
      <c r="H3" s="21">
        <v>2</v>
      </c>
      <c r="I3" s="21" t="s">
        <v>8</v>
      </c>
      <c r="K3" s="123" t="s">
        <v>704</v>
      </c>
      <c r="L3" s="124"/>
      <c r="N3" s="116"/>
      <c r="O3" s="117"/>
      <c r="P3" s="84">
        <v>2000</v>
      </c>
    </row>
    <row r="4" spans="1:18" x14ac:dyDescent="0.25">
      <c r="C4" s="28"/>
      <c r="D4" s="21"/>
      <c r="E4" s="21"/>
      <c r="F4" s="21"/>
      <c r="G4" s="21"/>
      <c r="H4" s="21"/>
      <c r="I4" s="21"/>
      <c r="N4" s="115" t="s">
        <v>626</v>
      </c>
      <c r="O4" s="117">
        <v>1000</v>
      </c>
      <c r="P4" s="84" t="s">
        <v>579</v>
      </c>
    </row>
    <row r="5" spans="1:18" ht="15.75" thickBot="1" x14ac:dyDescent="0.3">
      <c r="C5" s="28"/>
      <c r="D5" s="21"/>
      <c r="E5" s="21"/>
      <c r="F5" s="21"/>
      <c r="G5" s="21"/>
      <c r="H5" s="21"/>
      <c r="I5" s="21"/>
      <c r="N5" s="116"/>
      <c r="O5" s="117"/>
    </row>
    <row r="6" spans="1:18" x14ac:dyDescent="0.25">
      <c r="C6" s="28"/>
      <c r="D6" s="21"/>
      <c r="E6" s="21"/>
      <c r="F6" s="21"/>
      <c r="G6" s="21"/>
      <c r="H6" s="21"/>
      <c r="I6" s="21"/>
      <c r="N6" s="84">
        <v>2000</v>
      </c>
    </row>
    <row r="7" spans="1:18" x14ac:dyDescent="0.25">
      <c r="C7" s="29" t="s">
        <v>575</v>
      </c>
      <c r="D7" s="21" t="s">
        <v>568</v>
      </c>
      <c r="E7" s="21" t="s">
        <v>548</v>
      </c>
      <c r="F7" s="21">
        <v>2</v>
      </c>
      <c r="G7" s="21" t="s">
        <v>549</v>
      </c>
      <c r="H7" s="21">
        <v>2</v>
      </c>
      <c r="I7" s="21" t="s">
        <v>7</v>
      </c>
      <c r="N7" s="84" t="s">
        <v>580</v>
      </c>
    </row>
    <row r="8" spans="1:18" x14ac:dyDescent="0.25">
      <c r="C8" s="28" t="s">
        <v>542</v>
      </c>
      <c r="D8" s="21" t="s">
        <v>1</v>
      </c>
      <c r="E8" s="21" t="s">
        <v>578</v>
      </c>
      <c r="F8" s="21">
        <v>2</v>
      </c>
      <c r="G8" s="21" t="s">
        <v>570</v>
      </c>
      <c r="H8" s="21">
        <v>2</v>
      </c>
      <c r="I8" s="21" t="s">
        <v>8</v>
      </c>
      <c r="K8" s="21"/>
      <c r="L8" s="21" t="s">
        <v>582</v>
      </c>
      <c r="M8" s="21" t="s">
        <v>583</v>
      </c>
      <c r="N8" s="21" t="s">
        <v>584</v>
      </c>
      <c r="O8" s="21" t="s">
        <v>585</v>
      </c>
      <c r="P8" s="21" t="s">
        <v>586</v>
      </c>
    </row>
    <row r="9" spans="1:18" x14ac:dyDescent="0.25">
      <c r="C9" s="28" t="s">
        <v>529</v>
      </c>
      <c r="D9" s="21" t="s">
        <v>2</v>
      </c>
      <c r="E9" s="21" t="s">
        <v>569</v>
      </c>
      <c r="F9" s="21">
        <v>2</v>
      </c>
      <c r="G9" s="21" t="s">
        <v>570</v>
      </c>
      <c r="H9" s="21">
        <v>2</v>
      </c>
      <c r="I9" s="21" t="s">
        <v>7</v>
      </c>
      <c r="K9" s="21" t="s">
        <v>580</v>
      </c>
      <c r="L9" s="27" t="s">
        <v>528</v>
      </c>
      <c r="M9" s="21" t="s">
        <v>0</v>
      </c>
      <c r="N9" s="21">
        <f>N6+6</f>
        <v>2006</v>
      </c>
      <c r="O9" s="21" t="s">
        <v>581</v>
      </c>
      <c r="P9" s="21">
        <v>45</v>
      </c>
    </row>
    <row r="10" spans="1:18" x14ac:dyDescent="0.25">
      <c r="D10" s="30"/>
      <c r="E10" s="30"/>
      <c r="K10" s="21" t="s">
        <v>579</v>
      </c>
      <c r="L10" s="27" t="s">
        <v>528</v>
      </c>
      <c r="M10" s="21" t="s">
        <v>0</v>
      </c>
      <c r="N10" s="21">
        <f>P3+6</f>
        <v>2006</v>
      </c>
      <c r="O10" s="21" t="s">
        <v>581</v>
      </c>
      <c r="P10" s="21">
        <v>45</v>
      </c>
    </row>
    <row r="11" spans="1:18" x14ac:dyDescent="0.25">
      <c r="C11" s="21" t="s">
        <v>539</v>
      </c>
      <c r="D11" s="109" t="s">
        <v>540</v>
      </c>
      <c r="E11" s="110"/>
      <c r="F11" s="21" t="s">
        <v>538</v>
      </c>
      <c r="K11" s="21" t="s">
        <v>580</v>
      </c>
      <c r="L11" s="28" t="s">
        <v>500</v>
      </c>
      <c r="M11" s="21" t="s">
        <v>1</v>
      </c>
      <c r="N11" s="21">
        <f>N6-85</f>
        <v>1915</v>
      </c>
      <c r="O11" s="21" t="s">
        <v>581</v>
      </c>
      <c r="P11" s="21">
        <v>90</v>
      </c>
    </row>
    <row r="12" spans="1:18" x14ac:dyDescent="0.25">
      <c r="A12" t="s">
        <v>631</v>
      </c>
      <c r="C12" s="14" t="s">
        <v>470</v>
      </c>
      <c r="D12" s="118" t="s">
        <v>576</v>
      </c>
      <c r="E12" s="119"/>
      <c r="F12" s="21">
        <v>8</v>
      </c>
      <c r="K12" s="21" t="s">
        <v>579</v>
      </c>
      <c r="L12" s="28" t="s">
        <v>500</v>
      </c>
      <c r="M12" s="21" t="s">
        <v>1</v>
      </c>
      <c r="N12" s="21">
        <f>P3-85</f>
        <v>1915</v>
      </c>
      <c r="O12" s="21" t="s">
        <v>581</v>
      </c>
      <c r="P12" s="21">
        <v>90</v>
      </c>
    </row>
    <row r="13" spans="1:18" x14ac:dyDescent="0.25">
      <c r="K13" s="21" t="s">
        <v>580</v>
      </c>
      <c r="L13" s="28" t="s">
        <v>624</v>
      </c>
      <c r="M13" s="21" t="s">
        <v>624</v>
      </c>
      <c r="N13" s="21">
        <f>N6-74</f>
        <v>1926</v>
      </c>
      <c r="O13" s="21" t="s">
        <v>606</v>
      </c>
      <c r="P13" s="21">
        <v>90</v>
      </c>
    </row>
    <row r="14" spans="1:18" x14ac:dyDescent="0.25">
      <c r="K14" s="21" t="s">
        <v>580</v>
      </c>
      <c r="L14" s="28" t="s">
        <v>500</v>
      </c>
      <c r="M14" s="21" t="s">
        <v>1</v>
      </c>
      <c r="N14" s="21">
        <f>N6-85</f>
        <v>1915</v>
      </c>
      <c r="O14" s="21" t="s">
        <v>606</v>
      </c>
      <c r="P14" s="21">
        <v>90</v>
      </c>
    </row>
    <row r="15" spans="1:18" x14ac:dyDescent="0.25">
      <c r="C15" s="113" t="s">
        <v>554</v>
      </c>
      <c r="D15" s="114"/>
      <c r="F15" s="113" t="s">
        <v>567</v>
      </c>
      <c r="G15" s="114"/>
    </row>
    <row r="16" spans="1:18" x14ac:dyDescent="0.25">
      <c r="C16" s="14" t="s">
        <v>555</v>
      </c>
      <c r="D16" s="21" t="s">
        <v>558</v>
      </c>
      <c r="F16" s="14" t="s">
        <v>561</v>
      </c>
      <c r="G16" s="21" t="s">
        <v>564</v>
      </c>
      <c r="K16" s="113" t="s">
        <v>661</v>
      </c>
      <c r="L16" s="114"/>
    </row>
    <row r="17" spans="3:13" x14ac:dyDescent="0.25">
      <c r="C17" s="14" t="s">
        <v>556</v>
      </c>
      <c r="D17" s="21" t="s">
        <v>559</v>
      </c>
      <c r="F17" s="14" t="s">
        <v>562</v>
      </c>
      <c r="G17" s="21" t="s">
        <v>565</v>
      </c>
      <c r="K17" s="21" t="s">
        <v>580</v>
      </c>
      <c r="L17" s="21">
        <f>N6-90</f>
        <v>1910</v>
      </c>
      <c r="M17" s="111">
        <v>1</v>
      </c>
    </row>
    <row r="18" spans="3:13" x14ac:dyDescent="0.25">
      <c r="C18" s="14" t="s">
        <v>557</v>
      </c>
      <c r="D18" s="21" t="s">
        <v>560</v>
      </c>
      <c r="F18" s="14" t="s">
        <v>563</v>
      </c>
      <c r="G18" s="21" t="s">
        <v>566</v>
      </c>
      <c r="K18" s="21" t="s">
        <v>579</v>
      </c>
      <c r="L18" s="21">
        <f>O2-70</f>
        <v>930</v>
      </c>
      <c r="M18" s="112"/>
    </row>
    <row r="20" spans="3:13" x14ac:dyDescent="0.25">
      <c r="C20" s="105"/>
      <c r="D20" s="105"/>
      <c r="K20" s="113" t="s">
        <v>629</v>
      </c>
      <c r="L20" s="114"/>
    </row>
    <row r="21" spans="3:13" x14ac:dyDescent="0.25">
      <c r="K21" s="21" t="s">
        <v>580</v>
      </c>
      <c r="L21" s="21">
        <f>N6-90</f>
        <v>1910</v>
      </c>
      <c r="M21" s="111">
        <v>1</v>
      </c>
    </row>
    <row r="22" spans="3:13" x14ac:dyDescent="0.25">
      <c r="K22" s="21" t="s">
        <v>579</v>
      </c>
      <c r="L22" s="21">
        <f>O4-70</f>
        <v>930</v>
      </c>
      <c r="M22" s="112"/>
    </row>
  </sheetData>
  <mergeCells count="17">
    <mergeCell ref="K1:L1"/>
    <mergeCell ref="K2:L2"/>
    <mergeCell ref="N2:N3"/>
    <mergeCell ref="O2:O3"/>
    <mergeCell ref="Q1:R2"/>
    <mergeCell ref="K3:L3"/>
    <mergeCell ref="N4:N5"/>
    <mergeCell ref="O4:O5"/>
    <mergeCell ref="D11:E11"/>
    <mergeCell ref="D12:E12"/>
    <mergeCell ref="C15:D15"/>
    <mergeCell ref="F15:G15"/>
    <mergeCell ref="K16:L16"/>
    <mergeCell ref="M17:M18"/>
    <mergeCell ref="C20:D20"/>
    <mergeCell ref="K20:L20"/>
    <mergeCell ref="M21:M22"/>
  </mergeCells>
  <pageMargins left="0.7" right="0.7" top="0.75" bottom="0.75" header="0.3" footer="0.3"/>
  <pageSetup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/>
  <dimension ref="A1:P24"/>
  <sheetViews>
    <sheetView topLeftCell="J1" workbookViewId="0">
      <selection activeCell="O23" sqref="O23"/>
    </sheetView>
  </sheetViews>
  <sheetFormatPr baseColWidth="10" defaultColWidth="10.7109375" defaultRowHeight="15" x14ac:dyDescent="0.25"/>
  <cols>
    <col min="1" max="1" width="18.7109375" hidden="1" customWidth="1"/>
    <col min="2" max="2" width="0" hidden="1" customWidth="1"/>
    <col min="3" max="3" width="12.42578125" hidden="1" customWidth="1"/>
    <col min="4" max="4" width="22.7109375" hidden="1" customWidth="1"/>
    <col min="5" max="6" width="0" hidden="1" customWidth="1"/>
    <col min="7" max="7" width="12.85546875" hidden="1" customWidth="1"/>
    <col min="8" max="9" width="0" hidden="1" customWidth="1"/>
    <col min="12" max="12" width="14.28515625" customWidth="1"/>
    <col min="13" max="13" width="22.7109375" bestFit="1" customWidth="1"/>
  </cols>
  <sheetData>
    <row r="1" spans="3:16" ht="15.75" thickBot="1" x14ac:dyDescent="0.3"/>
    <row r="2" spans="3:16" ht="15.75" thickBot="1" x14ac:dyDescent="0.3">
      <c r="K2" s="121" t="s">
        <v>636</v>
      </c>
      <c r="L2" s="122"/>
    </row>
    <row r="3" spans="3:16" ht="15.75" thickBot="1" x14ac:dyDescent="0.3">
      <c r="D3" s="105"/>
      <c r="E3" s="105"/>
      <c r="F3" s="105"/>
      <c r="G3" s="105"/>
      <c r="H3" s="105"/>
      <c r="I3" s="105"/>
      <c r="K3" s="131" t="s">
        <v>654</v>
      </c>
      <c r="L3" s="132"/>
    </row>
    <row r="4" spans="3:16" ht="15.75" thickBot="1" x14ac:dyDescent="0.3">
      <c r="C4" s="21" t="s">
        <v>4</v>
      </c>
      <c r="D4" s="21" t="s">
        <v>3</v>
      </c>
      <c r="E4" s="21" t="s">
        <v>531</v>
      </c>
      <c r="F4" s="21" t="s">
        <v>5</v>
      </c>
      <c r="G4" s="21" t="s">
        <v>530</v>
      </c>
      <c r="H4" s="21" t="s">
        <v>5</v>
      </c>
      <c r="I4" s="21" t="s">
        <v>6</v>
      </c>
      <c r="K4" s="133" t="s">
        <v>633</v>
      </c>
      <c r="L4" s="134"/>
    </row>
    <row r="5" spans="3:16" ht="15.75" thickBot="1" x14ac:dyDescent="0.3">
      <c r="C5" s="27" t="s">
        <v>528</v>
      </c>
      <c r="D5" s="21" t="s">
        <v>0</v>
      </c>
      <c r="E5" s="21" t="s">
        <v>532</v>
      </c>
      <c r="F5" s="21">
        <v>2</v>
      </c>
      <c r="G5" s="21" t="s">
        <v>533</v>
      </c>
      <c r="H5" s="21">
        <v>2</v>
      </c>
      <c r="I5" s="21" t="s">
        <v>7</v>
      </c>
      <c r="K5" s="43" t="s">
        <v>579</v>
      </c>
      <c r="L5" s="44">
        <v>1000</v>
      </c>
      <c r="M5" s="127" t="s">
        <v>632</v>
      </c>
      <c r="N5" s="128"/>
    </row>
    <row r="6" spans="3:16" ht="15.75" thickBot="1" x14ac:dyDescent="0.3">
      <c r="C6" s="28" t="s">
        <v>500</v>
      </c>
      <c r="D6" s="21" t="s">
        <v>1</v>
      </c>
      <c r="E6" s="21" t="s">
        <v>534</v>
      </c>
      <c r="F6" s="21">
        <v>2</v>
      </c>
      <c r="G6" s="21" t="s">
        <v>535</v>
      </c>
      <c r="H6" s="21">
        <v>2</v>
      </c>
      <c r="I6" s="21" t="s">
        <v>8</v>
      </c>
      <c r="K6" s="41" t="s">
        <v>580</v>
      </c>
      <c r="L6" s="42">
        <v>2000</v>
      </c>
      <c r="M6" s="129"/>
      <c r="N6" s="130"/>
    </row>
    <row r="7" spans="3:16" ht="15.75" thickBot="1" x14ac:dyDescent="0.3">
      <c r="C7" s="29" t="s">
        <v>541</v>
      </c>
      <c r="D7" s="21" t="s">
        <v>547</v>
      </c>
      <c r="E7" s="21" t="s">
        <v>548</v>
      </c>
      <c r="F7" s="21">
        <v>2</v>
      </c>
      <c r="G7" s="21" t="s">
        <v>549</v>
      </c>
      <c r="H7" s="21">
        <v>2</v>
      </c>
      <c r="I7" s="21" t="s">
        <v>7</v>
      </c>
    </row>
    <row r="8" spans="3:16" ht="15.75" thickBot="1" x14ac:dyDescent="0.3">
      <c r="C8" s="28" t="s">
        <v>542</v>
      </c>
      <c r="D8" s="21" t="s">
        <v>1</v>
      </c>
      <c r="E8" s="21" t="s">
        <v>551</v>
      </c>
      <c r="F8" s="21">
        <v>2</v>
      </c>
      <c r="G8" s="21" t="s">
        <v>550</v>
      </c>
      <c r="H8" s="21">
        <v>2</v>
      </c>
      <c r="I8" s="21" t="s">
        <v>8</v>
      </c>
      <c r="K8" s="55"/>
      <c r="L8" s="53" t="s">
        <v>582</v>
      </c>
      <c r="M8" s="53" t="s">
        <v>583</v>
      </c>
      <c r="N8" s="53" t="s">
        <v>584</v>
      </c>
      <c r="O8" s="53" t="s">
        <v>585</v>
      </c>
      <c r="P8" s="54" t="s">
        <v>586</v>
      </c>
    </row>
    <row r="9" spans="3:16" x14ac:dyDescent="0.25">
      <c r="C9" s="28" t="s">
        <v>529</v>
      </c>
      <c r="D9" s="21" t="s">
        <v>2</v>
      </c>
      <c r="E9" s="21" t="s">
        <v>552</v>
      </c>
      <c r="F9" s="21">
        <v>2</v>
      </c>
      <c r="G9" s="21" t="s">
        <v>553</v>
      </c>
      <c r="H9" s="21">
        <v>2</v>
      </c>
      <c r="I9" s="21" t="s">
        <v>7</v>
      </c>
      <c r="K9" s="50" t="s">
        <v>579</v>
      </c>
      <c r="L9" s="51" t="s">
        <v>528</v>
      </c>
      <c r="M9" s="39" t="s">
        <v>0</v>
      </c>
      <c r="N9" s="39">
        <f>L5+6</f>
        <v>1006</v>
      </c>
      <c r="O9" s="39" t="s">
        <v>606</v>
      </c>
      <c r="P9" s="52">
        <v>45</v>
      </c>
    </row>
    <row r="10" spans="3:16" x14ac:dyDescent="0.25">
      <c r="D10" s="30"/>
      <c r="E10" s="30"/>
      <c r="K10" s="45" t="s">
        <v>580</v>
      </c>
      <c r="L10" s="27" t="s">
        <v>528</v>
      </c>
      <c r="M10" s="21" t="s">
        <v>0</v>
      </c>
      <c r="N10" s="21">
        <f>L6+3</f>
        <v>2003</v>
      </c>
      <c r="O10" s="21" t="s">
        <v>581</v>
      </c>
      <c r="P10" s="46">
        <v>45</v>
      </c>
    </row>
    <row r="11" spans="3:16" x14ac:dyDescent="0.25">
      <c r="C11" s="21" t="s">
        <v>539</v>
      </c>
      <c r="D11" s="107" t="s">
        <v>540</v>
      </c>
      <c r="E11" s="107"/>
      <c r="F11" s="21" t="s">
        <v>538</v>
      </c>
      <c r="K11" s="45" t="s">
        <v>579</v>
      </c>
      <c r="L11" s="28" t="s">
        <v>637</v>
      </c>
      <c r="M11" s="21" t="s">
        <v>1</v>
      </c>
      <c r="N11" s="21">
        <f>L5-85</f>
        <v>915</v>
      </c>
      <c r="O11" s="21" t="s">
        <v>606</v>
      </c>
      <c r="P11" s="46">
        <v>90</v>
      </c>
    </row>
    <row r="12" spans="3:16" x14ac:dyDescent="0.25">
      <c r="C12" s="14" t="s">
        <v>470</v>
      </c>
      <c r="D12" s="106" t="s">
        <v>576</v>
      </c>
      <c r="E12" s="106"/>
      <c r="F12" s="21">
        <v>6</v>
      </c>
      <c r="K12" s="45" t="s">
        <v>580</v>
      </c>
      <c r="L12" s="28" t="s">
        <v>637</v>
      </c>
      <c r="M12" s="21" t="s">
        <v>1</v>
      </c>
      <c r="N12" s="21">
        <f>L6-85</f>
        <v>1915</v>
      </c>
      <c r="O12" s="21" t="s">
        <v>581</v>
      </c>
      <c r="P12" s="46">
        <v>90</v>
      </c>
    </row>
    <row r="13" spans="3:16" x14ac:dyDescent="0.25">
      <c r="C13" s="14" t="s">
        <v>485</v>
      </c>
      <c r="D13" s="106" t="s">
        <v>577</v>
      </c>
      <c r="E13" s="106"/>
      <c r="F13" s="21">
        <v>12</v>
      </c>
      <c r="K13" s="45" t="s">
        <v>579</v>
      </c>
      <c r="L13" s="29" t="s">
        <v>638</v>
      </c>
      <c r="M13" s="21" t="s">
        <v>635</v>
      </c>
      <c r="N13" s="21">
        <f>L5-58</f>
        <v>942</v>
      </c>
      <c r="O13" s="21" t="s">
        <v>581</v>
      </c>
      <c r="P13" s="46">
        <v>45</v>
      </c>
    </row>
    <row r="14" spans="3:16" x14ac:dyDescent="0.25">
      <c r="K14" s="45" t="s">
        <v>580</v>
      </c>
      <c r="L14" s="29" t="s">
        <v>638</v>
      </c>
      <c r="M14" s="21" t="s">
        <v>635</v>
      </c>
      <c r="N14" s="21">
        <f>L6-32</f>
        <v>1968</v>
      </c>
      <c r="O14" s="21" t="s">
        <v>581</v>
      </c>
      <c r="P14" s="46">
        <v>45</v>
      </c>
    </row>
    <row r="15" spans="3:16" x14ac:dyDescent="0.25">
      <c r="C15" s="104" t="s">
        <v>543</v>
      </c>
      <c r="D15" s="104"/>
      <c r="K15" s="45" t="s">
        <v>579</v>
      </c>
      <c r="L15" s="21" t="s">
        <v>639</v>
      </c>
      <c r="M15" s="21" t="s">
        <v>1</v>
      </c>
      <c r="N15" s="21">
        <f>L5-222</f>
        <v>778</v>
      </c>
      <c r="O15" s="21" t="s">
        <v>581</v>
      </c>
      <c r="P15" s="46">
        <v>90</v>
      </c>
    </row>
    <row r="16" spans="3:16" x14ac:dyDescent="0.25">
      <c r="C16" s="21" t="s">
        <v>9</v>
      </c>
      <c r="D16" s="21" t="s">
        <v>573</v>
      </c>
      <c r="K16" s="45" t="s">
        <v>580</v>
      </c>
      <c r="L16" s="21" t="s">
        <v>639</v>
      </c>
      <c r="M16" s="21" t="s">
        <v>1</v>
      </c>
      <c r="N16" s="21">
        <f>L6-195</f>
        <v>1805</v>
      </c>
      <c r="O16" s="21" t="s">
        <v>581</v>
      </c>
      <c r="P16" s="46">
        <v>90</v>
      </c>
    </row>
    <row r="17" spans="1:16" x14ac:dyDescent="0.25">
      <c r="A17" t="s">
        <v>623</v>
      </c>
      <c r="C17" s="21" t="s">
        <v>544</v>
      </c>
      <c r="D17" s="21" t="s">
        <v>574</v>
      </c>
      <c r="K17" s="45" t="s">
        <v>579</v>
      </c>
      <c r="L17" s="28" t="s">
        <v>529</v>
      </c>
      <c r="M17" s="21" t="s">
        <v>2</v>
      </c>
      <c r="N17" s="21">
        <f>L5-221</f>
        <v>779</v>
      </c>
      <c r="O17" s="21" t="s">
        <v>581</v>
      </c>
      <c r="P17" s="46">
        <v>45</v>
      </c>
    </row>
    <row r="18" spans="1:16" ht="15.75" thickBot="1" x14ac:dyDescent="0.3">
      <c r="K18" s="40" t="s">
        <v>580</v>
      </c>
      <c r="L18" s="47" t="s">
        <v>529</v>
      </c>
      <c r="M18" s="48" t="s">
        <v>2</v>
      </c>
      <c r="N18" s="48">
        <f>L6-194</f>
        <v>1806</v>
      </c>
      <c r="O18" s="48" t="s">
        <v>581</v>
      </c>
      <c r="P18" s="49">
        <v>45</v>
      </c>
    </row>
    <row r="19" spans="1:16" ht="15.75" thickBot="1" x14ac:dyDescent="0.3">
      <c r="C19" s="104" t="s">
        <v>554</v>
      </c>
      <c r="D19" s="104"/>
      <c r="F19" s="104" t="s">
        <v>567</v>
      </c>
      <c r="G19" s="104"/>
    </row>
    <row r="20" spans="1:16" ht="15.75" thickBot="1" x14ac:dyDescent="0.3">
      <c r="C20" s="14" t="s">
        <v>555</v>
      </c>
      <c r="D20" s="21" t="s">
        <v>558</v>
      </c>
      <c r="F20" s="14" t="s">
        <v>561</v>
      </c>
      <c r="G20" s="21" t="s">
        <v>564</v>
      </c>
      <c r="K20" s="125" t="s">
        <v>543</v>
      </c>
      <c r="L20" s="126"/>
    </row>
    <row r="21" spans="1:16" x14ac:dyDescent="0.25">
      <c r="C21" s="14" t="s">
        <v>556</v>
      </c>
      <c r="D21" s="21" t="s">
        <v>559</v>
      </c>
      <c r="F21" s="14" t="s">
        <v>562</v>
      </c>
      <c r="G21" s="21" t="s">
        <v>565</v>
      </c>
      <c r="K21" s="50" t="s">
        <v>9</v>
      </c>
      <c r="L21" s="62">
        <f>N13-173</f>
        <v>769</v>
      </c>
      <c r="M21" s="111">
        <v>1</v>
      </c>
    </row>
    <row r="22" spans="1:16" ht="15.75" thickBot="1" x14ac:dyDescent="0.3">
      <c r="C22" s="14" t="s">
        <v>557</v>
      </c>
      <c r="D22" s="21" t="s">
        <v>560</v>
      </c>
      <c r="F22" s="14" t="s">
        <v>563</v>
      </c>
      <c r="G22" s="21" t="s">
        <v>566</v>
      </c>
      <c r="K22" s="40" t="s">
        <v>544</v>
      </c>
      <c r="L22" s="63">
        <f>N14-173</f>
        <v>1795</v>
      </c>
      <c r="M22" s="112"/>
    </row>
    <row r="24" spans="1:16" x14ac:dyDescent="0.25">
      <c r="C24" s="105"/>
      <c r="D24" s="105"/>
    </row>
  </sheetData>
  <mergeCells count="15">
    <mergeCell ref="M5:N6"/>
    <mergeCell ref="K2:L2"/>
    <mergeCell ref="D3:F3"/>
    <mergeCell ref="G3:I3"/>
    <mergeCell ref="K3:L3"/>
    <mergeCell ref="K4:L4"/>
    <mergeCell ref="K20:L20"/>
    <mergeCell ref="C24:D24"/>
    <mergeCell ref="M21:M22"/>
    <mergeCell ref="D11:E11"/>
    <mergeCell ref="D12:E12"/>
    <mergeCell ref="D13:E13"/>
    <mergeCell ref="C15:D15"/>
    <mergeCell ref="C19:D19"/>
    <mergeCell ref="F19:G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F6417-5A56-4472-BDAA-73F88C1650E1}">
  <dimension ref="A1:P25"/>
  <sheetViews>
    <sheetView topLeftCell="J1" workbookViewId="0">
      <selection activeCell="V20" sqref="V20"/>
    </sheetView>
  </sheetViews>
  <sheetFormatPr baseColWidth="10" defaultColWidth="10.7109375" defaultRowHeight="15" x14ac:dyDescent="0.25"/>
  <cols>
    <col min="1" max="1" width="18.7109375" hidden="1" customWidth="1"/>
    <col min="2" max="2" width="0" hidden="1" customWidth="1"/>
    <col min="3" max="3" width="12.42578125" hidden="1" customWidth="1"/>
    <col min="4" max="4" width="22.7109375" hidden="1" customWidth="1"/>
    <col min="5" max="6" width="0" hidden="1" customWidth="1"/>
    <col min="7" max="7" width="12.85546875" hidden="1" customWidth="1"/>
    <col min="8" max="9" width="0" hidden="1" customWidth="1"/>
    <col min="12" max="12" width="14.28515625" customWidth="1"/>
    <col min="13" max="13" width="22.7109375" bestFit="1" customWidth="1"/>
  </cols>
  <sheetData>
    <row r="1" spans="3:16" ht="15.75" thickBot="1" x14ac:dyDescent="0.3"/>
    <row r="2" spans="3:16" ht="15.75" thickBot="1" x14ac:dyDescent="0.3">
      <c r="K2" s="121" t="s">
        <v>720</v>
      </c>
      <c r="L2" s="122"/>
    </row>
    <row r="3" spans="3:16" ht="15.75" thickBot="1" x14ac:dyDescent="0.3">
      <c r="D3" s="105"/>
      <c r="E3" s="105"/>
      <c r="F3" s="105"/>
      <c r="G3" s="105"/>
      <c r="H3" s="105"/>
      <c r="I3" s="105"/>
      <c r="K3" s="131" t="s">
        <v>654</v>
      </c>
      <c r="L3" s="132"/>
    </row>
    <row r="4" spans="3:16" ht="15.75" thickBot="1" x14ac:dyDescent="0.3">
      <c r="C4" s="21" t="s">
        <v>4</v>
      </c>
      <c r="D4" s="21" t="s">
        <v>3</v>
      </c>
      <c r="E4" s="21" t="s">
        <v>531</v>
      </c>
      <c r="F4" s="21" t="s">
        <v>5</v>
      </c>
      <c r="G4" s="21" t="s">
        <v>530</v>
      </c>
      <c r="H4" s="21" t="s">
        <v>5</v>
      </c>
      <c r="I4" s="21" t="s">
        <v>6</v>
      </c>
      <c r="K4" s="133" t="s">
        <v>633</v>
      </c>
      <c r="L4" s="134"/>
    </row>
    <row r="5" spans="3:16" ht="15.75" thickBot="1" x14ac:dyDescent="0.3">
      <c r="C5" s="27" t="s">
        <v>528</v>
      </c>
      <c r="D5" s="21" t="s">
        <v>0</v>
      </c>
      <c r="E5" s="21" t="s">
        <v>532</v>
      </c>
      <c r="F5" s="21">
        <v>2</v>
      </c>
      <c r="G5" s="21" t="s">
        <v>533</v>
      </c>
      <c r="H5" s="21">
        <v>2</v>
      </c>
      <c r="I5" s="21" t="s">
        <v>7</v>
      </c>
      <c r="K5" s="43" t="s">
        <v>579</v>
      </c>
      <c r="L5" s="44">
        <v>1000</v>
      </c>
      <c r="M5" s="127" t="s">
        <v>632</v>
      </c>
      <c r="N5" s="128"/>
    </row>
    <row r="6" spans="3:16" ht="15.75" thickBot="1" x14ac:dyDescent="0.3">
      <c r="C6" s="28" t="s">
        <v>500</v>
      </c>
      <c r="D6" s="21" t="s">
        <v>1</v>
      </c>
      <c r="E6" s="21" t="s">
        <v>534</v>
      </c>
      <c r="F6" s="21">
        <v>2</v>
      </c>
      <c r="G6" s="21" t="s">
        <v>535</v>
      </c>
      <c r="H6" s="21">
        <v>2</v>
      </c>
      <c r="I6" s="21" t="s">
        <v>8</v>
      </c>
      <c r="K6" s="41" t="s">
        <v>580</v>
      </c>
      <c r="L6" s="42">
        <v>2000</v>
      </c>
      <c r="M6" s="129"/>
      <c r="N6" s="130"/>
    </row>
    <row r="7" spans="3:16" ht="15.75" thickBot="1" x14ac:dyDescent="0.3">
      <c r="C7" s="29" t="s">
        <v>541</v>
      </c>
      <c r="D7" s="21" t="s">
        <v>547</v>
      </c>
      <c r="E7" s="21" t="s">
        <v>548</v>
      </c>
      <c r="F7" s="21">
        <v>2</v>
      </c>
      <c r="G7" s="21" t="s">
        <v>549</v>
      </c>
      <c r="H7" s="21">
        <v>2</v>
      </c>
      <c r="I7" s="21" t="s">
        <v>7</v>
      </c>
    </row>
    <row r="8" spans="3:16" ht="15.75" thickBot="1" x14ac:dyDescent="0.3">
      <c r="C8" s="28" t="s">
        <v>542</v>
      </c>
      <c r="D8" s="21" t="s">
        <v>1</v>
      </c>
      <c r="E8" s="21" t="s">
        <v>551</v>
      </c>
      <c r="F8" s="21">
        <v>2</v>
      </c>
      <c r="G8" s="21" t="s">
        <v>550</v>
      </c>
      <c r="H8" s="21">
        <v>2</v>
      </c>
      <c r="I8" s="21" t="s">
        <v>8</v>
      </c>
      <c r="K8" s="55"/>
      <c r="L8" s="53" t="s">
        <v>582</v>
      </c>
      <c r="M8" s="53" t="s">
        <v>583</v>
      </c>
      <c r="N8" s="53" t="s">
        <v>584</v>
      </c>
      <c r="O8" s="53" t="s">
        <v>585</v>
      </c>
      <c r="P8" s="54" t="s">
        <v>586</v>
      </c>
    </row>
    <row r="9" spans="3:16" x14ac:dyDescent="0.25">
      <c r="C9" s="28" t="s">
        <v>529</v>
      </c>
      <c r="D9" s="21" t="s">
        <v>2</v>
      </c>
      <c r="E9" s="21" t="s">
        <v>552</v>
      </c>
      <c r="F9" s="21">
        <v>2</v>
      </c>
      <c r="G9" s="21" t="s">
        <v>553</v>
      </c>
      <c r="H9" s="21">
        <v>2</v>
      </c>
      <c r="I9" s="21" t="s">
        <v>7</v>
      </c>
      <c r="K9" s="50" t="s">
        <v>579</v>
      </c>
      <c r="L9" s="51" t="s">
        <v>528</v>
      </c>
      <c r="M9" s="39" t="s">
        <v>0</v>
      </c>
      <c r="N9" s="39">
        <f>L5+6</f>
        <v>1006</v>
      </c>
      <c r="O9" s="39" t="s">
        <v>606</v>
      </c>
      <c r="P9" s="52">
        <v>45</v>
      </c>
    </row>
    <row r="10" spans="3:16" x14ac:dyDescent="0.25">
      <c r="D10" s="30"/>
      <c r="E10" s="30"/>
      <c r="K10" s="45" t="s">
        <v>580</v>
      </c>
      <c r="L10" s="27" t="s">
        <v>528</v>
      </c>
      <c r="M10" s="21" t="s">
        <v>0</v>
      </c>
      <c r="N10" s="21">
        <f>L6-17</f>
        <v>1983</v>
      </c>
      <c r="O10" s="21" t="s">
        <v>581</v>
      </c>
      <c r="P10" s="46" t="s">
        <v>725</v>
      </c>
    </row>
    <row r="11" spans="3:16" x14ac:dyDescent="0.25">
      <c r="C11" s="21" t="s">
        <v>539</v>
      </c>
      <c r="D11" s="107" t="s">
        <v>540</v>
      </c>
      <c r="E11" s="107"/>
      <c r="F11" s="21" t="s">
        <v>538</v>
      </c>
      <c r="K11" s="45" t="s">
        <v>579</v>
      </c>
      <c r="L11" s="28" t="s">
        <v>637</v>
      </c>
      <c r="M11" s="21" t="s">
        <v>1</v>
      </c>
      <c r="N11" s="21">
        <f>L5-85</f>
        <v>915</v>
      </c>
      <c r="O11" s="21" t="s">
        <v>606</v>
      </c>
      <c r="P11" s="46">
        <v>90</v>
      </c>
    </row>
    <row r="12" spans="3:16" x14ac:dyDescent="0.25">
      <c r="C12" s="14" t="s">
        <v>470</v>
      </c>
      <c r="D12" s="106" t="s">
        <v>576</v>
      </c>
      <c r="E12" s="106"/>
      <c r="F12" s="21">
        <v>6</v>
      </c>
      <c r="K12" s="45" t="s">
        <v>580</v>
      </c>
      <c r="L12" s="28" t="s">
        <v>637</v>
      </c>
      <c r="M12" s="21" t="s">
        <v>1</v>
      </c>
      <c r="N12" s="21">
        <f>L6-85</f>
        <v>1915</v>
      </c>
      <c r="O12" s="21" t="s">
        <v>581</v>
      </c>
      <c r="P12" s="46">
        <v>90</v>
      </c>
    </row>
    <row r="13" spans="3:16" x14ac:dyDescent="0.25">
      <c r="C13" s="14" t="s">
        <v>485</v>
      </c>
      <c r="D13" s="106" t="s">
        <v>577</v>
      </c>
      <c r="E13" s="106"/>
      <c r="F13" s="21">
        <v>12</v>
      </c>
      <c r="K13" s="45" t="s">
        <v>579</v>
      </c>
      <c r="L13" s="29" t="s">
        <v>638</v>
      </c>
      <c r="M13" s="21" t="s">
        <v>635</v>
      </c>
      <c r="N13" s="21">
        <f>L5-58</f>
        <v>942</v>
      </c>
      <c r="O13" s="21" t="s">
        <v>581</v>
      </c>
      <c r="P13" s="46">
        <v>45</v>
      </c>
    </row>
    <row r="14" spans="3:16" x14ac:dyDescent="0.25">
      <c r="K14" s="45" t="s">
        <v>580</v>
      </c>
      <c r="L14" s="29" t="s">
        <v>638</v>
      </c>
      <c r="M14" s="21" t="s">
        <v>635</v>
      </c>
      <c r="N14" s="21">
        <f>L6-38</f>
        <v>1962</v>
      </c>
      <c r="O14" s="21" t="s">
        <v>581</v>
      </c>
      <c r="P14" s="46">
        <v>45</v>
      </c>
    </row>
    <row r="15" spans="3:16" x14ac:dyDescent="0.25">
      <c r="C15" s="104" t="s">
        <v>543</v>
      </c>
      <c r="D15" s="104"/>
      <c r="K15" s="45" t="s">
        <v>579</v>
      </c>
      <c r="L15" s="21" t="s">
        <v>639</v>
      </c>
      <c r="M15" s="21" t="s">
        <v>1</v>
      </c>
      <c r="N15" s="21">
        <f>L5-222</f>
        <v>778</v>
      </c>
      <c r="O15" s="21" t="s">
        <v>581</v>
      </c>
      <c r="P15" s="46">
        <v>90</v>
      </c>
    </row>
    <row r="16" spans="3:16" x14ac:dyDescent="0.25">
      <c r="C16" s="21" t="s">
        <v>9</v>
      </c>
      <c r="D16" s="21" t="s">
        <v>573</v>
      </c>
      <c r="K16" s="45" t="s">
        <v>580</v>
      </c>
      <c r="L16" s="21" t="s">
        <v>639</v>
      </c>
      <c r="M16" s="21" t="s">
        <v>1</v>
      </c>
      <c r="N16" s="21">
        <f>L6-195</f>
        <v>1805</v>
      </c>
      <c r="O16" s="21" t="s">
        <v>581</v>
      </c>
      <c r="P16" s="46">
        <v>90</v>
      </c>
    </row>
    <row r="17" spans="1:16" x14ac:dyDescent="0.25">
      <c r="A17" t="s">
        <v>623</v>
      </c>
      <c r="C17" s="21" t="s">
        <v>544</v>
      </c>
      <c r="D17" s="21" t="s">
        <v>574</v>
      </c>
      <c r="K17" s="45" t="s">
        <v>579</v>
      </c>
      <c r="L17" s="28" t="s">
        <v>529</v>
      </c>
      <c r="M17" s="21" t="s">
        <v>2</v>
      </c>
      <c r="N17" s="21">
        <f>L5-221</f>
        <v>779</v>
      </c>
      <c r="O17" s="21" t="s">
        <v>581</v>
      </c>
      <c r="P17" s="46">
        <v>45</v>
      </c>
    </row>
    <row r="18" spans="1:16" ht="15.75" thickBot="1" x14ac:dyDescent="0.3">
      <c r="K18" s="40" t="s">
        <v>580</v>
      </c>
      <c r="L18" s="47" t="s">
        <v>529</v>
      </c>
      <c r="M18" s="48" t="s">
        <v>2</v>
      </c>
      <c r="N18" s="23">
        <f>L6-194</f>
        <v>1806</v>
      </c>
      <c r="O18" s="23" t="s">
        <v>581</v>
      </c>
      <c r="P18" s="98">
        <v>45</v>
      </c>
    </row>
    <row r="19" spans="1:16" x14ac:dyDescent="0.25">
      <c r="C19" s="104" t="s">
        <v>554</v>
      </c>
      <c r="D19" s="104"/>
      <c r="F19" s="104" t="s">
        <v>567</v>
      </c>
      <c r="G19" s="104"/>
      <c r="K19" s="21" t="s">
        <v>579</v>
      </c>
      <c r="L19" s="21" t="s">
        <v>722</v>
      </c>
      <c r="M19" s="21" t="s">
        <v>721</v>
      </c>
      <c r="N19" s="21">
        <f>L5-12</f>
        <v>988</v>
      </c>
      <c r="O19" s="21" t="s">
        <v>606</v>
      </c>
      <c r="P19" s="21">
        <v>90</v>
      </c>
    </row>
    <row r="20" spans="1:16" x14ac:dyDescent="0.25">
      <c r="C20" s="14" t="s">
        <v>555</v>
      </c>
      <c r="D20" s="21" t="s">
        <v>558</v>
      </c>
      <c r="F20" s="14" t="s">
        <v>561</v>
      </c>
      <c r="G20" s="21" t="s">
        <v>564</v>
      </c>
    </row>
    <row r="21" spans="1:16" x14ac:dyDescent="0.25">
      <c r="C21" s="14" t="s">
        <v>556</v>
      </c>
      <c r="D21" s="21" t="s">
        <v>559</v>
      </c>
      <c r="F21" s="14" t="s">
        <v>562</v>
      </c>
      <c r="G21" s="21" t="s">
        <v>565</v>
      </c>
    </row>
    <row r="22" spans="1:16" ht="15.75" thickBot="1" x14ac:dyDescent="0.3">
      <c r="C22" s="14" t="s">
        <v>557</v>
      </c>
      <c r="D22" s="21" t="s">
        <v>560</v>
      </c>
      <c r="F22" s="14" t="s">
        <v>563</v>
      </c>
      <c r="G22" s="21" t="s">
        <v>566</v>
      </c>
    </row>
    <row r="23" spans="1:16" ht="15.75" thickBot="1" x14ac:dyDescent="0.3">
      <c r="K23" s="125" t="s">
        <v>543</v>
      </c>
      <c r="L23" s="126"/>
    </row>
    <row r="24" spans="1:16" x14ac:dyDescent="0.25">
      <c r="C24" s="105"/>
      <c r="D24" s="105"/>
      <c r="K24" s="50" t="s">
        <v>9</v>
      </c>
      <c r="L24" s="62">
        <f>N13-173</f>
        <v>769</v>
      </c>
      <c r="M24" s="111">
        <v>1</v>
      </c>
    </row>
    <row r="25" spans="1:16" ht="15.75" thickBot="1" x14ac:dyDescent="0.3">
      <c r="K25" s="40" t="s">
        <v>544</v>
      </c>
      <c r="L25" s="63">
        <f>N14-173</f>
        <v>1789</v>
      </c>
      <c r="M25" s="112"/>
    </row>
  </sheetData>
  <mergeCells count="15">
    <mergeCell ref="M5:N6"/>
    <mergeCell ref="K2:L2"/>
    <mergeCell ref="D3:F3"/>
    <mergeCell ref="G3:I3"/>
    <mergeCell ref="K3:L3"/>
    <mergeCell ref="K4:L4"/>
    <mergeCell ref="K23:L23"/>
    <mergeCell ref="M24:M25"/>
    <mergeCell ref="C24:D24"/>
    <mergeCell ref="D11:E11"/>
    <mergeCell ref="D12:E12"/>
    <mergeCell ref="D13:E13"/>
    <mergeCell ref="C15:D15"/>
    <mergeCell ref="C19:D19"/>
    <mergeCell ref="F19:G1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D3CFD-0CAD-4B66-A87D-7D2CE746D703}">
  <dimension ref="A1:P24"/>
  <sheetViews>
    <sheetView topLeftCell="J1" workbookViewId="0">
      <selection activeCell="R23" sqref="R23"/>
    </sheetView>
  </sheetViews>
  <sheetFormatPr baseColWidth="10" defaultColWidth="10.7109375" defaultRowHeight="15" x14ac:dyDescent="0.25"/>
  <cols>
    <col min="1" max="1" width="18.7109375" hidden="1" customWidth="1"/>
    <col min="2" max="2" width="0" hidden="1" customWidth="1"/>
    <col min="3" max="3" width="12.42578125" hidden="1" customWidth="1"/>
    <col min="4" max="4" width="22.7109375" hidden="1" customWidth="1"/>
    <col min="5" max="6" width="0" hidden="1" customWidth="1"/>
    <col min="7" max="7" width="12.85546875" hidden="1" customWidth="1"/>
    <col min="8" max="9" width="0" hidden="1" customWidth="1"/>
    <col min="12" max="12" width="14.28515625" customWidth="1"/>
    <col min="13" max="13" width="22.7109375" bestFit="1" customWidth="1"/>
  </cols>
  <sheetData>
    <row r="1" spans="3:16" ht="15.75" thickBot="1" x14ac:dyDescent="0.3"/>
    <row r="2" spans="3:16" ht="15.75" thickBot="1" x14ac:dyDescent="0.3">
      <c r="K2" s="121" t="s">
        <v>677</v>
      </c>
      <c r="L2" s="122"/>
    </row>
    <row r="3" spans="3:16" ht="15.75" thickBot="1" x14ac:dyDescent="0.3">
      <c r="D3" s="105"/>
      <c r="E3" s="105"/>
      <c r="F3" s="105"/>
      <c r="G3" s="105"/>
      <c r="H3" s="105"/>
      <c r="I3" s="105"/>
      <c r="K3" s="131" t="s">
        <v>654</v>
      </c>
      <c r="L3" s="132"/>
    </row>
    <row r="4" spans="3:16" ht="15.75" thickBot="1" x14ac:dyDescent="0.3">
      <c r="C4" s="21" t="s">
        <v>4</v>
      </c>
      <c r="D4" s="21" t="s">
        <v>3</v>
      </c>
      <c r="E4" s="21" t="s">
        <v>531</v>
      </c>
      <c r="F4" s="21" t="s">
        <v>5</v>
      </c>
      <c r="G4" s="21" t="s">
        <v>530</v>
      </c>
      <c r="H4" s="21" t="s">
        <v>5</v>
      </c>
      <c r="I4" s="21" t="s">
        <v>6</v>
      </c>
      <c r="K4" s="133" t="s">
        <v>633</v>
      </c>
      <c r="L4" s="134"/>
    </row>
    <row r="5" spans="3:16" ht="15.75" thickBot="1" x14ac:dyDescent="0.3">
      <c r="C5" s="27" t="s">
        <v>528</v>
      </c>
      <c r="D5" s="21" t="s">
        <v>0</v>
      </c>
      <c r="E5" s="21" t="s">
        <v>532</v>
      </c>
      <c r="F5" s="21">
        <v>2</v>
      </c>
      <c r="G5" s="21" t="s">
        <v>533</v>
      </c>
      <c r="H5" s="21">
        <v>2</v>
      </c>
      <c r="I5" s="21" t="s">
        <v>7</v>
      </c>
      <c r="K5" s="43" t="s">
        <v>579</v>
      </c>
      <c r="L5" s="44">
        <v>1000</v>
      </c>
      <c r="M5" s="127" t="s">
        <v>632</v>
      </c>
      <c r="N5" s="128"/>
    </row>
    <row r="6" spans="3:16" ht="15.75" thickBot="1" x14ac:dyDescent="0.3">
      <c r="C6" s="28" t="s">
        <v>500</v>
      </c>
      <c r="D6" s="21" t="s">
        <v>1</v>
      </c>
      <c r="E6" s="21" t="s">
        <v>534</v>
      </c>
      <c r="F6" s="21">
        <v>2</v>
      </c>
      <c r="G6" s="21" t="s">
        <v>535</v>
      </c>
      <c r="H6" s="21">
        <v>2</v>
      </c>
      <c r="I6" s="21" t="s">
        <v>8</v>
      </c>
      <c r="K6" s="41" t="s">
        <v>580</v>
      </c>
      <c r="L6" s="42">
        <v>2610</v>
      </c>
      <c r="M6" s="129"/>
      <c r="N6" s="130"/>
    </row>
    <row r="7" spans="3:16" ht="15.75" thickBot="1" x14ac:dyDescent="0.3">
      <c r="C7" s="29" t="s">
        <v>541</v>
      </c>
      <c r="D7" s="21" t="s">
        <v>547</v>
      </c>
      <c r="E7" s="21" t="s">
        <v>548</v>
      </c>
      <c r="F7" s="21">
        <v>2</v>
      </c>
      <c r="G7" s="21" t="s">
        <v>549</v>
      </c>
      <c r="H7" s="21">
        <v>2</v>
      </c>
      <c r="I7" s="21" t="s">
        <v>7</v>
      </c>
    </row>
    <row r="8" spans="3:16" ht="15.75" thickBot="1" x14ac:dyDescent="0.3">
      <c r="C8" s="28" t="s">
        <v>542</v>
      </c>
      <c r="D8" s="21" t="s">
        <v>1</v>
      </c>
      <c r="E8" s="21" t="s">
        <v>551</v>
      </c>
      <c r="F8" s="21">
        <v>2</v>
      </c>
      <c r="G8" s="21" t="s">
        <v>550</v>
      </c>
      <c r="H8" s="21">
        <v>2</v>
      </c>
      <c r="I8" s="21" t="s">
        <v>8</v>
      </c>
      <c r="K8" s="55"/>
      <c r="L8" s="53" t="s">
        <v>582</v>
      </c>
      <c r="M8" s="53" t="s">
        <v>583</v>
      </c>
      <c r="N8" s="53" t="s">
        <v>584</v>
      </c>
      <c r="O8" s="53" t="s">
        <v>585</v>
      </c>
      <c r="P8" s="54" t="s">
        <v>586</v>
      </c>
    </row>
    <row r="9" spans="3:16" x14ac:dyDescent="0.25">
      <c r="C9" s="28" t="s">
        <v>529</v>
      </c>
      <c r="D9" s="21" t="s">
        <v>2</v>
      </c>
      <c r="E9" s="21" t="s">
        <v>552</v>
      </c>
      <c r="F9" s="21">
        <v>2</v>
      </c>
      <c r="G9" s="21" t="s">
        <v>553</v>
      </c>
      <c r="H9" s="21">
        <v>2</v>
      </c>
      <c r="I9" s="21" t="s">
        <v>7</v>
      </c>
      <c r="K9" s="50" t="s">
        <v>579</v>
      </c>
      <c r="L9" s="51" t="s">
        <v>528</v>
      </c>
      <c r="M9" s="39" t="s">
        <v>0</v>
      </c>
      <c r="N9" s="39">
        <f>L5+6</f>
        <v>1006</v>
      </c>
      <c r="O9" s="39" t="s">
        <v>606</v>
      </c>
      <c r="P9" s="52">
        <v>45</v>
      </c>
    </row>
    <row r="10" spans="3:16" x14ac:dyDescent="0.25">
      <c r="D10" s="30"/>
      <c r="E10" s="30"/>
      <c r="K10" s="45" t="s">
        <v>580</v>
      </c>
      <c r="L10" s="27" t="s">
        <v>528</v>
      </c>
      <c r="M10" s="21" t="s">
        <v>0</v>
      </c>
      <c r="N10" s="21">
        <f>L6+3</f>
        <v>2613</v>
      </c>
      <c r="O10" s="21" t="s">
        <v>581</v>
      </c>
      <c r="P10" s="46">
        <v>45</v>
      </c>
    </row>
    <row r="11" spans="3:16" x14ac:dyDescent="0.25">
      <c r="C11" s="21" t="s">
        <v>539</v>
      </c>
      <c r="D11" s="107" t="s">
        <v>540</v>
      </c>
      <c r="E11" s="107"/>
      <c r="F11" s="21" t="s">
        <v>538</v>
      </c>
      <c r="K11" s="45" t="s">
        <v>579</v>
      </c>
      <c r="L11" s="28" t="s">
        <v>637</v>
      </c>
      <c r="M11" s="21" t="s">
        <v>1</v>
      </c>
      <c r="N11" s="21">
        <f>L5-85</f>
        <v>915</v>
      </c>
      <c r="O11" s="21" t="s">
        <v>606</v>
      </c>
      <c r="P11" s="46">
        <v>90</v>
      </c>
    </row>
    <row r="12" spans="3:16" x14ac:dyDescent="0.25">
      <c r="C12" s="14" t="s">
        <v>470</v>
      </c>
      <c r="D12" s="106" t="s">
        <v>576</v>
      </c>
      <c r="E12" s="106"/>
      <c r="F12" s="21">
        <v>6</v>
      </c>
      <c r="K12" s="45" t="s">
        <v>580</v>
      </c>
      <c r="L12" s="28" t="s">
        <v>637</v>
      </c>
      <c r="M12" s="21" t="s">
        <v>1</v>
      </c>
      <c r="N12" s="21">
        <f>L6-85</f>
        <v>2525</v>
      </c>
      <c r="O12" s="21" t="s">
        <v>581</v>
      </c>
      <c r="P12" s="46">
        <v>90</v>
      </c>
    </row>
    <row r="13" spans="3:16" x14ac:dyDescent="0.25">
      <c r="C13" s="14" t="s">
        <v>485</v>
      </c>
      <c r="D13" s="106" t="s">
        <v>577</v>
      </c>
      <c r="E13" s="106"/>
      <c r="F13" s="21">
        <v>12</v>
      </c>
      <c r="K13" s="45" t="s">
        <v>579</v>
      </c>
      <c r="L13" s="29" t="s">
        <v>638</v>
      </c>
      <c r="M13" s="21" t="s">
        <v>635</v>
      </c>
      <c r="N13" s="21">
        <f>L5-48</f>
        <v>952</v>
      </c>
      <c r="O13" s="21" t="s">
        <v>581</v>
      </c>
      <c r="P13" s="46">
        <v>45</v>
      </c>
    </row>
    <row r="14" spans="3:16" x14ac:dyDescent="0.25">
      <c r="K14" s="45" t="s">
        <v>580</v>
      </c>
      <c r="L14" s="29" t="s">
        <v>638</v>
      </c>
      <c r="M14" s="21" t="s">
        <v>635</v>
      </c>
      <c r="N14" s="21">
        <f>L6-27</f>
        <v>2583</v>
      </c>
      <c r="O14" s="21" t="s">
        <v>581</v>
      </c>
      <c r="P14" s="46">
        <v>45</v>
      </c>
    </row>
    <row r="15" spans="3:16" x14ac:dyDescent="0.25">
      <c r="C15" s="104" t="s">
        <v>543</v>
      </c>
      <c r="D15" s="104"/>
      <c r="K15" s="45" t="s">
        <v>579</v>
      </c>
      <c r="L15" s="21" t="s">
        <v>639</v>
      </c>
      <c r="M15" s="21" t="s">
        <v>1</v>
      </c>
      <c r="N15" s="21">
        <f>L5-222</f>
        <v>778</v>
      </c>
      <c r="O15" s="21" t="s">
        <v>581</v>
      </c>
      <c r="P15" s="46">
        <v>90</v>
      </c>
    </row>
    <row r="16" spans="3:16" x14ac:dyDescent="0.25">
      <c r="C16" s="21" t="s">
        <v>9</v>
      </c>
      <c r="D16" s="21" t="s">
        <v>573</v>
      </c>
      <c r="K16" s="45" t="s">
        <v>580</v>
      </c>
      <c r="L16" s="21" t="s">
        <v>639</v>
      </c>
      <c r="M16" s="21" t="s">
        <v>1</v>
      </c>
      <c r="N16" s="21">
        <f>L6-195</f>
        <v>2415</v>
      </c>
      <c r="O16" s="21" t="s">
        <v>581</v>
      </c>
      <c r="P16" s="46">
        <v>90</v>
      </c>
    </row>
    <row r="17" spans="1:16" x14ac:dyDescent="0.25">
      <c r="A17" t="s">
        <v>623</v>
      </c>
      <c r="C17" s="21" t="s">
        <v>544</v>
      </c>
      <c r="D17" s="21" t="s">
        <v>574</v>
      </c>
      <c r="K17" s="45" t="s">
        <v>579</v>
      </c>
      <c r="L17" s="28" t="s">
        <v>529</v>
      </c>
      <c r="M17" s="21" t="s">
        <v>2</v>
      </c>
      <c r="N17" s="21">
        <f>L5-221</f>
        <v>779</v>
      </c>
      <c r="O17" s="21" t="s">
        <v>581</v>
      </c>
      <c r="P17" s="46">
        <v>45</v>
      </c>
    </row>
    <row r="18" spans="1:16" ht="15.75" thickBot="1" x14ac:dyDescent="0.3">
      <c r="K18" s="40" t="s">
        <v>580</v>
      </c>
      <c r="L18" s="47" t="s">
        <v>529</v>
      </c>
      <c r="M18" s="48" t="s">
        <v>2</v>
      </c>
      <c r="N18" s="48">
        <f>L6-194</f>
        <v>2416</v>
      </c>
      <c r="O18" s="48" t="s">
        <v>581</v>
      </c>
      <c r="P18" s="49">
        <v>45</v>
      </c>
    </row>
    <row r="19" spans="1:16" ht="15.75" thickBot="1" x14ac:dyDescent="0.3">
      <c r="C19" s="104" t="s">
        <v>554</v>
      </c>
      <c r="D19" s="104"/>
      <c r="F19" s="104" t="s">
        <v>567</v>
      </c>
      <c r="G19" s="104"/>
    </row>
    <row r="20" spans="1:16" ht="15.75" thickBot="1" x14ac:dyDescent="0.3">
      <c r="C20" s="14" t="s">
        <v>555</v>
      </c>
      <c r="D20" s="21" t="s">
        <v>558</v>
      </c>
      <c r="F20" s="14" t="s">
        <v>561</v>
      </c>
      <c r="G20" s="21" t="s">
        <v>564</v>
      </c>
      <c r="K20" s="125" t="s">
        <v>543</v>
      </c>
      <c r="L20" s="126"/>
    </row>
    <row r="21" spans="1:16" x14ac:dyDescent="0.25">
      <c r="C21" s="14" t="s">
        <v>556</v>
      </c>
      <c r="D21" s="21" t="s">
        <v>559</v>
      </c>
      <c r="F21" s="14" t="s">
        <v>562</v>
      </c>
      <c r="G21" s="21" t="s">
        <v>565</v>
      </c>
      <c r="K21" s="50" t="s">
        <v>9</v>
      </c>
      <c r="L21" s="62">
        <f>N13-173</f>
        <v>779</v>
      </c>
      <c r="M21" s="111">
        <v>1</v>
      </c>
    </row>
    <row r="22" spans="1:16" ht="15.75" thickBot="1" x14ac:dyDescent="0.3">
      <c r="C22" s="14" t="s">
        <v>557</v>
      </c>
      <c r="D22" s="21" t="s">
        <v>560</v>
      </c>
      <c r="F22" s="14" t="s">
        <v>563</v>
      </c>
      <c r="G22" s="21" t="s">
        <v>566</v>
      </c>
      <c r="K22" s="40" t="s">
        <v>544</v>
      </c>
      <c r="L22" s="63">
        <f>N14-173</f>
        <v>2410</v>
      </c>
      <c r="M22" s="112"/>
    </row>
    <row r="24" spans="1:16" x14ac:dyDescent="0.25">
      <c r="C24" s="105"/>
      <c r="D24" s="105"/>
    </row>
  </sheetData>
  <mergeCells count="15">
    <mergeCell ref="K20:L20"/>
    <mergeCell ref="M21:M22"/>
    <mergeCell ref="C24:D24"/>
    <mergeCell ref="D11:E11"/>
    <mergeCell ref="D12:E12"/>
    <mergeCell ref="D13:E13"/>
    <mergeCell ref="C15:D15"/>
    <mergeCell ref="C19:D19"/>
    <mergeCell ref="F19:G19"/>
    <mergeCell ref="M5:N6"/>
    <mergeCell ref="K2:L2"/>
    <mergeCell ref="D3:F3"/>
    <mergeCell ref="G3:I3"/>
    <mergeCell ref="K3:L3"/>
    <mergeCell ref="K4:L4"/>
  </mergeCells>
  <pageMargins left="0.7" right="0.7" top="0.75" bottom="0.75" header="0.3" footer="0.3"/>
  <pageSetup orientation="landscape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/>
  <dimension ref="A1:P24"/>
  <sheetViews>
    <sheetView topLeftCell="J2" workbookViewId="0">
      <selection activeCell="U11" sqref="U11"/>
    </sheetView>
  </sheetViews>
  <sheetFormatPr baseColWidth="10" defaultColWidth="10.7109375" defaultRowHeight="15" x14ac:dyDescent="0.25"/>
  <cols>
    <col min="1" max="1" width="18.7109375" hidden="1" customWidth="1"/>
    <col min="2" max="2" width="0" hidden="1" customWidth="1"/>
    <col min="3" max="3" width="12.42578125" hidden="1" customWidth="1"/>
    <col min="4" max="4" width="22.7109375" hidden="1" customWidth="1"/>
    <col min="5" max="6" width="0" hidden="1" customWidth="1"/>
    <col min="7" max="7" width="12.85546875" hidden="1" customWidth="1"/>
    <col min="8" max="9" width="0" hidden="1" customWidth="1"/>
    <col min="12" max="12" width="14.28515625" customWidth="1"/>
    <col min="13" max="13" width="22.7109375" bestFit="1" customWidth="1"/>
  </cols>
  <sheetData>
    <row r="1" spans="3:16" ht="15.75" thickBot="1" x14ac:dyDescent="0.3"/>
    <row r="2" spans="3:16" ht="15.75" thickBot="1" x14ac:dyDescent="0.3">
      <c r="K2" s="121" t="s">
        <v>653</v>
      </c>
      <c r="L2" s="122"/>
    </row>
    <row r="3" spans="3:16" ht="15.75" thickBot="1" x14ac:dyDescent="0.3">
      <c r="D3" s="105"/>
      <c r="E3" s="105"/>
      <c r="F3" s="105"/>
      <c r="G3" s="105"/>
      <c r="H3" s="105"/>
      <c r="I3" s="105"/>
      <c r="K3" s="131" t="s">
        <v>654</v>
      </c>
      <c r="L3" s="132"/>
    </row>
    <row r="4" spans="3:16" ht="15.75" thickBot="1" x14ac:dyDescent="0.3">
      <c r="C4" s="21" t="s">
        <v>4</v>
      </c>
      <c r="D4" s="21" t="s">
        <v>3</v>
      </c>
      <c r="E4" s="21" t="s">
        <v>531</v>
      </c>
      <c r="F4" s="21" t="s">
        <v>5</v>
      </c>
      <c r="G4" s="21" t="s">
        <v>530</v>
      </c>
      <c r="H4" s="21" t="s">
        <v>5</v>
      </c>
      <c r="I4" s="21" t="s">
        <v>6</v>
      </c>
      <c r="K4" s="133" t="s">
        <v>633</v>
      </c>
      <c r="L4" s="134"/>
    </row>
    <row r="5" spans="3:16" ht="15.75" thickBot="1" x14ac:dyDescent="0.3">
      <c r="C5" s="27" t="s">
        <v>528</v>
      </c>
      <c r="D5" s="21" t="s">
        <v>0</v>
      </c>
      <c r="E5" s="21" t="s">
        <v>532</v>
      </c>
      <c r="F5" s="21">
        <v>2</v>
      </c>
      <c r="G5" s="21" t="s">
        <v>533</v>
      </c>
      <c r="H5" s="21">
        <v>2</v>
      </c>
      <c r="I5" s="21" t="s">
        <v>7</v>
      </c>
      <c r="K5" s="43" t="s">
        <v>579</v>
      </c>
      <c r="L5" s="44">
        <v>860</v>
      </c>
      <c r="M5" s="127" t="s">
        <v>632</v>
      </c>
      <c r="N5" s="128"/>
    </row>
    <row r="6" spans="3:16" ht="15.75" thickBot="1" x14ac:dyDescent="0.3">
      <c r="C6" s="28" t="s">
        <v>500</v>
      </c>
      <c r="D6" s="21" t="s">
        <v>1</v>
      </c>
      <c r="E6" s="21" t="s">
        <v>534</v>
      </c>
      <c r="F6" s="21">
        <v>2</v>
      </c>
      <c r="G6" s="21" t="s">
        <v>535</v>
      </c>
      <c r="H6" s="21">
        <v>2</v>
      </c>
      <c r="I6" s="21" t="s">
        <v>8</v>
      </c>
      <c r="K6" s="41" t="s">
        <v>580</v>
      </c>
      <c r="L6" s="42">
        <v>2070</v>
      </c>
      <c r="M6" s="129"/>
      <c r="N6" s="130"/>
    </row>
    <row r="7" spans="3:16" ht="15.75" thickBot="1" x14ac:dyDescent="0.3">
      <c r="C7" s="29" t="s">
        <v>541</v>
      </c>
      <c r="D7" s="21" t="s">
        <v>547</v>
      </c>
      <c r="E7" s="21" t="s">
        <v>548</v>
      </c>
      <c r="F7" s="21">
        <v>2</v>
      </c>
      <c r="G7" s="21" t="s">
        <v>549</v>
      </c>
      <c r="H7" s="21">
        <v>2</v>
      </c>
      <c r="I7" s="21" t="s">
        <v>7</v>
      </c>
    </row>
    <row r="8" spans="3:16" ht="15.75" thickBot="1" x14ac:dyDescent="0.3">
      <c r="C8" s="28" t="s">
        <v>542</v>
      </c>
      <c r="D8" s="21" t="s">
        <v>1</v>
      </c>
      <c r="E8" s="21" t="s">
        <v>551</v>
      </c>
      <c r="F8" s="21">
        <v>2</v>
      </c>
      <c r="G8" s="21" t="s">
        <v>550</v>
      </c>
      <c r="H8" s="21">
        <v>2</v>
      </c>
      <c r="I8" s="21" t="s">
        <v>8</v>
      </c>
      <c r="K8" s="55"/>
      <c r="L8" s="53" t="s">
        <v>582</v>
      </c>
      <c r="M8" s="53" t="s">
        <v>583</v>
      </c>
      <c r="N8" s="53" t="s">
        <v>584</v>
      </c>
      <c r="O8" s="53" t="s">
        <v>585</v>
      </c>
      <c r="P8" s="54" t="s">
        <v>586</v>
      </c>
    </row>
    <row r="9" spans="3:16" x14ac:dyDescent="0.25">
      <c r="C9" s="28" t="s">
        <v>529</v>
      </c>
      <c r="D9" s="21" t="s">
        <v>2</v>
      </c>
      <c r="E9" s="21" t="s">
        <v>552</v>
      </c>
      <c r="F9" s="21">
        <v>2</v>
      </c>
      <c r="G9" s="21" t="s">
        <v>553</v>
      </c>
      <c r="H9" s="21">
        <v>2</v>
      </c>
      <c r="I9" s="21" t="s">
        <v>7</v>
      </c>
      <c r="K9" s="50" t="s">
        <v>579</v>
      </c>
      <c r="L9" s="51" t="s">
        <v>528</v>
      </c>
      <c r="M9" s="39" t="s">
        <v>0</v>
      </c>
      <c r="N9" s="39">
        <f>L5+6</f>
        <v>866</v>
      </c>
      <c r="O9" s="39" t="s">
        <v>581</v>
      </c>
      <c r="P9" s="52">
        <v>45</v>
      </c>
    </row>
    <row r="10" spans="3:16" x14ac:dyDescent="0.25">
      <c r="D10" s="30"/>
      <c r="E10" s="30"/>
      <c r="K10" s="45" t="s">
        <v>580</v>
      </c>
      <c r="L10" s="27" t="s">
        <v>528</v>
      </c>
      <c r="M10" s="21" t="s">
        <v>0</v>
      </c>
      <c r="N10" s="21">
        <f>L6+6</f>
        <v>2076</v>
      </c>
      <c r="O10" s="21" t="s">
        <v>581</v>
      </c>
      <c r="P10" s="46">
        <v>45</v>
      </c>
    </row>
    <row r="11" spans="3:16" x14ac:dyDescent="0.25">
      <c r="C11" s="21" t="s">
        <v>539</v>
      </c>
      <c r="D11" s="107" t="s">
        <v>540</v>
      </c>
      <c r="E11" s="107"/>
      <c r="F11" s="21" t="s">
        <v>538</v>
      </c>
      <c r="K11" s="45" t="s">
        <v>579</v>
      </c>
      <c r="L11" s="28" t="s">
        <v>637</v>
      </c>
      <c r="M11" s="21" t="s">
        <v>1</v>
      </c>
      <c r="N11" s="21">
        <f>L5-85</f>
        <v>775</v>
      </c>
      <c r="O11" s="21" t="s">
        <v>606</v>
      </c>
      <c r="P11" s="46">
        <v>90</v>
      </c>
    </row>
    <row r="12" spans="3:16" x14ac:dyDescent="0.25">
      <c r="C12" s="14" t="s">
        <v>470</v>
      </c>
      <c r="D12" s="106" t="s">
        <v>576</v>
      </c>
      <c r="E12" s="106"/>
      <c r="F12" s="21">
        <v>6</v>
      </c>
      <c r="K12" s="45" t="s">
        <v>580</v>
      </c>
      <c r="L12" s="28" t="s">
        <v>637</v>
      </c>
      <c r="M12" s="21" t="s">
        <v>1</v>
      </c>
      <c r="N12" s="21">
        <f>L6-85</f>
        <v>1985</v>
      </c>
      <c r="O12" s="21" t="s">
        <v>581</v>
      </c>
      <c r="P12" s="46">
        <v>90</v>
      </c>
    </row>
    <row r="13" spans="3:16" x14ac:dyDescent="0.25">
      <c r="C13" s="14" t="s">
        <v>485</v>
      </c>
      <c r="D13" s="106" t="s">
        <v>577</v>
      </c>
      <c r="E13" s="106"/>
      <c r="F13" s="21">
        <v>12</v>
      </c>
      <c r="K13" s="45" t="s">
        <v>579</v>
      </c>
      <c r="L13" s="29" t="s">
        <v>638</v>
      </c>
      <c r="M13" s="21" t="s">
        <v>635</v>
      </c>
      <c r="N13" s="21">
        <f>L5-58</f>
        <v>802</v>
      </c>
      <c r="O13" s="21" t="s">
        <v>581</v>
      </c>
      <c r="P13" s="46">
        <v>45</v>
      </c>
    </row>
    <row r="14" spans="3:16" x14ac:dyDescent="0.25">
      <c r="K14" s="45" t="s">
        <v>580</v>
      </c>
      <c r="L14" s="29" t="s">
        <v>638</v>
      </c>
      <c r="M14" s="21" t="s">
        <v>635</v>
      </c>
      <c r="N14" s="21">
        <f>L6-58</f>
        <v>2012</v>
      </c>
      <c r="O14" s="21" t="s">
        <v>581</v>
      </c>
      <c r="P14" s="46">
        <v>45</v>
      </c>
    </row>
    <row r="15" spans="3:16" x14ac:dyDescent="0.25">
      <c r="C15" s="104" t="s">
        <v>543</v>
      </c>
      <c r="D15" s="104"/>
      <c r="K15" s="45" t="s">
        <v>579</v>
      </c>
      <c r="L15" s="21" t="s">
        <v>639</v>
      </c>
      <c r="M15" s="21" t="s">
        <v>1</v>
      </c>
      <c r="N15" s="21">
        <f>L5-222</f>
        <v>638</v>
      </c>
      <c r="O15" s="21" t="s">
        <v>581</v>
      </c>
      <c r="P15" s="46">
        <v>90</v>
      </c>
    </row>
    <row r="16" spans="3:16" x14ac:dyDescent="0.25">
      <c r="C16" s="21" t="s">
        <v>9</v>
      </c>
      <c r="D16" s="21" t="s">
        <v>573</v>
      </c>
      <c r="K16" s="45" t="s">
        <v>580</v>
      </c>
      <c r="L16" s="21" t="s">
        <v>639</v>
      </c>
      <c r="M16" s="21" t="s">
        <v>1</v>
      </c>
      <c r="N16" s="21">
        <f>L6-222</f>
        <v>1848</v>
      </c>
      <c r="O16" s="21" t="s">
        <v>581</v>
      </c>
      <c r="P16" s="46">
        <v>90</v>
      </c>
    </row>
    <row r="17" spans="1:16" x14ac:dyDescent="0.25">
      <c r="A17" t="s">
        <v>623</v>
      </c>
      <c r="C17" s="21" t="s">
        <v>544</v>
      </c>
      <c r="D17" s="21" t="s">
        <v>574</v>
      </c>
      <c r="K17" s="45" t="s">
        <v>579</v>
      </c>
      <c r="L17" s="28" t="s">
        <v>529</v>
      </c>
      <c r="M17" s="21" t="s">
        <v>2</v>
      </c>
      <c r="N17" s="21">
        <f>L5-221</f>
        <v>639</v>
      </c>
      <c r="O17" s="21" t="s">
        <v>581</v>
      </c>
      <c r="P17" s="46">
        <v>45</v>
      </c>
    </row>
    <row r="18" spans="1:16" ht="15.75" thickBot="1" x14ac:dyDescent="0.3">
      <c r="K18" s="40" t="s">
        <v>580</v>
      </c>
      <c r="L18" s="47" t="s">
        <v>529</v>
      </c>
      <c r="M18" s="48" t="s">
        <v>2</v>
      </c>
      <c r="N18" s="48">
        <f>L6-221</f>
        <v>1849</v>
      </c>
      <c r="O18" s="48" t="s">
        <v>581</v>
      </c>
      <c r="P18" s="49">
        <v>45</v>
      </c>
    </row>
    <row r="19" spans="1:16" ht="15.75" thickBot="1" x14ac:dyDescent="0.3">
      <c r="C19" s="104" t="s">
        <v>554</v>
      </c>
      <c r="D19" s="104"/>
      <c r="F19" s="104" t="s">
        <v>567</v>
      </c>
      <c r="G19" s="104"/>
    </row>
    <row r="20" spans="1:16" ht="15.75" thickBot="1" x14ac:dyDescent="0.3">
      <c r="C20" s="14" t="s">
        <v>555</v>
      </c>
      <c r="D20" s="21" t="s">
        <v>558</v>
      </c>
      <c r="F20" s="14" t="s">
        <v>561</v>
      </c>
      <c r="G20" s="21" t="s">
        <v>564</v>
      </c>
      <c r="K20" s="125" t="s">
        <v>543</v>
      </c>
      <c r="L20" s="126"/>
    </row>
    <row r="21" spans="1:16" x14ac:dyDescent="0.25">
      <c r="C21" s="14" t="s">
        <v>556</v>
      </c>
      <c r="D21" s="21" t="s">
        <v>559</v>
      </c>
      <c r="F21" s="14" t="s">
        <v>562</v>
      </c>
      <c r="G21" s="21" t="s">
        <v>565</v>
      </c>
      <c r="K21" s="50" t="s">
        <v>9</v>
      </c>
      <c r="L21" s="62">
        <f>N13-173</f>
        <v>629</v>
      </c>
      <c r="M21" s="111">
        <v>1</v>
      </c>
    </row>
    <row r="22" spans="1:16" ht="15.75" thickBot="1" x14ac:dyDescent="0.3">
      <c r="C22" s="14" t="s">
        <v>557</v>
      </c>
      <c r="D22" s="21" t="s">
        <v>560</v>
      </c>
      <c r="F22" s="14" t="s">
        <v>563</v>
      </c>
      <c r="G22" s="21" t="s">
        <v>566</v>
      </c>
      <c r="K22" s="40" t="s">
        <v>544</v>
      </c>
      <c r="L22" s="63">
        <f>N14-173</f>
        <v>1839</v>
      </c>
      <c r="M22" s="112"/>
    </row>
    <row r="24" spans="1:16" x14ac:dyDescent="0.25">
      <c r="C24" s="105"/>
      <c r="D24" s="105"/>
    </row>
  </sheetData>
  <mergeCells count="15">
    <mergeCell ref="K20:L20"/>
    <mergeCell ref="M21:M22"/>
    <mergeCell ref="C24:D24"/>
    <mergeCell ref="D11:E11"/>
    <mergeCell ref="D12:E12"/>
    <mergeCell ref="D13:E13"/>
    <mergeCell ref="C15:D15"/>
    <mergeCell ref="C19:D19"/>
    <mergeCell ref="F19:G19"/>
    <mergeCell ref="M5:N6"/>
    <mergeCell ref="K2:L2"/>
    <mergeCell ref="D3:F3"/>
    <mergeCell ref="G3:I3"/>
    <mergeCell ref="K3:L3"/>
    <mergeCell ref="K4:L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/>
  <dimension ref="A1:P24"/>
  <sheetViews>
    <sheetView topLeftCell="J1" workbookViewId="0">
      <selection activeCell="N10" sqref="N10"/>
    </sheetView>
  </sheetViews>
  <sheetFormatPr baseColWidth="10" defaultColWidth="10.7109375" defaultRowHeight="15" x14ac:dyDescent="0.25"/>
  <cols>
    <col min="1" max="1" width="18.7109375" hidden="1" customWidth="1"/>
    <col min="2" max="2" width="0" hidden="1" customWidth="1"/>
    <col min="3" max="3" width="12.42578125" hidden="1" customWidth="1"/>
    <col min="4" max="4" width="22.7109375" hidden="1" customWidth="1"/>
    <col min="5" max="6" width="0" hidden="1" customWidth="1"/>
    <col min="7" max="7" width="12.85546875" hidden="1" customWidth="1"/>
    <col min="8" max="9" width="0" hidden="1" customWidth="1"/>
    <col min="12" max="12" width="14.28515625" customWidth="1"/>
    <col min="13" max="13" width="22.7109375" bestFit="1" customWidth="1"/>
    <col min="14" max="14" width="15.28515625" customWidth="1"/>
  </cols>
  <sheetData>
    <row r="1" spans="3:16" ht="15.75" thickBot="1" x14ac:dyDescent="0.3"/>
    <row r="2" spans="3:16" ht="15.75" thickBot="1" x14ac:dyDescent="0.3">
      <c r="K2" s="121" t="s">
        <v>636</v>
      </c>
      <c r="L2" s="122"/>
    </row>
    <row r="3" spans="3:16" ht="15.75" thickBot="1" x14ac:dyDescent="0.3">
      <c r="D3" s="105"/>
      <c r="E3" s="105"/>
      <c r="F3" s="105"/>
      <c r="G3" s="105"/>
      <c r="H3" s="105"/>
      <c r="I3" s="105"/>
      <c r="K3" s="131" t="s">
        <v>640</v>
      </c>
      <c r="L3" s="132"/>
    </row>
    <row r="4" spans="3:16" ht="15.75" thickBot="1" x14ac:dyDescent="0.3">
      <c r="C4" s="21" t="s">
        <v>4</v>
      </c>
      <c r="D4" s="21" t="s">
        <v>3</v>
      </c>
      <c r="E4" s="21" t="s">
        <v>531</v>
      </c>
      <c r="F4" s="21" t="s">
        <v>5</v>
      </c>
      <c r="G4" s="21" t="s">
        <v>530</v>
      </c>
      <c r="H4" s="21" t="s">
        <v>5</v>
      </c>
      <c r="I4" s="21" t="s">
        <v>6</v>
      </c>
      <c r="K4" s="133" t="s">
        <v>633</v>
      </c>
      <c r="L4" s="134"/>
    </row>
    <row r="5" spans="3:16" ht="15.75" thickBot="1" x14ac:dyDescent="0.3">
      <c r="C5" s="27" t="s">
        <v>528</v>
      </c>
      <c r="D5" s="21" t="s">
        <v>0</v>
      </c>
      <c r="E5" s="21" t="s">
        <v>532</v>
      </c>
      <c r="F5" s="21">
        <v>2</v>
      </c>
      <c r="G5" s="21" t="s">
        <v>533</v>
      </c>
      <c r="H5" s="21">
        <v>2</v>
      </c>
      <c r="I5" s="21" t="s">
        <v>7</v>
      </c>
      <c r="K5" s="43" t="s">
        <v>579</v>
      </c>
      <c r="L5" s="44">
        <v>1000</v>
      </c>
      <c r="M5" s="127" t="s">
        <v>632</v>
      </c>
      <c r="N5" s="128"/>
    </row>
    <row r="6" spans="3:16" ht="15.75" thickBot="1" x14ac:dyDescent="0.3">
      <c r="C6" s="28" t="s">
        <v>500</v>
      </c>
      <c r="D6" s="21" t="s">
        <v>1</v>
      </c>
      <c r="E6" s="21" t="s">
        <v>534</v>
      </c>
      <c r="F6" s="21">
        <v>2</v>
      </c>
      <c r="G6" s="21" t="s">
        <v>535</v>
      </c>
      <c r="H6" s="21">
        <v>2</v>
      </c>
      <c r="I6" s="21" t="s">
        <v>8</v>
      </c>
      <c r="K6" s="41" t="s">
        <v>580</v>
      </c>
      <c r="L6" s="42">
        <v>2000</v>
      </c>
      <c r="M6" s="129"/>
      <c r="N6" s="130"/>
    </row>
    <row r="7" spans="3:16" ht="15.75" thickBot="1" x14ac:dyDescent="0.3">
      <c r="C7" s="29" t="s">
        <v>541</v>
      </c>
      <c r="D7" s="21" t="s">
        <v>547</v>
      </c>
      <c r="E7" s="21" t="s">
        <v>548</v>
      </c>
      <c r="F7" s="21">
        <v>2</v>
      </c>
      <c r="G7" s="21" t="s">
        <v>549</v>
      </c>
      <c r="H7" s="21">
        <v>2</v>
      </c>
      <c r="I7" s="21" t="s">
        <v>7</v>
      </c>
    </row>
    <row r="8" spans="3:16" ht="15.75" thickBot="1" x14ac:dyDescent="0.3">
      <c r="C8" s="28" t="s">
        <v>542</v>
      </c>
      <c r="D8" s="21" t="s">
        <v>1</v>
      </c>
      <c r="E8" s="21" t="s">
        <v>551</v>
      </c>
      <c r="F8" s="21">
        <v>2</v>
      </c>
      <c r="G8" s="21" t="s">
        <v>550</v>
      </c>
      <c r="H8" s="21">
        <v>2</v>
      </c>
      <c r="I8" s="21" t="s">
        <v>8</v>
      </c>
      <c r="K8" s="55"/>
      <c r="L8" s="53" t="s">
        <v>582</v>
      </c>
      <c r="M8" s="53" t="s">
        <v>583</v>
      </c>
      <c r="N8" s="53" t="s">
        <v>584</v>
      </c>
      <c r="O8" s="53" t="s">
        <v>585</v>
      </c>
      <c r="P8" s="54" t="s">
        <v>586</v>
      </c>
    </row>
    <row r="9" spans="3:16" x14ac:dyDescent="0.25">
      <c r="C9" s="28" t="s">
        <v>529</v>
      </c>
      <c r="D9" s="21" t="s">
        <v>2</v>
      </c>
      <c r="E9" s="21" t="s">
        <v>552</v>
      </c>
      <c r="F9" s="21">
        <v>2</v>
      </c>
      <c r="G9" s="21" t="s">
        <v>553</v>
      </c>
      <c r="H9" s="21">
        <v>2</v>
      </c>
      <c r="I9" s="21" t="s">
        <v>7</v>
      </c>
      <c r="K9" s="50" t="s">
        <v>579</v>
      </c>
      <c r="L9" s="51" t="s">
        <v>528</v>
      </c>
      <c r="M9" s="39" t="s">
        <v>0</v>
      </c>
      <c r="N9" s="39">
        <f>L5+6</f>
        <v>1006</v>
      </c>
      <c r="O9" s="39" t="s">
        <v>606</v>
      </c>
      <c r="P9" s="52">
        <v>45</v>
      </c>
    </row>
    <row r="10" spans="3:16" x14ac:dyDescent="0.25">
      <c r="D10" s="30"/>
      <c r="E10" s="30"/>
      <c r="K10" s="45" t="s">
        <v>580</v>
      </c>
      <c r="L10" s="27" t="s">
        <v>528</v>
      </c>
      <c r="M10" s="21" t="s">
        <v>0</v>
      </c>
      <c r="N10" s="21">
        <f>L6+3</f>
        <v>2003</v>
      </c>
      <c r="O10" s="21" t="s">
        <v>581</v>
      </c>
      <c r="P10" s="46">
        <v>45</v>
      </c>
    </row>
    <row r="11" spans="3:16" x14ac:dyDescent="0.25">
      <c r="C11" s="21" t="s">
        <v>539</v>
      </c>
      <c r="D11" s="107" t="s">
        <v>540</v>
      </c>
      <c r="E11" s="107"/>
      <c r="F11" s="21" t="s">
        <v>538</v>
      </c>
      <c r="K11" s="45" t="s">
        <v>579</v>
      </c>
      <c r="L11" s="28" t="s">
        <v>637</v>
      </c>
      <c r="M11" s="21" t="s">
        <v>1</v>
      </c>
      <c r="N11" s="21">
        <f>L5-85</f>
        <v>915</v>
      </c>
      <c r="O11" s="21" t="s">
        <v>606</v>
      </c>
      <c r="P11" s="46">
        <v>90</v>
      </c>
    </row>
    <row r="12" spans="3:16" x14ac:dyDescent="0.25">
      <c r="C12" s="14" t="s">
        <v>470</v>
      </c>
      <c r="D12" s="106" t="s">
        <v>576</v>
      </c>
      <c r="E12" s="106"/>
      <c r="F12" s="21">
        <v>6</v>
      </c>
      <c r="K12" s="45" t="s">
        <v>580</v>
      </c>
      <c r="L12" s="28" t="s">
        <v>637</v>
      </c>
      <c r="M12" s="21" t="s">
        <v>1</v>
      </c>
      <c r="N12" s="21">
        <f>L6-85</f>
        <v>1915</v>
      </c>
      <c r="O12" s="21" t="s">
        <v>581</v>
      </c>
      <c r="P12" s="46">
        <v>90</v>
      </c>
    </row>
    <row r="13" spans="3:16" x14ac:dyDescent="0.25">
      <c r="C13" s="14" t="s">
        <v>485</v>
      </c>
      <c r="D13" s="106" t="s">
        <v>577</v>
      </c>
      <c r="E13" s="106"/>
      <c r="F13" s="21">
        <v>12</v>
      </c>
      <c r="K13" s="45" t="s">
        <v>579</v>
      </c>
      <c r="L13" s="29" t="s">
        <v>634</v>
      </c>
      <c r="M13" s="21" t="s">
        <v>641</v>
      </c>
      <c r="N13" s="21">
        <f>L5-58</f>
        <v>942</v>
      </c>
      <c r="O13" s="21" t="s">
        <v>581</v>
      </c>
      <c r="P13" s="46">
        <v>45</v>
      </c>
    </row>
    <row r="14" spans="3:16" x14ac:dyDescent="0.25">
      <c r="K14" s="45" t="s">
        <v>580</v>
      </c>
      <c r="L14" s="29" t="s">
        <v>634</v>
      </c>
      <c r="M14" s="21" t="s">
        <v>641</v>
      </c>
      <c r="N14" s="21">
        <f>L6-32</f>
        <v>1968</v>
      </c>
      <c r="O14" s="21" t="s">
        <v>581</v>
      </c>
      <c r="P14" s="46">
        <v>45</v>
      </c>
    </row>
    <row r="15" spans="3:16" x14ac:dyDescent="0.25">
      <c r="C15" s="104" t="s">
        <v>543</v>
      </c>
      <c r="D15" s="104"/>
      <c r="K15" s="45" t="s">
        <v>579</v>
      </c>
      <c r="L15" s="56" t="s">
        <v>642</v>
      </c>
      <c r="M15" s="21" t="s">
        <v>1</v>
      </c>
      <c r="N15" s="21">
        <f>L5-222</f>
        <v>778</v>
      </c>
      <c r="O15" s="21" t="s">
        <v>581</v>
      </c>
      <c r="P15" s="46">
        <v>90</v>
      </c>
    </row>
    <row r="16" spans="3:16" x14ac:dyDescent="0.25">
      <c r="C16" s="21" t="s">
        <v>9</v>
      </c>
      <c r="D16" s="21" t="s">
        <v>573</v>
      </c>
      <c r="K16" s="45" t="s">
        <v>580</v>
      </c>
      <c r="L16" s="56" t="s">
        <v>642</v>
      </c>
      <c r="M16" s="21" t="s">
        <v>1</v>
      </c>
      <c r="N16" s="21">
        <f>L6-195</f>
        <v>1805</v>
      </c>
      <c r="O16" s="21" t="s">
        <v>581</v>
      </c>
      <c r="P16" s="46">
        <v>90</v>
      </c>
    </row>
    <row r="17" spans="1:16" x14ac:dyDescent="0.25">
      <c r="A17" t="s">
        <v>623</v>
      </c>
      <c r="C17" s="21" t="s">
        <v>544</v>
      </c>
      <c r="D17" s="21" t="s">
        <v>574</v>
      </c>
      <c r="K17" s="45" t="s">
        <v>579</v>
      </c>
      <c r="L17" s="28" t="s">
        <v>529</v>
      </c>
      <c r="M17" s="21" t="s">
        <v>2</v>
      </c>
      <c r="N17" s="21">
        <f>L5-221</f>
        <v>779</v>
      </c>
      <c r="O17" s="21" t="s">
        <v>581</v>
      </c>
      <c r="P17" s="46">
        <v>45</v>
      </c>
    </row>
    <row r="18" spans="1:16" ht="15.75" thickBot="1" x14ac:dyDescent="0.3">
      <c r="K18" s="40" t="s">
        <v>580</v>
      </c>
      <c r="L18" s="47" t="s">
        <v>529</v>
      </c>
      <c r="M18" s="48" t="s">
        <v>2</v>
      </c>
      <c r="N18" s="48">
        <f>L6-194</f>
        <v>1806</v>
      </c>
      <c r="O18" s="48" t="s">
        <v>581</v>
      </c>
      <c r="P18" s="49">
        <v>45</v>
      </c>
    </row>
    <row r="19" spans="1:16" ht="15.75" thickBot="1" x14ac:dyDescent="0.3">
      <c r="C19" s="104" t="s">
        <v>554</v>
      </c>
      <c r="D19" s="104"/>
      <c r="F19" s="104" t="s">
        <v>567</v>
      </c>
      <c r="G19" s="104"/>
    </row>
    <row r="20" spans="1:16" ht="15.75" thickBot="1" x14ac:dyDescent="0.3">
      <c r="C20" s="14" t="s">
        <v>555</v>
      </c>
      <c r="D20" s="21" t="s">
        <v>558</v>
      </c>
      <c r="F20" s="14" t="s">
        <v>561</v>
      </c>
      <c r="G20" s="21" t="s">
        <v>564</v>
      </c>
      <c r="K20" s="125" t="s">
        <v>543</v>
      </c>
      <c r="L20" s="126"/>
    </row>
    <row r="21" spans="1:16" x14ac:dyDescent="0.25">
      <c r="C21" s="14" t="s">
        <v>556</v>
      </c>
      <c r="D21" s="21" t="s">
        <v>559</v>
      </c>
      <c r="F21" s="14" t="s">
        <v>562</v>
      </c>
      <c r="G21" s="21" t="s">
        <v>565</v>
      </c>
      <c r="K21" s="50" t="s">
        <v>9</v>
      </c>
      <c r="L21" s="62">
        <f>N13-214</f>
        <v>728</v>
      </c>
      <c r="M21" s="111">
        <v>1</v>
      </c>
    </row>
    <row r="22" spans="1:16" ht="15.75" thickBot="1" x14ac:dyDescent="0.3">
      <c r="C22" s="14" t="s">
        <v>557</v>
      </c>
      <c r="D22" s="21" t="s">
        <v>560</v>
      </c>
      <c r="F22" s="14" t="s">
        <v>563</v>
      </c>
      <c r="G22" s="21" t="s">
        <v>566</v>
      </c>
      <c r="K22" s="40" t="s">
        <v>544</v>
      </c>
      <c r="L22" s="63">
        <f>N14-214</f>
        <v>1754</v>
      </c>
      <c r="M22" s="112"/>
    </row>
    <row r="24" spans="1:16" x14ac:dyDescent="0.25">
      <c r="C24" s="105"/>
      <c r="D24" s="105"/>
    </row>
  </sheetData>
  <mergeCells count="15">
    <mergeCell ref="M5:N6"/>
    <mergeCell ref="K2:L2"/>
    <mergeCell ref="D3:F3"/>
    <mergeCell ref="G3:I3"/>
    <mergeCell ref="K3:L3"/>
    <mergeCell ref="K4:L4"/>
    <mergeCell ref="K20:L20"/>
    <mergeCell ref="C24:D24"/>
    <mergeCell ref="M21:M22"/>
    <mergeCell ref="D11:E11"/>
    <mergeCell ref="D12:E12"/>
    <mergeCell ref="D13:E13"/>
    <mergeCell ref="C15:D15"/>
    <mergeCell ref="C19:D19"/>
    <mergeCell ref="F19:G19"/>
  </mergeCells>
  <pageMargins left="0.7" right="0.7" top="0.75" bottom="0.75" header="0.3" footer="0.3"/>
  <pageSetup paperSize="9" orientation="portrait" horizontalDpi="4294967293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776EE-9853-4060-B8ED-8884603AB40C}">
  <dimension ref="A1:P24"/>
  <sheetViews>
    <sheetView topLeftCell="J1" workbookViewId="0">
      <selection activeCell="K19" sqref="K19:M19"/>
    </sheetView>
  </sheetViews>
  <sheetFormatPr baseColWidth="10" defaultColWidth="10.7109375" defaultRowHeight="15" x14ac:dyDescent="0.25"/>
  <cols>
    <col min="1" max="1" width="18.7109375" hidden="1" customWidth="1"/>
    <col min="2" max="2" width="0" hidden="1" customWidth="1"/>
    <col min="3" max="3" width="12.42578125" hidden="1" customWidth="1"/>
    <col min="4" max="4" width="22.7109375" hidden="1" customWidth="1"/>
    <col min="5" max="6" width="0" hidden="1" customWidth="1"/>
    <col min="7" max="7" width="12.85546875" hidden="1" customWidth="1"/>
    <col min="8" max="9" width="0" hidden="1" customWidth="1"/>
    <col min="12" max="12" width="14.28515625" customWidth="1"/>
    <col min="13" max="13" width="22.7109375" bestFit="1" customWidth="1"/>
    <col min="14" max="14" width="13.85546875" customWidth="1"/>
    <col min="15" max="15" width="9.28515625" customWidth="1"/>
    <col min="16" max="16" width="11.5703125" customWidth="1"/>
  </cols>
  <sheetData>
    <row r="1" spans="3:16" ht="15.75" thickBot="1" x14ac:dyDescent="0.3"/>
    <row r="2" spans="3:16" ht="15.75" thickBot="1" x14ac:dyDescent="0.3">
      <c r="K2" s="121" t="s">
        <v>720</v>
      </c>
      <c r="L2" s="122"/>
    </row>
    <row r="3" spans="3:16" ht="15.75" thickBot="1" x14ac:dyDescent="0.3">
      <c r="D3" s="105"/>
      <c r="E3" s="105"/>
      <c r="F3" s="105"/>
      <c r="G3" s="105"/>
      <c r="H3" s="105"/>
      <c r="I3" s="105"/>
      <c r="K3" s="131" t="s">
        <v>723</v>
      </c>
      <c r="L3" s="132"/>
    </row>
    <row r="4" spans="3:16" ht="15.75" thickBot="1" x14ac:dyDescent="0.3">
      <c r="C4" s="21" t="s">
        <v>4</v>
      </c>
      <c r="D4" s="21" t="s">
        <v>3</v>
      </c>
      <c r="E4" s="21" t="s">
        <v>531</v>
      </c>
      <c r="F4" s="21" t="s">
        <v>5</v>
      </c>
      <c r="G4" s="21" t="s">
        <v>530</v>
      </c>
      <c r="H4" s="21" t="s">
        <v>5</v>
      </c>
      <c r="I4" s="21" t="s">
        <v>6</v>
      </c>
      <c r="K4" s="133" t="s">
        <v>724</v>
      </c>
      <c r="L4" s="134"/>
    </row>
    <row r="5" spans="3:16" ht="15.75" thickBot="1" x14ac:dyDescent="0.3">
      <c r="C5" s="27" t="s">
        <v>528</v>
      </c>
      <c r="D5" s="21" t="s">
        <v>0</v>
      </c>
      <c r="E5" s="21" t="s">
        <v>532</v>
      </c>
      <c r="F5" s="21">
        <v>2</v>
      </c>
      <c r="G5" s="21" t="s">
        <v>533</v>
      </c>
      <c r="H5" s="21">
        <v>2</v>
      </c>
      <c r="I5" s="21" t="s">
        <v>7</v>
      </c>
      <c r="K5" s="43" t="s">
        <v>579</v>
      </c>
      <c r="L5" s="44">
        <v>1000</v>
      </c>
      <c r="M5" s="127" t="s">
        <v>632</v>
      </c>
      <c r="N5" s="128"/>
    </row>
    <row r="6" spans="3:16" ht="15.75" thickBot="1" x14ac:dyDescent="0.3">
      <c r="C6" s="28" t="s">
        <v>500</v>
      </c>
      <c r="D6" s="21" t="s">
        <v>1</v>
      </c>
      <c r="E6" s="21" t="s">
        <v>534</v>
      </c>
      <c r="F6" s="21">
        <v>2</v>
      </c>
      <c r="G6" s="21" t="s">
        <v>535</v>
      </c>
      <c r="H6" s="21">
        <v>2</v>
      </c>
      <c r="I6" s="21" t="s">
        <v>8</v>
      </c>
      <c r="K6" s="41" t="s">
        <v>580</v>
      </c>
      <c r="L6" s="42">
        <v>2000</v>
      </c>
      <c r="M6" s="129"/>
      <c r="N6" s="130"/>
    </row>
    <row r="7" spans="3:16" ht="15.75" thickBot="1" x14ac:dyDescent="0.3">
      <c r="C7" s="29" t="s">
        <v>541</v>
      </c>
      <c r="D7" s="21" t="s">
        <v>547</v>
      </c>
      <c r="E7" s="21" t="s">
        <v>548</v>
      </c>
      <c r="F7" s="21">
        <v>2</v>
      </c>
      <c r="G7" s="21" t="s">
        <v>549</v>
      </c>
      <c r="H7" s="21">
        <v>2</v>
      </c>
      <c r="I7" s="21" t="s">
        <v>7</v>
      </c>
    </row>
    <row r="8" spans="3:16" ht="15.75" thickBot="1" x14ac:dyDescent="0.3">
      <c r="C8" s="28" t="s">
        <v>542</v>
      </c>
      <c r="D8" s="21" t="s">
        <v>1</v>
      </c>
      <c r="E8" s="21" t="s">
        <v>551</v>
      </c>
      <c r="F8" s="21">
        <v>2</v>
      </c>
      <c r="G8" s="21" t="s">
        <v>550</v>
      </c>
      <c r="H8" s="21">
        <v>2</v>
      </c>
      <c r="I8" s="21" t="s">
        <v>8</v>
      </c>
      <c r="K8" s="55"/>
      <c r="L8" s="53" t="s">
        <v>582</v>
      </c>
      <c r="M8" s="53" t="s">
        <v>583</v>
      </c>
      <c r="N8" s="53" t="s">
        <v>584</v>
      </c>
      <c r="O8" s="53" t="s">
        <v>585</v>
      </c>
      <c r="P8" s="54" t="s">
        <v>586</v>
      </c>
    </row>
    <row r="9" spans="3:16" x14ac:dyDescent="0.25">
      <c r="C9" s="28" t="s">
        <v>529</v>
      </c>
      <c r="D9" s="21" t="s">
        <v>2</v>
      </c>
      <c r="E9" s="21" t="s">
        <v>552</v>
      </c>
      <c r="F9" s="21">
        <v>2</v>
      </c>
      <c r="G9" s="21" t="s">
        <v>553</v>
      </c>
      <c r="H9" s="21">
        <v>2</v>
      </c>
      <c r="I9" s="21" t="s">
        <v>7</v>
      </c>
      <c r="K9" s="50" t="s">
        <v>579</v>
      </c>
      <c r="L9" s="51" t="s">
        <v>528</v>
      </c>
      <c r="M9" s="39" t="s">
        <v>0</v>
      </c>
      <c r="N9" s="39">
        <f>L5+6</f>
        <v>1006</v>
      </c>
      <c r="O9" s="39" t="s">
        <v>606</v>
      </c>
      <c r="P9" s="52">
        <v>45</v>
      </c>
    </row>
    <row r="10" spans="3:16" x14ac:dyDescent="0.25">
      <c r="D10" s="30"/>
      <c r="E10" s="30"/>
      <c r="K10" s="45" t="s">
        <v>580</v>
      </c>
      <c r="L10" s="27" t="s">
        <v>528</v>
      </c>
      <c r="M10" s="21" t="s">
        <v>0</v>
      </c>
      <c r="N10" s="21">
        <f>L6-17</f>
        <v>1983</v>
      </c>
      <c r="O10" s="21" t="s">
        <v>581</v>
      </c>
      <c r="P10" s="46" t="s">
        <v>725</v>
      </c>
    </row>
    <row r="11" spans="3:16" x14ac:dyDescent="0.25">
      <c r="C11" s="21" t="s">
        <v>539</v>
      </c>
      <c r="D11" s="107" t="s">
        <v>540</v>
      </c>
      <c r="E11" s="107"/>
      <c r="F11" s="21" t="s">
        <v>538</v>
      </c>
      <c r="K11" s="45" t="s">
        <v>579</v>
      </c>
      <c r="L11" s="28" t="s">
        <v>637</v>
      </c>
      <c r="M11" s="21" t="s">
        <v>1</v>
      </c>
      <c r="N11" s="21">
        <f>L5-85</f>
        <v>915</v>
      </c>
      <c r="O11" s="21" t="s">
        <v>606</v>
      </c>
      <c r="P11" s="46">
        <v>90</v>
      </c>
    </row>
    <row r="12" spans="3:16" x14ac:dyDescent="0.25">
      <c r="C12" s="14" t="s">
        <v>470</v>
      </c>
      <c r="D12" s="106" t="s">
        <v>576</v>
      </c>
      <c r="E12" s="106"/>
      <c r="F12" s="21">
        <v>6</v>
      </c>
      <c r="K12" s="45" t="s">
        <v>580</v>
      </c>
      <c r="L12" s="28" t="s">
        <v>637</v>
      </c>
      <c r="M12" s="21" t="s">
        <v>1</v>
      </c>
      <c r="N12" s="21">
        <f>L6-85</f>
        <v>1915</v>
      </c>
      <c r="O12" s="21" t="s">
        <v>581</v>
      </c>
      <c r="P12" s="46">
        <v>90</v>
      </c>
    </row>
    <row r="13" spans="3:16" x14ac:dyDescent="0.25">
      <c r="C13" s="14" t="s">
        <v>485</v>
      </c>
      <c r="D13" s="106" t="s">
        <v>577</v>
      </c>
      <c r="E13" s="106"/>
      <c r="F13" s="21">
        <v>12</v>
      </c>
      <c r="K13" s="45" t="s">
        <v>579</v>
      </c>
      <c r="L13" s="29" t="s">
        <v>634</v>
      </c>
      <c r="M13" s="21" t="s">
        <v>641</v>
      </c>
      <c r="N13" s="21">
        <f>L5-58</f>
        <v>942</v>
      </c>
      <c r="O13" s="21" t="s">
        <v>581</v>
      </c>
      <c r="P13" s="46">
        <v>45</v>
      </c>
    </row>
    <row r="14" spans="3:16" x14ac:dyDescent="0.25">
      <c r="K14" s="45" t="s">
        <v>580</v>
      </c>
      <c r="L14" s="29" t="s">
        <v>634</v>
      </c>
      <c r="M14" s="21" t="s">
        <v>641</v>
      </c>
      <c r="N14" s="21">
        <f>L6-38</f>
        <v>1962</v>
      </c>
      <c r="O14" s="21" t="s">
        <v>581</v>
      </c>
      <c r="P14" s="46">
        <v>45</v>
      </c>
    </row>
    <row r="15" spans="3:16" x14ac:dyDescent="0.25">
      <c r="C15" s="104" t="s">
        <v>543</v>
      </c>
      <c r="D15" s="104"/>
      <c r="K15" s="45" t="s">
        <v>579</v>
      </c>
      <c r="L15" s="56" t="s">
        <v>642</v>
      </c>
      <c r="M15" s="21" t="s">
        <v>1</v>
      </c>
      <c r="N15" s="21">
        <f>L5-222</f>
        <v>778</v>
      </c>
      <c r="O15" s="21" t="s">
        <v>581</v>
      </c>
      <c r="P15" s="46">
        <v>90</v>
      </c>
    </row>
    <row r="16" spans="3:16" x14ac:dyDescent="0.25">
      <c r="C16" s="21" t="s">
        <v>9</v>
      </c>
      <c r="D16" s="21" t="s">
        <v>573</v>
      </c>
      <c r="K16" s="45" t="s">
        <v>580</v>
      </c>
      <c r="L16" s="56" t="s">
        <v>642</v>
      </c>
      <c r="M16" s="21" t="s">
        <v>1</v>
      </c>
      <c r="N16" s="21">
        <f>L6-195</f>
        <v>1805</v>
      </c>
      <c r="O16" s="21" t="s">
        <v>581</v>
      </c>
      <c r="P16" s="46">
        <v>90</v>
      </c>
    </row>
    <row r="17" spans="1:16" x14ac:dyDescent="0.25">
      <c r="A17" t="s">
        <v>623</v>
      </c>
      <c r="C17" s="21" t="s">
        <v>544</v>
      </c>
      <c r="D17" s="21" t="s">
        <v>574</v>
      </c>
      <c r="K17" s="45" t="s">
        <v>579</v>
      </c>
      <c r="L17" s="28" t="s">
        <v>529</v>
      </c>
      <c r="M17" s="21" t="s">
        <v>2</v>
      </c>
      <c r="N17" s="21">
        <f>L5-221</f>
        <v>779</v>
      </c>
      <c r="O17" s="21" t="s">
        <v>581</v>
      </c>
      <c r="P17" s="46">
        <v>45</v>
      </c>
    </row>
    <row r="18" spans="1:16" x14ac:dyDescent="0.25">
      <c r="K18" s="96" t="s">
        <v>580</v>
      </c>
      <c r="L18" s="97" t="s">
        <v>529</v>
      </c>
      <c r="M18" s="23" t="s">
        <v>2</v>
      </c>
      <c r="N18" s="23">
        <f>L6-194</f>
        <v>1806</v>
      </c>
      <c r="O18" s="23" t="s">
        <v>581</v>
      </c>
      <c r="P18" s="98">
        <v>45</v>
      </c>
    </row>
    <row r="19" spans="1:16" x14ac:dyDescent="0.25">
      <c r="C19" s="104" t="s">
        <v>554</v>
      </c>
      <c r="D19" s="104"/>
      <c r="F19" s="104" t="s">
        <v>567</v>
      </c>
      <c r="G19" s="104"/>
      <c r="K19" s="21" t="s">
        <v>579</v>
      </c>
      <c r="L19" s="21" t="s">
        <v>722</v>
      </c>
      <c r="M19" s="21" t="s">
        <v>721</v>
      </c>
      <c r="N19" s="21">
        <f>L5-12</f>
        <v>988</v>
      </c>
      <c r="O19" s="21" t="s">
        <v>606</v>
      </c>
      <c r="P19" s="21">
        <v>90</v>
      </c>
    </row>
    <row r="20" spans="1:16" ht="15.75" thickBot="1" x14ac:dyDescent="0.3">
      <c r="C20" s="14" t="s">
        <v>555</v>
      </c>
      <c r="D20" s="21" t="s">
        <v>558</v>
      </c>
      <c r="F20" s="14" t="s">
        <v>561</v>
      </c>
      <c r="G20" s="21" t="s">
        <v>564</v>
      </c>
      <c r="K20" s="135" t="s">
        <v>543</v>
      </c>
      <c r="L20" s="136"/>
    </row>
    <row r="21" spans="1:16" x14ac:dyDescent="0.25">
      <c r="C21" s="14" t="s">
        <v>556</v>
      </c>
      <c r="D21" s="21" t="s">
        <v>559</v>
      </c>
      <c r="F21" s="14" t="s">
        <v>562</v>
      </c>
      <c r="G21" s="21" t="s">
        <v>565</v>
      </c>
      <c r="K21" s="50" t="s">
        <v>9</v>
      </c>
      <c r="L21" s="62">
        <f>N13-214</f>
        <v>728</v>
      </c>
      <c r="M21" s="111">
        <v>1</v>
      </c>
    </row>
    <row r="22" spans="1:16" ht="15.75" thickBot="1" x14ac:dyDescent="0.3">
      <c r="C22" s="14" t="s">
        <v>557</v>
      </c>
      <c r="D22" s="21" t="s">
        <v>560</v>
      </c>
      <c r="F22" s="14" t="s">
        <v>563</v>
      </c>
      <c r="G22" s="21" t="s">
        <v>566</v>
      </c>
      <c r="K22" s="40" t="s">
        <v>544</v>
      </c>
      <c r="L22" s="63">
        <f>N14-214</f>
        <v>1748</v>
      </c>
      <c r="M22" s="112"/>
    </row>
    <row r="24" spans="1:16" x14ac:dyDescent="0.25">
      <c r="C24" s="105"/>
      <c r="D24" s="105"/>
    </row>
  </sheetData>
  <mergeCells count="15">
    <mergeCell ref="M5:N6"/>
    <mergeCell ref="K2:L2"/>
    <mergeCell ref="D3:F3"/>
    <mergeCell ref="G3:I3"/>
    <mergeCell ref="K3:L3"/>
    <mergeCell ref="K4:L4"/>
    <mergeCell ref="K20:L20"/>
    <mergeCell ref="M21:M22"/>
    <mergeCell ref="C24:D24"/>
    <mergeCell ref="D11:E11"/>
    <mergeCell ref="D12:E12"/>
    <mergeCell ref="D13:E13"/>
    <mergeCell ref="C15:D15"/>
    <mergeCell ref="C19:D19"/>
    <mergeCell ref="F19:G19"/>
  </mergeCells>
  <pageMargins left="0.7" right="0.7" top="0.75" bottom="0.75" header="0.3" footer="0.3"/>
  <pageSetup orientation="landscape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15CC3-952A-4497-8F17-AD09EA004688}">
  <dimension ref="A1:P24"/>
  <sheetViews>
    <sheetView topLeftCell="J1" workbookViewId="0">
      <selection activeCell="U10" sqref="U10"/>
    </sheetView>
  </sheetViews>
  <sheetFormatPr baseColWidth="10" defaultColWidth="10.7109375" defaultRowHeight="15" x14ac:dyDescent="0.25"/>
  <cols>
    <col min="1" max="1" width="18.7109375" hidden="1" customWidth="1"/>
    <col min="2" max="2" width="0" hidden="1" customWidth="1"/>
    <col min="3" max="3" width="12.42578125" hidden="1" customWidth="1"/>
    <col min="4" max="4" width="22.7109375" hidden="1" customWidth="1"/>
    <col min="5" max="6" width="0" hidden="1" customWidth="1"/>
    <col min="7" max="7" width="12.85546875" hidden="1" customWidth="1"/>
    <col min="8" max="9" width="0" hidden="1" customWidth="1"/>
    <col min="12" max="12" width="14.28515625" customWidth="1"/>
    <col min="13" max="13" width="22.7109375" bestFit="1" customWidth="1"/>
    <col min="14" max="14" width="15.28515625" customWidth="1"/>
  </cols>
  <sheetData>
    <row r="1" spans="3:16" ht="15.75" thickBot="1" x14ac:dyDescent="0.3"/>
    <row r="2" spans="3:16" ht="15.75" thickBot="1" x14ac:dyDescent="0.3">
      <c r="K2" s="121" t="s">
        <v>677</v>
      </c>
      <c r="L2" s="122"/>
    </row>
    <row r="3" spans="3:16" ht="15.75" thickBot="1" x14ac:dyDescent="0.3">
      <c r="D3" s="105"/>
      <c r="E3" s="105"/>
      <c r="F3" s="105"/>
      <c r="G3" s="105"/>
      <c r="H3" s="105"/>
      <c r="I3" s="105"/>
      <c r="K3" s="131" t="s">
        <v>640</v>
      </c>
      <c r="L3" s="132"/>
    </row>
    <row r="4" spans="3:16" ht="15.75" thickBot="1" x14ac:dyDescent="0.3">
      <c r="C4" s="21" t="s">
        <v>4</v>
      </c>
      <c r="D4" s="21" t="s">
        <v>3</v>
      </c>
      <c r="E4" s="21" t="s">
        <v>531</v>
      </c>
      <c r="F4" s="21" t="s">
        <v>5</v>
      </c>
      <c r="G4" s="21" t="s">
        <v>530</v>
      </c>
      <c r="H4" s="21" t="s">
        <v>5</v>
      </c>
      <c r="I4" s="21" t="s">
        <v>6</v>
      </c>
      <c r="K4" s="133" t="s">
        <v>633</v>
      </c>
      <c r="L4" s="134"/>
    </row>
    <row r="5" spans="3:16" ht="15.75" thickBot="1" x14ac:dyDescent="0.3">
      <c r="C5" s="27" t="s">
        <v>528</v>
      </c>
      <c r="D5" s="21" t="s">
        <v>0</v>
      </c>
      <c r="E5" s="21" t="s">
        <v>532</v>
      </c>
      <c r="F5" s="21">
        <v>2</v>
      </c>
      <c r="G5" s="21" t="s">
        <v>533</v>
      </c>
      <c r="H5" s="21">
        <v>2</v>
      </c>
      <c r="I5" s="21" t="s">
        <v>7</v>
      </c>
      <c r="K5" s="43" t="s">
        <v>579</v>
      </c>
      <c r="L5" s="44">
        <v>915</v>
      </c>
      <c r="M5" s="127" t="s">
        <v>632</v>
      </c>
      <c r="N5" s="128"/>
    </row>
    <row r="6" spans="3:16" ht="15.75" thickBot="1" x14ac:dyDescent="0.3">
      <c r="C6" s="28" t="s">
        <v>500</v>
      </c>
      <c r="D6" s="21" t="s">
        <v>1</v>
      </c>
      <c r="E6" s="21" t="s">
        <v>534</v>
      </c>
      <c r="F6" s="21">
        <v>2</v>
      </c>
      <c r="G6" s="21" t="s">
        <v>535</v>
      </c>
      <c r="H6" s="21">
        <v>2</v>
      </c>
      <c r="I6" s="21" t="s">
        <v>8</v>
      </c>
      <c r="K6" s="41" t="s">
        <v>580</v>
      </c>
      <c r="L6" s="42">
        <v>2605</v>
      </c>
      <c r="M6" s="129"/>
      <c r="N6" s="130"/>
    </row>
    <row r="7" spans="3:16" ht="15.75" thickBot="1" x14ac:dyDescent="0.3">
      <c r="C7" s="29" t="s">
        <v>541</v>
      </c>
      <c r="D7" s="21" t="s">
        <v>547</v>
      </c>
      <c r="E7" s="21" t="s">
        <v>548</v>
      </c>
      <c r="F7" s="21">
        <v>2</v>
      </c>
      <c r="G7" s="21" t="s">
        <v>549</v>
      </c>
      <c r="H7" s="21">
        <v>2</v>
      </c>
      <c r="I7" s="21" t="s">
        <v>7</v>
      </c>
    </row>
    <row r="8" spans="3:16" ht="15.75" thickBot="1" x14ac:dyDescent="0.3">
      <c r="C8" s="28" t="s">
        <v>542</v>
      </c>
      <c r="D8" s="21" t="s">
        <v>1</v>
      </c>
      <c r="E8" s="21" t="s">
        <v>551</v>
      </c>
      <c r="F8" s="21">
        <v>2</v>
      </c>
      <c r="G8" s="21" t="s">
        <v>550</v>
      </c>
      <c r="H8" s="21">
        <v>2</v>
      </c>
      <c r="I8" s="21" t="s">
        <v>8</v>
      </c>
      <c r="K8" s="55"/>
      <c r="L8" s="53" t="s">
        <v>582</v>
      </c>
      <c r="M8" s="53" t="s">
        <v>583</v>
      </c>
      <c r="N8" s="53" t="s">
        <v>584</v>
      </c>
      <c r="O8" s="53" t="s">
        <v>585</v>
      </c>
      <c r="P8" s="54" t="s">
        <v>586</v>
      </c>
    </row>
    <row r="9" spans="3:16" x14ac:dyDescent="0.25">
      <c r="C9" s="28" t="s">
        <v>529</v>
      </c>
      <c r="D9" s="21" t="s">
        <v>2</v>
      </c>
      <c r="E9" s="21" t="s">
        <v>552</v>
      </c>
      <c r="F9" s="21">
        <v>2</v>
      </c>
      <c r="G9" s="21" t="s">
        <v>553</v>
      </c>
      <c r="H9" s="21">
        <v>2</v>
      </c>
      <c r="I9" s="21" t="s">
        <v>7</v>
      </c>
      <c r="K9" s="50" t="s">
        <v>579</v>
      </c>
      <c r="L9" s="51" t="s">
        <v>528</v>
      </c>
      <c r="M9" s="39" t="s">
        <v>0</v>
      </c>
      <c r="N9" s="39">
        <f>L5+6</f>
        <v>921</v>
      </c>
      <c r="O9" s="39" t="s">
        <v>606</v>
      </c>
      <c r="P9" s="52">
        <v>45</v>
      </c>
    </row>
    <row r="10" spans="3:16" x14ac:dyDescent="0.25">
      <c r="D10" s="30"/>
      <c r="E10" s="30"/>
      <c r="K10" s="45" t="s">
        <v>580</v>
      </c>
      <c r="L10" s="27" t="s">
        <v>528</v>
      </c>
      <c r="M10" s="21" t="s">
        <v>0</v>
      </c>
      <c r="N10" s="21">
        <f>L6+3</f>
        <v>2608</v>
      </c>
      <c r="O10" s="21" t="s">
        <v>581</v>
      </c>
      <c r="P10" s="46">
        <v>45</v>
      </c>
    </row>
    <row r="11" spans="3:16" x14ac:dyDescent="0.25">
      <c r="C11" s="21" t="s">
        <v>539</v>
      </c>
      <c r="D11" s="107" t="s">
        <v>540</v>
      </c>
      <c r="E11" s="107"/>
      <c r="F11" s="21" t="s">
        <v>538</v>
      </c>
      <c r="K11" s="45" t="s">
        <v>579</v>
      </c>
      <c r="L11" s="28" t="s">
        <v>637</v>
      </c>
      <c r="M11" s="21" t="s">
        <v>1</v>
      </c>
      <c r="N11" s="21">
        <f>L5-85</f>
        <v>830</v>
      </c>
      <c r="O11" s="21" t="s">
        <v>606</v>
      </c>
      <c r="P11" s="46">
        <v>90</v>
      </c>
    </row>
    <row r="12" spans="3:16" x14ac:dyDescent="0.25">
      <c r="C12" s="14" t="s">
        <v>470</v>
      </c>
      <c r="D12" s="106" t="s">
        <v>576</v>
      </c>
      <c r="E12" s="106"/>
      <c r="F12" s="21">
        <v>6</v>
      </c>
      <c r="K12" s="45" t="s">
        <v>580</v>
      </c>
      <c r="L12" s="28" t="s">
        <v>637</v>
      </c>
      <c r="M12" s="21" t="s">
        <v>1</v>
      </c>
      <c r="N12" s="21">
        <f>L6-85</f>
        <v>2520</v>
      </c>
      <c r="O12" s="21" t="s">
        <v>581</v>
      </c>
      <c r="P12" s="46">
        <v>90</v>
      </c>
    </row>
    <row r="13" spans="3:16" x14ac:dyDescent="0.25">
      <c r="C13" s="14" t="s">
        <v>485</v>
      </c>
      <c r="D13" s="106" t="s">
        <v>577</v>
      </c>
      <c r="E13" s="106"/>
      <c r="F13" s="21">
        <v>12</v>
      </c>
      <c r="K13" s="45" t="s">
        <v>579</v>
      </c>
      <c r="L13" s="29" t="s">
        <v>634</v>
      </c>
      <c r="M13" s="21" t="s">
        <v>641</v>
      </c>
      <c r="N13" s="21">
        <f>L5-48</f>
        <v>867</v>
      </c>
      <c r="O13" s="21" t="s">
        <v>581</v>
      </c>
      <c r="P13" s="46">
        <v>45</v>
      </c>
    </row>
    <row r="14" spans="3:16" x14ac:dyDescent="0.25">
      <c r="K14" s="45" t="s">
        <v>580</v>
      </c>
      <c r="L14" s="29" t="s">
        <v>634</v>
      </c>
      <c r="M14" s="21" t="s">
        <v>641</v>
      </c>
      <c r="N14" s="21">
        <f>L6-27</f>
        <v>2578</v>
      </c>
      <c r="O14" s="21" t="s">
        <v>581</v>
      </c>
      <c r="P14" s="46">
        <v>45</v>
      </c>
    </row>
    <row r="15" spans="3:16" x14ac:dyDescent="0.25">
      <c r="C15" s="104" t="s">
        <v>543</v>
      </c>
      <c r="D15" s="104"/>
      <c r="K15" s="45" t="s">
        <v>579</v>
      </c>
      <c r="L15" s="56" t="s">
        <v>642</v>
      </c>
      <c r="M15" s="21" t="s">
        <v>1</v>
      </c>
      <c r="N15" s="21">
        <f>L5-222</f>
        <v>693</v>
      </c>
      <c r="O15" s="21" t="s">
        <v>581</v>
      </c>
      <c r="P15" s="46">
        <v>90</v>
      </c>
    </row>
    <row r="16" spans="3:16" x14ac:dyDescent="0.25">
      <c r="C16" s="21" t="s">
        <v>9</v>
      </c>
      <c r="D16" s="21" t="s">
        <v>573</v>
      </c>
      <c r="K16" s="45" t="s">
        <v>580</v>
      </c>
      <c r="L16" s="56" t="s">
        <v>642</v>
      </c>
      <c r="M16" s="21" t="s">
        <v>1</v>
      </c>
      <c r="N16" s="21">
        <f>L6-195</f>
        <v>2410</v>
      </c>
      <c r="O16" s="21" t="s">
        <v>581</v>
      </c>
      <c r="P16" s="46">
        <v>90</v>
      </c>
    </row>
    <row r="17" spans="1:16" x14ac:dyDescent="0.25">
      <c r="A17" t="s">
        <v>623</v>
      </c>
      <c r="C17" s="21" t="s">
        <v>544</v>
      </c>
      <c r="D17" s="21" t="s">
        <v>574</v>
      </c>
      <c r="K17" s="45" t="s">
        <v>579</v>
      </c>
      <c r="L17" s="28" t="s">
        <v>529</v>
      </c>
      <c r="M17" s="21" t="s">
        <v>2</v>
      </c>
      <c r="N17" s="21">
        <f>L5-221</f>
        <v>694</v>
      </c>
      <c r="O17" s="21" t="s">
        <v>581</v>
      </c>
      <c r="P17" s="46">
        <v>45</v>
      </c>
    </row>
    <row r="18" spans="1:16" ht="15.75" thickBot="1" x14ac:dyDescent="0.3">
      <c r="K18" s="40" t="s">
        <v>580</v>
      </c>
      <c r="L18" s="47" t="s">
        <v>529</v>
      </c>
      <c r="M18" s="48" t="s">
        <v>2</v>
      </c>
      <c r="N18" s="48">
        <f>L6-194</f>
        <v>2411</v>
      </c>
      <c r="O18" s="48" t="s">
        <v>581</v>
      </c>
      <c r="P18" s="49">
        <v>45</v>
      </c>
    </row>
    <row r="19" spans="1:16" ht="15.75" thickBot="1" x14ac:dyDescent="0.3">
      <c r="C19" s="104" t="s">
        <v>554</v>
      </c>
      <c r="D19" s="104"/>
      <c r="F19" s="104" t="s">
        <v>567</v>
      </c>
      <c r="G19" s="104"/>
    </row>
    <row r="20" spans="1:16" ht="15.75" thickBot="1" x14ac:dyDescent="0.3">
      <c r="C20" s="14" t="s">
        <v>555</v>
      </c>
      <c r="D20" s="21" t="s">
        <v>558</v>
      </c>
      <c r="F20" s="14" t="s">
        <v>561</v>
      </c>
      <c r="G20" s="21" t="s">
        <v>564</v>
      </c>
      <c r="K20" s="125" t="s">
        <v>543</v>
      </c>
      <c r="L20" s="126"/>
    </row>
    <row r="21" spans="1:16" x14ac:dyDescent="0.25">
      <c r="C21" s="14" t="s">
        <v>556</v>
      </c>
      <c r="D21" s="21" t="s">
        <v>559</v>
      </c>
      <c r="F21" s="14" t="s">
        <v>562</v>
      </c>
      <c r="G21" s="21" t="s">
        <v>565</v>
      </c>
      <c r="K21" s="50" t="s">
        <v>9</v>
      </c>
      <c r="L21" s="62">
        <f>N13-214</f>
        <v>653</v>
      </c>
      <c r="M21" s="111">
        <v>1</v>
      </c>
    </row>
    <row r="22" spans="1:16" ht="15.75" thickBot="1" x14ac:dyDescent="0.3">
      <c r="C22" s="14" t="s">
        <v>557</v>
      </c>
      <c r="D22" s="21" t="s">
        <v>560</v>
      </c>
      <c r="F22" s="14" t="s">
        <v>563</v>
      </c>
      <c r="G22" s="21" t="s">
        <v>566</v>
      </c>
      <c r="K22" s="40" t="s">
        <v>544</v>
      </c>
      <c r="L22" s="63">
        <f>N14-214</f>
        <v>2364</v>
      </c>
      <c r="M22" s="112"/>
    </row>
    <row r="24" spans="1:16" x14ac:dyDescent="0.25">
      <c r="C24" s="105"/>
      <c r="D24" s="105"/>
    </row>
  </sheetData>
  <mergeCells count="15">
    <mergeCell ref="K20:L20"/>
    <mergeCell ref="M21:M22"/>
    <mergeCell ref="C24:D24"/>
    <mergeCell ref="D11:E11"/>
    <mergeCell ref="D12:E12"/>
    <mergeCell ref="D13:E13"/>
    <mergeCell ref="C15:D15"/>
    <mergeCell ref="C19:D19"/>
    <mergeCell ref="F19:G19"/>
    <mergeCell ref="M5:N6"/>
    <mergeCell ref="K2:L2"/>
    <mergeCell ref="D3:F3"/>
    <mergeCell ref="G3:I3"/>
    <mergeCell ref="K3:L3"/>
    <mergeCell ref="K4:L4"/>
  </mergeCells>
  <pageMargins left="0.7" right="0.7" top="0.75" bottom="0.75" header="0.3" footer="0.3"/>
  <pageSetup orientation="landscape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4"/>
  <sheetViews>
    <sheetView topLeftCell="J3" workbookViewId="0">
      <selection activeCell="O9" sqref="O9"/>
    </sheetView>
  </sheetViews>
  <sheetFormatPr baseColWidth="10" defaultColWidth="10.7109375" defaultRowHeight="15" x14ac:dyDescent="0.25"/>
  <cols>
    <col min="1" max="1" width="18.7109375" hidden="1" customWidth="1"/>
    <col min="2" max="2" width="0" hidden="1" customWidth="1"/>
    <col min="3" max="3" width="12.42578125" hidden="1" customWidth="1"/>
    <col min="4" max="4" width="22.7109375" hidden="1" customWidth="1"/>
    <col min="5" max="6" width="0" hidden="1" customWidth="1"/>
    <col min="7" max="7" width="12.85546875" hidden="1" customWidth="1"/>
    <col min="8" max="9" width="0" hidden="1" customWidth="1"/>
    <col min="12" max="12" width="14.28515625" customWidth="1"/>
    <col min="13" max="13" width="22.7109375" bestFit="1" customWidth="1"/>
  </cols>
  <sheetData>
    <row r="1" spans="1:16" ht="15.75" thickBot="1" x14ac:dyDescent="0.3">
      <c r="A1" t="s">
        <v>665</v>
      </c>
    </row>
    <row r="2" spans="1:16" ht="15.75" thickBot="1" x14ac:dyDescent="0.3">
      <c r="K2" s="121" t="s">
        <v>666</v>
      </c>
      <c r="L2" s="122"/>
    </row>
    <row r="3" spans="1:16" ht="15.75" thickBot="1" x14ac:dyDescent="0.3">
      <c r="D3" s="105"/>
      <c r="E3" s="105"/>
      <c r="F3" s="105"/>
      <c r="G3" s="105"/>
      <c r="H3" s="105"/>
      <c r="I3" s="105"/>
      <c r="K3" s="131" t="s">
        <v>640</v>
      </c>
      <c r="L3" s="132"/>
    </row>
    <row r="4" spans="1:16" ht="15.75" thickBot="1" x14ac:dyDescent="0.3">
      <c r="C4" s="21" t="s">
        <v>4</v>
      </c>
      <c r="D4" s="21" t="s">
        <v>3</v>
      </c>
      <c r="E4" s="21" t="s">
        <v>531</v>
      </c>
      <c r="F4" s="21" t="s">
        <v>5</v>
      </c>
      <c r="G4" s="21" t="s">
        <v>530</v>
      </c>
      <c r="H4" s="21" t="s">
        <v>5</v>
      </c>
      <c r="I4" s="21" t="s">
        <v>6</v>
      </c>
      <c r="K4" s="133" t="s">
        <v>633</v>
      </c>
      <c r="L4" s="134"/>
    </row>
    <row r="5" spans="1:16" ht="15.75" thickBot="1" x14ac:dyDescent="0.3">
      <c r="C5" s="27" t="s">
        <v>528</v>
      </c>
      <c r="D5" s="21" t="s">
        <v>0</v>
      </c>
      <c r="E5" s="21" t="s">
        <v>532</v>
      </c>
      <c r="F5" s="21">
        <v>2</v>
      </c>
      <c r="G5" s="21" t="s">
        <v>533</v>
      </c>
      <c r="H5" s="21">
        <v>2</v>
      </c>
      <c r="I5" s="21" t="s">
        <v>7</v>
      </c>
      <c r="K5" s="43" t="s">
        <v>579</v>
      </c>
      <c r="L5" s="44">
        <v>920</v>
      </c>
      <c r="M5" s="127" t="s">
        <v>632</v>
      </c>
      <c r="N5" s="128"/>
    </row>
    <row r="6" spans="1:16" ht="15.75" thickBot="1" x14ac:dyDescent="0.3">
      <c r="C6" s="28" t="s">
        <v>500</v>
      </c>
      <c r="D6" s="21" t="s">
        <v>1</v>
      </c>
      <c r="E6" s="21" t="s">
        <v>534</v>
      </c>
      <c r="F6" s="21">
        <v>2</v>
      </c>
      <c r="G6" s="21" t="s">
        <v>535</v>
      </c>
      <c r="H6" s="21">
        <v>2</v>
      </c>
      <c r="I6" s="21" t="s">
        <v>8</v>
      </c>
      <c r="K6" s="41" t="s">
        <v>580</v>
      </c>
      <c r="L6" s="42">
        <v>2095</v>
      </c>
      <c r="M6" s="129"/>
      <c r="N6" s="130"/>
    </row>
    <row r="7" spans="1:16" ht="15.75" thickBot="1" x14ac:dyDescent="0.3">
      <c r="C7" s="29" t="s">
        <v>541</v>
      </c>
      <c r="D7" s="21" t="s">
        <v>547</v>
      </c>
      <c r="E7" s="21" t="s">
        <v>548</v>
      </c>
      <c r="F7" s="21">
        <v>2</v>
      </c>
      <c r="G7" s="21" t="s">
        <v>549</v>
      </c>
      <c r="H7" s="21">
        <v>2</v>
      </c>
      <c r="I7" s="21" t="s">
        <v>7</v>
      </c>
    </row>
    <row r="8" spans="1:16" ht="15.75" thickBot="1" x14ac:dyDescent="0.3">
      <c r="C8" s="28" t="s">
        <v>542</v>
      </c>
      <c r="D8" s="21" t="s">
        <v>1</v>
      </c>
      <c r="E8" s="21" t="s">
        <v>551</v>
      </c>
      <c r="F8" s="21">
        <v>2</v>
      </c>
      <c r="G8" s="21" t="s">
        <v>550</v>
      </c>
      <c r="H8" s="21">
        <v>2</v>
      </c>
      <c r="I8" s="21" t="s">
        <v>8</v>
      </c>
      <c r="K8" s="55"/>
      <c r="L8" s="53" t="s">
        <v>582</v>
      </c>
      <c r="M8" s="53" t="s">
        <v>583</v>
      </c>
      <c r="N8" s="53" t="s">
        <v>584</v>
      </c>
      <c r="O8" s="53" t="s">
        <v>585</v>
      </c>
      <c r="P8" s="54" t="s">
        <v>586</v>
      </c>
    </row>
    <row r="9" spans="1:16" x14ac:dyDescent="0.25">
      <c r="C9" s="28" t="s">
        <v>529</v>
      </c>
      <c r="D9" s="21" t="s">
        <v>2</v>
      </c>
      <c r="E9" s="21" t="s">
        <v>552</v>
      </c>
      <c r="F9" s="21">
        <v>2</v>
      </c>
      <c r="G9" s="21" t="s">
        <v>553</v>
      </c>
      <c r="H9" s="21">
        <v>2</v>
      </c>
      <c r="I9" s="21" t="s">
        <v>7</v>
      </c>
      <c r="K9" s="50" t="s">
        <v>579</v>
      </c>
      <c r="L9" s="51" t="s">
        <v>528</v>
      </c>
      <c r="M9" s="39" t="s">
        <v>0</v>
      </c>
      <c r="N9" s="39">
        <f>L5+6</f>
        <v>926</v>
      </c>
      <c r="O9" s="39" t="s">
        <v>581</v>
      </c>
      <c r="P9" s="52">
        <v>45</v>
      </c>
    </row>
    <row r="10" spans="1:16" x14ac:dyDescent="0.25">
      <c r="D10" s="30"/>
      <c r="E10" s="30"/>
      <c r="K10" s="45" t="s">
        <v>580</v>
      </c>
      <c r="L10" s="27" t="s">
        <v>528</v>
      </c>
      <c r="M10" s="21" t="s">
        <v>0</v>
      </c>
      <c r="N10" s="21">
        <f>L6+6</f>
        <v>2101</v>
      </c>
      <c r="O10" s="21" t="s">
        <v>581</v>
      </c>
      <c r="P10" s="46">
        <v>45</v>
      </c>
    </row>
    <row r="11" spans="1:16" x14ac:dyDescent="0.25">
      <c r="C11" s="21" t="s">
        <v>539</v>
      </c>
      <c r="D11" s="107" t="s">
        <v>540</v>
      </c>
      <c r="E11" s="107"/>
      <c r="F11" s="21" t="s">
        <v>538</v>
      </c>
      <c r="K11" s="45" t="s">
        <v>579</v>
      </c>
      <c r="L11" s="28" t="s">
        <v>637</v>
      </c>
      <c r="M11" s="21" t="s">
        <v>1</v>
      </c>
      <c r="N11" s="21">
        <f>L5-85</f>
        <v>835</v>
      </c>
      <c r="O11" s="21" t="s">
        <v>606</v>
      </c>
      <c r="P11" s="46">
        <v>90</v>
      </c>
    </row>
    <row r="12" spans="1:16" x14ac:dyDescent="0.25">
      <c r="C12" s="14" t="s">
        <v>470</v>
      </c>
      <c r="D12" s="106" t="s">
        <v>576</v>
      </c>
      <c r="E12" s="106"/>
      <c r="F12" s="21">
        <v>6</v>
      </c>
      <c r="K12" s="45" t="s">
        <v>580</v>
      </c>
      <c r="L12" s="28" t="s">
        <v>637</v>
      </c>
      <c r="M12" s="21" t="s">
        <v>1</v>
      </c>
      <c r="N12" s="21">
        <f>L6-85</f>
        <v>2010</v>
      </c>
      <c r="O12" s="21" t="s">
        <v>581</v>
      </c>
      <c r="P12" s="46">
        <v>90</v>
      </c>
    </row>
    <row r="13" spans="1:16" x14ac:dyDescent="0.25">
      <c r="C13" s="14" t="s">
        <v>485</v>
      </c>
      <c r="D13" s="106" t="s">
        <v>577</v>
      </c>
      <c r="E13" s="106"/>
      <c r="F13" s="21">
        <v>12</v>
      </c>
      <c r="K13" s="45" t="s">
        <v>579</v>
      </c>
      <c r="L13" s="29" t="s">
        <v>634</v>
      </c>
      <c r="M13" s="21" t="s">
        <v>641</v>
      </c>
      <c r="N13" s="21">
        <f>L5-58</f>
        <v>862</v>
      </c>
      <c r="O13" s="21" t="s">
        <v>581</v>
      </c>
      <c r="P13" s="46">
        <v>45</v>
      </c>
    </row>
    <row r="14" spans="1:16" x14ac:dyDescent="0.25">
      <c r="K14" s="45" t="s">
        <v>580</v>
      </c>
      <c r="L14" s="29" t="s">
        <v>634</v>
      </c>
      <c r="M14" s="21" t="s">
        <v>641</v>
      </c>
      <c r="N14" s="21">
        <f>L6-58</f>
        <v>2037</v>
      </c>
      <c r="O14" s="21" t="s">
        <v>581</v>
      </c>
      <c r="P14" s="46">
        <v>45</v>
      </c>
    </row>
    <row r="15" spans="1:16" x14ac:dyDescent="0.25">
      <c r="C15" s="104" t="s">
        <v>543</v>
      </c>
      <c r="D15" s="104"/>
      <c r="K15" s="45" t="s">
        <v>579</v>
      </c>
      <c r="L15" s="56" t="s">
        <v>642</v>
      </c>
      <c r="M15" s="21" t="s">
        <v>1</v>
      </c>
      <c r="N15" s="21">
        <f>L5-222</f>
        <v>698</v>
      </c>
      <c r="O15" s="21" t="s">
        <v>581</v>
      </c>
      <c r="P15" s="46">
        <v>90</v>
      </c>
    </row>
    <row r="16" spans="1:16" x14ac:dyDescent="0.25">
      <c r="C16" s="21" t="s">
        <v>9</v>
      </c>
      <c r="D16" s="21" t="s">
        <v>573</v>
      </c>
      <c r="K16" s="45" t="s">
        <v>580</v>
      </c>
      <c r="L16" s="56" t="s">
        <v>642</v>
      </c>
      <c r="M16" s="21" t="s">
        <v>1</v>
      </c>
      <c r="N16" s="21">
        <f>L6-195</f>
        <v>1900</v>
      </c>
      <c r="O16" s="21" t="s">
        <v>581</v>
      </c>
      <c r="P16" s="46">
        <v>90</v>
      </c>
    </row>
    <row r="17" spans="1:16" x14ac:dyDescent="0.25">
      <c r="A17" t="s">
        <v>623</v>
      </c>
      <c r="C17" s="21" t="s">
        <v>544</v>
      </c>
      <c r="D17" s="21" t="s">
        <v>574</v>
      </c>
      <c r="K17" s="45" t="s">
        <v>579</v>
      </c>
      <c r="L17" s="28" t="s">
        <v>529</v>
      </c>
      <c r="M17" s="21" t="s">
        <v>2</v>
      </c>
      <c r="N17" s="21">
        <f>L5-221</f>
        <v>699</v>
      </c>
      <c r="O17" s="21" t="s">
        <v>581</v>
      </c>
      <c r="P17" s="46">
        <v>45</v>
      </c>
    </row>
    <row r="18" spans="1:16" ht="15.75" thickBot="1" x14ac:dyDescent="0.3">
      <c r="K18" s="40" t="s">
        <v>580</v>
      </c>
      <c r="L18" s="47" t="s">
        <v>529</v>
      </c>
      <c r="M18" s="48" t="s">
        <v>2</v>
      </c>
      <c r="N18" s="48">
        <f>L6-194</f>
        <v>1901</v>
      </c>
      <c r="O18" s="48" t="s">
        <v>581</v>
      </c>
      <c r="P18" s="49">
        <v>45</v>
      </c>
    </row>
    <row r="19" spans="1:16" ht="15.75" thickBot="1" x14ac:dyDescent="0.3">
      <c r="C19" s="104" t="s">
        <v>554</v>
      </c>
      <c r="D19" s="104"/>
      <c r="F19" s="104" t="s">
        <v>567</v>
      </c>
      <c r="G19" s="104"/>
    </row>
    <row r="20" spans="1:16" ht="15.75" thickBot="1" x14ac:dyDescent="0.3">
      <c r="C20" s="14" t="s">
        <v>555</v>
      </c>
      <c r="D20" s="21" t="s">
        <v>558</v>
      </c>
      <c r="F20" s="14" t="s">
        <v>561</v>
      </c>
      <c r="G20" s="21" t="s">
        <v>564</v>
      </c>
      <c r="K20" s="125" t="s">
        <v>543</v>
      </c>
      <c r="L20" s="126"/>
    </row>
    <row r="21" spans="1:16" x14ac:dyDescent="0.25">
      <c r="C21" s="14" t="s">
        <v>556</v>
      </c>
      <c r="D21" s="21" t="s">
        <v>559</v>
      </c>
      <c r="F21" s="14" t="s">
        <v>562</v>
      </c>
      <c r="G21" s="21" t="s">
        <v>565</v>
      </c>
      <c r="K21" s="50" t="s">
        <v>9</v>
      </c>
      <c r="L21" s="62">
        <f>N13-214</f>
        <v>648</v>
      </c>
      <c r="M21" s="111">
        <v>1</v>
      </c>
    </row>
    <row r="22" spans="1:16" ht="15.75" thickBot="1" x14ac:dyDescent="0.3">
      <c r="C22" s="14" t="s">
        <v>557</v>
      </c>
      <c r="D22" s="21" t="s">
        <v>560</v>
      </c>
      <c r="F22" s="14" t="s">
        <v>563</v>
      </c>
      <c r="G22" s="21" t="s">
        <v>566</v>
      </c>
      <c r="K22" s="40" t="s">
        <v>544</v>
      </c>
      <c r="L22" s="63">
        <f>N14-214</f>
        <v>1823</v>
      </c>
      <c r="M22" s="112"/>
    </row>
    <row r="24" spans="1:16" x14ac:dyDescent="0.25">
      <c r="C24" s="105"/>
      <c r="D24" s="105"/>
    </row>
  </sheetData>
  <mergeCells count="15">
    <mergeCell ref="K20:L20"/>
    <mergeCell ref="M21:M22"/>
    <mergeCell ref="C24:D24"/>
    <mergeCell ref="D11:E11"/>
    <mergeCell ref="D12:E12"/>
    <mergeCell ref="D13:E13"/>
    <mergeCell ref="C15:D15"/>
    <mergeCell ref="C19:D19"/>
    <mergeCell ref="F19:G19"/>
    <mergeCell ref="M5:N6"/>
    <mergeCell ref="K2:L2"/>
    <mergeCell ref="D3:F3"/>
    <mergeCell ref="G3:I3"/>
    <mergeCell ref="K3:L3"/>
    <mergeCell ref="K4:L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5"/>
  <dimension ref="A1:P24"/>
  <sheetViews>
    <sheetView topLeftCell="J1" workbookViewId="0">
      <selection activeCell="T8" sqref="T8"/>
    </sheetView>
  </sheetViews>
  <sheetFormatPr baseColWidth="10" defaultColWidth="10.7109375" defaultRowHeight="15" x14ac:dyDescent="0.25"/>
  <cols>
    <col min="1" max="1" width="18.7109375" hidden="1" customWidth="1"/>
    <col min="2" max="2" width="0" hidden="1" customWidth="1"/>
    <col min="3" max="3" width="12.42578125" hidden="1" customWidth="1"/>
    <col min="4" max="4" width="22.7109375" hidden="1" customWidth="1"/>
    <col min="5" max="6" width="0" hidden="1" customWidth="1"/>
    <col min="7" max="7" width="12.85546875" hidden="1" customWidth="1"/>
    <col min="8" max="9" width="0" hidden="1" customWidth="1"/>
    <col min="12" max="12" width="22.85546875" customWidth="1"/>
    <col min="13" max="13" width="22.7109375" bestFit="1" customWidth="1"/>
  </cols>
  <sheetData>
    <row r="1" spans="3:16" ht="15.75" thickBot="1" x14ac:dyDescent="0.3">
      <c r="K1" s="121" t="s">
        <v>636</v>
      </c>
      <c r="L1" s="122"/>
    </row>
    <row r="2" spans="3:16" ht="15.75" thickBot="1" x14ac:dyDescent="0.3">
      <c r="D2" s="105"/>
      <c r="E2" s="105"/>
      <c r="F2" s="105"/>
      <c r="G2" s="105"/>
      <c r="H2" s="105"/>
      <c r="I2" s="105"/>
      <c r="K2" s="131" t="s">
        <v>643</v>
      </c>
      <c r="L2" s="132"/>
    </row>
    <row r="3" spans="3:16" ht="15.75" thickBot="1" x14ac:dyDescent="0.3">
      <c r="C3" s="21" t="s">
        <v>4</v>
      </c>
      <c r="D3" s="21" t="s">
        <v>3</v>
      </c>
      <c r="E3" s="21" t="s">
        <v>531</v>
      </c>
      <c r="F3" s="21" t="s">
        <v>5</v>
      </c>
      <c r="G3" s="21" t="s">
        <v>530</v>
      </c>
      <c r="H3" s="21" t="s">
        <v>5</v>
      </c>
      <c r="I3" s="21" t="s">
        <v>6</v>
      </c>
      <c r="K3" s="133" t="s">
        <v>633</v>
      </c>
      <c r="L3" s="134"/>
    </row>
    <row r="4" spans="3:16" ht="15.75" thickBot="1" x14ac:dyDescent="0.3">
      <c r="C4" s="27" t="s">
        <v>528</v>
      </c>
      <c r="D4" s="21" t="s">
        <v>0</v>
      </c>
      <c r="E4" s="21" t="s">
        <v>532</v>
      </c>
      <c r="F4" s="21">
        <v>2</v>
      </c>
      <c r="G4" s="21" t="s">
        <v>533</v>
      </c>
      <c r="H4" s="21">
        <v>2</v>
      </c>
      <c r="I4" s="21" t="s">
        <v>7</v>
      </c>
      <c r="K4" s="43" t="s">
        <v>579</v>
      </c>
      <c r="L4" s="44">
        <v>1000</v>
      </c>
      <c r="M4" s="127" t="s">
        <v>632</v>
      </c>
      <c r="N4" s="128"/>
    </row>
    <row r="5" spans="3:16" ht="15.75" thickBot="1" x14ac:dyDescent="0.3">
      <c r="C5" s="28" t="s">
        <v>500</v>
      </c>
      <c r="D5" s="21" t="s">
        <v>1</v>
      </c>
      <c r="E5" s="21" t="s">
        <v>534</v>
      </c>
      <c r="F5" s="21">
        <v>2</v>
      </c>
      <c r="G5" s="21" t="s">
        <v>535</v>
      </c>
      <c r="H5" s="21">
        <v>2</v>
      </c>
      <c r="I5" s="21" t="s">
        <v>8</v>
      </c>
      <c r="K5" s="41" t="s">
        <v>580</v>
      </c>
      <c r="L5" s="42">
        <v>2000</v>
      </c>
      <c r="M5" s="129"/>
      <c r="N5" s="130"/>
    </row>
    <row r="6" spans="3:16" ht="15.75" thickBot="1" x14ac:dyDescent="0.3">
      <c r="C6" s="29" t="s">
        <v>541</v>
      </c>
      <c r="D6" s="21" t="s">
        <v>547</v>
      </c>
      <c r="E6" s="21" t="s">
        <v>548</v>
      </c>
      <c r="F6" s="21">
        <v>2</v>
      </c>
      <c r="G6" s="21" t="s">
        <v>549</v>
      </c>
      <c r="H6" s="21">
        <v>2</v>
      </c>
      <c r="I6" s="21" t="s">
        <v>7</v>
      </c>
    </row>
    <row r="7" spans="3:16" ht="15.75" thickBot="1" x14ac:dyDescent="0.3">
      <c r="C7" s="28" t="s">
        <v>542</v>
      </c>
      <c r="D7" s="21" t="s">
        <v>1</v>
      </c>
      <c r="E7" s="21" t="s">
        <v>551</v>
      </c>
      <c r="F7" s="21">
        <v>2</v>
      </c>
      <c r="G7" s="21" t="s">
        <v>550</v>
      </c>
      <c r="H7" s="21">
        <v>2</v>
      </c>
      <c r="I7" s="21" t="s">
        <v>8</v>
      </c>
      <c r="K7" s="55"/>
      <c r="L7" s="53" t="s">
        <v>582</v>
      </c>
      <c r="M7" s="53" t="s">
        <v>583</v>
      </c>
      <c r="N7" s="53" t="s">
        <v>584</v>
      </c>
      <c r="O7" s="53" t="s">
        <v>585</v>
      </c>
      <c r="P7" s="54" t="s">
        <v>586</v>
      </c>
    </row>
    <row r="8" spans="3:16" x14ac:dyDescent="0.25">
      <c r="C8" s="28" t="s">
        <v>529</v>
      </c>
      <c r="D8" s="21" t="s">
        <v>2</v>
      </c>
      <c r="E8" s="21" t="s">
        <v>552</v>
      </c>
      <c r="F8" s="21">
        <v>2</v>
      </c>
      <c r="G8" s="21" t="s">
        <v>553</v>
      </c>
      <c r="H8" s="21">
        <v>2</v>
      </c>
      <c r="I8" s="21" t="s">
        <v>7</v>
      </c>
      <c r="K8" s="50" t="s">
        <v>579</v>
      </c>
      <c r="L8" s="51" t="s">
        <v>528</v>
      </c>
      <c r="M8" s="39" t="s">
        <v>0</v>
      </c>
      <c r="N8" s="39">
        <f>L4+6</f>
        <v>1006</v>
      </c>
      <c r="O8" s="39" t="s">
        <v>606</v>
      </c>
      <c r="P8" s="52">
        <v>45</v>
      </c>
    </row>
    <row r="9" spans="3:16" x14ac:dyDescent="0.25">
      <c r="D9" s="30"/>
      <c r="E9" s="30"/>
      <c r="K9" s="45" t="s">
        <v>580</v>
      </c>
      <c r="L9" s="27" t="s">
        <v>528</v>
      </c>
      <c r="M9" s="21" t="s">
        <v>0</v>
      </c>
      <c r="N9" s="21">
        <f>L5+3</f>
        <v>2003</v>
      </c>
      <c r="O9" s="21" t="s">
        <v>581</v>
      </c>
      <c r="P9" s="88" t="s">
        <v>702</v>
      </c>
    </row>
    <row r="10" spans="3:16" x14ac:dyDescent="0.25">
      <c r="C10" s="21" t="s">
        <v>539</v>
      </c>
      <c r="D10" s="107" t="s">
        <v>540</v>
      </c>
      <c r="E10" s="107"/>
      <c r="F10" s="21" t="s">
        <v>538</v>
      </c>
      <c r="K10" s="45" t="s">
        <v>579</v>
      </c>
      <c r="L10" s="28" t="s">
        <v>637</v>
      </c>
      <c r="M10" s="21" t="s">
        <v>1</v>
      </c>
      <c r="N10" s="21">
        <f>L4-85</f>
        <v>915</v>
      </c>
      <c r="O10" s="21" t="s">
        <v>581</v>
      </c>
      <c r="P10" s="46">
        <v>90</v>
      </c>
    </row>
    <row r="11" spans="3:16" x14ac:dyDescent="0.25">
      <c r="C11" s="14" t="s">
        <v>470</v>
      </c>
      <c r="D11" s="106" t="s">
        <v>576</v>
      </c>
      <c r="E11" s="106"/>
      <c r="F11" s="21">
        <v>6</v>
      </c>
      <c r="K11" s="45" t="s">
        <v>580</v>
      </c>
      <c r="L11" s="28" t="s">
        <v>637</v>
      </c>
      <c r="M11" s="21" t="s">
        <v>1</v>
      </c>
      <c r="N11" s="21">
        <f>L5-85</f>
        <v>1915</v>
      </c>
      <c r="O11" s="21" t="s">
        <v>581</v>
      </c>
      <c r="P11" s="46">
        <v>90</v>
      </c>
    </row>
    <row r="12" spans="3:16" x14ac:dyDescent="0.25">
      <c r="C12" s="14" t="s">
        <v>485</v>
      </c>
      <c r="D12" s="106" t="s">
        <v>577</v>
      </c>
      <c r="E12" s="106"/>
      <c r="F12" s="21">
        <v>12</v>
      </c>
      <c r="K12" s="45" t="s">
        <v>579</v>
      </c>
      <c r="L12" s="29" t="s">
        <v>638</v>
      </c>
      <c r="M12" s="21" t="s">
        <v>635</v>
      </c>
      <c r="N12" s="21">
        <f>(L4-69)/2+6</f>
        <v>471.5</v>
      </c>
      <c r="O12" s="21" t="s">
        <v>599</v>
      </c>
      <c r="P12" s="46">
        <v>45</v>
      </c>
    </row>
    <row r="13" spans="3:16" x14ac:dyDescent="0.25">
      <c r="K13" s="45" t="s">
        <v>580</v>
      </c>
      <c r="L13" s="29" t="s">
        <v>638</v>
      </c>
      <c r="M13" s="21" t="s">
        <v>635</v>
      </c>
      <c r="N13" s="21">
        <f>L5-32</f>
        <v>1968</v>
      </c>
      <c r="O13" s="21" t="s">
        <v>599</v>
      </c>
      <c r="P13" s="46">
        <v>45</v>
      </c>
    </row>
    <row r="14" spans="3:16" x14ac:dyDescent="0.25">
      <c r="C14" s="104" t="s">
        <v>543</v>
      </c>
      <c r="D14" s="104"/>
      <c r="K14" s="45" t="s">
        <v>579</v>
      </c>
      <c r="L14" s="21" t="s">
        <v>639</v>
      </c>
      <c r="M14" s="21" t="s">
        <v>1</v>
      </c>
      <c r="N14" s="21">
        <f>N12-160</f>
        <v>311.5</v>
      </c>
      <c r="O14" s="21" t="s">
        <v>599</v>
      </c>
      <c r="P14" s="46">
        <v>90</v>
      </c>
    </row>
    <row r="15" spans="3:16" x14ac:dyDescent="0.25">
      <c r="C15" s="21" t="s">
        <v>9</v>
      </c>
      <c r="D15" s="21" t="s">
        <v>573</v>
      </c>
      <c r="K15" s="45" t="s">
        <v>580</v>
      </c>
      <c r="L15" s="21" t="s">
        <v>639</v>
      </c>
      <c r="M15" s="21" t="s">
        <v>1</v>
      </c>
      <c r="N15" s="21">
        <f>L5-195</f>
        <v>1805</v>
      </c>
      <c r="O15" s="21" t="s">
        <v>599</v>
      </c>
      <c r="P15" s="46">
        <v>90</v>
      </c>
    </row>
    <row r="16" spans="3:16" x14ac:dyDescent="0.25">
      <c r="C16" s="21"/>
      <c r="D16" s="21"/>
      <c r="K16" s="45" t="s">
        <v>580</v>
      </c>
      <c r="L16" s="21" t="s">
        <v>644</v>
      </c>
      <c r="M16" s="21" t="s">
        <v>645</v>
      </c>
      <c r="N16" s="21">
        <f>N13-43</f>
        <v>1925</v>
      </c>
      <c r="O16" s="21" t="s">
        <v>606</v>
      </c>
      <c r="P16" s="46">
        <v>90</v>
      </c>
    </row>
    <row r="17" spans="1:16" x14ac:dyDescent="0.25">
      <c r="A17" t="s">
        <v>623</v>
      </c>
      <c r="C17" s="21" t="s">
        <v>544</v>
      </c>
      <c r="D17" s="21" t="s">
        <v>574</v>
      </c>
      <c r="K17" s="45" t="s">
        <v>579</v>
      </c>
      <c r="L17" s="28" t="s">
        <v>529</v>
      </c>
      <c r="M17" s="21" t="s">
        <v>2</v>
      </c>
      <c r="N17" s="21"/>
      <c r="O17" s="21" t="s">
        <v>599</v>
      </c>
      <c r="P17" s="46">
        <v>45</v>
      </c>
    </row>
    <row r="18" spans="1:16" ht="15.75" thickBot="1" x14ac:dyDescent="0.3">
      <c r="K18" s="40" t="s">
        <v>580</v>
      </c>
      <c r="L18" s="47" t="s">
        <v>529</v>
      </c>
      <c r="M18" s="48" t="s">
        <v>2</v>
      </c>
      <c r="N18" s="48"/>
      <c r="O18" s="48" t="s">
        <v>599</v>
      </c>
      <c r="P18" s="49">
        <v>45</v>
      </c>
    </row>
    <row r="19" spans="1:16" ht="15.75" thickBot="1" x14ac:dyDescent="0.3">
      <c r="C19" s="104" t="s">
        <v>554</v>
      </c>
      <c r="D19" s="104"/>
      <c r="F19" s="104" t="s">
        <v>567</v>
      </c>
      <c r="G19" s="104"/>
    </row>
    <row r="20" spans="1:16" ht="15.75" thickBot="1" x14ac:dyDescent="0.3">
      <c r="C20" s="14" t="s">
        <v>555</v>
      </c>
      <c r="D20" s="21" t="s">
        <v>558</v>
      </c>
      <c r="F20" s="14" t="s">
        <v>561</v>
      </c>
      <c r="G20" s="21" t="s">
        <v>564</v>
      </c>
      <c r="K20" s="125" t="s">
        <v>543</v>
      </c>
      <c r="L20" s="126"/>
    </row>
    <row r="21" spans="1:16" x14ac:dyDescent="0.25">
      <c r="C21" s="14" t="s">
        <v>556</v>
      </c>
      <c r="D21" s="21" t="s">
        <v>559</v>
      </c>
      <c r="F21" s="14" t="s">
        <v>562</v>
      </c>
      <c r="G21" s="21" t="s">
        <v>565</v>
      </c>
      <c r="K21" s="57" t="s">
        <v>9</v>
      </c>
      <c r="L21" s="58">
        <f>N12-173</f>
        <v>298.5</v>
      </c>
      <c r="M21" s="137" t="s">
        <v>581</v>
      </c>
    </row>
    <row r="22" spans="1:16" ht="15.75" thickBot="1" x14ac:dyDescent="0.3">
      <c r="C22" s="14" t="s">
        <v>557</v>
      </c>
      <c r="D22" s="21" t="s">
        <v>560</v>
      </c>
      <c r="F22" s="14" t="s">
        <v>563</v>
      </c>
      <c r="G22" s="21" t="s">
        <v>566</v>
      </c>
      <c r="K22" s="59" t="s">
        <v>544</v>
      </c>
      <c r="L22" s="59">
        <f>N13-173</f>
        <v>1795</v>
      </c>
      <c r="M22" s="138"/>
    </row>
    <row r="24" spans="1:16" x14ac:dyDescent="0.25">
      <c r="C24" s="105"/>
      <c r="D24" s="105"/>
    </row>
  </sheetData>
  <mergeCells count="15">
    <mergeCell ref="M4:N5"/>
    <mergeCell ref="K1:L1"/>
    <mergeCell ref="D2:F2"/>
    <mergeCell ref="G2:I2"/>
    <mergeCell ref="K2:L2"/>
    <mergeCell ref="K3:L3"/>
    <mergeCell ref="K20:L20"/>
    <mergeCell ref="C24:D24"/>
    <mergeCell ref="M21:M22"/>
    <mergeCell ref="D10:E10"/>
    <mergeCell ref="D11:E11"/>
    <mergeCell ref="D12:E12"/>
    <mergeCell ref="C14:D14"/>
    <mergeCell ref="C19:D19"/>
    <mergeCell ref="F19:G1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25"/>
  <sheetViews>
    <sheetView topLeftCell="J1" workbookViewId="0">
      <selection activeCell="T14" sqref="T14"/>
    </sheetView>
  </sheetViews>
  <sheetFormatPr baseColWidth="10" defaultColWidth="10.7109375" defaultRowHeight="15" x14ac:dyDescent="0.25"/>
  <cols>
    <col min="1" max="1" width="18.7109375" hidden="1" customWidth="1"/>
    <col min="2" max="2" width="0" hidden="1" customWidth="1"/>
    <col min="3" max="3" width="12.42578125" hidden="1" customWidth="1"/>
    <col min="4" max="4" width="22.7109375" hidden="1" customWidth="1"/>
    <col min="5" max="6" width="0" hidden="1" customWidth="1"/>
    <col min="7" max="7" width="12.85546875" hidden="1" customWidth="1"/>
    <col min="8" max="9" width="0" hidden="1" customWidth="1"/>
    <col min="12" max="12" width="22.85546875" customWidth="1"/>
    <col min="13" max="13" width="22.7109375" bestFit="1" customWidth="1"/>
  </cols>
  <sheetData>
    <row r="1" spans="1:16" ht="15.75" thickBot="1" x14ac:dyDescent="0.3">
      <c r="A1" t="s">
        <v>646</v>
      </c>
    </row>
    <row r="2" spans="1:16" ht="15.75" thickBot="1" x14ac:dyDescent="0.3">
      <c r="K2" s="121" t="s">
        <v>653</v>
      </c>
      <c r="L2" s="122"/>
    </row>
    <row r="3" spans="1:16" ht="15.75" thickBot="1" x14ac:dyDescent="0.3">
      <c r="D3" s="105"/>
      <c r="E3" s="105"/>
      <c r="F3" s="105"/>
      <c r="G3" s="105"/>
      <c r="H3" s="105"/>
      <c r="I3" s="105"/>
      <c r="K3" s="131" t="s">
        <v>643</v>
      </c>
      <c r="L3" s="132"/>
    </row>
    <row r="4" spans="1:16" ht="15.75" thickBot="1" x14ac:dyDescent="0.3">
      <c r="C4" s="21" t="s">
        <v>4</v>
      </c>
      <c r="D4" s="21" t="s">
        <v>3</v>
      </c>
      <c r="E4" s="21" t="s">
        <v>531</v>
      </c>
      <c r="F4" s="21" t="s">
        <v>5</v>
      </c>
      <c r="G4" s="21" t="s">
        <v>530</v>
      </c>
      <c r="H4" s="21" t="s">
        <v>5</v>
      </c>
      <c r="I4" s="21" t="s">
        <v>6</v>
      </c>
      <c r="K4" s="133" t="s">
        <v>633</v>
      </c>
      <c r="L4" s="134"/>
    </row>
    <row r="5" spans="1:16" ht="15.75" thickBot="1" x14ac:dyDescent="0.3">
      <c r="C5" s="27" t="s">
        <v>528</v>
      </c>
      <c r="D5" s="21" t="s">
        <v>0</v>
      </c>
      <c r="E5" s="21" t="s">
        <v>532</v>
      </c>
      <c r="F5" s="21">
        <v>2</v>
      </c>
      <c r="G5" s="21" t="s">
        <v>533</v>
      </c>
      <c r="H5" s="21">
        <v>2</v>
      </c>
      <c r="I5" s="21" t="s">
        <v>7</v>
      </c>
      <c r="K5" s="43" t="s">
        <v>579</v>
      </c>
      <c r="L5" s="44">
        <v>1500</v>
      </c>
      <c r="M5" s="127" t="s">
        <v>632</v>
      </c>
      <c r="N5" s="128"/>
    </row>
    <row r="6" spans="1:16" ht="15.75" thickBot="1" x14ac:dyDescent="0.3">
      <c r="C6" s="28" t="s">
        <v>500</v>
      </c>
      <c r="D6" s="21" t="s">
        <v>1</v>
      </c>
      <c r="E6" s="21" t="s">
        <v>534</v>
      </c>
      <c r="F6" s="21">
        <v>2</v>
      </c>
      <c r="G6" s="21" t="s">
        <v>535</v>
      </c>
      <c r="H6" s="21">
        <v>2</v>
      </c>
      <c r="I6" s="21" t="s">
        <v>8</v>
      </c>
      <c r="K6" s="41" t="s">
        <v>580</v>
      </c>
      <c r="L6" s="42">
        <v>2065</v>
      </c>
      <c r="M6" s="129"/>
      <c r="N6" s="130"/>
    </row>
    <row r="7" spans="1:16" ht="15.75" thickBot="1" x14ac:dyDescent="0.3">
      <c r="C7" s="29" t="s">
        <v>541</v>
      </c>
      <c r="D7" s="21" t="s">
        <v>547</v>
      </c>
      <c r="E7" s="21" t="s">
        <v>548</v>
      </c>
      <c r="F7" s="21">
        <v>2</v>
      </c>
      <c r="G7" s="21" t="s">
        <v>549</v>
      </c>
      <c r="H7" s="21">
        <v>2</v>
      </c>
      <c r="I7" s="21" t="s">
        <v>7</v>
      </c>
    </row>
    <row r="8" spans="1:16" ht="15.75" thickBot="1" x14ac:dyDescent="0.3">
      <c r="C8" s="28" t="s">
        <v>542</v>
      </c>
      <c r="D8" s="21" t="s">
        <v>1</v>
      </c>
      <c r="E8" s="21" t="s">
        <v>551</v>
      </c>
      <c r="F8" s="21">
        <v>2</v>
      </c>
      <c r="G8" s="21" t="s">
        <v>550</v>
      </c>
      <c r="H8" s="21">
        <v>2</v>
      </c>
      <c r="I8" s="21" t="s">
        <v>8</v>
      </c>
      <c r="K8" s="55"/>
      <c r="L8" s="53" t="s">
        <v>582</v>
      </c>
      <c r="M8" s="53" t="s">
        <v>583</v>
      </c>
      <c r="N8" s="53" t="s">
        <v>584</v>
      </c>
      <c r="O8" s="53" t="s">
        <v>585</v>
      </c>
      <c r="P8" s="54" t="s">
        <v>586</v>
      </c>
    </row>
    <row r="9" spans="1:16" x14ac:dyDescent="0.25">
      <c r="C9" s="28" t="s">
        <v>529</v>
      </c>
      <c r="D9" s="21" t="s">
        <v>2</v>
      </c>
      <c r="E9" s="21" t="s">
        <v>552</v>
      </c>
      <c r="F9" s="21">
        <v>2</v>
      </c>
      <c r="G9" s="21" t="s">
        <v>553</v>
      </c>
      <c r="H9" s="21">
        <v>2</v>
      </c>
      <c r="I9" s="21" t="s">
        <v>7</v>
      </c>
      <c r="K9" s="50" t="s">
        <v>579</v>
      </c>
      <c r="L9" s="51" t="s">
        <v>528</v>
      </c>
      <c r="M9" s="39" t="s">
        <v>0</v>
      </c>
      <c r="N9" s="39">
        <f>L5+6</f>
        <v>1506</v>
      </c>
      <c r="O9" s="39" t="s">
        <v>581</v>
      </c>
      <c r="P9" s="52">
        <v>45</v>
      </c>
    </row>
    <row r="10" spans="1:16" x14ac:dyDescent="0.25">
      <c r="D10" s="30"/>
      <c r="E10" s="30"/>
      <c r="K10" s="45" t="s">
        <v>580</v>
      </c>
      <c r="L10" s="27" t="s">
        <v>528</v>
      </c>
      <c r="M10" s="21" t="s">
        <v>0</v>
      </c>
      <c r="N10" s="21">
        <f>L6+6</f>
        <v>2071</v>
      </c>
      <c r="O10" s="21" t="s">
        <v>581</v>
      </c>
      <c r="P10" s="46">
        <v>45</v>
      </c>
    </row>
    <row r="11" spans="1:16" x14ac:dyDescent="0.25">
      <c r="C11" s="21" t="s">
        <v>539</v>
      </c>
      <c r="D11" s="107" t="s">
        <v>540</v>
      </c>
      <c r="E11" s="107"/>
      <c r="F11" s="21" t="s">
        <v>538</v>
      </c>
      <c r="K11" s="45" t="s">
        <v>579</v>
      </c>
      <c r="L11" s="28" t="s">
        <v>637</v>
      </c>
      <c r="M11" s="21" t="s">
        <v>1</v>
      </c>
      <c r="N11" s="21">
        <f>L5-85</f>
        <v>1415</v>
      </c>
      <c r="O11" s="21" t="s">
        <v>581</v>
      </c>
      <c r="P11" s="46">
        <v>90</v>
      </c>
    </row>
    <row r="12" spans="1:16" x14ac:dyDescent="0.25">
      <c r="C12" s="14" t="s">
        <v>470</v>
      </c>
      <c r="D12" s="106" t="s">
        <v>576</v>
      </c>
      <c r="E12" s="106"/>
      <c r="F12" s="21">
        <v>6</v>
      </c>
      <c r="K12" s="45" t="s">
        <v>580</v>
      </c>
      <c r="L12" s="28" t="s">
        <v>637</v>
      </c>
      <c r="M12" s="21" t="s">
        <v>1</v>
      </c>
      <c r="N12" s="21">
        <f>L6-85</f>
        <v>1980</v>
      </c>
      <c r="O12" s="21" t="s">
        <v>581</v>
      </c>
      <c r="P12" s="46">
        <v>90</v>
      </c>
    </row>
    <row r="13" spans="1:16" x14ac:dyDescent="0.25">
      <c r="C13" s="14" t="s">
        <v>485</v>
      </c>
      <c r="D13" s="106" t="s">
        <v>577</v>
      </c>
      <c r="E13" s="106"/>
      <c r="F13" s="21">
        <v>12</v>
      </c>
      <c r="K13" s="45" t="s">
        <v>579</v>
      </c>
      <c r="L13" s="29" t="s">
        <v>638</v>
      </c>
      <c r="M13" s="21" t="s">
        <v>635</v>
      </c>
      <c r="N13" s="21">
        <f>(L5-69)/2+6</f>
        <v>721.5</v>
      </c>
      <c r="O13" s="21" t="s">
        <v>599</v>
      </c>
      <c r="P13" s="46">
        <v>45</v>
      </c>
    </row>
    <row r="14" spans="1:16" x14ac:dyDescent="0.25">
      <c r="K14" s="45" t="s">
        <v>580</v>
      </c>
      <c r="L14" s="29" t="s">
        <v>638</v>
      </c>
      <c r="M14" s="21" t="s">
        <v>635</v>
      </c>
      <c r="N14" s="21">
        <f>L6-58</f>
        <v>2007</v>
      </c>
      <c r="O14" s="21" t="s">
        <v>599</v>
      </c>
      <c r="P14" s="46">
        <v>45</v>
      </c>
    </row>
    <row r="15" spans="1:16" x14ac:dyDescent="0.25">
      <c r="C15" s="104" t="s">
        <v>543</v>
      </c>
      <c r="D15" s="104"/>
      <c r="K15" s="45" t="s">
        <v>579</v>
      </c>
      <c r="L15" s="21" t="s">
        <v>639</v>
      </c>
      <c r="M15" s="21" t="s">
        <v>1</v>
      </c>
      <c r="N15" s="21">
        <f>N13-160</f>
        <v>561.5</v>
      </c>
      <c r="O15" s="21" t="s">
        <v>599</v>
      </c>
      <c r="P15" s="46">
        <v>90</v>
      </c>
    </row>
    <row r="16" spans="1:16" x14ac:dyDescent="0.25">
      <c r="C16" s="21" t="s">
        <v>9</v>
      </c>
      <c r="D16" s="21" t="s">
        <v>573</v>
      </c>
      <c r="K16" s="45" t="s">
        <v>580</v>
      </c>
      <c r="L16" s="21" t="s">
        <v>639</v>
      </c>
      <c r="M16" s="21" t="s">
        <v>1</v>
      </c>
      <c r="N16" s="21">
        <f>L6-195</f>
        <v>1870</v>
      </c>
      <c r="O16" s="21" t="s">
        <v>599</v>
      </c>
      <c r="P16" s="46">
        <v>90</v>
      </c>
    </row>
    <row r="17" spans="1:16" x14ac:dyDescent="0.25">
      <c r="C17" s="21"/>
      <c r="D17" s="21"/>
      <c r="K17" s="45" t="s">
        <v>580</v>
      </c>
      <c r="L17" s="21" t="s">
        <v>644</v>
      </c>
      <c r="M17" s="21" t="s">
        <v>645</v>
      </c>
      <c r="N17" s="21">
        <f>N14-76</f>
        <v>1931</v>
      </c>
      <c r="O17" s="21" t="s">
        <v>606</v>
      </c>
      <c r="P17" s="46">
        <v>90</v>
      </c>
    </row>
    <row r="18" spans="1:16" x14ac:dyDescent="0.25">
      <c r="A18" t="s">
        <v>623</v>
      </c>
      <c r="C18" s="21" t="s">
        <v>544</v>
      </c>
      <c r="D18" s="21" t="s">
        <v>574</v>
      </c>
      <c r="K18" s="45" t="s">
        <v>579</v>
      </c>
      <c r="L18" s="28" t="s">
        <v>529</v>
      </c>
      <c r="M18" s="21" t="s">
        <v>2</v>
      </c>
      <c r="N18" s="21">
        <f>L5-221</f>
        <v>1279</v>
      </c>
      <c r="O18" s="21" t="s">
        <v>599</v>
      </c>
      <c r="P18" s="46">
        <v>45</v>
      </c>
    </row>
    <row r="19" spans="1:16" ht="15.75" thickBot="1" x14ac:dyDescent="0.3">
      <c r="K19" s="40" t="s">
        <v>580</v>
      </c>
      <c r="L19" s="47" t="s">
        <v>529</v>
      </c>
      <c r="M19" s="48" t="s">
        <v>2</v>
      </c>
      <c r="N19" s="48">
        <f>L6-194</f>
        <v>1871</v>
      </c>
      <c r="O19" s="48" t="s">
        <v>599</v>
      </c>
      <c r="P19" s="49">
        <v>45</v>
      </c>
    </row>
    <row r="20" spans="1:16" ht="15.75" thickBot="1" x14ac:dyDescent="0.3">
      <c r="C20" s="104" t="s">
        <v>554</v>
      </c>
      <c r="D20" s="104"/>
      <c r="F20" s="104" t="s">
        <v>567</v>
      </c>
      <c r="G20" s="104"/>
    </row>
    <row r="21" spans="1:16" ht="15.75" thickBot="1" x14ac:dyDescent="0.3">
      <c r="C21" s="14" t="s">
        <v>555</v>
      </c>
      <c r="D21" s="21" t="s">
        <v>558</v>
      </c>
      <c r="F21" s="14" t="s">
        <v>561</v>
      </c>
      <c r="G21" s="21" t="s">
        <v>564</v>
      </c>
      <c r="K21" s="125" t="s">
        <v>543</v>
      </c>
      <c r="L21" s="126"/>
    </row>
    <row r="22" spans="1:16" x14ac:dyDescent="0.25">
      <c r="C22" s="14" t="s">
        <v>556</v>
      </c>
      <c r="D22" s="21" t="s">
        <v>559</v>
      </c>
      <c r="F22" s="14" t="s">
        <v>562</v>
      </c>
      <c r="G22" s="21" t="s">
        <v>565</v>
      </c>
      <c r="K22" s="57" t="s">
        <v>9</v>
      </c>
      <c r="L22" s="58">
        <f>N13-173</f>
        <v>548.5</v>
      </c>
      <c r="M22" s="137" t="s">
        <v>581</v>
      </c>
    </row>
    <row r="23" spans="1:16" ht="15.75" thickBot="1" x14ac:dyDescent="0.3">
      <c r="C23" s="14" t="s">
        <v>557</v>
      </c>
      <c r="D23" s="21" t="s">
        <v>560</v>
      </c>
      <c r="F23" s="14" t="s">
        <v>563</v>
      </c>
      <c r="G23" s="21" t="s">
        <v>566</v>
      </c>
      <c r="K23" s="59" t="s">
        <v>544</v>
      </c>
      <c r="L23" s="59">
        <f>N14-173</f>
        <v>1834</v>
      </c>
      <c r="M23" s="138"/>
    </row>
    <row r="25" spans="1:16" x14ac:dyDescent="0.25">
      <c r="C25" s="105"/>
      <c r="D25" s="105"/>
    </row>
  </sheetData>
  <mergeCells count="15">
    <mergeCell ref="K21:L21"/>
    <mergeCell ref="M22:M23"/>
    <mergeCell ref="C25:D25"/>
    <mergeCell ref="D11:E11"/>
    <mergeCell ref="D12:E12"/>
    <mergeCell ref="D13:E13"/>
    <mergeCell ref="C15:D15"/>
    <mergeCell ref="C20:D20"/>
    <mergeCell ref="F20:G20"/>
    <mergeCell ref="M5:N6"/>
    <mergeCell ref="K2:L2"/>
    <mergeCell ref="D3:F3"/>
    <mergeCell ref="G3:I3"/>
    <mergeCell ref="K3:L3"/>
    <mergeCell ref="K4:L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6"/>
  <dimension ref="A1:U25"/>
  <sheetViews>
    <sheetView topLeftCell="J1" workbookViewId="0">
      <selection activeCell="W16" sqref="W16"/>
    </sheetView>
  </sheetViews>
  <sheetFormatPr baseColWidth="10" defaultColWidth="10.7109375" defaultRowHeight="15" x14ac:dyDescent="0.25"/>
  <cols>
    <col min="1" max="1" width="18.7109375" hidden="1" customWidth="1"/>
    <col min="2" max="2" width="0" hidden="1" customWidth="1"/>
    <col min="3" max="3" width="12.42578125" hidden="1" customWidth="1"/>
    <col min="4" max="4" width="22.7109375" hidden="1" customWidth="1"/>
    <col min="5" max="6" width="0" hidden="1" customWidth="1"/>
    <col min="7" max="7" width="12.85546875" hidden="1" customWidth="1"/>
    <col min="8" max="9" width="0" hidden="1" customWidth="1"/>
    <col min="12" max="12" width="28.5703125" customWidth="1"/>
    <col min="13" max="13" width="22.7109375" bestFit="1" customWidth="1"/>
  </cols>
  <sheetData>
    <row r="1" spans="1:21" ht="15.75" thickBot="1" x14ac:dyDescent="0.3">
      <c r="A1" t="s">
        <v>646</v>
      </c>
    </row>
    <row r="2" spans="1:21" ht="15.75" thickBot="1" x14ac:dyDescent="0.3">
      <c r="K2" s="121" t="s">
        <v>636</v>
      </c>
      <c r="L2" s="122"/>
    </row>
    <row r="3" spans="1:21" ht="15.75" thickBot="1" x14ac:dyDescent="0.3">
      <c r="D3" s="105"/>
      <c r="E3" s="105"/>
      <c r="F3" s="105"/>
      <c r="G3" s="105"/>
      <c r="H3" s="105"/>
      <c r="I3" s="105"/>
      <c r="K3" s="131" t="s">
        <v>655</v>
      </c>
      <c r="L3" s="132"/>
    </row>
    <row r="4" spans="1:21" ht="15.75" thickBot="1" x14ac:dyDescent="0.3">
      <c r="C4" s="21" t="s">
        <v>4</v>
      </c>
      <c r="D4" s="21" t="s">
        <v>3</v>
      </c>
      <c r="E4" s="21" t="s">
        <v>531</v>
      </c>
      <c r="F4" s="21" t="s">
        <v>5</v>
      </c>
      <c r="G4" s="21" t="s">
        <v>530</v>
      </c>
      <c r="H4" s="21" t="s">
        <v>5</v>
      </c>
      <c r="I4" s="21" t="s">
        <v>6</v>
      </c>
      <c r="K4" s="133" t="s">
        <v>633</v>
      </c>
      <c r="L4" s="134"/>
      <c r="R4" s="65"/>
      <c r="S4" s="66"/>
      <c r="T4" s="66"/>
      <c r="U4" s="67"/>
    </row>
    <row r="5" spans="1:21" ht="15.75" thickBot="1" x14ac:dyDescent="0.3">
      <c r="C5" s="27" t="s">
        <v>528</v>
      </c>
      <c r="D5" s="21" t="s">
        <v>0</v>
      </c>
      <c r="E5" s="21" t="s">
        <v>532</v>
      </c>
      <c r="F5" s="21">
        <v>2</v>
      </c>
      <c r="G5" s="21" t="s">
        <v>533</v>
      </c>
      <c r="H5" s="21">
        <v>2</v>
      </c>
      <c r="I5" s="21" t="s">
        <v>7</v>
      </c>
      <c r="K5" s="43" t="s">
        <v>579</v>
      </c>
      <c r="L5" s="44">
        <v>2380</v>
      </c>
      <c r="M5" s="127" t="s">
        <v>632</v>
      </c>
      <c r="N5" s="128"/>
      <c r="R5" s="68"/>
      <c r="U5" s="69"/>
    </row>
    <row r="6" spans="1:21" ht="15.75" thickBot="1" x14ac:dyDescent="0.3">
      <c r="C6" s="28" t="s">
        <v>500</v>
      </c>
      <c r="D6" s="21" t="s">
        <v>1</v>
      </c>
      <c r="E6" s="21" t="s">
        <v>534</v>
      </c>
      <c r="F6" s="21">
        <v>2</v>
      </c>
      <c r="G6" s="21" t="s">
        <v>535</v>
      </c>
      <c r="H6" s="21">
        <v>2</v>
      </c>
      <c r="I6" s="21" t="s">
        <v>8</v>
      </c>
      <c r="K6" s="41" t="s">
        <v>580</v>
      </c>
      <c r="L6" s="42">
        <v>2005</v>
      </c>
      <c r="M6" s="129"/>
      <c r="N6" s="130"/>
      <c r="R6" s="68"/>
      <c r="U6" s="69"/>
    </row>
    <row r="7" spans="1:21" ht="15.75" thickBot="1" x14ac:dyDescent="0.3">
      <c r="C7" s="29" t="s">
        <v>541</v>
      </c>
      <c r="D7" s="21" t="s">
        <v>547</v>
      </c>
      <c r="E7" s="21" t="s">
        <v>548</v>
      </c>
      <c r="F7" s="21">
        <v>2</v>
      </c>
      <c r="G7" s="21" t="s">
        <v>549</v>
      </c>
      <c r="H7" s="21">
        <v>2</v>
      </c>
      <c r="I7" s="21" t="s">
        <v>7</v>
      </c>
      <c r="R7" s="68"/>
      <c r="U7" s="69"/>
    </row>
    <row r="8" spans="1:21" ht="15.75" thickBot="1" x14ac:dyDescent="0.3">
      <c r="C8" s="28" t="s">
        <v>542</v>
      </c>
      <c r="D8" s="21" t="s">
        <v>1</v>
      </c>
      <c r="E8" s="21" t="s">
        <v>551</v>
      </c>
      <c r="F8" s="21">
        <v>2</v>
      </c>
      <c r="G8" s="21" t="s">
        <v>550</v>
      </c>
      <c r="H8" s="21">
        <v>2</v>
      </c>
      <c r="I8" s="21" t="s">
        <v>8</v>
      </c>
      <c r="K8" s="55"/>
      <c r="L8" s="53" t="s">
        <v>582</v>
      </c>
      <c r="M8" s="53" t="s">
        <v>583</v>
      </c>
      <c r="N8" s="53" t="s">
        <v>584</v>
      </c>
      <c r="O8" s="53" t="s">
        <v>585</v>
      </c>
      <c r="P8" s="54" t="s">
        <v>586</v>
      </c>
      <c r="R8" s="68"/>
      <c r="U8" s="69"/>
    </row>
    <row r="9" spans="1:21" x14ac:dyDescent="0.25">
      <c r="C9" s="28" t="s">
        <v>529</v>
      </c>
      <c r="D9" s="21" t="s">
        <v>2</v>
      </c>
      <c r="E9" s="21" t="s">
        <v>552</v>
      </c>
      <c r="F9" s="21">
        <v>2</v>
      </c>
      <c r="G9" s="21" t="s">
        <v>553</v>
      </c>
      <c r="H9" s="21">
        <v>2</v>
      </c>
      <c r="I9" s="21" t="s">
        <v>7</v>
      </c>
      <c r="K9" s="50" t="s">
        <v>579</v>
      </c>
      <c r="L9" s="51" t="s">
        <v>528</v>
      </c>
      <c r="M9" s="39" t="s">
        <v>0</v>
      </c>
      <c r="N9" s="39">
        <f>L5+6</f>
        <v>2386</v>
      </c>
      <c r="O9" s="39" t="s">
        <v>606</v>
      </c>
      <c r="P9" s="52">
        <v>45</v>
      </c>
      <c r="R9" s="68"/>
      <c r="U9" s="69"/>
    </row>
    <row r="10" spans="1:21" x14ac:dyDescent="0.25">
      <c r="D10" s="30"/>
      <c r="E10" s="30"/>
      <c r="K10" s="45" t="s">
        <v>580</v>
      </c>
      <c r="L10" s="27" t="s">
        <v>528</v>
      </c>
      <c r="M10" s="21" t="s">
        <v>0</v>
      </c>
      <c r="N10" s="21">
        <f>L6+6</f>
        <v>2011</v>
      </c>
      <c r="O10" s="21" t="s">
        <v>581</v>
      </c>
      <c r="P10" s="46">
        <v>45</v>
      </c>
      <c r="R10" s="68"/>
      <c r="U10" s="69"/>
    </row>
    <row r="11" spans="1:21" x14ac:dyDescent="0.25">
      <c r="C11" s="21" t="s">
        <v>539</v>
      </c>
      <c r="D11" s="107" t="s">
        <v>540</v>
      </c>
      <c r="E11" s="107"/>
      <c r="F11" s="21" t="s">
        <v>538</v>
      </c>
      <c r="K11" s="45" t="s">
        <v>579</v>
      </c>
      <c r="L11" s="28" t="s">
        <v>637</v>
      </c>
      <c r="M11" s="21" t="s">
        <v>1</v>
      </c>
      <c r="N11" s="21">
        <f>L5-85</f>
        <v>2295</v>
      </c>
      <c r="O11" s="21" t="s">
        <v>581</v>
      </c>
      <c r="P11" s="46">
        <v>90</v>
      </c>
      <c r="R11" s="68"/>
      <c r="U11" s="69"/>
    </row>
    <row r="12" spans="1:21" x14ac:dyDescent="0.25">
      <c r="C12" s="14" t="s">
        <v>470</v>
      </c>
      <c r="D12" s="106" t="s">
        <v>576</v>
      </c>
      <c r="E12" s="106"/>
      <c r="F12" s="21">
        <v>6</v>
      </c>
      <c r="K12" s="45" t="s">
        <v>580</v>
      </c>
      <c r="L12" s="28" t="s">
        <v>637</v>
      </c>
      <c r="M12" s="21" t="s">
        <v>1</v>
      </c>
      <c r="N12" s="21">
        <f>L6-85</f>
        <v>1920</v>
      </c>
      <c r="O12" s="21" t="s">
        <v>581</v>
      </c>
      <c r="P12" s="46">
        <v>90</v>
      </c>
      <c r="R12" s="68"/>
      <c r="U12" s="69"/>
    </row>
    <row r="13" spans="1:21" x14ac:dyDescent="0.25">
      <c r="C13" s="14" t="s">
        <v>485</v>
      </c>
      <c r="D13" s="106" t="s">
        <v>577</v>
      </c>
      <c r="E13" s="106"/>
      <c r="F13" s="21">
        <v>12</v>
      </c>
      <c r="K13" s="45" t="s">
        <v>579</v>
      </c>
      <c r="L13" s="29" t="s">
        <v>638</v>
      </c>
      <c r="M13" s="21" t="s">
        <v>635</v>
      </c>
      <c r="N13" s="21">
        <f>(L5-69)/2+6</f>
        <v>1161.5</v>
      </c>
      <c r="O13" s="21" t="s">
        <v>599</v>
      </c>
      <c r="P13" s="46">
        <v>45</v>
      </c>
      <c r="R13" s="68"/>
      <c r="U13" s="69"/>
    </row>
    <row r="14" spans="1:21" x14ac:dyDescent="0.25">
      <c r="K14" s="45" t="s">
        <v>580</v>
      </c>
      <c r="L14" s="29" t="s">
        <v>638</v>
      </c>
      <c r="M14" s="21" t="s">
        <v>635</v>
      </c>
      <c r="N14" s="21">
        <f>L6-32</f>
        <v>1973</v>
      </c>
      <c r="O14" s="21" t="s">
        <v>599</v>
      </c>
      <c r="P14" s="46">
        <v>45</v>
      </c>
      <c r="R14" s="68"/>
      <c r="U14" s="69"/>
    </row>
    <row r="15" spans="1:21" x14ac:dyDescent="0.25">
      <c r="C15" s="104" t="s">
        <v>543</v>
      </c>
      <c r="D15" s="104"/>
      <c r="K15" s="45" t="s">
        <v>579</v>
      </c>
      <c r="L15" s="21" t="s">
        <v>639</v>
      </c>
      <c r="M15" s="21" t="s">
        <v>1</v>
      </c>
      <c r="N15" s="21">
        <f>N13-160</f>
        <v>1001.5</v>
      </c>
      <c r="O15" s="21" t="s">
        <v>599</v>
      </c>
      <c r="P15" s="46">
        <v>90</v>
      </c>
      <c r="R15" s="68"/>
      <c r="U15" s="69"/>
    </row>
    <row r="16" spans="1:21" x14ac:dyDescent="0.25">
      <c r="C16" s="21" t="s">
        <v>9</v>
      </c>
      <c r="D16" s="21" t="s">
        <v>573</v>
      </c>
      <c r="K16" s="45" t="s">
        <v>580</v>
      </c>
      <c r="L16" s="21" t="s">
        <v>639</v>
      </c>
      <c r="M16" s="21" t="s">
        <v>1</v>
      </c>
      <c r="N16" s="21">
        <f>L6-195</f>
        <v>1810</v>
      </c>
      <c r="O16" s="21" t="s">
        <v>599</v>
      </c>
      <c r="P16" s="46">
        <v>90</v>
      </c>
      <c r="R16" s="68"/>
      <c r="U16" s="69"/>
    </row>
    <row r="17" spans="1:21" x14ac:dyDescent="0.25">
      <c r="C17" s="21"/>
      <c r="D17" s="21"/>
      <c r="K17" s="45" t="s">
        <v>580</v>
      </c>
      <c r="L17" s="21" t="s">
        <v>644</v>
      </c>
      <c r="M17" s="21" t="s">
        <v>645</v>
      </c>
      <c r="N17" s="21">
        <f>N14-76</f>
        <v>1897</v>
      </c>
      <c r="O17" s="21" t="s">
        <v>606</v>
      </c>
      <c r="P17" s="46">
        <v>90</v>
      </c>
      <c r="R17" s="68"/>
      <c r="U17" s="69"/>
    </row>
    <row r="18" spans="1:21" x14ac:dyDescent="0.25">
      <c r="A18" t="s">
        <v>623</v>
      </c>
      <c r="C18" s="21" t="s">
        <v>544</v>
      </c>
      <c r="D18" s="21" t="s">
        <v>574</v>
      </c>
      <c r="K18" s="45" t="s">
        <v>579</v>
      </c>
      <c r="L18" s="28" t="s">
        <v>529</v>
      </c>
      <c r="M18" s="21" t="s">
        <v>2</v>
      </c>
      <c r="N18" s="21">
        <f>L5-221</f>
        <v>2159</v>
      </c>
      <c r="O18" s="21" t="s">
        <v>599</v>
      </c>
      <c r="P18" s="46">
        <v>45</v>
      </c>
      <c r="R18" s="68"/>
      <c r="U18" s="69"/>
    </row>
    <row r="19" spans="1:21" ht="15.75" thickBot="1" x14ac:dyDescent="0.3">
      <c r="K19" s="40" t="s">
        <v>580</v>
      </c>
      <c r="L19" s="47" t="s">
        <v>529</v>
      </c>
      <c r="M19" s="48" t="s">
        <v>2</v>
      </c>
      <c r="N19" s="48">
        <f>L6-194</f>
        <v>1811</v>
      </c>
      <c r="O19" s="48" t="s">
        <v>599</v>
      </c>
      <c r="P19" s="49">
        <v>45</v>
      </c>
      <c r="R19" s="70"/>
      <c r="S19" s="71"/>
      <c r="T19" s="71"/>
      <c r="U19" s="72"/>
    </row>
    <row r="20" spans="1:21" ht="15.75" thickBot="1" x14ac:dyDescent="0.3">
      <c r="C20" s="104" t="s">
        <v>554</v>
      </c>
      <c r="D20" s="104"/>
      <c r="F20" s="104" t="s">
        <v>567</v>
      </c>
      <c r="G20" s="104"/>
    </row>
    <row r="21" spans="1:21" ht="15.75" thickBot="1" x14ac:dyDescent="0.3">
      <c r="C21" s="14" t="s">
        <v>555</v>
      </c>
      <c r="D21" s="21" t="s">
        <v>558</v>
      </c>
      <c r="F21" s="14" t="s">
        <v>561</v>
      </c>
      <c r="G21" s="21" t="s">
        <v>564</v>
      </c>
      <c r="K21" s="125" t="s">
        <v>543</v>
      </c>
      <c r="L21" s="126"/>
    </row>
    <row r="22" spans="1:21" x14ac:dyDescent="0.25">
      <c r="C22" s="14" t="s">
        <v>556</v>
      </c>
      <c r="D22" s="21" t="s">
        <v>559</v>
      </c>
      <c r="F22" s="14" t="s">
        <v>562</v>
      </c>
      <c r="G22" s="21" t="s">
        <v>565</v>
      </c>
      <c r="K22" s="57" t="s">
        <v>9</v>
      </c>
      <c r="L22" s="58">
        <f>N13-173</f>
        <v>988.5</v>
      </c>
      <c r="M22" s="137" t="s">
        <v>581</v>
      </c>
      <c r="R22" s="73"/>
    </row>
    <row r="23" spans="1:21" ht="15.75" thickBot="1" x14ac:dyDescent="0.3">
      <c r="C23" s="14" t="s">
        <v>557</v>
      </c>
      <c r="D23" s="21" t="s">
        <v>560</v>
      </c>
      <c r="F23" s="14" t="s">
        <v>563</v>
      </c>
      <c r="G23" s="21" t="s">
        <v>566</v>
      </c>
      <c r="K23" s="59" t="s">
        <v>544</v>
      </c>
      <c r="L23" s="59">
        <f>N14-173</f>
        <v>1800</v>
      </c>
      <c r="M23" s="138"/>
    </row>
    <row r="25" spans="1:21" x14ac:dyDescent="0.25">
      <c r="C25" s="105"/>
      <c r="D25" s="105"/>
    </row>
  </sheetData>
  <mergeCells count="15">
    <mergeCell ref="K21:L21"/>
    <mergeCell ref="M22:M23"/>
    <mergeCell ref="C25:D25"/>
    <mergeCell ref="D11:E11"/>
    <mergeCell ref="D12:E12"/>
    <mergeCell ref="D13:E13"/>
    <mergeCell ref="C15:D15"/>
    <mergeCell ref="C20:D20"/>
    <mergeCell ref="F20:G20"/>
    <mergeCell ref="M5:N6"/>
    <mergeCell ref="K2:L2"/>
    <mergeCell ref="D3:F3"/>
    <mergeCell ref="G3:I3"/>
    <mergeCell ref="K3:L3"/>
    <mergeCell ref="K4:L4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7"/>
  <dimension ref="A1:P25"/>
  <sheetViews>
    <sheetView topLeftCell="J1" workbookViewId="0">
      <selection activeCell="S18" sqref="S18"/>
    </sheetView>
  </sheetViews>
  <sheetFormatPr baseColWidth="10" defaultColWidth="10.7109375" defaultRowHeight="15" x14ac:dyDescent="0.25"/>
  <cols>
    <col min="1" max="1" width="18.7109375" hidden="1" customWidth="1"/>
    <col min="2" max="2" width="0" hidden="1" customWidth="1"/>
    <col min="3" max="3" width="12.42578125" hidden="1" customWidth="1"/>
    <col min="4" max="4" width="22.7109375" hidden="1" customWidth="1"/>
    <col min="5" max="6" width="0" hidden="1" customWidth="1"/>
    <col min="7" max="7" width="12.85546875" hidden="1" customWidth="1"/>
    <col min="8" max="9" width="0" hidden="1" customWidth="1"/>
    <col min="12" max="12" width="22.85546875" customWidth="1"/>
    <col min="13" max="13" width="22.7109375" bestFit="1" customWidth="1"/>
  </cols>
  <sheetData>
    <row r="1" spans="3:16" ht="15.75" thickBot="1" x14ac:dyDescent="0.3"/>
    <row r="2" spans="3:16" ht="15.75" thickBot="1" x14ac:dyDescent="0.3">
      <c r="K2" s="121" t="s">
        <v>636</v>
      </c>
      <c r="L2" s="122"/>
    </row>
    <row r="3" spans="3:16" ht="15.75" thickBot="1" x14ac:dyDescent="0.3">
      <c r="D3" s="105"/>
      <c r="E3" s="105"/>
      <c r="F3" s="105"/>
      <c r="G3" s="105"/>
      <c r="H3" s="105"/>
      <c r="I3" s="105"/>
      <c r="K3" s="131" t="s">
        <v>647</v>
      </c>
      <c r="L3" s="132"/>
    </row>
    <row r="4" spans="3:16" ht="15.75" thickBot="1" x14ac:dyDescent="0.3">
      <c r="C4" s="21" t="s">
        <v>4</v>
      </c>
      <c r="D4" s="21" t="s">
        <v>3</v>
      </c>
      <c r="E4" s="21" t="s">
        <v>531</v>
      </c>
      <c r="F4" s="21" t="s">
        <v>5</v>
      </c>
      <c r="G4" s="21" t="s">
        <v>530</v>
      </c>
      <c r="H4" s="21" t="s">
        <v>5</v>
      </c>
      <c r="I4" s="21" t="s">
        <v>6</v>
      </c>
      <c r="K4" s="133" t="s">
        <v>633</v>
      </c>
      <c r="L4" s="134"/>
    </row>
    <row r="5" spans="3:16" ht="15.75" thickBot="1" x14ac:dyDescent="0.3">
      <c r="C5" s="27" t="s">
        <v>528</v>
      </c>
      <c r="D5" s="21" t="s">
        <v>0</v>
      </c>
      <c r="E5" s="21" t="s">
        <v>532</v>
      </c>
      <c r="F5" s="21">
        <v>2</v>
      </c>
      <c r="G5" s="21" t="s">
        <v>533</v>
      </c>
      <c r="H5" s="21">
        <v>2</v>
      </c>
      <c r="I5" s="21" t="s">
        <v>7</v>
      </c>
      <c r="K5" s="43" t="s">
        <v>579</v>
      </c>
      <c r="L5" s="44">
        <v>1000</v>
      </c>
      <c r="M5" s="127" t="s">
        <v>632</v>
      </c>
      <c r="N5" s="128"/>
    </row>
    <row r="6" spans="3:16" ht="15.75" thickBot="1" x14ac:dyDescent="0.3">
      <c r="C6" s="28" t="s">
        <v>500</v>
      </c>
      <c r="D6" s="21" t="s">
        <v>1</v>
      </c>
      <c r="E6" s="21" t="s">
        <v>534</v>
      </c>
      <c r="F6" s="21">
        <v>2</v>
      </c>
      <c r="G6" s="21" t="s">
        <v>535</v>
      </c>
      <c r="H6" s="21">
        <v>2</v>
      </c>
      <c r="I6" s="21" t="s">
        <v>8</v>
      </c>
      <c r="K6" s="41" t="s">
        <v>580</v>
      </c>
      <c r="L6" s="42">
        <v>2000</v>
      </c>
      <c r="M6" s="129"/>
      <c r="N6" s="130"/>
    </row>
    <row r="7" spans="3:16" ht="15.75" thickBot="1" x14ac:dyDescent="0.3">
      <c r="C7" s="29" t="s">
        <v>541</v>
      </c>
      <c r="D7" s="21" t="s">
        <v>547</v>
      </c>
      <c r="E7" s="21" t="s">
        <v>548</v>
      </c>
      <c r="F7" s="21">
        <v>2</v>
      </c>
      <c r="G7" s="21" t="s">
        <v>549</v>
      </c>
      <c r="H7" s="21">
        <v>2</v>
      </c>
      <c r="I7" s="21" t="s">
        <v>7</v>
      </c>
    </row>
    <row r="8" spans="3:16" ht="15.75" thickBot="1" x14ac:dyDescent="0.3">
      <c r="C8" s="28" t="s">
        <v>542</v>
      </c>
      <c r="D8" s="21" t="s">
        <v>1</v>
      </c>
      <c r="E8" s="21" t="s">
        <v>551</v>
      </c>
      <c r="F8" s="21">
        <v>2</v>
      </c>
      <c r="G8" s="21" t="s">
        <v>550</v>
      </c>
      <c r="H8" s="21">
        <v>2</v>
      </c>
      <c r="I8" s="21" t="s">
        <v>8</v>
      </c>
      <c r="K8" s="55"/>
      <c r="L8" s="53" t="s">
        <v>582</v>
      </c>
      <c r="M8" s="53" t="s">
        <v>583</v>
      </c>
      <c r="N8" s="53" t="s">
        <v>584</v>
      </c>
      <c r="O8" s="53" t="s">
        <v>585</v>
      </c>
      <c r="P8" s="54" t="s">
        <v>586</v>
      </c>
    </row>
    <row r="9" spans="3:16" x14ac:dyDescent="0.25">
      <c r="C9" s="28" t="s">
        <v>529</v>
      </c>
      <c r="D9" s="21" t="s">
        <v>2</v>
      </c>
      <c r="E9" s="21" t="s">
        <v>552</v>
      </c>
      <c r="F9" s="21">
        <v>2</v>
      </c>
      <c r="G9" s="21" t="s">
        <v>553</v>
      </c>
      <c r="H9" s="21">
        <v>2</v>
      </c>
      <c r="I9" s="21" t="s">
        <v>7</v>
      </c>
      <c r="K9" s="50" t="s">
        <v>579</v>
      </c>
      <c r="L9" s="51" t="s">
        <v>528</v>
      </c>
      <c r="M9" s="39" t="s">
        <v>0</v>
      </c>
      <c r="N9" s="39">
        <f>L5+6</f>
        <v>1006</v>
      </c>
      <c r="O9" s="39" t="s">
        <v>606</v>
      </c>
      <c r="P9" s="52">
        <v>45</v>
      </c>
    </row>
    <row r="10" spans="3:16" x14ac:dyDescent="0.25">
      <c r="D10" s="30"/>
      <c r="E10" s="30"/>
      <c r="K10" s="45" t="s">
        <v>580</v>
      </c>
      <c r="L10" s="27" t="s">
        <v>528</v>
      </c>
      <c r="M10" s="21" t="s">
        <v>0</v>
      </c>
      <c r="N10" s="21">
        <f>L6+6</f>
        <v>2006</v>
      </c>
      <c r="O10" s="21" t="s">
        <v>581</v>
      </c>
      <c r="P10" s="46">
        <v>45</v>
      </c>
    </row>
    <row r="11" spans="3:16" x14ac:dyDescent="0.25">
      <c r="C11" s="21" t="s">
        <v>539</v>
      </c>
      <c r="D11" s="107" t="s">
        <v>540</v>
      </c>
      <c r="E11" s="107"/>
      <c r="F11" s="21" t="s">
        <v>538</v>
      </c>
      <c r="K11" s="45" t="s">
        <v>579</v>
      </c>
      <c r="L11" s="28" t="s">
        <v>637</v>
      </c>
      <c r="M11" s="21" t="s">
        <v>1</v>
      </c>
      <c r="N11" s="21">
        <f>L5-85</f>
        <v>915</v>
      </c>
      <c r="O11" s="21" t="s">
        <v>581</v>
      </c>
      <c r="P11" s="46">
        <v>90</v>
      </c>
    </row>
    <row r="12" spans="3:16" x14ac:dyDescent="0.25">
      <c r="C12" s="14" t="s">
        <v>470</v>
      </c>
      <c r="D12" s="106" t="s">
        <v>576</v>
      </c>
      <c r="E12" s="106"/>
      <c r="F12" s="21">
        <v>6</v>
      </c>
      <c r="K12" s="45" t="s">
        <v>580</v>
      </c>
      <c r="L12" s="28" t="s">
        <v>637</v>
      </c>
      <c r="M12" s="21" t="s">
        <v>1</v>
      </c>
      <c r="N12" s="21">
        <f>L6-85</f>
        <v>1915</v>
      </c>
      <c r="O12" s="21" t="s">
        <v>581</v>
      </c>
      <c r="P12" s="46">
        <v>90</v>
      </c>
    </row>
    <row r="13" spans="3:16" x14ac:dyDescent="0.25">
      <c r="C13" s="14" t="s">
        <v>485</v>
      </c>
      <c r="D13" s="106" t="s">
        <v>577</v>
      </c>
      <c r="E13" s="106"/>
      <c r="F13" s="21">
        <v>12</v>
      </c>
      <c r="K13" s="45" t="s">
        <v>579</v>
      </c>
      <c r="L13" s="29" t="s">
        <v>634</v>
      </c>
      <c r="M13" s="21" t="s">
        <v>649</v>
      </c>
      <c r="N13" s="21">
        <f>(L5-69)/2+6</f>
        <v>471.5</v>
      </c>
      <c r="O13" s="21" t="s">
        <v>599</v>
      </c>
      <c r="P13" s="46">
        <v>45</v>
      </c>
    </row>
    <row r="14" spans="3:16" x14ac:dyDescent="0.25">
      <c r="K14" s="45" t="s">
        <v>580</v>
      </c>
      <c r="L14" s="29" t="s">
        <v>634</v>
      </c>
      <c r="M14" s="21" t="s">
        <v>649</v>
      </c>
      <c r="N14" s="21">
        <f>L6-32</f>
        <v>1968</v>
      </c>
      <c r="O14" s="21" t="s">
        <v>599</v>
      </c>
      <c r="P14" s="46">
        <v>45</v>
      </c>
    </row>
    <row r="15" spans="3:16" x14ac:dyDescent="0.25">
      <c r="C15" s="104" t="s">
        <v>543</v>
      </c>
      <c r="D15" s="104"/>
      <c r="K15" s="45" t="s">
        <v>579</v>
      </c>
      <c r="L15" s="56" t="s">
        <v>642</v>
      </c>
      <c r="M15" s="21" t="s">
        <v>1</v>
      </c>
      <c r="N15" s="21">
        <f>N13-160</f>
        <v>311.5</v>
      </c>
      <c r="O15" s="21" t="s">
        <v>599</v>
      </c>
      <c r="P15" s="46">
        <v>90</v>
      </c>
    </row>
    <row r="16" spans="3:16" x14ac:dyDescent="0.25">
      <c r="C16" s="21" t="s">
        <v>9</v>
      </c>
      <c r="D16" s="21" t="s">
        <v>573</v>
      </c>
      <c r="K16" s="45" t="s">
        <v>580</v>
      </c>
      <c r="L16" s="56" t="s">
        <v>642</v>
      </c>
      <c r="M16" s="21" t="s">
        <v>1</v>
      </c>
      <c r="N16" s="21">
        <f>L6-195</f>
        <v>1805</v>
      </c>
      <c r="O16" s="21" t="s">
        <v>599</v>
      </c>
      <c r="P16" s="46">
        <v>90</v>
      </c>
    </row>
    <row r="17" spans="1:16" x14ac:dyDescent="0.25">
      <c r="C17" s="21"/>
      <c r="D17" s="21"/>
      <c r="K17" s="45" t="s">
        <v>580</v>
      </c>
      <c r="L17" s="21" t="s">
        <v>644</v>
      </c>
      <c r="M17" s="21" t="s">
        <v>645</v>
      </c>
      <c r="N17" s="21">
        <f>N14-76</f>
        <v>1892</v>
      </c>
      <c r="O17" s="21" t="s">
        <v>606</v>
      </c>
      <c r="P17" s="46">
        <v>90</v>
      </c>
    </row>
    <row r="18" spans="1:16" x14ac:dyDescent="0.25">
      <c r="A18" t="s">
        <v>623</v>
      </c>
      <c r="C18" s="21" t="s">
        <v>544</v>
      </c>
      <c r="D18" s="21" t="s">
        <v>574</v>
      </c>
      <c r="K18" s="45" t="s">
        <v>579</v>
      </c>
      <c r="L18" s="28" t="s">
        <v>529</v>
      </c>
      <c r="M18" s="21" t="s">
        <v>2</v>
      </c>
      <c r="N18" s="21">
        <f>L5-221</f>
        <v>779</v>
      </c>
      <c r="O18" s="21" t="s">
        <v>599</v>
      </c>
      <c r="P18" s="46">
        <v>45</v>
      </c>
    </row>
    <row r="19" spans="1:16" ht="15.75" thickBot="1" x14ac:dyDescent="0.3">
      <c r="K19" s="40" t="s">
        <v>580</v>
      </c>
      <c r="L19" s="47" t="s">
        <v>529</v>
      </c>
      <c r="M19" s="48" t="s">
        <v>2</v>
      </c>
      <c r="N19" s="48">
        <f>L6-194</f>
        <v>1806</v>
      </c>
      <c r="O19" s="48" t="s">
        <v>599</v>
      </c>
      <c r="P19" s="49">
        <v>45</v>
      </c>
    </row>
    <row r="20" spans="1:16" ht="15.75" thickBot="1" x14ac:dyDescent="0.3">
      <c r="C20" s="104" t="s">
        <v>554</v>
      </c>
      <c r="D20" s="104"/>
      <c r="F20" s="104" t="s">
        <v>567</v>
      </c>
      <c r="G20" s="104"/>
    </row>
    <row r="21" spans="1:16" ht="15.75" thickBot="1" x14ac:dyDescent="0.3">
      <c r="C21" s="14" t="s">
        <v>555</v>
      </c>
      <c r="D21" s="21" t="s">
        <v>558</v>
      </c>
      <c r="F21" s="14" t="s">
        <v>561</v>
      </c>
      <c r="G21" s="21" t="s">
        <v>564</v>
      </c>
      <c r="K21" s="125" t="s">
        <v>543</v>
      </c>
      <c r="L21" s="126"/>
    </row>
    <row r="22" spans="1:16" x14ac:dyDescent="0.25">
      <c r="C22" s="14" t="s">
        <v>556</v>
      </c>
      <c r="D22" s="21" t="s">
        <v>559</v>
      </c>
      <c r="F22" s="14" t="s">
        <v>562</v>
      </c>
      <c r="G22" s="21" t="s">
        <v>565</v>
      </c>
      <c r="K22" s="57" t="s">
        <v>9</v>
      </c>
      <c r="L22" s="58">
        <f>N13-214</f>
        <v>257.5</v>
      </c>
      <c r="M22" s="137" t="s">
        <v>581</v>
      </c>
    </row>
    <row r="23" spans="1:16" ht="15.75" thickBot="1" x14ac:dyDescent="0.3">
      <c r="C23" s="14" t="s">
        <v>557</v>
      </c>
      <c r="D23" s="21" t="s">
        <v>560</v>
      </c>
      <c r="F23" s="14" t="s">
        <v>563</v>
      </c>
      <c r="G23" s="21" t="s">
        <v>566</v>
      </c>
      <c r="K23" s="59" t="s">
        <v>544</v>
      </c>
      <c r="L23" s="59">
        <f>N14-214</f>
        <v>1754</v>
      </c>
      <c r="M23" s="138"/>
    </row>
    <row r="25" spans="1:16" x14ac:dyDescent="0.25">
      <c r="C25" s="105"/>
      <c r="D25" s="105"/>
    </row>
  </sheetData>
  <mergeCells count="15">
    <mergeCell ref="M5:N6"/>
    <mergeCell ref="K2:L2"/>
    <mergeCell ref="D3:F3"/>
    <mergeCell ref="G3:I3"/>
    <mergeCell ref="K3:L3"/>
    <mergeCell ref="K4:L4"/>
    <mergeCell ref="K21:L21"/>
    <mergeCell ref="C25:D25"/>
    <mergeCell ref="M22:M23"/>
    <mergeCell ref="D11:E11"/>
    <mergeCell ref="D12:E12"/>
    <mergeCell ref="D13:E13"/>
    <mergeCell ref="C15:D15"/>
    <mergeCell ref="C20:D20"/>
    <mergeCell ref="F20:G20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8"/>
  <dimension ref="A1:P25"/>
  <sheetViews>
    <sheetView topLeftCell="J1" workbookViewId="0">
      <selection activeCell="L22" sqref="L22"/>
    </sheetView>
  </sheetViews>
  <sheetFormatPr baseColWidth="10" defaultColWidth="10.7109375" defaultRowHeight="15" x14ac:dyDescent="0.25"/>
  <cols>
    <col min="1" max="1" width="18.7109375" hidden="1" customWidth="1"/>
    <col min="2" max="2" width="0" hidden="1" customWidth="1"/>
    <col min="3" max="3" width="12.42578125" hidden="1" customWidth="1"/>
    <col min="4" max="4" width="22.7109375" hidden="1" customWidth="1"/>
    <col min="5" max="6" width="0" hidden="1" customWidth="1"/>
    <col min="7" max="7" width="12.85546875" hidden="1" customWidth="1"/>
    <col min="8" max="9" width="0" hidden="1" customWidth="1"/>
    <col min="12" max="12" width="22.85546875" customWidth="1"/>
    <col min="13" max="13" width="22.7109375" bestFit="1" customWidth="1"/>
  </cols>
  <sheetData>
    <row r="1" spans="3:16" ht="15.75" thickBot="1" x14ac:dyDescent="0.3"/>
    <row r="2" spans="3:16" ht="15.75" thickBot="1" x14ac:dyDescent="0.3">
      <c r="K2" s="121" t="s">
        <v>650</v>
      </c>
      <c r="L2" s="122"/>
    </row>
    <row r="3" spans="3:16" ht="15.75" thickBot="1" x14ac:dyDescent="0.3">
      <c r="D3" s="105"/>
      <c r="E3" s="105"/>
      <c r="F3" s="105"/>
      <c r="G3" s="105"/>
      <c r="H3" s="105"/>
      <c r="I3" s="105"/>
      <c r="K3" s="131" t="s">
        <v>647</v>
      </c>
      <c r="L3" s="132"/>
    </row>
    <row r="4" spans="3:16" ht="15.75" thickBot="1" x14ac:dyDescent="0.3">
      <c r="C4" s="21" t="s">
        <v>4</v>
      </c>
      <c r="D4" s="21" t="s">
        <v>3</v>
      </c>
      <c r="E4" s="21" t="s">
        <v>531</v>
      </c>
      <c r="F4" s="21" t="s">
        <v>5</v>
      </c>
      <c r="G4" s="21" t="s">
        <v>530</v>
      </c>
      <c r="H4" s="21" t="s">
        <v>5</v>
      </c>
      <c r="I4" s="21" t="s">
        <v>6</v>
      </c>
      <c r="K4" s="133" t="s">
        <v>633</v>
      </c>
      <c r="L4" s="134"/>
    </row>
    <row r="5" spans="3:16" ht="15.75" thickBot="1" x14ac:dyDescent="0.3">
      <c r="C5" s="27" t="s">
        <v>528</v>
      </c>
      <c r="D5" s="21" t="s">
        <v>0</v>
      </c>
      <c r="E5" s="21" t="s">
        <v>532</v>
      </c>
      <c r="F5" s="21">
        <v>2</v>
      </c>
      <c r="G5" s="21" t="s">
        <v>533</v>
      </c>
      <c r="H5" s="21">
        <v>2</v>
      </c>
      <c r="I5" s="21" t="s">
        <v>7</v>
      </c>
      <c r="K5" s="43" t="s">
        <v>579</v>
      </c>
      <c r="L5" s="44">
        <v>1132</v>
      </c>
      <c r="M5" s="127" t="s">
        <v>632</v>
      </c>
      <c r="N5" s="128"/>
    </row>
    <row r="6" spans="3:16" ht="15.75" thickBot="1" x14ac:dyDescent="0.3">
      <c r="C6" s="28" t="s">
        <v>500</v>
      </c>
      <c r="D6" s="21" t="s">
        <v>1</v>
      </c>
      <c r="E6" s="21" t="s">
        <v>534</v>
      </c>
      <c r="F6" s="21">
        <v>2</v>
      </c>
      <c r="G6" s="21" t="s">
        <v>535</v>
      </c>
      <c r="H6" s="21">
        <v>2</v>
      </c>
      <c r="I6" s="21" t="s">
        <v>8</v>
      </c>
      <c r="K6" s="41" t="s">
        <v>580</v>
      </c>
      <c r="L6" s="42">
        <v>2155</v>
      </c>
      <c r="M6" s="129"/>
      <c r="N6" s="130"/>
    </row>
    <row r="7" spans="3:16" ht="15.75" thickBot="1" x14ac:dyDescent="0.3">
      <c r="C7" s="29" t="s">
        <v>541</v>
      </c>
      <c r="D7" s="21" t="s">
        <v>547</v>
      </c>
      <c r="E7" s="21" t="s">
        <v>548</v>
      </c>
      <c r="F7" s="21">
        <v>2</v>
      </c>
      <c r="G7" s="21" t="s">
        <v>549</v>
      </c>
      <c r="H7" s="21">
        <v>2</v>
      </c>
      <c r="I7" s="21" t="s">
        <v>7</v>
      </c>
    </row>
    <row r="8" spans="3:16" ht="15.75" thickBot="1" x14ac:dyDescent="0.3">
      <c r="C8" s="28" t="s">
        <v>542</v>
      </c>
      <c r="D8" s="21" t="s">
        <v>1</v>
      </c>
      <c r="E8" s="21" t="s">
        <v>551</v>
      </c>
      <c r="F8" s="21">
        <v>2</v>
      </c>
      <c r="G8" s="21" t="s">
        <v>550</v>
      </c>
      <c r="H8" s="21">
        <v>2</v>
      </c>
      <c r="I8" s="21" t="s">
        <v>8</v>
      </c>
      <c r="K8" s="55"/>
      <c r="L8" s="53" t="s">
        <v>582</v>
      </c>
      <c r="M8" s="53" t="s">
        <v>583</v>
      </c>
      <c r="N8" s="53" t="s">
        <v>584</v>
      </c>
      <c r="O8" s="53" t="s">
        <v>585</v>
      </c>
      <c r="P8" s="54" t="s">
        <v>586</v>
      </c>
    </row>
    <row r="9" spans="3:16" x14ac:dyDescent="0.25">
      <c r="C9" s="28" t="s">
        <v>529</v>
      </c>
      <c r="D9" s="21" t="s">
        <v>2</v>
      </c>
      <c r="E9" s="21" t="s">
        <v>552</v>
      </c>
      <c r="F9" s="21">
        <v>2</v>
      </c>
      <c r="G9" s="21" t="s">
        <v>553</v>
      </c>
      <c r="H9" s="21">
        <v>2</v>
      </c>
      <c r="I9" s="21" t="s">
        <v>7</v>
      </c>
      <c r="K9" s="50" t="s">
        <v>579</v>
      </c>
      <c r="L9" s="51" t="s">
        <v>528</v>
      </c>
      <c r="M9" s="39" t="s">
        <v>0</v>
      </c>
      <c r="N9" s="39">
        <f>L5+6</f>
        <v>1138</v>
      </c>
      <c r="O9" s="39" t="s">
        <v>581</v>
      </c>
      <c r="P9" s="52">
        <v>45</v>
      </c>
    </row>
    <row r="10" spans="3:16" x14ac:dyDescent="0.25">
      <c r="D10" s="30"/>
      <c r="E10" s="30"/>
      <c r="K10" s="45" t="s">
        <v>580</v>
      </c>
      <c r="L10" s="27" t="s">
        <v>528</v>
      </c>
      <c r="M10" s="21" t="s">
        <v>0</v>
      </c>
      <c r="N10" s="21">
        <f>L6+6</f>
        <v>2161</v>
      </c>
      <c r="O10" s="21" t="s">
        <v>581</v>
      </c>
      <c r="P10" s="46">
        <v>45</v>
      </c>
    </row>
    <row r="11" spans="3:16" x14ac:dyDescent="0.25">
      <c r="C11" s="21" t="s">
        <v>539</v>
      </c>
      <c r="D11" s="107" t="s">
        <v>540</v>
      </c>
      <c r="E11" s="107"/>
      <c r="F11" s="21" t="s">
        <v>538</v>
      </c>
      <c r="K11" s="45" t="s">
        <v>579</v>
      </c>
      <c r="L11" s="28" t="s">
        <v>637</v>
      </c>
      <c r="M11" s="21" t="s">
        <v>1</v>
      </c>
      <c r="N11" s="21">
        <f>L5-85</f>
        <v>1047</v>
      </c>
      <c r="O11" s="21" t="s">
        <v>581</v>
      </c>
      <c r="P11" s="46">
        <v>90</v>
      </c>
    </row>
    <row r="12" spans="3:16" x14ac:dyDescent="0.25">
      <c r="C12" s="14" t="s">
        <v>470</v>
      </c>
      <c r="D12" s="106" t="s">
        <v>576</v>
      </c>
      <c r="E12" s="106"/>
      <c r="F12" s="21">
        <v>6</v>
      </c>
      <c r="K12" s="45" t="s">
        <v>580</v>
      </c>
      <c r="L12" s="28" t="s">
        <v>637</v>
      </c>
      <c r="M12" s="21" t="s">
        <v>1</v>
      </c>
      <c r="N12" s="21">
        <f>L6-85</f>
        <v>2070</v>
      </c>
      <c r="O12" s="21" t="s">
        <v>581</v>
      </c>
      <c r="P12" s="46">
        <v>90</v>
      </c>
    </row>
    <row r="13" spans="3:16" x14ac:dyDescent="0.25">
      <c r="C13" s="14" t="s">
        <v>485</v>
      </c>
      <c r="D13" s="106" t="s">
        <v>577</v>
      </c>
      <c r="E13" s="106"/>
      <c r="F13" s="21">
        <v>12</v>
      </c>
      <c r="K13" s="45" t="s">
        <v>579</v>
      </c>
      <c r="L13" s="29" t="s">
        <v>634</v>
      </c>
      <c r="M13" s="21" t="s">
        <v>649</v>
      </c>
      <c r="N13" s="21">
        <f>(L5-69)/2+6</f>
        <v>537.5</v>
      </c>
      <c r="O13" s="21" t="s">
        <v>599</v>
      </c>
      <c r="P13" s="46">
        <v>45</v>
      </c>
    </row>
    <row r="14" spans="3:16" x14ac:dyDescent="0.25">
      <c r="K14" s="45" t="s">
        <v>580</v>
      </c>
      <c r="L14" s="29" t="s">
        <v>634</v>
      </c>
      <c r="M14" s="21" t="s">
        <v>649</v>
      </c>
      <c r="N14" s="21">
        <f>L6-58</f>
        <v>2097</v>
      </c>
      <c r="O14" s="21" t="s">
        <v>599</v>
      </c>
      <c r="P14" s="46">
        <v>45</v>
      </c>
    </row>
    <row r="15" spans="3:16" x14ac:dyDescent="0.25">
      <c r="C15" s="104" t="s">
        <v>543</v>
      </c>
      <c r="D15" s="104"/>
      <c r="K15" s="45" t="s">
        <v>579</v>
      </c>
      <c r="L15" s="56" t="s">
        <v>642</v>
      </c>
      <c r="M15" s="21" t="s">
        <v>1</v>
      </c>
      <c r="N15" s="21">
        <f>N13-160</f>
        <v>377.5</v>
      </c>
      <c r="O15" s="21" t="s">
        <v>599</v>
      </c>
      <c r="P15" s="46">
        <v>90</v>
      </c>
    </row>
    <row r="16" spans="3:16" x14ac:dyDescent="0.25">
      <c r="C16" s="21" t="s">
        <v>9</v>
      </c>
      <c r="D16" s="21" t="s">
        <v>573</v>
      </c>
      <c r="K16" s="45" t="s">
        <v>580</v>
      </c>
      <c r="L16" s="56" t="s">
        <v>642</v>
      </c>
      <c r="M16" s="21" t="s">
        <v>1</v>
      </c>
      <c r="N16" s="21">
        <f>N14-160</f>
        <v>1937</v>
      </c>
      <c r="O16" s="21" t="s">
        <v>599</v>
      </c>
      <c r="P16" s="46">
        <v>90</v>
      </c>
    </row>
    <row r="17" spans="1:16" x14ac:dyDescent="0.25">
      <c r="C17" s="21"/>
      <c r="D17" s="21"/>
      <c r="K17" s="45" t="s">
        <v>580</v>
      </c>
      <c r="L17" s="21" t="s">
        <v>644</v>
      </c>
      <c r="M17" s="21" t="s">
        <v>645</v>
      </c>
      <c r="N17" s="21">
        <f>N14-76</f>
        <v>2021</v>
      </c>
      <c r="O17" s="21" t="s">
        <v>606</v>
      </c>
      <c r="P17" s="46">
        <v>90</v>
      </c>
    </row>
    <row r="18" spans="1:16" x14ac:dyDescent="0.25">
      <c r="A18" t="s">
        <v>623</v>
      </c>
      <c r="C18" s="21" t="s">
        <v>544</v>
      </c>
      <c r="D18" s="21" t="s">
        <v>574</v>
      </c>
      <c r="K18" s="45" t="s">
        <v>579</v>
      </c>
      <c r="L18" s="28" t="s">
        <v>529</v>
      </c>
      <c r="M18" s="21" t="s">
        <v>2</v>
      </c>
      <c r="N18" s="21">
        <f>L5-798.5</f>
        <v>333.5</v>
      </c>
      <c r="O18" s="21" t="s">
        <v>599</v>
      </c>
      <c r="P18" s="46">
        <v>45</v>
      </c>
    </row>
    <row r="19" spans="1:16" ht="15.75" thickBot="1" x14ac:dyDescent="0.3">
      <c r="K19" s="40" t="s">
        <v>580</v>
      </c>
      <c r="L19" s="47" t="s">
        <v>529</v>
      </c>
      <c r="M19" s="48" t="s">
        <v>2</v>
      </c>
      <c r="N19" s="48">
        <f>L6-262</f>
        <v>1893</v>
      </c>
      <c r="O19" s="48" t="s">
        <v>599</v>
      </c>
      <c r="P19" s="49">
        <v>45</v>
      </c>
    </row>
    <row r="20" spans="1:16" ht="15.75" thickBot="1" x14ac:dyDescent="0.3">
      <c r="C20" s="104" t="s">
        <v>554</v>
      </c>
      <c r="D20" s="104"/>
      <c r="F20" s="104" t="s">
        <v>567</v>
      </c>
      <c r="G20" s="104"/>
    </row>
    <row r="21" spans="1:16" ht="15.75" thickBot="1" x14ac:dyDescent="0.3">
      <c r="C21" s="14" t="s">
        <v>555</v>
      </c>
      <c r="D21" s="21" t="s">
        <v>558</v>
      </c>
      <c r="F21" s="14" t="s">
        <v>561</v>
      </c>
      <c r="G21" s="21" t="s">
        <v>564</v>
      </c>
      <c r="K21" s="125" t="s">
        <v>543</v>
      </c>
      <c r="L21" s="126"/>
    </row>
    <row r="22" spans="1:16" x14ac:dyDescent="0.25">
      <c r="C22" s="14" t="s">
        <v>556</v>
      </c>
      <c r="D22" s="21" t="s">
        <v>559</v>
      </c>
      <c r="F22" s="14" t="s">
        <v>562</v>
      </c>
      <c r="G22" s="21" t="s">
        <v>565</v>
      </c>
      <c r="K22" s="57" t="s">
        <v>9</v>
      </c>
      <c r="L22" s="58">
        <f>N13-214</f>
        <v>323.5</v>
      </c>
      <c r="M22" s="137" t="s">
        <v>581</v>
      </c>
    </row>
    <row r="23" spans="1:16" ht="15.75" thickBot="1" x14ac:dyDescent="0.3">
      <c r="C23" s="14" t="s">
        <v>557</v>
      </c>
      <c r="D23" s="21" t="s">
        <v>560</v>
      </c>
      <c r="F23" s="14" t="s">
        <v>563</v>
      </c>
      <c r="G23" s="21" t="s">
        <v>566</v>
      </c>
      <c r="K23" s="59" t="s">
        <v>544</v>
      </c>
      <c r="L23" s="59">
        <f>N14-214</f>
        <v>1883</v>
      </c>
      <c r="M23" s="138"/>
    </row>
    <row r="25" spans="1:16" x14ac:dyDescent="0.25">
      <c r="C25" s="105"/>
      <c r="D25" s="105"/>
    </row>
  </sheetData>
  <mergeCells count="15">
    <mergeCell ref="K21:L21"/>
    <mergeCell ref="M22:M23"/>
    <mergeCell ref="C25:D25"/>
    <mergeCell ref="D11:E11"/>
    <mergeCell ref="D12:E12"/>
    <mergeCell ref="D13:E13"/>
    <mergeCell ref="C15:D15"/>
    <mergeCell ref="C20:D20"/>
    <mergeCell ref="F20:G20"/>
    <mergeCell ref="M5:N6"/>
    <mergeCell ref="K2:L2"/>
    <mergeCell ref="D3:F3"/>
    <mergeCell ref="G3:I3"/>
    <mergeCell ref="K3:L3"/>
    <mergeCell ref="K4:L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9">
    <pageSetUpPr fitToPage="1"/>
  </sheetPr>
  <dimension ref="A3:P24"/>
  <sheetViews>
    <sheetView topLeftCell="J1" workbookViewId="0">
      <selection activeCell="T8" sqref="T8"/>
    </sheetView>
  </sheetViews>
  <sheetFormatPr baseColWidth="10" defaultColWidth="10.7109375" defaultRowHeight="15" x14ac:dyDescent="0.25"/>
  <cols>
    <col min="1" max="1" width="18.7109375" hidden="1" customWidth="1"/>
    <col min="2" max="2" width="0" hidden="1" customWidth="1"/>
    <col min="3" max="3" width="12.42578125" hidden="1" customWidth="1"/>
    <col min="4" max="4" width="22.7109375" hidden="1" customWidth="1"/>
    <col min="5" max="6" width="0" hidden="1" customWidth="1"/>
    <col min="7" max="7" width="12.85546875" hidden="1" customWidth="1"/>
    <col min="8" max="9" width="0" hidden="1" customWidth="1"/>
    <col min="12" max="12" width="12.42578125" bestFit="1" customWidth="1"/>
    <col min="13" max="13" width="22.7109375" bestFit="1" customWidth="1"/>
    <col min="14" max="14" width="16" style="84" customWidth="1"/>
    <col min="15" max="16" width="11.42578125" style="84"/>
  </cols>
  <sheetData>
    <row r="3" spans="3:16" x14ac:dyDescent="0.25">
      <c r="D3" s="105"/>
      <c r="E3" s="105"/>
      <c r="F3" s="105"/>
      <c r="G3" s="105"/>
      <c r="H3" s="105"/>
      <c r="I3" s="105"/>
      <c r="K3" s="103" t="s">
        <v>590</v>
      </c>
      <c r="L3" s="103"/>
    </row>
    <row r="4" spans="3:16" x14ac:dyDescent="0.25">
      <c r="C4" s="21" t="s">
        <v>4</v>
      </c>
      <c r="D4" s="21" t="s">
        <v>3</v>
      </c>
      <c r="E4" s="21" t="s">
        <v>531</v>
      </c>
      <c r="F4" s="21" t="s">
        <v>5</v>
      </c>
      <c r="G4" s="21" t="s">
        <v>530</v>
      </c>
      <c r="H4" s="21" t="s">
        <v>5</v>
      </c>
      <c r="I4" s="21" t="s">
        <v>6</v>
      </c>
      <c r="K4" s="109" t="s">
        <v>587</v>
      </c>
      <c r="L4" s="110"/>
      <c r="M4" s="21"/>
    </row>
    <row r="5" spans="3:16" x14ac:dyDescent="0.25">
      <c r="C5" s="27" t="s">
        <v>528</v>
      </c>
      <c r="D5" s="21" t="s">
        <v>0</v>
      </c>
      <c r="E5" s="21" t="s">
        <v>532</v>
      </c>
      <c r="F5" s="21">
        <v>2</v>
      </c>
      <c r="G5" s="21" t="s">
        <v>533</v>
      </c>
      <c r="H5" s="21">
        <v>2</v>
      </c>
      <c r="I5" s="21" t="s">
        <v>7</v>
      </c>
      <c r="K5" s="21" t="s">
        <v>579</v>
      </c>
      <c r="L5" s="38">
        <v>800</v>
      </c>
      <c r="M5" s="99" t="s">
        <v>632</v>
      </c>
      <c r="N5" s="100"/>
    </row>
    <row r="6" spans="3:16" x14ac:dyDescent="0.25">
      <c r="C6" s="28" t="s">
        <v>500</v>
      </c>
      <c r="D6" s="21" t="s">
        <v>1</v>
      </c>
      <c r="E6" s="21" t="s">
        <v>534</v>
      </c>
      <c r="F6" s="21">
        <v>2</v>
      </c>
      <c r="G6" s="21" t="s">
        <v>535</v>
      </c>
      <c r="H6" s="21">
        <v>2</v>
      </c>
      <c r="I6" s="21" t="s">
        <v>8</v>
      </c>
      <c r="K6" s="21" t="s">
        <v>580</v>
      </c>
      <c r="L6" s="38">
        <v>1200</v>
      </c>
      <c r="M6" s="101"/>
      <c r="N6" s="102"/>
    </row>
    <row r="7" spans="3:16" x14ac:dyDescent="0.25">
      <c r="C7" s="29" t="s">
        <v>541</v>
      </c>
      <c r="D7" s="21" t="s">
        <v>547</v>
      </c>
      <c r="E7" s="21" t="s">
        <v>548</v>
      </c>
      <c r="F7" s="21">
        <v>2</v>
      </c>
      <c r="G7" s="21" t="s">
        <v>549</v>
      </c>
      <c r="H7" s="21">
        <v>2</v>
      </c>
      <c r="I7" s="21" t="s">
        <v>7</v>
      </c>
    </row>
    <row r="8" spans="3:16" x14ac:dyDescent="0.25">
      <c r="C8" s="28" t="s">
        <v>542</v>
      </c>
      <c r="D8" s="21" t="s">
        <v>1</v>
      </c>
      <c r="E8" s="21" t="s">
        <v>551</v>
      </c>
      <c r="F8" s="21">
        <v>2</v>
      </c>
      <c r="G8" s="21" t="s">
        <v>550</v>
      </c>
      <c r="H8" s="21">
        <v>2</v>
      </c>
      <c r="I8" s="21" t="s">
        <v>8</v>
      </c>
      <c r="K8" s="21"/>
      <c r="L8" s="21" t="s">
        <v>582</v>
      </c>
      <c r="M8" s="21" t="s">
        <v>583</v>
      </c>
      <c r="N8" s="85" t="s">
        <v>584</v>
      </c>
      <c r="O8" s="85" t="s">
        <v>585</v>
      </c>
      <c r="P8" s="85" t="s">
        <v>586</v>
      </c>
    </row>
    <row r="9" spans="3:16" x14ac:dyDescent="0.25">
      <c r="C9" s="28" t="s">
        <v>529</v>
      </c>
      <c r="D9" s="21" t="s">
        <v>2</v>
      </c>
      <c r="E9" s="21" t="s">
        <v>552</v>
      </c>
      <c r="F9" s="21">
        <v>2</v>
      </c>
      <c r="G9" s="21" t="s">
        <v>553</v>
      </c>
      <c r="H9" s="21">
        <v>2</v>
      </c>
      <c r="I9" s="21" t="s">
        <v>7</v>
      </c>
      <c r="K9" s="21" t="s">
        <v>579</v>
      </c>
      <c r="L9" s="27" t="s">
        <v>528</v>
      </c>
      <c r="M9" s="21" t="s">
        <v>0</v>
      </c>
      <c r="N9" s="85">
        <f>L5+6</f>
        <v>806</v>
      </c>
      <c r="O9" s="85" t="s">
        <v>581</v>
      </c>
      <c r="P9" s="85">
        <v>45</v>
      </c>
    </row>
    <row r="10" spans="3:16" x14ac:dyDescent="0.25">
      <c r="D10" s="30"/>
      <c r="E10" s="30"/>
      <c r="K10" s="21" t="s">
        <v>580</v>
      </c>
      <c r="L10" s="27" t="s">
        <v>528</v>
      </c>
      <c r="M10" s="21" t="s">
        <v>0</v>
      </c>
      <c r="N10" s="85">
        <f>L6+6</f>
        <v>1206</v>
      </c>
      <c r="O10" s="85" t="s">
        <v>581</v>
      </c>
      <c r="P10" s="85">
        <v>45</v>
      </c>
    </row>
    <row r="11" spans="3:16" x14ac:dyDescent="0.25">
      <c r="C11" s="21" t="s">
        <v>539</v>
      </c>
      <c r="D11" s="107" t="s">
        <v>540</v>
      </c>
      <c r="E11" s="107"/>
      <c r="F11" s="21" t="s">
        <v>538</v>
      </c>
      <c r="K11" s="21" t="s">
        <v>579</v>
      </c>
      <c r="L11" s="28" t="s">
        <v>500</v>
      </c>
      <c r="M11" s="21" t="s">
        <v>1</v>
      </c>
      <c r="N11" s="85">
        <f>L5-85</f>
        <v>715</v>
      </c>
      <c r="O11" s="85" t="s">
        <v>581</v>
      </c>
      <c r="P11" s="85">
        <v>90</v>
      </c>
    </row>
    <row r="12" spans="3:16" x14ac:dyDescent="0.25">
      <c r="C12" s="14" t="s">
        <v>470</v>
      </c>
      <c r="D12" s="106" t="s">
        <v>576</v>
      </c>
      <c r="E12" s="106"/>
      <c r="F12" s="21">
        <v>6</v>
      </c>
      <c r="K12" s="21" t="s">
        <v>580</v>
      </c>
      <c r="L12" s="28" t="s">
        <v>500</v>
      </c>
      <c r="M12" s="21" t="s">
        <v>1</v>
      </c>
      <c r="N12" s="85">
        <f>L6-85</f>
        <v>1115</v>
      </c>
      <c r="O12" s="85" t="s">
        <v>581</v>
      </c>
      <c r="P12" s="85">
        <v>90</v>
      </c>
    </row>
    <row r="13" spans="3:16" x14ac:dyDescent="0.25">
      <c r="C13" s="14" t="s">
        <v>485</v>
      </c>
      <c r="D13" s="106" t="s">
        <v>577</v>
      </c>
      <c r="E13" s="106"/>
      <c r="F13" s="21">
        <v>12</v>
      </c>
      <c r="K13" s="21" t="s">
        <v>579</v>
      </c>
      <c r="L13" s="29" t="s">
        <v>541</v>
      </c>
      <c r="M13" s="21" t="s">
        <v>547</v>
      </c>
      <c r="N13" s="85">
        <f>L5-58</f>
        <v>742</v>
      </c>
      <c r="O13" s="85" t="s">
        <v>581</v>
      </c>
      <c r="P13" s="85">
        <v>45</v>
      </c>
    </row>
    <row r="14" spans="3:16" x14ac:dyDescent="0.25">
      <c r="K14" s="21" t="s">
        <v>580</v>
      </c>
      <c r="L14" s="29" t="s">
        <v>541</v>
      </c>
      <c r="M14" s="21" t="s">
        <v>547</v>
      </c>
      <c r="N14" s="85">
        <f>L6-58</f>
        <v>1142</v>
      </c>
      <c r="O14" s="85" t="s">
        <v>581</v>
      </c>
      <c r="P14" s="85">
        <v>45</v>
      </c>
    </row>
    <row r="15" spans="3:16" x14ac:dyDescent="0.25">
      <c r="C15" s="104" t="s">
        <v>543</v>
      </c>
      <c r="D15" s="104"/>
      <c r="K15" s="21" t="s">
        <v>579</v>
      </c>
      <c r="L15" s="28" t="s">
        <v>542</v>
      </c>
      <c r="M15" s="21" t="s">
        <v>1</v>
      </c>
      <c r="N15" s="85">
        <f>L5-178</f>
        <v>622</v>
      </c>
      <c r="O15" s="85" t="s">
        <v>581</v>
      </c>
      <c r="P15" s="85">
        <v>90</v>
      </c>
    </row>
    <row r="16" spans="3:16" x14ac:dyDescent="0.25">
      <c r="C16" s="21" t="s">
        <v>9</v>
      </c>
      <c r="D16" s="21" t="s">
        <v>573</v>
      </c>
      <c r="K16" s="21" t="s">
        <v>580</v>
      </c>
      <c r="L16" s="28" t="s">
        <v>542</v>
      </c>
      <c r="M16" s="21" t="s">
        <v>1</v>
      </c>
      <c r="N16" s="85">
        <f>L6-178</f>
        <v>1022</v>
      </c>
      <c r="O16" s="85" t="s">
        <v>581</v>
      </c>
      <c r="P16" s="85">
        <v>90</v>
      </c>
    </row>
    <row r="17" spans="1:16" x14ac:dyDescent="0.25">
      <c r="A17" t="s">
        <v>623</v>
      </c>
      <c r="C17" s="21" t="s">
        <v>544</v>
      </c>
      <c r="D17" s="21" t="s">
        <v>574</v>
      </c>
      <c r="K17" s="21" t="s">
        <v>579</v>
      </c>
      <c r="L17" s="28" t="s">
        <v>529</v>
      </c>
      <c r="M17" s="21" t="s">
        <v>2</v>
      </c>
      <c r="N17" s="85">
        <f>L5-173</f>
        <v>627</v>
      </c>
      <c r="O17" s="85" t="s">
        <v>581</v>
      </c>
      <c r="P17" s="85">
        <v>45</v>
      </c>
    </row>
    <row r="18" spans="1:16" x14ac:dyDescent="0.25">
      <c r="K18" s="21" t="s">
        <v>580</v>
      </c>
      <c r="L18" s="28" t="s">
        <v>529</v>
      </c>
      <c r="M18" s="21" t="s">
        <v>2</v>
      </c>
      <c r="N18" s="85">
        <f>L6-173</f>
        <v>1027</v>
      </c>
      <c r="O18" s="85" t="s">
        <v>581</v>
      </c>
      <c r="P18" s="85">
        <v>45</v>
      </c>
    </row>
    <row r="19" spans="1:16" x14ac:dyDescent="0.25">
      <c r="C19" s="104" t="s">
        <v>554</v>
      </c>
      <c r="D19" s="104"/>
      <c r="F19" s="104" t="s">
        <v>567</v>
      </c>
      <c r="G19" s="104"/>
    </row>
    <row r="20" spans="1:16" x14ac:dyDescent="0.25">
      <c r="C20" s="14" t="s">
        <v>555</v>
      </c>
      <c r="D20" s="21" t="s">
        <v>558</v>
      </c>
      <c r="F20" s="14" t="s">
        <v>561</v>
      </c>
      <c r="G20" s="21" t="s">
        <v>564</v>
      </c>
      <c r="K20" s="104" t="s">
        <v>543</v>
      </c>
      <c r="L20" s="104"/>
    </row>
    <row r="21" spans="1:16" x14ac:dyDescent="0.25">
      <c r="C21" s="14" t="s">
        <v>556</v>
      </c>
      <c r="D21" s="21" t="s">
        <v>559</v>
      </c>
      <c r="F21" s="14" t="s">
        <v>562</v>
      </c>
      <c r="G21" s="21" t="s">
        <v>565</v>
      </c>
      <c r="K21" s="21" t="s">
        <v>9</v>
      </c>
      <c r="L21" s="21">
        <f>L5-183</f>
        <v>617</v>
      </c>
      <c r="M21" s="111">
        <v>1</v>
      </c>
    </row>
    <row r="22" spans="1:16" x14ac:dyDescent="0.25">
      <c r="C22" s="14" t="s">
        <v>557</v>
      </c>
      <c r="D22" s="21" t="s">
        <v>560</v>
      </c>
      <c r="F22" s="14" t="s">
        <v>563</v>
      </c>
      <c r="G22" s="21" t="s">
        <v>566</v>
      </c>
      <c r="K22" s="21" t="s">
        <v>544</v>
      </c>
      <c r="L22" s="21">
        <f>L6-183</f>
        <v>1017</v>
      </c>
      <c r="M22" s="112"/>
    </row>
    <row r="24" spans="1:16" x14ac:dyDescent="0.25">
      <c r="C24" s="105"/>
      <c r="D24" s="105"/>
    </row>
  </sheetData>
  <mergeCells count="14">
    <mergeCell ref="M5:N6"/>
    <mergeCell ref="C24:D24"/>
    <mergeCell ref="K3:L3"/>
    <mergeCell ref="D3:F3"/>
    <mergeCell ref="G3:I3"/>
    <mergeCell ref="D11:E11"/>
    <mergeCell ref="D12:E12"/>
    <mergeCell ref="K4:L4"/>
    <mergeCell ref="K20:L20"/>
    <mergeCell ref="D13:E13"/>
    <mergeCell ref="C15:D15"/>
    <mergeCell ref="C19:D19"/>
    <mergeCell ref="F19:G19"/>
    <mergeCell ref="M21:M22"/>
  </mergeCells>
  <pageMargins left="0.70866141732283472" right="0.70866141732283472" top="0.74803149606299213" bottom="0.74803149606299213" header="0.31496062992125984" footer="0.31496062992125984"/>
  <pageSetup paperSize="9" scale="94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26"/>
  <sheetViews>
    <sheetView topLeftCell="J1" workbookViewId="0">
      <selection activeCell="M22" sqref="M22"/>
    </sheetView>
  </sheetViews>
  <sheetFormatPr baseColWidth="10" defaultColWidth="10.7109375" defaultRowHeight="15" x14ac:dyDescent="0.25"/>
  <cols>
    <col min="1" max="1" width="18.7109375" hidden="1" customWidth="1"/>
    <col min="2" max="2" width="0" hidden="1" customWidth="1"/>
    <col min="3" max="3" width="12.42578125" hidden="1" customWidth="1"/>
    <col min="4" max="4" width="22.7109375" hidden="1" customWidth="1"/>
    <col min="5" max="6" width="0" hidden="1" customWidth="1"/>
    <col min="7" max="7" width="12.85546875" hidden="1" customWidth="1"/>
    <col min="8" max="9" width="0" hidden="1" customWidth="1"/>
    <col min="12" max="12" width="22.85546875" customWidth="1"/>
    <col min="13" max="13" width="22.7109375" bestFit="1" customWidth="1"/>
  </cols>
  <sheetData>
    <row r="1" spans="3:16" ht="15.75" thickBot="1" x14ac:dyDescent="0.3"/>
    <row r="2" spans="3:16" ht="15.75" thickBot="1" x14ac:dyDescent="0.3">
      <c r="K2" s="121" t="s">
        <v>650</v>
      </c>
      <c r="L2" s="122"/>
    </row>
    <row r="3" spans="3:16" ht="15.75" thickBot="1" x14ac:dyDescent="0.3">
      <c r="D3" s="105"/>
      <c r="E3" s="105"/>
      <c r="F3" s="105"/>
      <c r="G3" s="105"/>
      <c r="H3" s="105"/>
      <c r="I3" s="105"/>
      <c r="K3" s="131" t="s">
        <v>659</v>
      </c>
      <c r="L3" s="132"/>
    </row>
    <row r="4" spans="3:16" ht="15.75" thickBot="1" x14ac:dyDescent="0.3">
      <c r="C4" s="21" t="s">
        <v>4</v>
      </c>
      <c r="D4" s="21" t="s">
        <v>3</v>
      </c>
      <c r="E4" s="21" t="s">
        <v>531</v>
      </c>
      <c r="F4" s="21" t="s">
        <v>5</v>
      </c>
      <c r="G4" s="21" t="s">
        <v>530</v>
      </c>
      <c r="H4" s="21" t="s">
        <v>5</v>
      </c>
      <c r="I4" s="21" t="s">
        <v>6</v>
      </c>
      <c r="K4" s="133" t="s">
        <v>587</v>
      </c>
      <c r="L4" s="134"/>
    </row>
    <row r="5" spans="3:16" ht="15.75" thickBot="1" x14ac:dyDescent="0.3">
      <c r="C5" s="27" t="s">
        <v>528</v>
      </c>
      <c r="D5" s="21" t="s">
        <v>0</v>
      </c>
      <c r="E5" s="21" t="s">
        <v>532</v>
      </c>
      <c r="F5" s="21">
        <v>2</v>
      </c>
      <c r="G5" s="21" t="s">
        <v>533</v>
      </c>
      <c r="H5" s="21">
        <v>2</v>
      </c>
      <c r="I5" s="21" t="s">
        <v>7</v>
      </c>
      <c r="K5" s="43" t="s">
        <v>579</v>
      </c>
      <c r="L5" s="44">
        <v>2000</v>
      </c>
      <c r="M5" s="127" t="s">
        <v>632</v>
      </c>
      <c r="N5" s="128"/>
    </row>
    <row r="6" spans="3:16" ht="15.75" thickBot="1" x14ac:dyDescent="0.3">
      <c r="C6" s="28" t="s">
        <v>500</v>
      </c>
      <c r="D6" s="21" t="s">
        <v>1</v>
      </c>
      <c r="E6" s="21" t="s">
        <v>534</v>
      </c>
      <c r="F6" s="21">
        <v>2</v>
      </c>
      <c r="G6" s="21" t="s">
        <v>535</v>
      </c>
      <c r="H6" s="21">
        <v>2</v>
      </c>
      <c r="I6" s="21" t="s">
        <v>8</v>
      </c>
      <c r="K6" s="41" t="s">
        <v>580</v>
      </c>
      <c r="L6" s="42">
        <v>1000</v>
      </c>
      <c r="M6" s="129"/>
      <c r="N6" s="130"/>
    </row>
    <row r="7" spans="3:16" ht="15.75" thickBot="1" x14ac:dyDescent="0.3">
      <c r="C7" s="29" t="s">
        <v>541</v>
      </c>
      <c r="D7" s="21" t="s">
        <v>547</v>
      </c>
      <c r="E7" s="21" t="s">
        <v>548</v>
      </c>
      <c r="F7" s="21">
        <v>2</v>
      </c>
      <c r="G7" s="21" t="s">
        <v>549</v>
      </c>
      <c r="H7" s="21">
        <v>2</v>
      </c>
      <c r="I7" s="21" t="s">
        <v>7</v>
      </c>
    </row>
    <row r="8" spans="3:16" ht="15.75" thickBot="1" x14ac:dyDescent="0.3">
      <c r="C8" s="28" t="s">
        <v>542</v>
      </c>
      <c r="D8" s="21" t="s">
        <v>1</v>
      </c>
      <c r="E8" s="21" t="s">
        <v>551</v>
      </c>
      <c r="F8" s="21">
        <v>2</v>
      </c>
      <c r="G8" s="21" t="s">
        <v>550</v>
      </c>
      <c r="H8" s="21">
        <v>2</v>
      </c>
      <c r="I8" s="21" t="s">
        <v>8</v>
      </c>
      <c r="K8" s="55"/>
      <c r="L8" s="53" t="s">
        <v>582</v>
      </c>
      <c r="M8" s="53" t="s">
        <v>583</v>
      </c>
      <c r="N8" s="53" t="s">
        <v>584</v>
      </c>
      <c r="O8" s="53" t="s">
        <v>585</v>
      </c>
      <c r="P8" s="54" t="s">
        <v>586</v>
      </c>
    </row>
    <row r="9" spans="3:16" x14ac:dyDescent="0.25">
      <c r="C9" s="28" t="s">
        <v>529</v>
      </c>
      <c r="D9" s="21" t="s">
        <v>2</v>
      </c>
      <c r="E9" s="21" t="s">
        <v>552</v>
      </c>
      <c r="F9" s="21">
        <v>2</v>
      </c>
      <c r="G9" s="21" t="s">
        <v>553</v>
      </c>
      <c r="H9" s="21">
        <v>2</v>
      </c>
      <c r="I9" s="21" t="s">
        <v>7</v>
      </c>
      <c r="K9" s="50" t="s">
        <v>579</v>
      </c>
      <c r="L9" s="51" t="s">
        <v>528</v>
      </c>
      <c r="M9" s="39" t="s">
        <v>0</v>
      </c>
      <c r="N9" s="39">
        <f>L5+6</f>
        <v>2006</v>
      </c>
      <c r="O9" s="39" t="s">
        <v>581</v>
      </c>
      <c r="P9" s="52">
        <v>45</v>
      </c>
    </row>
    <row r="10" spans="3:16" x14ac:dyDescent="0.25">
      <c r="D10" s="30"/>
      <c r="E10" s="30"/>
      <c r="K10" s="45" t="s">
        <v>580</v>
      </c>
      <c r="L10" s="27" t="s">
        <v>528</v>
      </c>
      <c r="M10" s="21" t="s">
        <v>0</v>
      </c>
      <c r="N10" s="21">
        <f>L6+6</f>
        <v>1006</v>
      </c>
      <c r="O10" s="21" t="s">
        <v>581</v>
      </c>
      <c r="P10" s="46">
        <v>45</v>
      </c>
    </row>
    <row r="11" spans="3:16" x14ac:dyDescent="0.25">
      <c r="C11" s="21" t="s">
        <v>539</v>
      </c>
      <c r="D11" s="107" t="s">
        <v>540</v>
      </c>
      <c r="E11" s="107"/>
      <c r="F11" s="21" t="s">
        <v>538</v>
      </c>
      <c r="K11" s="45" t="s">
        <v>579</v>
      </c>
      <c r="L11" s="28" t="s">
        <v>637</v>
      </c>
      <c r="M11" s="21" t="s">
        <v>1</v>
      </c>
      <c r="N11" s="21">
        <f>L5-85</f>
        <v>1915</v>
      </c>
      <c r="O11" s="21" t="s">
        <v>581</v>
      </c>
      <c r="P11" s="46">
        <v>90</v>
      </c>
    </row>
    <row r="12" spans="3:16" x14ac:dyDescent="0.25">
      <c r="C12" s="14" t="s">
        <v>470</v>
      </c>
      <c r="D12" s="106" t="s">
        <v>576</v>
      </c>
      <c r="E12" s="106"/>
      <c r="F12" s="21">
        <v>6</v>
      </c>
      <c r="K12" s="45" t="s">
        <v>580</v>
      </c>
      <c r="L12" s="28" t="s">
        <v>637</v>
      </c>
      <c r="M12" s="21" t="s">
        <v>1</v>
      </c>
      <c r="N12" s="21">
        <f>L6-85</f>
        <v>915</v>
      </c>
      <c r="O12" s="21" t="s">
        <v>581</v>
      </c>
      <c r="P12" s="46">
        <v>90</v>
      </c>
    </row>
    <row r="13" spans="3:16" x14ac:dyDescent="0.25">
      <c r="C13" s="14" t="s">
        <v>485</v>
      </c>
      <c r="D13" s="106" t="s">
        <v>577</v>
      </c>
      <c r="E13" s="106"/>
      <c r="F13" s="21">
        <v>12</v>
      </c>
      <c r="K13" s="45" t="s">
        <v>579</v>
      </c>
      <c r="L13" s="29" t="s">
        <v>541</v>
      </c>
      <c r="M13" s="21" t="s">
        <v>547</v>
      </c>
      <c r="N13" s="21">
        <f>(L5-69)/2+6</f>
        <v>971.5</v>
      </c>
      <c r="O13" s="21" t="s">
        <v>599</v>
      </c>
      <c r="P13" s="46">
        <v>45</v>
      </c>
    </row>
    <row r="14" spans="3:16" x14ac:dyDescent="0.25">
      <c r="K14" s="45" t="s">
        <v>580</v>
      </c>
      <c r="L14" s="29" t="s">
        <v>541</v>
      </c>
      <c r="M14" s="21" t="s">
        <v>547</v>
      </c>
      <c r="N14" s="21">
        <f>L6-58</f>
        <v>942</v>
      </c>
      <c r="O14" s="21" t="s">
        <v>599</v>
      </c>
      <c r="P14" s="46">
        <v>45</v>
      </c>
    </row>
    <row r="15" spans="3:16" x14ac:dyDescent="0.25">
      <c r="C15" s="104" t="s">
        <v>543</v>
      </c>
      <c r="D15" s="104"/>
      <c r="K15" s="45" t="s">
        <v>579</v>
      </c>
      <c r="L15" s="56" t="s">
        <v>658</v>
      </c>
      <c r="M15" s="21" t="s">
        <v>1</v>
      </c>
      <c r="N15" s="21">
        <f>N13-136</f>
        <v>835.5</v>
      </c>
      <c r="O15" s="21" t="s">
        <v>599</v>
      </c>
      <c r="P15" s="46">
        <v>90</v>
      </c>
    </row>
    <row r="16" spans="3:16" x14ac:dyDescent="0.25">
      <c r="C16" s="21" t="s">
        <v>9</v>
      </c>
      <c r="D16" s="21" t="s">
        <v>573</v>
      </c>
      <c r="K16" s="45" t="s">
        <v>580</v>
      </c>
      <c r="L16" s="56" t="s">
        <v>658</v>
      </c>
      <c r="M16" s="21" t="s">
        <v>1</v>
      </c>
      <c r="N16" s="21">
        <f>N14-136</f>
        <v>806</v>
      </c>
      <c r="O16" s="21" t="s">
        <v>599</v>
      </c>
      <c r="P16" s="46">
        <v>90</v>
      </c>
    </row>
    <row r="17" spans="1:16" x14ac:dyDescent="0.25">
      <c r="C17" s="21"/>
      <c r="D17" s="21"/>
      <c r="K17" s="45" t="s">
        <v>580</v>
      </c>
      <c r="L17" s="21" t="s">
        <v>644</v>
      </c>
      <c r="M17" s="21" t="s">
        <v>645</v>
      </c>
      <c r="N17" s="21">
        <f>N14-76</f>
        <v>866</v>
      </c>
      <c r="O17" s="21" t="s">
        <v>606</v>
      </c>
      <c r="P17" s="46">
        <v>90</v>
      </c>
    </row>
    <row r="18" spans="1:16" x14ac:dyDescent="0.25">
      <c r="C18" s="21"/>
      <c r="D18" s="21"/>
      <c r="K18" s="45" t="s">
        <v>580</v>
      </c>
      <c r="L18" s="28" t="s">
        <v>637</v>
      </c>
      <c r="M18" s="21" t="s">
        <v>1</v>
      </c>
      <c r="N18" s="21">
        <f>N17-6</f>
        <v>860</v>
      </c>
      <c r="O18" s="21" t="s">
        <v>581</v>
      </c>
      <c r="P18" s="46">
        <v>90</v>
      </c>
    </row>
    <row r="19" spans="1:16" x14ac:dyDescent="0.25">
      <c r="A19" t="s">
        <v>623</v>
      </c>
      <c r="C19" s="21" t="s">
        <v>544</v>
      </c>
      <c r="D19" s="21" t="s">
        <v>574</v>
      </c>
      <c r="K19" s="45" t="s">
        <v>579</v>
      </c>
      <c r="L19" s="28" t="s">
        <v>529</v>
      </c>
      <c r="M19" s="21" t="s">
        <v>2</v>
      </c>
      <c r="N19" s="21">
        <f>N13-115</f>
        <v>856.5</v>
      </c>
      <c r="O19" s="21" t="s">
        <v>599</v>
      </c>
      <c r="P19" s="46">
        <v>45</v>
      </c>
    </row>
    <row r="20" spans="1:16" ht="15.75" thickBot="1" x14ac:dyDescent="0.3">
      <c r="K20" s="40" t="s">
        <v>580</v>
      </c>
      <c r="L20" s="47" t="s">
        <v>529</v>
      </c>
      <c r="M20" s="48" t="s">
        <v>2</v>
      </c>
      <c r="N20" s="48">
        <f>N14-115</f>
        <v>827</v>
      </c>
      <c r="O20" s="48" t="s">
        <v>599</v>
      </c>
      <c r="P20" s="49">
        <v>45</v>
      </c>
    </row>
    <row r="21" spans="1:16" ht="15.75" thickBot="1" x14ac:dyDescent="0.3">
      <c r="C21" s="104" t="s">
        <v>554</v>
      </c>
      <c r="D21" s="104"/>
      <c r="F21" s="104" t="s">
        <v>567</v>
      </c>
      <c r="G21" s="104"/>
    </row>
    <row r="22" spans="1:16" ht="15.75" thickBot="1" x14ac:dyDescent="0.3">
      <c r="C22" s="14" t="s">
        <v>555</v>
      </c>
      <c r="D22" s="21" t="s">
        <v>558</v>
      </c>
      <c r="F22" s="14" t="s">
        <v>561</v>
      </c>
      <c r="G22" s="21" t="s">
        <v>564</v>
      </c>
      <c r="K22" s="125" t="s">
        <v>543</v>
      </c>
      <c r="L22" s="126"/>
    </row>
    <row r="23" spans="1:16" x14ac:dyDescent="0.25">
      <c r="C23" s="14" t="s">
        <v>556</v>
      </c>
      <c r="D23" s="21" t="s">
        <v>559</v>
      </c>
      <c r="F23" s="14" t="s">
        <v>562</v>
      </c>
      <c r="G23" s="21" t="s">
        <v>565</v>
      </c>
      <c r="K23" s="57" t="s">
        <v>9</v>
      </c>
      <c r="L23" s="58">
        <f>N13-125</f>
        <v>846.5</v>
      </c>
      <c r="M23" s="137" t="s">
        <v>581</v>
      </c>
    </row>
    <row r="24" spans="1:16" ht="15.75" thickBot="1" x14ac:dyDescent="0.3">
      <c r="C24" s="14" t="s">
        <v>557</v>
      </c>
      <c r="D24" s="21" t="s">
        <v>560</v>
      </c>
      <c r="F24" s="14" t="s">
        <v>563</v>
      </c>
      <c r="G24" s="21" t="s">
        <v>566</v>
      </c>
      <c r="K24" s="59" t="s">
        <v>544</v>
      </c>
      <c r="L24" s="59">
        <f>N14-125</f>
        <v>817</v>
      </c>
      <c r="M24" s="138"/>
    </row>
    <row r="26" spans="1:16" x14ac:dyDescent="0.25">
      <c r="C26" s="105"/>
      <c r="D26" s="105"/>
    </row>
  </sheetData>
  <mergeCells count="15">
    <mergeCell ref="K22:L22"/>
    <mergeCell ref="M23:M24"/>
    <mergeCell ref="C26:D26"/>
    <mergeCell ref="D11:E11"/>
    <mergeCell ref="D12:E12"/>
    <mergeCell ref="D13:E13"/>
    <mergeCell ref="C15:D15"/>
    <mergeCell ref="C21:D21"/>
    <mergeCell ref="F21:G21"/>
    <mergeCell ref="M5:N6"/>
    <mergeCell ref="K2:L2"/>
    <mergeCell ref="D3:F3"/>
    <mergeCell ref="G3:I3"/>
    <mergeCell ref="K3:L3"/>
    <mergeCell ref="K4:L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0">
    <pageSetUpPr fitToPage="1"/>
  </sheetPr>
  <dimension ref="A2:P23"/>
  <sheetViews>
    <sheetView topLeftCell="J7" workbookViewId="0">
      <selection activeCell="T10" sqref="T10"/>
    </sheetView>
  </sheetViews>
  <sheetFormatPr baseColWidth="10" defaultColWidth="10.7109375" defaultRowHeight="15" x14ac:dyDescent="0.25"/>
  <cols>
    <col min="1" max="1" width="18.7109375" hidden="1" customWidth="1"/>
    <col min="2" max="2" width="0" hidden="1" customWidth="1"/>
    <col min="3" max="3" width="12.42578125" hidden="1" customWidth="1"/>
    <col min="4" max="4" width="22.7109375" hidden="1" customWidth="1"/>
    <col min="5" max="6" width="0" hidden="1" customWidth="1"/>
    <col min="7" max="7" width="12.85546875" hidden="1" customWidth="1"/>
    <col min="8" max="9" width="0" hidden="1" customWidth="1"/>
    <col min="10" max="10" width="6.5703125" customWidth="1"/>
    <col min="12" max="12" width="13.85546875" customWidth="1"/>
    <col min="13" max="13" width="23.140625" bestFit="1" customWidth="1"/>
    <col min="14" max="14" width="15.28515625" style="84" customWidth="1"/>
    <col min="15" max="16" width="11.42578125" style="84"/>
  </cols>
  <sheetData>
    <row r="2" spans="3:16" x14ac:dyDescent="0.25">
      <c r="D2" s="105"/>
      <c r="E2" s="105"/>
      <c r="F2" s="105"/>
      <c r="G2" s="105"/>
      <c r="H2" s="105"/>
      <c r="I2" s="105"/>
      <c r="K2" s="103" t="s">
        <v>668</v>
      </c>
      <c r="L2" s="103"/>
    </row>
    <row r="3" spans="3:16" x14ac:dyDescent="0.25">
      <c r="C3" s="21" t="s">
        <v>4</v>
      </c>
      <c r="D3" s="21" t="s">
        <v>3</v>
      </c>
      <c r="E3" s="21" t="s">
        <v>531</v>
      </c>
      <c r="F3" s="21" t="s">
        <v>5</v>
      </c>
      <c r="G3" s="21" t="s">
        <v>530</v>
      </c>
      <c r="H3" s="21" t="s">
        <v>5</v>
      </c>
      <c r="I3" s="21" t="s">
        <v>6</v>
      </c>
      <c r="K3" s="109" t="s">
        <v>587</v>
      </c>
      <c r="L3" s="110"/>
      <c r="M3" s="21"/>
    </row>
    <row r="4" spans="3:16" x14ac:dyDescent="0.25">
      <c r="C4" s="27" t="s">
        <v>528</v>
      </c>
      <c r="D4" s="21" t="s">
        <v>0</v>
      </c>
      <c r="E4" s="21" t="s">
        <v>532</v>
      </c>
      <c r="F4" s="21">
        <v>2</v>
      </c>
      <c r="G4" s="21" t="s">
        <v>533</v>
      </c>
      <c r="H4" s="21">
        <v>2</v>
      </c>
      <c r="I4" s="21" t="s">
        <v>7</v>
      </c>
      <c r="K4" s="21" t="s">
        <v>579</v>
      </c>
      <c r="L4" s="38">
        <v>598</v>
      </c>
      <c r="M4" s="99" t="s">
        <v>632</v>
      </c>
      <c r="N4" s="100"/>
    </row>
    <row r="5" spans="3:16" x14ac:dyDescent="0.25">
      <c r="C5" s="28" t="s">
        <v>500</v>
      </c>
      <c r="D5" s="21" t="s">
        <v>1</v>
      </c>
      <c r="E5" s="21" t="s">
        <v>534</v>
      </c>
      <c r="F5" s="21">
        <v>2</v>
      </c>
      <c r="G5" s="21" t="s">
        <v>535</v>
      </c>
      <c r="H5" s="21">
        <v>2</v>
      </c>
      <c r="I5" s="21" t="s">
        <v>8</v>
      </c>
      <c r="K5" s="21" t="s">
        <v>580</v>
      </c>
      <c r="L5" s="38">
        <v>644</v>
      </c>
      <c r="M5" s="101"/>
      <c r="N5" s="102"/>
    </row>
    <row r="6" spans="3:16" x14ac:dyDescent="0.25">
      <c r="C6" s="29" t="s">
        <v>575</v>
      </c>
      <c r="D6" s="21" t="s">
        <v>568</v>
      </c>
      <c r="E6" s="21" t="s">
        <v>548</v>
      </c>
      <c r="F6" s="21">
        <v>2</v>
      </c>
      <c r="G6" s="21" t="s">
        <v>549</v>
      </c>
      <c r="H6" s="21">
        <v>2</v>
      </c>
      <c r="I6" s="21" t="s">
        <v>7</v>
      </c>
    </row>
    <row r="7" spans="3:16" x14ac:dyDescent="0.25">
      <c r="C7" s="28" t="s">
        <v>542</v>
      </c>
      <c r="D7" s="21" t="s">
        <v>1</v>
      </c>
      <c r="E7" s="21" t="s">
        <v>578</v>
      </c>
      <c r="F7" s="21">
        <v>2</v>
      </c>
      <c r="G7" s="21" t="s">
        <v>570</v>
      </c>
      <c r="H7" s="21">
        <v>2</v>
      </c>
      <c r="I7" s="21" t="s">
        <v>8</v>
      </c>
      <c r="K7" s="21"/>
      <c r="L7" s="21" t="s">
        <v>582</v>
      </c>
      <c r="M7" s="21" t="s">
        <v>583</v>
      </c>
      <c r="N7" s="85" t="s">
        <v>584</v>
      </c>
      <c r="O7" s="85" t="s">
        <v>585</v>
      </c>
      <c r="P7" s="85" t="s">
        <v>586</v>
      </c>
    </row>
    <row r="8" spans="3:16" x14ac:dyDescent="0.25">
      <c r="C8" s="28" t="s">
        <v>529</v>
      </c>
      <c r="D8" s="21" t="s">
        <v>2</v>
      </c>
      <c r="E8" s="21" t="s">
        <v>569</v>
      </c>
      <c r="F8" s="21">
        <v>2</v>
      </c>
      <c r="G8" s="21" t="s">
        <v>570</v>
      </c>
      <c r="H8" s="21">
        <v>2</v>
      </c>
      <c r="I8" s="21" t="s">
        <v>7</v>
      </c>
      <c r="K8" s="21" t="s">
        <v>579</v>
      </c>
      <c r="L8" s="27" t="s">
        <v>528</v>
      </c>
      <c r="M8" s="21" t="s">
        <v>0</v>
      </c>
      <c r="N8" s="85">
        <f>L4+6</f>
        <v>604</v>
      </c>
      <c r="O8" s="85" t="s">
        <v>581</v>
      </c>
      <c r="P8" s="85">
        <v>45</v>
      </c>
    </row>
    <row r="9" spans="3:16" x14ac:dyDescent="0.25">
      <c r="D9" s="30"/>
      <c r="E9" s="30"/>
      <c r="K9" s="21" t="s">
        <v>580</v>
      </c>
      <c r="L9" s="27" t="s">
        <v>528</v>
      </c>
      <c r="M9" s="21" t="s">
        <v>0</v>
      </c>
      <c r="N9" s="85">
        <f>L5+6</f>
        <v>650</v>
      </c>
      <c r="O9" s="85" t="s">
        <v>581</v>
      </c>
      <c r="P9" s="85">
        <v>45</v>
      </c>
    </row>
    <row r="10" spans="3:16" x14ac:dyDescent="0.25">
      <c r="C10" s="21" t="s">
        <v>539</v>
      </c>
      <c r="D10" s="107" t="s">
        <v>540</v>
      </c>
      <c r="E10" s="107"/>
      <c r="F10" s="21" t="s">
        <v>538</v>
      </c>
      <c r="K10" s="21" t="s">
        <v>579</v>
      </c>
      <c r="L10" s="28" t="s">
        <v>700</v>
      </c>
      <c r="M10" s="21" t="s">
        <v>1</v>
      </c>
      <c r="N10" s="85">
        <f>L4-100</f>
        <v>498</v>
      </c>
      <c r="O10" s="85" t="s">
        <v>581</v>
      </c>
      <c r="P10" s="85">
        <v>90</v>
      </c>
    </row>
    <row r="11" spans="3:16" x14ac:dyDescent="0.25">
      <c r="C11" s="14" t="s">
        <v>470</v>
      </c>
      <c r="D11" s="106" t="s">
        <v>576</v>
      </c>
      <c r="E11" s="106"/>
      <c r="F11" s="21">
        <v>8</v>
      </c>
      <c r="K11" s="21" t="s">
        <v>580</v>
      </c>
      <c r="L11" s="28" t="s">
        <v>700</v>
      </c>
      <c r="M11" s="21" t="s">
        <v>1</v>
      </c>
      <c r="N11" s="85">
        <f>L5-100</f>
        <v>544</v>
      </c>
      <c r="O11" s="85" t="s">
        <v>581</v>
      </c>
      <c r="P11" s="85">
        <v>90</v>
      </c>
    </row>
    <row r="12" spans="3:16" x14ac:dyDescent="0.25">
      <c r="C12" s="14" t="s">
        <v>485</v>
      </c>
      <c r="D12" s="106" t="s">
        <v>577</v>
      </c>
      <c r="E12" s="106"/>
      <c r="F12" s="21">
        <v>16</v>
      </c>
      <c r="K12" s="21" t="s">
        <v>579</v>
      </c>
      <c r="L12" s="29" t="s">
        <v>575</v>
      </c>
      <c r="M12" s="21" t="s">
        <v>588</v>
      </c>
      <c r="N12" s="85">
        <f>L4-58</f>
        <v>540</v>
      </c>
      <c r="O12" s="85" t="s">
        <v>581</v>
      </c>
      <c r="P12" s="85">
        <v>45</v>
      </c>
    </row>
    <row r="13" spans="3:16" x14ac:dyDescent="0.25">
      <c r="K13" s="21" t="s">
        <v>580</v>
      </c>
      <c r="L13" s="29" t="s">
        <v>575</v>
      </c>
      <c r="M13" s="21" t="s">
        <v>588</v>
      </c>
      <c r="N13" s="85">
        <f>L5-58</f>
        <v>586</v>
      </c>
      <c r="O13" s="85" t="s">
        <v>581</v>
      </c>
      <c r="P13" s="85">
        <v>45</v>
      </c>
    </row>
    <row r="14" spans="3:16" x14ac:dyDescent="0.25">
      <c r="C14" s="104" t="s">
        <v>543</v>
      </c>
      <c r="D14" s="104"/>
      <c r="K14" s="21" t="s">
        <v>579</v>
      </c>
      <c r="L14" s="28" t="s">
        <v>701</v>
      </c>
      <c r="M14" s="21" t="s">
        <v>1</v>
      </c>
      <c r="N14" s="85">
        <f>L4-190</f>
        <v>408</v>
      </c>
      <c r="O14" s="85" t="s">
        <v>581</v>
      </c>
      <c r="P14" s="85">
        <v>90</v>
      </c>
    </row>
    <row r="15" spans="3:16" x14ac:dyDescent="0.25">
      <c r="C15" s="21" t="s">
        <v>9</v>
      </c>
      <c r="D15" s="21" t="s">
        <v>571</v>
      </c>
      <c r="K15" s="21" t="s">
        <v>580</v>
      </c>
      <c r="L15" s="28" t="s">
        <v>701</v>
      </c>
      <c r="M15" s="21" t="s">
        <v>1</v>
      </c>
      <c r="N15" s="85">
        <f>L5-190</f>
        <v>454</v>
      </c>
      <c r="O15" s="85" t="s">
        <v>581</v>
      </c>
      <c r="P15" s="85">
        <v>90</v>
      </c>
    </row>
    <row r="16" spans="3:16" x14ac:dyDescent="0.25">
      <c r="C16" s="21" t="s">
        <v>544</v>
      </c>
      <c r="D16" s="21" t="s">
        <v>572</v>
      </c>
      <c r="K16" s="21" t="s">
        <v>579</v>
      </c>
      <c r="L16" s="28" t="s">
        <v>529</v>
      </c>
      <c r="M16" s="21" t="s">
        <v>2</v>
      </c>
      <c r="N16" s="85">
        <f>L4-176</f>
        <v>422</v>
      </c>
      <c r="O16" s="85" t="s">
        <v>581</v>
      </c>
      <c r="P16" s="85">
        <v>45</v>
      </c>
    </row>
    <row r="17" spans="3:16" x14ac:dyDescent="0.25">
      <c r="K17" s="21" t="s">
        <v>580</v>
      </c>
      <c r="L17" s="28" t="s">
        <v>529</v>
      </c>
      <c r="M17" s="21" t="s">
        <v>2</v>
      </c>
      <c r="N17" s="85">
        <f>L5-176</f>
        <v>468</v>
      </c>
      <c r="O17" s="85" t="s">
        <v>581</v>
      </c>
      <c r="P17" s="85">
        <v>45</v>
      </c>
    </row>
    <row r="18" spans="3:16" x14ac:dyDescent="0.25">
      <c r="C18" s="104" t="s">
        <v>554</v>
      </c>
      <c r="D18" s="104"/>
      <c r="F18" s="104" t="s">
        <v>567</v>
      </c>
      <c r="G18" s="104"/>
    </row>
    <row r="19" spans="3:16" x14ac:dyDescent="0.25">
      <c r="C19" s="14" t="s">
        <v>555</v>
      </c>
      <c r="D19" s="21" t="s">
        <v>558</v>
      </c>
      <c r="F19" s="14" t="s">
        <v>561</v>
      </c>
      <c r="G19" s="21" t="s">
        <v>564</v>
      </c>
      <c r="K19" s="104" t="s">
        <v>543</v>
      </c>
      <c r="L19" s="104"/>
    </row>
    <row r="20" spans="3:16" x14ac:dyDescent="0.25">
      <c r="C20" s="14" t="s">
        <v>556</v>
      </c>
      <c r="D20" s="21" t="s">
        <v>559</v>
      </c>
      <c r="F20" s="14" t="s">
        <v>562</v>
      </c>
      <c r="G20" s="21" t="s">
        <v>565</v>
      </c>
      <c r="K20" s="21" t="s">
        <v>9</v>
      </c>
      <c r="L20" s="21">
        <f>L4-186</f>
        <v>412</v>
      </c>
      <c r="M20" s="111">
        <v>1</v>
      </c>
    </row>
    <row r="21" spans="3:16" x14ac:dyDescent="0.25">
      <c r="C21" s="14" t="s">
        <v>557</v>
      </c>
      <c r="D21" s="21" t="s">
        <v>560</v>
      </c>
      <c r="F21" s="14" t="s">
        <v>563</v>
      </c>
      <c r="G21" s="21" t="s">
        <v>566</v>
      </c>
      <c r="K21" s="21" t="s">
        <v>544</v>
      </c>
      <c r="L21" s="21">
        <f>L5-186</f>
        <v>458</v>
      </c>
      <c r="M21" s="112"/>
    </row>
    <row r="23" spans="3:16" x14ac:dyDescent="0.25">
      <c r="C23" s="105"/>
      <c r="D23" s="105"/>
    </row>
  </sheetData>
  <mergeCells count="14">
    <mergeCell ref="M4:N5"/>
    <mergeCell ref="C23:D23"/>
    <mergeCell ref="D2:F2"/>
    <mergeCell ref="G2:I2"/>
    <mergeCell ref="D10:E10"/>
    <mergeCell ref="D11:E11"/>
    <mergeCell ref="D12:E12"/>
    <mergeCell ref="C14:D14"/>
    <mergeCell ref="K19:L19"/>
    <mergeCell ref="K3:L3"/>
    <mergeCell ref="K2:L2"/>
    <mergeCell ref="C18:D18"/>
    <mergeCell ref="F18:G18"/>
    <mergeCell ref="M20:M21"/>
  </mergeCells>
  <pageMargins left="0.7" right="0.7" top="0.75" bottom="0.75" header="0.3" footer="0.3"/>
  <pageSetup scale="97" orientation="portrait" horizontalDpi="4294967293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A38FB-7448-4AE0-9C84-23599186C197}">
  <dimension ref="A1:P24"/>
  <sheetViews>
    <sheetView topLeftCell="J1" workbookViewId="0">
      <selection activeCell="S16" sqref="S16"/>
    </sheetView>
  </sheetViews>
  <sheetFormatPr baseColWidth="10" defaultColWidth="10.7109375" defaultRowHeight="15" x14ac:dyDescent="0.25"/>
  <cols>
    <col min="1" max="1" width="18.7109375" hidden="1" customWidth="1"/>
    <col min="2" max="2" width="0" hidden="1" customWidth="1"/>
    <col min="3" max="3" width="12.42578125" hidden="1" customWidth="1"/>
    <col min="4" max="4" width="22.7109375" hidden="1" customWidth="1"/>
    <col min="5" max="6" width="0" hidden="1" customWidth="1"/>
    <col min="7" max="7" width="12.85546875" hidden="1" customWidth="1"/>
    <col min="8" max="9" width="0" hidden="1" customWidth="1"/>
    <col min="12" max="12" width="16.5703125" customWidth="1"/>
    <col min="13" max="13" width="22.7109375" bestFit="1" customWidth="1"/>
  </cols>
  <sheetData>
    <row r="1" spans="3:16" ht="15.75" thickBot="1" x14ac:dyDescent="0.3"/>
    <row r="2" spans="3:16" ht="15.75" thickBot="1" x14ac:dyDescent="0.3">
      <c r="K2" s="121" t="s">
        <v>715</v>
      </c>
      <c r="L2" s="122"/>
      <c r="M2" t="s">
        <v>718</v>
      </c>
    </row>
    <row r="3" spans="3:16" ht="15.75" thickBot="1" x14ac:dyDescent="0.3">
      <c r="D3" s="105"/>
      <c r="E3" s="105"/>
      <c r="F3" s="105"/>
      <c r="G3" s="105"/>
      <c r="H3" s="105"/>
      <c r="I3" s="105"/>
      <c r="K3" s="131" t="s">
        <v>716</v>
      </c>
      <c r="L3" s="132"/>
    </row>
    <row r="4" spans="3:16" ht="15.75" thickBot="1" x14ac:dyDescent="0.3">
      <c r="C4" s="21" t="s">
        <v>4</v>
      </c>
      <c r="D4" s="21" t="s">
        <v>3</v>
      </c>
      <c r="E4" s="21" t="s">
        <v>531</v>
      </c>
      <c r="F4" s="21" t="s">
        <v>5</v>
      </c>
      <c r="G4" s="21" t="s">
        <v>530</v>
      </c>
      <c r="H4" s="21" t="s">
        <v>5</v>
      </c>
      <c r="I4" s="21" t="s">
        <v>6</v>
      </c>
      <c r="K4" s="133" t="s">
        <v>587</v>
      </c>
      <c r="L4" s="134"/>
    </row>
    <row r="5" spans="3:16" ht="15.75" thickBot="1" x14ac:dyDescent="0.3">
      <c r="C5" s="27" t="s">
        <v>528</v>
      </c>
      <c r="D5" s="21" t="s">
        <v>0</v>
      </c>
      <c r="E5" s="21" t="s">
        <v>532</v>
      </c>
      <c r="F5" s="21">
        <v>2</v>
      </c>
      <c r="G5" s="21" t="s">
        <v>533</v>
      </c>
      <c r="H5" s="21">
        <v>2</v>
      </c>
      <c r="I5" s="21" t="s">
        <v>7</v>
      </c>
      <c r="K5" s="43" t="s">
        <v>579</v>
      </c>
      <c r="L5" s="44">
        <v>1000</v>
      </c>
      <c r="M5" s="127" t="s">
        <v>632</v>
      </c>
      <c r="N5" s="128"/>
    </row>
    <row r="6" spans="3:16" ht="15.75" thickBot="1" x14ac:dyDescent="0.3">
      <c r="C6" s="28" t="s">
        <v>500</v>
      </c>
      <c r="D6" s="21" t="s">
        <v>1</v>
      </c>
      <c r="E6" s="21" t="s">
        <v>534</v>
      </c>
      <c r="F6" s="21">
        <v>2</v>
      </c>
      <c r="G6" s="21" t="s">
        <v>535</v>
      </c>
      <c r="H6" s="21">
        <v>2</v>
      </c>
      <c r="I6" s="21" t="s">
        <v>8</v>
      </c>
      <c r="K6" s="41" t="s">
        <v>580</v>
      </c>
      <c r="L6" s="42">
        <v>1000</v>
      </c>
      <c r="M6" s="129"/>
      <c r="N6" s="130"/>
    </row>
    <row r="7" spans="3:16" ht="15.75" thickBot="1" x14ac:dyDescent="0.3">
      <c r="C7" s="29" t="s">
        <v>541</v>
      </c>
      <c r="D7" s="21" t="s">
        <v>547</v>
      </c>
      <c r="E7" s="21" t="s">
        <v>548</v>
      </c>
      <c r="F7" s="21">
        <v>2</v>
      </c>
      <c r="G7" s="21" t="s">
        <v>549</v>
      </c>
      <c r="H7" s="21">
        <v>2</v>
      </c>
      <c r="I7" s="21" t="s">
        <v>7</v>
      </c>
    </row>
    <row r="8" spans="3:16" ht="15.75" thickBot="1" x14ac:dyDescent="0.3">
      <c r="C8" s="28" t="s">
        <v>542</v>
      </c>
      <c r="D8" s="21" t="s">
        <v>1</v>
      </c>
      <c r="E8" s="21" t="s">
        <v>551</v>
      </c>
      <c r="F8" s="21">
        <v>2</v>
      </c>
      <c r="G8" s="21" t="s">
        <v>550</v>
      </c>
      <c r="H8" s="21">
        <v>2</v>
      </c>
      <c r="I8" s="21" t="s">
        <v>8</v>
      </c>
      <c r="K8" s="55"/>
      <c r="L8" s="53" t="s">
        <v>582</v>
      </c>
      <c r="M8" s="53" t="s">
        <v>583</v>
      </c>
      <c r="N8" s="53" t="s">
        <v>584</v>
      </c>
      <c r="O8" s="53" t="s">
        <v>585</v>
      </c>
      <c r="P8" s="54" t="s">
        <v>586</v>
      </c>
    </row>
    <row r="9" spans="3:16" x14ac:dyDescent="0.25">
      <c r="C9" s="28" t="s">
        <v>529</v>
      </c>
      <c r="D9" s="21" t="s">
        <v>2</v>
      </c>
      <c r="E9" s="21" t="s">
        <v>552</v>
      </c>
      <c r="F9" s="21">
        <v>2</v>
      </c>
      <c r="G9" s="21" t="s">
        <v>553</v>
      </c>
      <c r="H9" s="21">
        <v>2</v>
      </c>
      <c r="I9" s="21" t="s">
        <v>7</v>
      </c>
      <c r="K9" s="50" t="s">
        <v>579</v>
      </c>
      <c r="L9" s="51" t="s">
        <v>528</v>
      </c>
      <c r="M9" s="39" t="s">
        <v>0</v>
      </c>
      <c r="N9" s="39">
        <f>L5+6</f>
        <v>1006</v>
      </c>
      <c r="O9" s="39" t="s">
        <v>581</v>
      </c>
      <c r="P9" s="52">
        <v>45</v>
      </c>
    </row>
    <row r="10" spans="3:16" x14ac:dyDescent="0.25">
      <c r="D10" s="30"/>
      <c r="E10" s="30"/>
      <c r="K10" s="45" t="s">
        <v>580</v>
      </c>
      <c r="L10" s="27" t="s">
        <v>528</v>
      </c>
      <c r="M10" s="21" t="s">
        <v>0</v>
      </c>
      <c r="N10" s="21">
        <f>L6+3</f>
        <v>1003</v>
      </c>
      <c r="O10" s="21" t="s">
        <v>581</v>
      </c>
      <c r="P10" s="46">
        <v>45</v>
      </c>
    </row>
    <row r="11" spans="3:16" x14ac:dyDescent="0.25">
      <c r="C11" s="21" t="s">
        <v>539</v>
      </c>
      <c r="D11" s="107" t="s">
        <v>540</v>
      </c>
      <c r="E11" s="107"/>
      <c r="F11" s="21" t="s">
        <v>538</v>
      </c>
      <c r="K11" s="45" t="s">
        <v>579</v>
      </c>
      <c r="L11" s="28" t="s">
        <v>637</v>
      </c>
      <c r="M11" s="21" t="s">
        <v>1</v>
      </c>
      <c r="N11" s="21">
        <f>L5-85</f>
        <v>915</v>
      </c>
      <c r="O11" s="21" t="s">
        <v>581</v>
      </c>
      <c r="P11" s="46">
        <v>90</v>
      </c>
    </row>
    <row r="12" spans="3:16" x14ac:dyDescent="0.25">
      <c r="C12" s="14" t="s">
        <v>470</v>
      </c>
      <c r="D12" s="106" t="s">
        <v>576</v>
      </c>
      <c r="E12" s="106"/>
      <c r="F12" s="21">
        <v>6</v>
      </c>
      <c r="K12" s="45" t="s">
        <v>580</v>
      </c>
      <c r="L12" s="28" t="s">
        <v>637</v>
      </c>
      <c r="M12" s="21" t="s">
        <v>1</v>
      </c>
      <c r="N12" s="21">
        <f>L6-85</f>
        <v>915</v>
      </c>
      <c r="O12" s="21" t="s">
        <v>581</v>
      </c>
      <c r="P12" s="46">
        <v>90</v>
      </c>
    </row>
    <row r="13" spans="3:16" x14ac:dyDescent="0.25">
      <c r="C13" s="14" t="s">
        <v>485</v>
      </c>
      <c r="D13" s="106" t="s">
        <v>577</v>
      </c>
      <c r="E13" s="106"/>
      <c r="F13" s="21">
        <v>12</v>
      </c>
      <c r="K13" s="45" t="s">
        <v>579</v>
      </c>
      <c r="L13" s="29" t="s">
        <v>575</v>
      </c>
      <c r="M13" s="21" t="s">
        <v>588</v>
      </c>
      <c r="N13" s="21">
        <f>L5-50</f>
        <v>950</v>
      </c>
      <c r="O13" s="21" t="s">
        <v>581</v>
      </c>
      <c r="P13" s="46">
        <v>45</v>
      </c>
    </row>
    <row r="14" spans="3:16" x14ac:dyDescent="0.25">
      <c r="K14" s="45" t="s">
        <v>580</v>
      </c>
      <c r="L14" s="29" t="s">
        <v>575</v>
      </c>
      <c r="M14" s="21" t="s">
        <v>588</v>
      </c>
      <c r="N14" s="21">
        <f>L6-50</f>
        <v>950</v>
      </c>
      <c r="O14" s="21" t="s">
        <v>581</v>
      </c>
      <c r="P14" s="46">
        <v>45</v>
      </c>
    </row>
    <row r="15" spans="3:16" x14ac:dyDescent="0.25">
      <c r="C15" s="104" t="s">
        <v>543</v>
      </c>
      <c r="D15" s="104"/>
      <c r="K15" s="45" t="s">
        <v>579</v>
      </c>
      <c r="L15" s="28" t="s">
        <v>717</v>
      </c>
      <c r="M15" s="21" t="s">
        <v>1</v>
      </c>
      <c r="N15" s="21"/>
      <c r="O15" s="21" t="s">
        <v>581</v>
      </c>
      <c r="P15" s="46">
        <v>90</v>
      </c>
    </row>
    <row r="16" spans="3:16" x14ac:dyDescent="0.25">
      <c r="C16" s="21" t="s">
        <v>9</v>
      </c>
      <c r="D16" s="21" t="s">
        <v>573</v>
      </c>
      <c r="K16" s="45" t="s">
        <v>580</v>
      </c>
      <c r="L16" s="28" t="s">
        <v>717</v>
      </c>
      <c r="M16" s="21" t="s">
        <v>1</v>
      </c>
      <c r="N16" s="21"/>
      <c r="O16" s="21" t="s">
        <v>581</v>
      </c>
      <c r="P16" s="46">
        <v>90</v>
      </c>
    </row>
    <row r="17" spans="1:16" x14ac:dyDescent="0.25">
      <c r="A17" t="s">
        <v>623</v>
      </c>
      <c r="C17" s="21" t="s">
        <v>544</v>
      </c>
      <c r="D17" s="21" t="s">
        <v>574</v>
      </c>
      <c r="K17" s="45" t="s">
        <v>579</v>
      </c>
      <c r="L17" s="28" t="s">
        <v>529</v>
      </c>
      <c r="M17" s="21" t="s">
        <v>2</v>
      </c>
      <c r="N17" s="21"/>
      <c r="O17" s="21" t="s">
        <v>581</v>
      </c>
      <c r="P17" s="46">
        <v>45</v>
      </c>
    </row>
    <row r="18" spans="1:16" ht="15.75" thickBot="1" x14ac:dyDescent="0.3">
      <c r="K18" s="40" t="s">
        <v>580</v>
      </c>
      <c r="L18" s="47" t="s">
        <v>529</v>
      </c>
      <c r="M18" s="48" t="s">
        <v>2</v>
      </c>
      <c r="N18" s="48"/>
      <c r="O18" s="48" t="s">
        <v>581</v>
      </c>
      <c r="P18" s="49">
        <v>45</v>
      </c>
    </row>
    <row r="19" spans="1:16" ht="15.75" thickBot="1" x14ac:dyDescent="0.3">
      <c r="C19" s="104" t="s">
        <v>554</v>
      </c>
      <c r="D19" s="104"/>
      <c r="F19" s="104" t="s">
        <v>567</v>
      </c>
      <c r="G19" s="104"/>
    </row>
    <row r="20" spans="1:16" ht="15.75" thickBot="1" x14ac:dyDescent="0.3">
      <c r="C20" s="14" t="s">
        <v>555</v>
      </c>
      <c r="D20" s="21" t="s">
        <v>558</v>
      </c>
      <c r="F20" s="14" t="s">
        <v>561</v>
      </c>
      <c r="G20" s="21" t="s">
        <v>564</v>
      </c>
      <c r="K20" s="125" t="s">
        <v>543</v>
      </c>
      <c r="L20" s="126"/>
    </row>
    <row r="21" spans="1:16" x14ac:dyDescent="0.25">
      <c r="C21" s="14" t="s">
        <v>556</v>
      </c>
      <c r="D21" s="21" t="s">
        <v>559</v>
      </c>
      <c r="F21" s="14" t="s">
        <v>562</v>
      </c>
      <c r="G21" s="21" t="s">
        <v>565</v>
      </c>
      <c r="K21" s="50" t="s">
        <v>9</v>
      </c>
      <c r="L21" s="62">
        <f>N13-128</f>
        <v>822</v>
      </c>
      <c r="M21" s="111">
        <v>1</v>
      </c>
    </row>
    <row r="22" spans="1:16" ht="15.75" thickBot="1" x14ac:dyDescent="0.3">
      <c r="C22" s="14" t="s">
        <v>557</v>
      </c>
      <c r="D22" s="21" t="s">
        <v>560</v>
      </c>
      <c r="F22" s="14" t="s">
        <v>563</v>
      </c>
      <c r="G22" s="21" t="s">
        <v>566</v>
      </c>
      <c r="K22" s="40" t="s">
        <v>544</v>
      </c>
      <c r="L22" s="63">
        <f>N14-128</f>
        <v>822</v>
      </c>
      <c r="M22" s="112"/>
    </row>
    <row r="24" spans="1:16" x14ac:dyDescent="0.25">
      <c r="C24" s="105"/>
      <c r="D24" s="105"/>
    </row>
  </sheetData>
  <mergeCells count="15">
    <mergeCell ref="K20:L20"/>
    <mergeCell ref="M21:M22"/>
    <mergeCell ref="C24:D24"/>
    <mergeCell ref="D11:E11"/>
    <mergeCell ref="D12:E12"/>
    <mergeCell ref="D13:E13"/>
    <mergeCell ref="C15:D15"/>
    <mergeCell ref="C19:D19"/>
    <mergeCell ref="F19:G19"/>
    <mergeCell ref="M5:N6"/>
    <mergeCell ref="K2:L2"/>
    <mergeCell ref="D3:F3"/>
    <mergeCell ref="G3:I3"/>
    <mergeCell ref="K3:L3"/>
    <mergeCell ref="K4:L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9"/>
  <dimension ref="A1:P26"/>
  <sheetViews>
    <sheetView topLeftCell="J4" workbookViewId="0">
      <selection activeCell="R25" sqref="R25"/>
    </sheetView>
  </sheetViews>
  <sheetFormatPr baseColWidth="10" defaultColWidth="10.7109375" defaultRowHeight="15" x14ac:dyDescent="0.25"/>
  <cols>
    <col min="1" max="1" width="18.7109375" hidden="1" customWidth="1"/>
    <col min="2" max="2" width="0" hidden="1" customWidth="1"/>
    <col min="3" max="3" width="12.42578125" hidden="1" customWidth="1"/>
    <col min="4" max="4" width="22.7109375" hidden="1" customWidth="1"/>
    <col min="5" max="6" width="0" hidden="1" customWidth="1"/>
    <col min="7" max="7" width="12.85546875" hidden="1" customWidth="1"/>
    <col min="8" max="9" width="0" hidden="1" customWidth="1"/>
    <col min="12" max="12" width="22.85546875" customWidth="1"/>
    <col min="13" max="13" width="22.7109375" bestFit="1" customWidth="1"/>
  </cols>
  <sheetData>
    <row r="1" spans="3:16" ht="15.75" thickBot="1" x14ac:dyDescent="0.3"/>
    <row r="2" spans="3:16" ht="15.75" thickBot="1" x14ac:dyDescent="0.3">
      <c r="K2" s="121"/>
      <c r="L2" s="122"/>
    </row>
    <row r="3" spans="3:16" ht="15.75" thickBot="1" x14ac:dyDescent="0.3">
      <c r="D3" s="105"/>
      <c r="E3" s="105"/>
      <c r="F3" s="105"/>
      <c r="G3" s="105"/>
      <c r="H3" s="105"/>
      <c r="I3" s="105"/>
      <c r="K3" s="131" t="s">
        <v>656</v>
      </c>
      <c r="L3" s="132"/>
    </row>
    <row r="4" spans="3:16" ht="15.75" thickBot="1" x14ac:dyDescent="0.3">
      <c r="C4" s="21" t="s">
        <v>4</v>
      </c>
      <c r="D4" s="21" t="s">
        <v>3</v>
      </c>
      <c r="E4" s="21" t="s">
        <v>531</v>
      </c>
      <c r="F4" s="21" t="s">
        <v>5</v>
      </c>
      <c r="G4" s="21" t="s">
        <v>530</v>
      </c>
      <c r="H4" s="21" t="s">
        <v>5</v>
      </c>
      <c r="I4" s="21" t="s">
        <v>6</v>
      </c>
      <c r="K4" s="133" t="s">
        <v>587</v>
      </c>
      <c r="L4" s="134"/>
    </row>
    <row r="5" spans="3:16" ht="15.75" thickBot="1" x14ac:dyDescent="0.3">
      <c r="C5" s="27" t="s">
        <v>528</v>
      </c>
      <c r="D5" s="21" t="s">
        <v>0</v>
      </c>
      <c r="E5" s="21" t="s">
        <v>532</v>
      </c>
      <c r="F5" s="21">
        <v>2</v>
      </c>
      <c r="G5" s="21" t="s">
        <v>533</v>
      </c>
      <c r="H5" s="21">
        <v>2</v>
      </c>
      <c r="I5" s="21" t="s">
        <v>7</v>
      </c>
      <c r="K5" s="43" t="s">
        <v>579</v>
      </c>
      <c r="L5" s="44">
        <v>2000</v>
      </c>
      <c r="M5" s="127" t="s">
        <v>632</v>
      </c>
      <c r="N5" s="128"/>
    </row>
    <row r="6" spans="3:16" ht="15.75" thickBot="1" x14ac:dyDescent="0.3">
      <c r="C6" s="28" t="s">
        <v>500</v>
      </c>
      <c r="D6" s="21" t="s">
        <v>1</v>
      </c>
      <c r="E6" s="21" t="s">
        <v>534</v>
      </c>
      <c r="F6" s="21">
        <v>2</v>
      </c>
      <c r="G6" s="21" t="s">
        <v>535</v>
      </c>
      <c r="H6" s="21">
        <v>2</v>
      </c>
      <c r="I6" s="21" t="s">
        <v>8</v>
      </c>
      <c r="K6" s="41" t="s">
        <v>580</v>
      </c>
      <c r="L6" s="42">
        <v>1000</v>
      </c>
      <c r="M6" s="129"/>
      <c r="N6" s="130"/>
    </row>
    <row r="7" spans="3:16" ht="15.75" thickBot="1" x14ac:dyDescent="0.3">
      <c r="C7" s="29" t="s">
        <v>541</v>
      </c>
      <c r="D7" s="21" t="s">
        <v>547</v>
      </c>
      <c r="E7" s="21" t="s">
        <v>548</v>
      </c>
      <c r="F7" s="21">
        <v>2</v>
      </c>
      <c r="G7" s="21" t="s">
        <v>549</v>
      </c>
      <c r="H7" s="21">
        <v>2</v>
      </c>
      <c r="I7" s="21" t="s">
        <v>7</v>
      </c>
    </row>
    <row r="8" spans="3:16" ht="15.75" thickBot="1" x14ac:dyDescent="0.3">
      <c r="C8" s="28" t="s">
        <v>542</v>
      </c>
      <c r="D8" s="21" t="s">
        <v>1</v>
      </c>
      <c r="E8" s="21" t="s">
        <v>551</v>
      </c>
      <c r="F8" s="21">
        <v>2</v>
      </c>
      <c r="G8" s="21" t="s">
        <v>550</v>
      </c>
      <c r="H8" s="21">
        <v>2</v>
      </c>
      <c r="I8" s="21" t="s">
        <v>8</v>
      </c>
      <c r="K8" s="55"/>
      <c r="L8" s="53" t="s">
        <v>582</v>
      </c>
      <c r="M8" s="53" t="s">
        <v>583</v>
      </c>
      <c r="N8" s="53" t="s">
        <v>584</v>
      </c>
      <c r="O8" s="53" t="s">
        <v>585</v>
      </c>
      <c r="P8" s="54" t="s">
        <v>586</v>
      </c>
    </row>
    <row r="9" spans="3:16" x14ac:dyDescent="0.25">
      <c r="C9" s="28" t="s">
        <v>529</v>
      </c>
      <c r="D9" s="21" t="s">
        <v>2</v>
      </c>
      <c r="E9" s="21" t="s">
        <v>552</v>
      </c>
      <c r="F9" s="21">
        <v>2</v>
      </c>
      <c r="G9" s="21" t="s">
        <v>553</v>
      </c>
      <c r="H9" s="21">
        <v>2</v>
      </c>
      <c r="I9" s="21" t="s">
        <v>7</v>
      </c>
      <c r="K9" s="50" t="s">
        <v>579</v>
      </c>
      <c r="L9" s="51" t="s">
        <v>528</v>
      </c>
      <c r="M9" s="39" t="s">
        <v>0</v>
      </c>
      <c r="N9" s="39">
        <f>L5+6</f>
        <v>2006</v>
      </c>
      <c r="O9" s="39" t="s">
        <v>581</v>
      </c>
      <c r="P9" s="52">
        <v>45</v>
      </c>
    </row>
    <row r="10" spans="3:16" x14ac:dyDescent="0.25">
      <c r="D10" s="30"/>
      <c r="E10" s="30"/>
      <c r="K10" s="45" t="s">
        <v>580</v>
      </c>
      <c r="L10" s="27" t="s">
        <v>528</v>
      </c>
      <c r="M10" s="21" t="s">
        <v>0</v>
      </c>
      <c r="N10" s="21">
        <f>L6+6</f>
        <v>1006</v>
      </c>
      <c r="O10" s="21" t="s">
        <v>581</v>
      </c>
      <c r="P10" s="46">
        <v>45</v>
      </c>
    </row>
    <row r="11" spans="3:16" x14ac:dyDescent="0.25">
      <c r="C11" s="21" t="s">
        <v>539</v>
      </c>
      <c r="D11" s="107" t="s">
        <v>540</v>
      </c>
      <c r="E11" s="107"/>
      <c r="F11" s="21" t="s">
        <v>538</v>
      </c>
      <c r="K11" s="45" t="s">
        <v>579</v>
      </c>
      <c r="L11" s="28" t="s">
        <v>637</v>
      </c>
      <c r="M11" s="21" t="s">
        <v>1</v>
      </c>
      <c r="N11" s="21">
        <f>L5-85</f>
        <v>1915</v>
      </c>
      <c r="O11" s="21" t="s">
        <v>581</v>
      </c>
      <c r="P11" s="46">
        <v>90</v>
      </c>
    </row>
    <row r="12" spans="3:16" x14ac:dyDescent="0.25">
      <c r="C12" s="14" t="s">
        <v>470</v>
      </c>
      <c r="D12" s="106" t="s">
        <v>576</v>
      </c>
      <c r="E12" s="106"/>
      <c r="F12" s="21">
        <v>6</v>
      </c>
      <c r="K12" s="45" t="s">
        <v>580</v>
      </c>
      <c r="L12" s="28" t="s">
        <v>637</v>
      </c>
      <c r="M12" s="21" t="s">
        <v>1</v>
      </c>
      <c r="N12" s="21">
        <f>L6-85</f>
        <v>915</v>
      </c>
      <c r="O12" s="21" t="s">
        <v>581</v>
      </c>
      <c r="P12" s="46">
        <v>90</v>
      </c>
    </row>
    <row r="13" spans="3:16" x14ac:dyDescent="0.25">
      <c r="C13" s="14" t="s">
        <v>485</v>
      </c>
      <c r="D13" s="106" t="s">
        <v>577</v>
      </c>
      <c r="E13" s="106"/>
      <c r="F13" s="21">
        <v>12</v>
      </c>
      <c r="K13" s="45" t="s">
        <v>579</v>
      </c>
      <c r="L13" s="29" t="s">
        <v>575</v>
      </c>
      <c r="M13" s="21" t="s">
        <v>657</v>
      </c>
      <c r="N13" s="21">
        <f>(L5-69)/2+6</f>
        <v>971.5</v>
      </c>
      <c r="O13" s="21" t="s">
        <v>599</v>
      </c>
      <c r="P13" s="46">
        <v>45</v>
      </c>
    </row>
    <row r="14" spans="3:16" x14ac:dyDescent="0.25">
      <c r="K14" s="45" t="s">
        <v>580</v>
      </c>
      <c r="L14" s="29" t="s">
        <v>575</v>
      </c>
      <c r="M14" s="21" t="s">
        <v>657</v>
      </c>
      <c r="N14" s="21">
        <f>L6-58</f>
        <v>942</v>
      </c>
      <c r="O14" s="21" t="s">
        <v>599</v>
      </c>
      <c r="P14" s="46">
        <v>45</v>
      </c>
    </row>
    <row r="15" spans="3:16" x14ac:dyDescent="0.25">
      <c r="C15" s="104" t="s">
        <v>543</v>
      </c>
      <c r="D15" s="104"/>
      <c r="K15" s="45" t="s">
        <v>579</v>
      </c>
      <c r="L15" s="56" t="s">
        <v>658</v>
      </c>
      <c r="M15" s="21" t="s">
        <v>1</v>
      </c>
      <c r="N15" s="21">
        <f>N13-136</f>
        <v>835.5</v>
      </c>
      <c r="O15" s="21" t="s">
        <v>599</v>
      </c>
      <c r="P15" s="46">
        <v>90</v>
      </c>
    </row>
    <row r="16" spans="3:16" x14ac:dyDescent="0.25">
      <c r="C16" s="21" t="s">
        <v>9</v>
      </c>
      <c r="D16" s="21" t="s">
        <v>573</v>
      </c>
      <c r="K16" s="45" t="s">
        <v>580</v>
      </c>
      <c r="L16" s="56" t="s">
        <v>658</v>
      </c>
      <c r="M16" s="21" t="s">
        <v>1</v>
      </c>
      <c r="N16" s="21">
        <f>N14-136</f>
        <v>806</v>
      </c>
      <c r="O16" s="21" t="s">
        <v>599</v>
      </c>
      <c r="P16" s="46">
        <v>90</v>
      </c>
    </row>
    <row r="17" spans="1:16" x14ac:dyDescent="0.25">
      <c r="C17" s="21"/>
      <c r="D17" s="21"/>
      <c r="K17" s="45" t="s">
        <v>580</v>
      </c>
      <c r="L17" s="21" t="s">
        <v>644</v>
      </c>
      <c r="M17" s="21" t="s">
        <v>645</v>
      </c>
      <c r="N17" s="21">
        <f>N14-76</f>
        <v>866</v>
      </c>
      <c r="O17" s="21" t="s">
        <v>606</v>
      </c>
      <c r="P17" s="46">
        <v>90</v>
      </c>
    </row>
    <row r="18" spans="1:16" x14ac:dyDescent="0.25">
      <c r="C18" s="21"/>
      <c r="D18" s="21"/>
      <c r="K18" s="45" t="s">
        <v>580</v>
      </c>
      <c r="L18" s="28" t="s">
        <v>637</v>
      </c>
      <c r="M18" s="21" t="s">
        <v>1</v>
      </c>
      <c r="N18" s="21">
        <f>N17-6</f>
        <v>860</v>
      </c>
      <c r="O18" s="21" t="s">
        <v>581</v>
      </c>
      <c r="P18" s="46">
        <v>90</v>
      </c>
    </row>
    <row r="19" spans="1:16" x14ac:dyDescent="0.25">
      <c r="A19" t="s">
        <v>623</v>
      </c>
      <c r="C19" s="21" t="s">
        <v>544</v>
      </c>
      <c r="D19" s="21" t="s">
        <v>574</v>
      </c>
      <c r="K19" s="45" t="s">
        <v>579</v>
      </c>
      <c r="L19" s="28" t="s">
        <v>529</v>
      </c>
      <c r="M19" s="21" t="s">
        <v>2</v>
      </c>
      <c r="N19" s="21">
        <f>N13-118</f>
        <v>853.5</v>
      </c>
      <c r="O19" s="21" t="s">
        <v>599</v>
      </c>
      <c r="P19" s="46">
        <v>45</v>
      </c>
    </row>
    <row r="20" spans="1:16" ht="15.75" thickBot="1" x14ac:dyDescent="0.3">
      <c r="K20" s="40" t="s">
        <v>580</v>
      </c>
      <c r="L20" s="47" t="s">
        <v>529</v>
      </c>
      <c r="M20" s="48" t="s">
        <v>2</v>
      </c>
      <c r="N20" s="48">
        <f>N14-118</f>
        <v>824</v>
      </c>
      <c r="O20" s="48" t="s">
        <v>599</v>
      </c>
      <c r="P20" s="49">
        <v>45</v>
      </c>
    </row>
    <row r="21" spans="1:16" ht="15.75" thickBot="1" x14ac:dyDescent="0.3">
      <c r="C21" s="104" t="s">
        <v>554</v>
      </c>
      <c r="D21" s="104"/>
      <c r="F21" s="104" t="s">
        <v>567</v>
      </c>
      <c r="G21" s="104"/>
    </row>
    <row r="22" spans="1:16" ht="15.75" thickBot="1" x14ac:dyDescent="0.3">
      <c r="C22" s="14" t="s">
        <v>555</v>
      </c>
      <c r="D22" s="21" t="s">
        <v>558</v>
      </c>
      <c r="F22" s="14" t="s">
        <v>561</v>
      </c>
      <c r="G22" s="21" t="s">
        <v>564</v>
      </c>
      <c r="K22" s="125" t="s">
        <v>543</v>
      </c>
      <c r="L22" s="126"/>
    </row>
    <row r="23" spans="1:16" x14ac:dyDescent="0.25">
      <c r="C23" s="14" t="s">
        <v>556</v>
      </c>
      <c r="D23" s="21" t="s">
        <v>559</v>
      </c>
      <c r="F23" s="14" t="s">
        <v>562</v>
      </c>
      <c r="G23" s="21" t="s">
        <v>565</v>
      </c>
      <c r="K23" s="57" t="s">
        <v>9</v>
      </c>
      <c r="L23" s="58">
        <f>N13-128</f>
        <v>843.5</v>
      </c>
      <c r="M23" s="137" t="s">
        <v>581</v>
      </c>
    </row>
    <row r="24" spans="1:16" ht="15.75" thickBot="1" x14ac:dyDescent="0.3">
      <c r="C24" s="14" t="s">
        <v>557</v>
      </c>
      <c r="D24" s="21" t="s">
        <v>560</v>
      </c>
      <c r="F24" s="14" t="s">
        <v>563</v>
      </c>
      <c r="G24" s="21" t="s">
        <v>566</v>
      </c>
      <c r="K24" s="59" t="s">
        <v>544</v>
      </c>
      <c r="L24" s="59">
        <f>N14-128</f>
        <v>814</v>
      </c>
      <c r="M24" s="138"/>
    </row>
    <row r="26" spans="1:16" x14ac:dyDescent="0.25">
      <c r="C26" s="105"/>
      <c r="D26" s="105"/>
    </row>
  </sheetData>
  <mergeCells count="15">
    <mergeCell ref="M5:N6"/>
    <mergeCell ref="K2:L2"/>
    <mergeCell ref="D3:F3"/>
    <mergeCell ref="G3:I3"/>
    <mergeCell ref="K3:L3"/>
    <mergeCell ref="K4:L4"/>
    <mergeCell ref="K22:L22"/>
    <mergeCell ref="M23:M24"/>
    <mergeCell ref="C26:D26"/>
    <mergeCell ref="D11:E11"/>
    <mergeCell ref="D12:E12"/>
    <mergeCell ref="D13:E13"/>
    <mergeCell ref="C15:D15"/>
    <mergeCell ref="C21:D21"/>
    <mergeCell ref="F21:G2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1">
    <pageSetUpPr fitToPage="1"/>
  </sheetPr>
  <dimension ref="A1:R32"/>
  <sheetViews>
    <sheetView topLeftCell="J7" workbookViewId="0">
      <selection activeCell="S23" sqref="S23"/>
    </sheetView>
  </sheetViews>
  <sheetFormatPr baseColWidth="10" defaultColWidth="10.7109375" defaultRowHeight="15" x14ac:dyDescent="0.25"/>
  <cols>
    <col min="1" max="1" width="18.7109375" hidden="1" customWidth="1"/>
    <col min="2" max="2" width="0" hidden="1" customWidth="1"/>
    <col min="3" max="3" width="12.42578125" hidden="1" customWidth="1"/>
    <col min="4" max="4" width="22.7109375" hidden="1" customWidth="1"/>
    <col min="5" max="6" width="0" hidden="1" customWidth="1"/>
    <col min="7" max="7" width="12.85546875" hidden="1" customWidth="1"/>
    <col min="8" max="9" width="0" hidden="1" customWidth="1"/>
    <col min="10" max="10" width="6.5703125" customWidth="1"/>
    <col min="12" max="12" width="13.85546875" customWidth="1"/>
    <col min="13" max="13" width="23.140625" bestFit="1" customWidth="1"/>
  </cols>
  <sheetData>
    <row r="1" spans="1:18" ht="15.75" thickBot="1" x14ac:dyDescent="0.3"/>
    <row r="2" spans="1:18" x14ac:dyDescent="0.25">
      <c r="D2" s="105"/>
      <c r="E2" s="105"/>
      <c r="F2" s="105"/>
      <c r="G2" s="105"/>
      <c r="H2" s="105"/>
      <c r="I2" s="105"/>
      <c r="K2" s="141"/>
      <c r="L2" s="141"/>
      <c r="N2" s="115" t="s">
        <v>625</v>
      </c>
      <c r="O2" s="140">
        <v>500</v>
      </c>
    </row>
    <row r="3" spans="1:18" ht="15.75" thickBot="1" x14ac:dyDescent="0.3">
      <c r="C3" s="21" t="s">
        <v>4</v>
      </c>
      <c r="D3" s="21" t="s">
        <v>3</v>
      </c>
      <c r="E3" s="21" t="s">
        <v>531</v>
      </c>
      <c r="F3" s="21" t="s">
        <v>5</v>
      </c>
      <c r="G3" s="21" t="s">
        <v>530</v>
      </c>
      <c r="H3" s="21" t="s">
        <v>5</v>
      </c>
      <c r="I3" s="21" t="s">
        <v>6</v>
      </c>
      <c r="K3" s="105"/>
      <c r="L3" s="105"/>
      <c r="N3" s="116"/>
      <c r="O3" s="140"/>
    </row>
    <row r="4" spans="1:18" x14ac:dyDescent="0.25">
      <c r="C4" s="27" t="s">
        <v>528</v>
      </c>
      <c r="D4" s="21" t="s">
        <v>0</v>
      </c>
      <c r="E4" s="21" t="s">
        <v>532</v>
      </c>
      <c r="F4" s="21">
        <v>2</v>
      </c>
      <c r="G4" s="21" t="s">
        <v>533</v>
      </c>
      <c r="H4" s="21">
        <v>2</v>
      </c>
      <c r="I4" s="21" t="s">
        <v>7</v>
      </c>
      <c r="N4" s="115" t="s">
        <v>626</v>
      </c>
      <c r="O4" s="140">
        <v>200</v>
      </c>
      <c r="Q4" s="99" t="s">
        <v>632</v>
      </c>
      <c r="R4" s="100"/>
    </row>
    <row r="5" spans="1:18" ht="15.75" thickBot="1" x14ac:dyDescent="0.3">
      <c r="C5" s="28" t="s">
        <v>500</v>
      </c>
      <c r="D5" s="21" t="s">
        <v>1</v>
      </c>
      <c r="E5" s="21" t="s">
        <v>534</v>
      </c>
      <c r="F5" s="21">
        <v>2</v>
      </c>
      <c r="G5" s="21" t="s">
        <v>535</v>
      </c>
      <c r="H5" s="21">
        <v>2</v>
      </c>
      <c r="I5" s="21" t="s">
        <v>8</v>
      </c>
      <c r="N5" s="116"/>
      <c r="O5" s="140"/>
      <c r="P5">
        <f>O2+O4+O6</f>
        <v>900</v>
      </c>
      <c r="Q5" s="101"/>
      <c r="R5" s="102"/>
    </row>
    <row r="6" spans="1:18" x14ac:dyDescent="0.25">
      <c r="C6" s="28"/>
      <c r="D6" s="21"/>
      <c r="E6" s="21"/>
      <c r="F6" s="21"/>
      <c r="G6" s="21"/>
      <c r="H6" s="21"/>
      <c r="I6" s="21"/>
      <c r="N6" s="139" t="s">
        <v>627</v>
      </c>
      <c r="O6" s="140">
        <v>200</v>
      </c>
    </row>
    <row r="7" spans="1:18" ht="15.75" thickBot="1" x14ac:dyDescent="0.3">
      <c r="C7" s="28"/>
      <c r="D7" s="21"/>
      <c r="E7" s="21"/>
      <c r="F7" s="21"/>
      <c r="G7" s="21"/>
      <c r="H7" s="21"/>
      <c r="I7" s="21"/>
      <c r="N7" s="116"/>
      <c r="O7" s="140"/>
    </row>
    <row r="8" spans="1:18" x14ac:dyDescent="0.25">
      <c r="C8" s="28"/>
      <c r="D8" s="21"/>
      <c r="E8" s="21"/>
      <c r="F8" s="21"/>
      <c r="G8" s="21"/>
      <c r="H8" s="21"/>
      <c r="I8" s="21"/>
      <c r="N8">
        <v>690</v>
      </c>
    </row>
    <row r="9" spans="1:18" x14ac:dyDescent="0.25">
      <c r="C9" s="29" t="s">
        <v>575</v>
      </c>
      <c r="D9" s="21" t="s">
        <v>568</v>
      </c>
      <c r="E9" s="21" t="s">
        <v>548</v>
      </c>
      <c r="F9" s="21">
        <v>2</v>
      </c>
      <c r="G9" s="21" t="s">
        <v>549</v>
      </c>
      <c r="H9" s="21">
        <v>2</v>
      </c>
      <c r="I9" s="21" t="s">
        <v>7</v>
      </c>
    </row>
    <row r="10" spans="1:18" x14ac:dyDescent="0.25">
      <c r="C10" s="28" t="s">
        <v>542</v>
      </c>
      <c r="D10" s="21" t="s">
        <v>1</v>
      </c>
      <c r="E10" s="21" t="s">
        <v>578</v>
      </c>
      <c r="F10" s="21">
        <v>2</v>
      </c>
      <c r="G10" s="21" t="s">
        <v>570</v>
      </c>
      <c r="H10" s="21">
        <v>2</v>
      </c>
      <c r="I10" s="21" t="s">
        <v>8</v>
      </c>
      <c r="K10" s="21"/>
      <c r="L10" s="21" t="s">
        <v>582</v>
      </c>
      <c r="M10" s="21" t="s">
        <v>583</v>
      </c>
      <c r="N10" s="21" t="s">
        <v>584</v>
      </c>
      <c r="O10" s="21" t="s">
        <v>585</v>
      </c>
      <c r="P10" s="21" t="s">
        <v>586</v>
      </c>
    </row>
    <row r="11" spans="1:18" x14ac:dyDescent="0.25">
      <c r="C11" s="28" t="s">
        <v>529</v>
      </c>
      <c r="D11" s="21" t="s">
        <v>2</v>
      </c>
      <c r="E11" s="21" t="s">
        <v>569</v>
      </c>
      <c r="F11" s="21">
        <v>2</v>
      </c>
      <c r="G11" s="21" t="s">
        <v>570</v>
      </c>
      <c r="H11" s="21">
        <v>2</v>
      </c>
      <c r="I11" s="21" t="s">
        <v>7</v>
      </c>
      <c r="K11" s="21" t="s">
        <v>579</v>
      </c>
      <c r="L11" s="27" t="s">
        <v>528</v>
      </c>
      <c r="M11" s="21" t="s">
        <v>0</v>
      </c>
      <c r="N11" s="21">
        <f>N8+6</f>
        <v>696</v>
      </c>
      <c r="O11" s="21" t="s">
        <v>581</v>
      </c>
      <c r="P11" s="21">
        <v>45</v>
      </c>
    </row>
    <row r="12" spans="1:18" x14ac:dyDescent="0.25">
      <c r="D12" s="30"/>
      <c r="E12" s="30"/>
      <c r="K12" s="21" t="s">
        <v>580</v>
      </c>
      <c r="L12" s="27" t="s">
        <v>528</v>
      </c>
      <c r="M12" s="21" t="s">
        <v>0</v>
      </c>
      <c r="N12" s="21">
        <f>P5+6</f>
        <v>906</v>
      </c>
      <c r="O12" s="21" t="s">
        <v>581</v>
      </c>
      <c r="P12" s="21">
        <v>45</v>
      </c>
    </row>
    <row r="13" spans="1:18" x14ac:dyDescent="0.25">
      <c r="C13" s="21" t="s">
        <v>539</v>
      </c>
      <c r="D13" s="107" t="s">
        <v>540</v>
      </c>
      <c r="E13" s="107"/>
      <c r="F13" s="21" t="s">
        <v>538</v>
      </c>
      <c r="K13" s="21" t="s">
        <v>579</v>
      </c>
      <c r="L13" s="28" t="s">
        <v>500</v>
      </c>
      <c r="M13" s="21" t="s">
        <v>1</v>
      </c>
      <c r="N13" s="21">
        <f>N8-85</f>
        <v>605</v>
      </c>
      <c r="O13" s="21" t="s">
        <v>581</v>
      </c>
      <c r="P13" s="21">
        <v>90</v>
      </c>
    </row>
    <row r="14" spans="1:18" x14ac:dyDescent="0.25">
      <c r="A14" t="s">
        <v>631</v>
      </c>
      <c r="C14" s="14" t="s">
        <v>470</v>
      </c>
      <c r="D14" s="106" t="s">
        <v>576</v>
      </c>
      <c r="E14" s="106"/>
      <c r="F14" s="21">
        <v>8</v>
      </c>
      <c r="K14" s="21" t="s">
        <v>580</v>
      </c>
      <c r="L14" s="28" t="s">
        <v>500</v>
      </c>
      <c r="M14" s="21" t="s">
        <v>1</v>
      </c>
      <c r="N14" s="21">
        <f>P5-85</f>
        <v>815</v>
      </c>
      <c r="O14" s="21" t="s">
        <v>581</v>
      </c>
      <c r="P14" s="21">
        <v>90</v>
      </c>
    </row>
    <row r="15" spans="1:18" x14ac:dyDescent="0.25">
      <c r="C15" s="14" t="s">
        <v>485</v>
      </c>
      <c r="D15" s="106" t="s">
        <v>577</v>
      </c>
      <c r="E15" s="106"/>
      <c r="F15" s="21">
        <v>16</v>
      </c>
      <c r="K15" s="21" t="s">
        <v>579</v>
      </c>
      <c r="L15" s="29" t="s">
        <v>575</v>
      </c>
      <c r="M15" s="21" t="s">
        <v>588</v>
      </c>
      <c r="N15" s="21">
        <f>N8-58</f>
        <v>632</v>
      </c>
      <c r="O15" s="21" t="s">
        <v>581</v>
      </c>
      <c r="P15" s="21">
        <v>45</v>
      </c>
    </row>
    <row r="16" spans="1:18" x14ac:dyDescent="0.25">
      <c r="K16" s="21" t="s">
        <v>580</v>
      </c>
      <c r="L16" s="29" t="s">
        <v>575</v>
      </c>
      <c r="M16" s="21" t="s">
        <v>588</v>
      </c>
      <c r="N16" s="21">
        <f>O2-38</f>
        <v>462</v>
      </c>
      <c r="O16" s="21" t="s">
        <v>581</v>
      </c>
      <c r="P16" s="21">
        <v>45</v>
      </c>
    </row>
    <row r="17" spans="3:16" x14ac:dyDescent="0.25">
      <c r="C17" s="104" t="s">
        <v>543</v>
      </c>
      <c r="D17" s="104"/>
      <c r="K17" s="21" t="s">
        <v>579</v>
      </c>
      <c r="L17" s="28" t="s">
        <v>542</v>
      </c>
      <c r="M17" s="21" t="s">
        <v>1</v>
      </c>
      <c r="N17" s="21">
        <f>N8-181</f>
        <v>509</v>
      </c>
      <c r="O17" s="21" t="s">
        <v>581</v>
      </c>
      <c r="P17" s="21">
        <v>90</v>
      </c>
    </row>
    <row r="18" spans="3:16" x14ac:dyDescent="0.25">
      <c r="C18" s="21" t="s">
        <v>9</v>
      </c>
      <c r="D18" s="21" t="s">
        <v>571</v>
      </c>
      <c r="K18" s="21" t="s">
        <v>580</v>
      </c>
      <c r="L18" s="28" t="s">
        <v>542</v>
      </c>
      <c r="M18" s="21" t="s">
        <v>1</v>
      </c>
      <c r="N18" s="21">
        <f>O2-181</f>
        <v>319</v>
      </c>
      <c r="O18" s="21" t="s">
        <v>581</v>
      </c>
      <c r="P18" s="21">
        <v>90</v>
      </c>
    </row>
    <row r="19" spans="3:16" x14ac:dyDescent="0.25">
      <c r="K19" s="21" t="s">
        <v>579</v>
      </c>
      <c r="L19" s="28" t="s">
        <v>624</v>
      </c>
      <c r="M19" s="21" t="s">
        <v>624</v>
      </c>
      <c r="N19" s="21">
        <f>N8-74</f>
        <v>616</v>
      </c>
      <c r="O19" s="21"/>
      <c r="P19" s="21"/>
    </row>
    <row r="20" spans="3:16" x14ac:dyDescent="0.25">
      <c r="L20" s="37"/>
    </row>
    <row r="21" spans="3:16" x14ac:dyDescent="0.25">
      <c r="C21" s="104" t="s">
        <v>554</v>
      </c>
      <c r="D21" s="104"/>
      <c r="F21" s="104" t="s">
        <v>567</v>
      </c>
      <c r="G21" s="104"/>
    </row>
    <row r="22" spans="3:16" x14ac:dyDescent="0.25">
      <c r="C22" s="14" t="s">
        <v>555</v>
      </c>
      <c r="D22" s="21" t="s">
        <v>558</v>
      </c>
      <c r="F22" s="14" t="s">
        <v>561</v>
      </c>
      <c r="G22" s="21" t="s">
        <v>564</v>
      </c>
      <c r="K22" s="104" t="s">
        <v>630</v>
      </c>
      <c r="L22" s="104"/>
    </row>
    <row r="23" spans="3:16" x14ac:dyDescent="0.25">
      <c r="C23" s="14" t="s">
        <v>556</v>
      </c>
      <c r="D23" s="21" t="s">
        <v>559</v>
      </c>
      <c r="F23" s="14" t="s">
        <v>562</v>
      </c>
      <c r="G23" s="21" t="s">
        <v>565</v>
      </c>
      <c r="K23" s="21" t="s">
        <v>9</v>
      </c>
      <c r="L23" s="21">
        <f>N8-90</f>
        <v>600</v>
      </c>
      <c r="M23" s="111">
        <v>1</v>
      </c>
    </row>
    <row r="24" spans="3:16" x14ac:dyDescent="0.25">
      <c r="C24" s="14" t="s">
        <v>557</v>
      </c>
      <c r="D24" s="21" t="s">
        <v>560</v>
      </c>
      <c r="F24" s="14" t="s">
        <v>563</v>
      </c>
      <c r="G24" s="21" t="s">
        <v>566</v>
      </c>
      <c r="K24" s="21" t="s">
        <v>544</v>
      </c>
      <c r="L24" s="21">
        <f>O4-70</f>
        <v>130</v>
      </c>
      <c r="M24" s="112"/>
    </row>
    <row r="26" spans="3:16" x14ac:dyDescent="0.25">
      <c r="C26" s="105"/>
      <c r="D26" s="105"/>
      <c r="K26" s="104" t="s">
        <v>629</v>
      </c>
      <c r="L26" s="104"/>
    </row>
    <row r="27" spans="3:16" x14ac:dyDescent="0.25">
      <c r="K27" s="21" t="s">
        <v>9</v>
      </c>
      <c r="L27" s="21">
        <f>N8-90</f>
        <v>600</v>
      </c>
      <c r="M27" s="111">
        <v>1</v>
      </c>
    </row>
    <row r="28" spans="3:16" x14ac:dyDescent="0.25">
      <c r="K28" s="21" t="s">
        <v>544</v>
      </c>
      <c r="L28" s="21">
        <f>O6-50</f>
        <v>150</v>
      </c>
      <c r="M28" s="112"/>
    </row>
    <row r="30" spans="3:16" x14ac:dyDescent="0.25">
      <c r="K30" s="104" t="s">
        <v>628</v>
      </c>
      <c r="L30" s="104"/>
    </row>
    <row r="31" spans="3:16" x14ac:dyDescent="0.25">
      <c r="K31" s="21" t="s">
        <v>9</v>
      </c>
      <c r="L31" s="21">
        <f>N8-186</f>
        <v>504</v>
      </c>
      <c r="M31" s="111">
        <v>1</v>
      </c>
    </row>
    <row r="32" spans="3:16" x14ac:dyDescent="0.25">
      <c r="K32" s="21" t="s">
        <v>544</v>
      </c>
      <c r="L32" s="21">
        <f>O2-166</f>
        <v>334</v>
      </c>
      <c r="M32" s="112"/>
    </row>
  </sheetData>
  <mergeCells count="24">
    <mergeCell ref="D2:F2"/>
    <mergeCell ref="G2:I2"/>
    <mergeCell ref="K2:L2"/>
    <mergeCell ref="K3:L3"/>
    <mergeCell ref="D13:E13"/>
    <mergeCell ref="M27:M28"/>
    <mergeCell ref="M31:M32"/>
    <mergeCell ref="K30:L30"/>
    <mergeCell ref="Q4:R5"/>
    <mergeCell ref="C26:D26"/>
    <mergeCell ref="K26:L26"/>
    <mergeCell ref="D14:E14"/>
    <mergeCell ref="D15:E15"/>
    <mergeCell ref="C17:D17"/>
    <mergeCell ref="C21:D21"/>
    <mergeCell ref="F21:G21"/>
    <mergeCell ref="K22:L22"/>
    <mergeCell ref="O4:O5"/>
    <mergeCell ref="N2:N3"/>
    <mergeCell ref="N4:N5"/>
    <mergeCell ref="N6:N7"/>
    <mergeCell ref="O6:O7"/>
    <mergeCell ref="M23:M24"/>
    <mergeCell ref="O2:O3"/>
  </mergeCells>
  <pageMargins left="0.7" right="0.7" top="0.75" bottom="0.75" header="0.3" footer="0.3"/>
  <pageSetup orientation="portrait" horizontalDpi="4294967292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2"/>
  <dimension ref="A1:D200"/>
  <sheetViews>
    <sheetView workbookViewId="0">
      <selection activeCell="G88" sqref="G88"/>
    </sheetView>
  </sheetViews>
  <sheetFormatPr baseColWidth="10" defaultColWidth="9.140625" defaultRowHeight="15" x14ac:dyDescent="0.25"/>
  <cols>
    <col min="1" max="1" width="19.140625" style="25" bestFit="1" customWidth="1"/>
    <col min="2" max="2" width="43.28515625" style="26" bestFit="1" customWidth="1"/>
    <col min="3" max="3" width="33.28515625" bestFit="1" customWidth="1"/>
    <col min="4" max="4" width="7.7109375" bestFit="1" customWidth="1"/>
  </cols>
  <sheetData>
    <row r="1" spans="1:3" x14ac:dyDescent="0.25">
      <c r="A1" s="2"/>
      <c r="B1" s="3"/>
      <c r="C1" s="1"/>
    </row>
    <row r="2" spans="1:3" x14ac:dyDescent="0.25">
      <c r="A2" s="5"/>
      <c r="B2" s="6"/>
      <c r="C2" s="4"/>
    </row>
    <row r="3" spans="1:3" x14ac:dyDescent="0.25">
      <c r="A3" s="5"/>
      <c r="B3" s="6"/>
      <c r="C3" s="4"/>
    </row>
    <row r="4" spans="1:3" x14ac:dyDescent="0.25">
      <c r="A4" s="7"/>
      <c r="B4" s="6"/>
      <c r="C4" s="4"/>
    </row>
    <row r="5" spans="1:3" x14ac:dyDescent="0.25">
      <c r="A5" s="9" t="s">
        <v>10</v>
      </c>
      <c r="B5" s="10" t="s">
        <v>11</v>
      </c>
      <c r="C5" s="8" t="s">
        <v>12</v>
      </c>
    </row>
    <row r="6" spans="1:3" x14ac:dyDescent="0.25">
      <c r="A6" s="11" t="s">
        <v>13</v>
      </c>
      <c r="B6" s="12" t="s">
        <v>14</v>
      </c>
      <c r="C6" s="13" t="s">
        <v>15</v>
      </c>
    </row>
    <row r="7" spans="1:3" x14ac:dyDescent="0.25">
      <c r="A7" s="14" t="s">
        <v>16</v>
      </c>
      <c r="B7" s="12" t="s">
        <v>17</v>
      </c>
      <c r="C7" s="15" t="s">
        <v>18</v>
      </c>
    </row>
    <row r="8" spans="1:3" x14ac:dyDescent="0.25">
      <c r="A8" s="14" t="s">
        <v>19</v>
      </c>
      <c r="B8" s="12" t="s">
        <v>20</v>
      </c>
      <c r="C8" s="16" t="s">
        <v>21</v>
      </c>
    </row>
    <row r="9" spans="1:3" x14ac:dyDescent="0.25">
      <c r="A9" s="14" t="s">
        <v>22</v>
      </c>
      <c r="B9" s="17" t="s">
        <v>23</v>
      </c>
      <c r="C9" s="16" t="s">
        <v>24</v>
      </c>
    </row>
    <row r="10" spans="1:3" x14ac:dyDescent="0.25">
      <c r="A10" s="14" t="s">
        <v>25</v>
      </c>
      <c r="B10" s="17" t="s">
        <v>26</v>
      </c>
      <c r="C10" s="16" t="s">
        <v>27</v>
      </c>
    </row>
    <row r="11" spans="1:3" x14ac:dyDescent="0.25">
      <c r="A11" s="14" t="s">
        <v>28</v>
      </c>
      <c r="B11" s="17" t="s">
        <v>29</v>
      </c>
      <c r="C11" s="16" t="s">
        <v>30</v>
      </c>
    </row>
    <row r="12" spans="1:3" x14ac:dyDescent="0.25">
      <c r="A12" s="14" t="s">
        <v>31</v>
      </c>
      <c r="B12" s="17" t="s">
        <v>32</v>
      </c>
      <c r="C12" s="16" t="s">
        <v>33</v>
      </c>
    </row>
    <row r="13" spans="1:3" x14ac:dyDescent="0.25">
      <c r="A13" s="14" t="s">
        <v>34</v>
      </c>
      <c r="B13" s="17" t="s">
        <v>35</v>
      </c>
      <c r="C13" s="16" t="s">
        <v>36</v>
      </c>
    </row>
    <row r="14" spans="1:3" x14ac:dyDescent="0.25">
      <c r="A14" s="14" t="s">
        <v>37</v>
      </c>
      <c r="B14" s="17" t="s">
        <v>38</v>
      </c>
      <c r="C14" s="16" t="s">
        <v>39</v>
      </c>
    </row>
    <row r="15" spans="1:3" x14ac:dyDescent="0.25">
      <c r="A15" s="14" t="s">
        <v>40</v>
      </c>
      <c r="B15" s="17" t="s">
        <v>41</v>
      </c>
      <c r="C15" s="16" t="s">
        <v>42</v>
      </c>
    </row>
    <row r="16" spans="1:3" x14ac:dyDescent="0.25">
      <c r="A16" s="14" t="s">
        <v>43</v>
      </c>
      <c r="B16" s="17" t="s">
        <v>44</v>
      </c>
      <c r="C16" s="16" t="s">
        <v>45</v>
      </c>
    </row>
    <row r="17" spans="1:3" x14ac:dyDescent="0.25">
      <c r="A17" s="14" t="s">
        <v>46</v>
      </c>
      <c r="B17" s="17" t="s">
        <v>47</v>
      </c>
      <c r="C17" s="16" t="s">
        <v>48</v>
      </c>
    </row>
    <row r="18" spans="1:3" x14ac:dyDescent="0.25">
      <c r="A18" s="14" t="s">
        <v>49</v>
      </c>
      <c r="B18" s="17" t="s">
        <v>50</v>
      </c>
      <c r="C18" s="16" t="s">
        <v>51</v>
      </c>
    </row>
    <row r="19" spans="1:3" x14ac:dyDescent="0.25">
      <c r="A19" s="14" t="s">
        <v>52</v>
      </c>
      <c r="B19" s="17" t="s">
        <v>53</v>
      </c>
      <c r="C19" s="16" t="s">
        <v>54</v>
      </c>
    </row>
    <row r="20" spans="1:3" x14ac:dyDescent="0.25">
      <c r="A20" s="14" t="s">
        <v>55</v>
      </c>
      <c r="B20" s="17" t="s">
        <v>56</v>
      </c>
      <c r="C20" s="16" t="s">
        <v>57</v>
      </c>
    </row>
    <row r="21" spans="1:3" x14ac:dyDescent="0.25">
      <c r="A21" s="14" t="s">
        <v>58</v>
      </c>
      <c r="B21" s="17" t="s">
        <v>59</v>
      </c>
      <c r="C21" s="16" t="s">
        <v>60</v>
      </c>
    </row>
    <row r="22" spans="1:3" x14ac:dyDescent="0.25">
      <c r="A22" s="14" t="s">
        <v>61</v>
      </c>
      <c r="B22" s="17" t="s">
        <v>62</v>
      </c>
      <c r="C22" s="16" t="s">
        <v>54</v>
      </c>
    </row>
    <row r="23" spans="1:3" x14ac:dyDescent="0.25">
      <c r="A23" s="14" t="s">
        <v>63</v>
      </c>
      <c r="B23" s="17" t="s">
        <v>64</v>
      </c>
      <c r="C23" s="16" t="s">
        <v>57</v>
      </c>
    </row>
    <row r="24" spans="1:3" x14ac:dyDescent="0.25">
      <c r="A24" s="14" t="s">
        <v>65</v>
      </c>
      <c r="B24" s="17" t="s">
        <v>66</v>
      </c>
      <c r="C24" s="16" t="s">
        <v>67</v>
      </c>
    </row>
    <row r="25" spans="1:3" x14ac:dyDescent="0.25">
      <c r="A25" s="14" t="s">
        <v>68</v>
      </c>
      <c r="B25" s="17" t="s">
        <v>69</v>
      </c>
      <c r="C25" s="16" t="s">
        <v>70</v>
      </c>
    </row>
    <row r="26" spans="1:3" x14ac:dyDescent="0.25">
      <c r="A26" s="14" t="s">
        <v>71</v>
      </c>
      <c r="B26" s="17" t="s">
        <v>72</v>
      </c>
      <c r="C26" s="16" t="s">
        <v>73</v>
      </c>
    </row>
    <row r="27" spans="1:3" x14ac:dyDescent="0.25">
      <c r="A27" s="14" t="s">
        <v>74</v>
      </c>
      <c r="B27" s="17" t="s">
        <v>75</v>
      </c>
      <c r="C27" s="16" t="s">
        <v>76</v>
      </c>
    </row>
    <row r="28" spans="1:3" x14ac:dyDescent="0.25">
      <c r="A28" s="14" t="s">
        <v>77</v>
      </c>
      <c r="B28" s="17" t="s">
        <v>78</v>
      </c>
      <c r="C28" s="16" t="s">
        <v>79</v>
      </c>
    </row>
    <row r="29" spans="1:3" x14ac:dyDescent="0.25">
      <c r="A29" s="14" t="s">
        <v>80</v>
      </c>
      <c r="B29" s="17" t="s">
        <v>81</v>
      </c>
      <c r="C29" s="16" t="s">
        <v>82</v>
      </c>
    </row>
    <row r="30" spans="1:3" x14ac:dyDescent="0.25">
      <c r="A30" s="14" t="s">
        <v>83</v>
      </c>
      <c r="B30" s="17" t="s">
        <v>84</v>
      </c>
      <c r="C30" s="16" t="s">
        <v>85</v>
      </c>
    </row>
    <row r="31" spans="1:3" x14ac:dyDescent="0.25">
      <c r="A31" s="14" t="s">
        <v>86</v>
      </c>
      <c r="B31" s="17" t="s">
        <v>87</v>
      </c>
      <c r="C31" s="16" t="s">
        <v>88</v>
      </c>
    </row>
    <row r="32" spans="1:3" x14ac:dyDescent="0.25">
      <c r="A32" s="14" t="s">
        <v>89</v>
      </c>
      <c r="B32" s="17" t="s">
        <v>90</v>
      </c>
      <c r="C32" s="16" t="s">
        <v>91</v>
      </c>
    </row>
    <row r="33" spans="1:3" x14ac:dyDescent="0.25">
      <c r="A33" s="14" t="s">
        <v>92</v>
      </c>
      <c r="B33" s="17" t="s">
        <v>93</v>
      </c>
      <c r="C33" s="16" t="s">
        <v>94</v>
      </c>
    </row>
    <row r="34" spans="1:3" x14ac:dyDescent="0.25">
      <c r="A34" s="14" t="s">
        <v>95</v>
      </c>
      <c r="B34" s="17" t="s">
        <v>96</v>
      </c>
      <c r="C34" s="16" t="s">
        <v>97</v>
      </c>
    </row>
    <row r="35" spans="1:3" x14ac:dyDescent="0.25">
      <c r="A35" s="14" t="s">
        <v>98</v>
      </c>
      <c r="B35" s="17" t="s">
        <v>99</v>
      </c>
      <c r="C35" s="16" t="s">
        <v>100</v>
      </c>
    </row>
    <row r="36" spans="1:3" x14ac:dyDescent="0.25">
      <c r="A36" s="14" t="s">
        <v>101</v>
      </c>
      <c r="B36" s="17" t="s">
        <v>102</v>
      </c>
      <c r="C36" s="16" t="s">
        <v>103</v>
      </c>
    </row>
    <row r="37" spans="1:3" x14ac:dyDescent="0.25">
      <c r="A37" s="14" t="s">
        <v>104</v>
      </c>
      <c r="B37" s="17" t="s">
        <v>105</v>
      </c>
      <c r="C37" s="16" t="s">
        <v>106</v>
      </c>
    </row>
    <row r="38" spans="1:3" x14ac:dyDescent="0.25">
      <c r="A38" s="14" t="s">
        <v>107</v>
      </c>
      <c r="B38" s="17" t="s">
        <v>108</v>
      </c>
      <c r="C38" s="16" t="s">
        <v>109</v>
      </c>
    </row>
    <row r="39" spans="1:3" x14ac:dyDescent="0.25">
      <c r="A39" s="14" t="s">
        <v>110</v>
      </c>
      <c r="B39" s="17" t="s">
        <v>111</v>
      </c>
      <c r="C39" s="16" t="s">
        <v>112</v>
      </c>
    </row>
    <row r="40" spans="1:3" x14ac:dyDescent="0.25">
      <c r="A40" s="14" t="s">
        <v>113</v>
      </c>
      <c r="B40" s="17" t="s">
        <v>114</v>
      </c>
      <c r="C40" s="16" t="s">
        <v>106</v>
      </c>
    </row>
    <row r="41" spans="1:3" x14ac:dyDescent="0.25">
      <c r="A41" s="14" t="s">
        <v>115</v>
      </c>
      <c r="B41" s="17" t="s">
        <v>116</v>
      </c>
      <c r="C41" s="16" t="s">
        <v>109</v>
      </c>
    </row>
    <row r="42" spans="1:3" x14ac:dyDescent="0.25">
      <c r="A42" s="14" t="s">
        <v>117</v>
      </c>
      <c r="B42" s="17" t="s">
        <v>118</v>
      </c>
      <c r="C42" s="16" t="s">
        <v>119</v>
      </c>
    </row>
    <row r="43" spans="1:3" x14ac:dyDescent="0.25">
      <c r="A43" s="14" t="s">
        <v>120</v>
      </c>
      <c r="B43" s="17" t="s">
        <v>121</v>
      </c>
      <c r="C43" s="16" t="s">
        <v>122</v>
      </c>
    </row>
    <row r="44" spans="1:3" x14ac:dyDescent="0.25">
      <c r="A44" s="14" t="s">
        <v>123</v>
      </c>
      <c r="B44" s="17" t="s">
        <v>124</v>
      </c>
      <c r="C44" s="16" t="s">
        <v>125</v>
      </c>
    </row>
    <row r="45" spans="1:3" x14ac:dyDescent="0.25">
      <c r="A45" s="14" t="s">
        <v>126</v>
      </c>
      <c r="B45" s="17" t="s">
        <v>127</v>
      </c>
      <c r="C45" s="16" t="s">
        <v>119</v>
      </c>
    </row>
    <row r="46" spans="1:3" x14ac:dyDescent="0.25">
      <c r="A46" s="14" t="s">
        <v>128</v>
      </c>
      <c r="B46" s="17" t="s">
        <v>129</v>
      </c>
      <c r="C46" s="16" t="s">
        <v>119</v>
      </c>
    </row>
    <row r="47" spans="1:3" x14ac:dyDescent="0.25">
      <c r="A47" s="14" t="s">
        <v>130</v>
      </c>
      <c r="B47" s="17" t="s">
        <v>131</v>
      </c>
      <c r="C47" s="16" t="s">
        <v>125</v>
      </c>
    </row>
    <row r="48" spans="1:3" x14ac:dyDescent="0.25">
      <c r="A48" s="14" t="s">
        <v>132</v>
      </c>
      <c r="B48" s="17" t="s">
        <v>133</v>
      </c>
      <c r="C48" s="16" t="s">
        <v>134</v>
      </c>
    </row>
    <row r="49" spans="1:3" x14ac:dyDescent="0.25">
      <c r="A49" s="14" t="s">
        <v>135</v>
      </c>
      <c r="B49" s="17" t="s">
        <v>136</v>
      </c>
      <c r="C49" s="16" t="s">
        <v>137</v>
      </c>
    </row>
    <row r="50" spans="1:3" x14ac:dyDescent="0.25">
      <c r="A50" s="14" t="s">
        <v>138</v>
      </c>
      <c r="B50" s="17" t="s">
        <v>139</v>
      </c>
      <c r="C50" s="16" t="s">
        <v>140</v>
      </c>
    </row>
    <row r="51" spans="1:3" x14ac:dyDescent="0.25">
      <c r="A51" s="14" t="s">
        <v>141</v>
      </c>
      <c r="B51" s="17" t="s">
        <v>142</v>
      </c>
      <c r="C51" s="16" t="s">
        <v>143</v>
      </c>
    </row>
    <row r="52" spans="1:3" x14ac:dyDescent="0.25">
      <c r="A52" s="14" t="s">
        <v>144</v>
      </c>
      <c r="B52" s="17" t="s">
        <v>145</v>
      </c>
      <c r="C52" s="16" t="s">
        <v>146</v>
      </c>
    </row>
    <row r="53" spans="1:3" x14ac:dyDescent="0.25">
      <c r="A53" s="14" t="s">
        <v>147</v>
      </c>
      <c r="B53" s="17" t="s">
        <v>148</v>
      </c>
      <c r="C53" s="16" t="s">
        <v>149</v>
      </c>
    </row>
    <row r="54" spans="1:3" x14ac:dyDescent="0.25">
      <c r="A54" s="14" t="s">
        <v>150</v>
      </c>
      <c r="B54" s="17" t="s">
        <v>151</v>
      </c>
      <c r="C54" s="16" t="s">
        <v>152</v>
      </c>
    </row>
    <row r="55" spans="1:3" x14ac:dyDescent="0.25">
      <c r="A55" s="14" t="s">
        <v>153</v>
      </c>
      <c r="B55" s="17" t="s">
        <v>154</v>
      </c>
      <c r="C55" s="16" t="s">
        <v>152</v>
      </c>
    </row>
    <row r="56" spans="1:3" x14ac:dyDescent="0.25">
      <c r="A56" s="14" t="s">
        <v>155</v>
      </c>
      <c r="B56" s="17" t="s">
        <v>156</v>
      </c>
      <c r="C56" s="16" t="s">
        <v>157</v>
      </c>
    </row>
    <row r="57" spans="1:3" x14ac:dyDescent="0.25">
      <c r="A57" s="14" t="s">
        <v>158</v>
      </c>
      <c r="B57" s="17" t="s">
        <v>159</v>
      </c>
      <c r="C57" s="16" t="s">
        <v>160</v>
      </c>
    </row>
    <row r="58" spans="1:3" x14ac:dyDescent="0.25">
      <c r="A58" s="14" t="s">
        <v>161</v>
      </c>
      <c r="B58" s="17" t="s">
        <v>162</v>
      </c>
      <c r="C58" s="16" t="s">
        <v>163</v>
      </c>
    </row>
    <row r="59" spans="1:3" x14ac:dyDescent="0.25">
      <c r="A59" s="14" t="s">
        <v>164</v>
      </c>
      <c r="B59" s="17" t="s">
        <v>165</v>
      </c>
      <c r="C59" s="16" t="s">
        <v>166</v>
      </c>
    </row>
    <row r="60" spans="1:3" x14ac:dyDescent="0.25">
      <c r="A60" s="14" t="s">
        <v>167</v>
      </c>
      <c r="B60" s="17" t="s">
        <v>168</v>
      </c>
      <c r="C60" s="16" t="s">
        <v>169</v>
      </c>
    </row>
    <row r="61" spans="1:3" x14ac:dyDescent="0.25">
      <c r="A61" s="14" t="s">
        <v>170</v>
      </c>
      <c r="B61" s="17" t="s">
        <v>171</v>
      </c>
      <c r="C61" s="16" t="s">
        <v>172</v>
      </c>
    </row>
    <row r="62" spans="1:3" x14ac:dyDescent="0.25">
      <c r="A62" s="14" t="s">
        <v>173</v>
      </c>
      <c r="B62" s="17" t="s">
        <v>174</v>
      </c>
      <c r="C62" s="16" t="s">
        <v>175</v>
      </c>
    </row>
    <row r="63" spans="1:3" x14ac:dyDescent="0.25">
      <c r="A63" s="14" t="s">
        <v>176</v>
      </c>
      <c r="B63" s="17" t="s">
        <v>177</v>
      </c>
      <c r="C63" s="16" t="s">
        <v>178</v>
      </c>
    </row>
    <row r="64" spans="1:3" x14ac:dyDescent="0.25">
      <c r="A64" s="14" t="s">
        <v>179</v>
      </c>
      <c r="B64" s="17" t="s">
        <v>180</v>
      </c>
      <c r="C64" s="16" t="s">
        <v>181</v>
      </c>
    </row>
    <row r="65" spans="1:3" x14ac:dyDescent="0.25">
      <c r="A65" s="14" t="s">
        <v>182</v>
      </c>
      <c r="B65" s="17" t="s">
        <v>183</v>
      </c>
      <c r="C65" s="16" t="s">
        <v>181</v>
      </c>
    </row>
    <row r="66" spans="1:3" x14ac:dyDescent="0.25">
      <c r="A66" s="14" t="s">
        <v>83</v>
      </c>
      <c r="B66" s="17" t="s">
        <v>184</v>
      </c>
      <c r="C66" s="16" t="s">
        <v>85</v>
      </c>
    </row>
    <row r="67" spans="1:3" x14ac:dyDescent="0.25">
      <c r="A67" s="14" t="s">
        <v>86</v>
      </c>
      <c r="B67" s="17" t="s">
        <v>185</v>
      </c>
      <c r="C67" s="16" t="s">
        <v>88</v>
      </c>
    </row>
    <row r="68" spans="1:3" x14ac:dyDescent="0.25">
      <c r="A68" s="14" t="s">
        <v>89</v>
      </c>
      <c r="B68" s="17" t="s">
        <v>186</v>
      </c>
      <c r="C68" s="16" t="s">
        <v>91</v>
      </c>
    </row>
    <row r="69" spans="1:3" x14ac:dyDescent="0.25">
      <c r="A69" s="14" t="s">
        <v>187</v>
      </c>
      <c r="B69" s="17" t="s">
        <v>188</v>
      </c>
      <c r="C69" s="16" t="s">
        <v>189</v>
      </c>
    </row>
    <row r="70" spans="1:3" x14ac:dyDescent="0.25">
      <c r="A70" s="14" t="s">
        <v>190</v>
      </c>
      <c r="B70" s="17" t="s">
        <v>191</v>
      </c>
      <c r="C70" s="16" t="s">
        <v>192</v>
      </c>
    </row>
    <row r="71" spans="1:3" x14ac:dyDescent="0.25">
      <c r="A71" s="14" t="s">
        <v>193</v>
      </c>
      <c r="B71" s="17" t="s">
        <v>194</v>
      </c>
      <c r="C71" s="16" t="s">
        <v>195</v>
      </c>
    </row>
    <row r="72" spans="1:3" x14ac:dyDescent="0.25">
      <c r="A72" s="14" t="s">
        <v>196</v>
      </c>
      <c r="B72" s="17" t="s">
        <v>197</v>
      </c>
      <c r="C72" s="16" t="s">
        <v>198</v>
      </c>
    </row>
    <row r="73" spans="1:3" x14ac:dyDescent="0.25">
      <c r="A73" s="14" t="s">
        <v>199</v>
      </c>
      <c r="B73" s="17" t="s">
        <v>200</v>
      </c>
      <c r="C73" s="16" t="s">
        <v>201</v>
      </c>
    </row>
    <row r="74" spans="1:3" x14ac:dyDescent="0.25">
      <c r="A74" s="14" t="s">
        <v>202</v>
      </c>
      <c r="B74" s="17" t="s">
        <v>203</v>
      </c>
      <c r="C74" s="16" t="s">
        <v>204</v>
      </c>
    </row>
    <row r="75" spans="1:3" x14ac:dyDescent="0.25">
      <c r="A75" s="14" t="s">
        <v>205</v>
      </c>
      <c r="B75" s="17" t="s">
        <v>206</v>
      </c>
      <c r="C75" s="16" t="s">
        <v>207</v>
      </c>
    </row>
    <row r="76" spans="1:3" x14ac:dyDescent="0.25">
      <c r="A76" s="14" t="s">
        <v>208</v>
      </c>
      <c r="B76" s="17" t="s">
        <v>209</v>
      </c>
      <c r="C76" s="16" t="s">
        <v>210</v>
      </c>
    </row>
    <row r="77" spans="1:3" x14ac:dyDescent="0.25">
      <c r="A77" s="14" t="s">
        <v>211</v>
      </c>
      <c r="B77" s="17" t="s">
        <v>212</v>
      </c>
      <c r="C77" s="16" t="s">
        <v>213</v>
      </c>
    </row>
    <row r="78" spans="1:3" x14ac:dyDescent="0.25">
      <c r="A78" s="14" t="s">
        <v>214</v>
      </c>
      <c r="B78" s="17" t="s">
        <v>215</v>
      </c>
      <c r="C78" s="16" t="s">
        <v>216</v>
      </c>
    </row>
    <row r="79" spans="1:3" x14ac:dyDescent="0.25">
      <c r="A79" s="14" t="s">
        <v>217</v>
      </c>
      <c r="B79" s="17" t="s">
        <v>218</v>
      </c>
      <c r="C79" s="16" t="s">
        <v>219</v>
      </c>
    </row>
    <row r="80" spans="1:3" x14ac:dyDescent="0.25">
      <c r="A80" s="14" t="s">
        <v>220</v>
      </c>
      <c r="B80" s="17" t="s">
        <v>221</v>
      </c>
      <c r="C80" s="16" t="s">
        <v>222</v>
      </c>
    </row>
    <row r="81" spans="1:4" x14ac:dyDescent="0.25">
      <c r="A81" s="14" t="s">
        <v>92</v>
      </c>
      <c r="B81" s="17" t="s">
        <v>223</v>
      </c>
      <c r="C81" s="16" t="s">
        <v>94</v>
      </c>
    </row>
    <row r="82" spans="1:4" x14ac:dyDescent="0.25">
      <c r="A82" s="14" t="s">
        <v>95</v>
      </c>
      <c r="B82" s="17" t="s">
        <v>224</v>
      </c>
      <c r="C82" s="16" t="s">
        <v>97</v>
      </c>
    </row>
    <row r="83" spans="1:4" x14ac:dyDescent="0.25">
      <c r="A83" s="14" t="s">
        <v>98</v>
      </c>
      <c r="B83" s="17" t="s">
        <v>225</v>
      </c>
      <c r="C83" s="16" t="s">
        <v>100</v>
      </c>
    </row>
    <row r="84" spans="1:4" x14ac:dyDescent="0.25">
      <c r="A84" s="14" t="s">
        <v>226</v>
      </c>
      <c r="B84" s="17" t="s">
        <v>227</v>
      </c>
      <c r="C84" s="16" t="s">
        <v>228</v>
      </c>
    </row>
    <row r="85" spans="1:4" x14ac:dyDescent="0.25">
      <c r="A85" s="14" t="s">
        <v>229</v>
      </c>
      <c r="B85" s="17" t="s">
        <v>230</v>
      </c>
      <c r="C85" s="16" t="s">
        <v>231</v>
      </c>
    </row>
    <row r="86" spans="1:4" x14ac:dyDescent="0.25">
      <c r="A86" s="14" t="s">
        <v>232</v>
      </c>
      <c r="B86" s="17" t="s">
        <v>233</v>
      </c>
      <c r="C86" s="16" t="s">
        <v>234</v>
      </c>
    </row>
    <row r="87" spans="1:4" x14ac:dyDescent="0.25">
      <c r="A87" s="14" t="s">
        <v>235</v>
      </c>
      <c r="B87" s="17" t="s">
        <v>236</v>
      </c>
      <c r="C87" s="16" t="s">
        <v>237</v>
      </c>
    </row>
    <row r="88" spans="1:4" x14ac:dyDescent="0.25">
      <c r="A88" s="14" t="s">
        <v>238</v>
      </c>
      <c r="B88" s="17" t="s">
        <v>239</v>
      </c>
      <c r="C88" s="16" t="s">
        <v>240</v>
      </c>
      <c r="D88" s="18"/>
    </row>
    <row r="89" spans="1:4" x14ac:dyDescent="0.25">
      <c r="A89" s="14" t="s">
        <v>241</v>
      </c>
      <c r="B89" s="17" t="s">
        <v>242</v>
      </c>
      <c r="C89" s="16" t="s">
        <v>243</v>
      </c>
    </row>
    <row r="90" spans="1:4" x14ac:dyDescent="0.25">
      <c r="A90" s="14" t="s">
        <v>244</v>
      </c>
      <c r="B90" s="17" t="s">
        <v>245</v>
      </c>
      <c r="C90" s="16" t="s">
        <v>246</v>
      </c>
    </row>
    <row r="91" spans="1:4" x14ac:dyDescent="0.25">
      <c r="A91" s="14" t="s">
        <v>247</v>
      </c>
      <c r="B91" s="17" t="s">
        <v>248</v>
      </c>
      <c r="C91" s="16" t="s">
        <v>249</v>
      </c>
    </row>
    <row r="92" spans="1:4" x14ac:dyDescent="0.25">
      <c r="A92" s="14" t="s">
        <v>250</v>
      </c>
      <c r="B92" s="17" t="s">
        <v>251</v>
      </c>
      <c r="C92" s="16" t="s">
        <v>252</v>
      </c>
    </row>
    <row r="93" spans="1:4" x14ac:dyDescent="0.25">
      <c r="A93" s="14" t="s">
        <v>253</v>
      </c>
      <c r="B93" s="17" t="s">
        <v>254</v>
      </c>
      <c r="C93" s="16" t="s">
        <v>255</v>
      </c>
    </row>
    <row r="94" spans="1:4" x14ac:dyDescent="0.25">
      <c r="A94" s="14" t="s">
        <v>256</v>
      </c>
      <c r="B94" s="17" t="s">
        <v>257</v>
      </c>
      <c r="C94" s="16" t="s">
        <v>258</v>
      </c>
    </row>
    <row r="95" spans="1:4" x14ac:dyDescent="0.25">
      <c r="A95" s="14" t="s">
        <v>259</v>
      </c>
      <c r="B95" s="17" t="s">
        <v>260</v>
      </c>
      <c r="C95" s="16" t="s">
        <v>261</v>
      </c>
    </row>
    <row r="96" spans="1:4" x14ac:dyDescent="0.25">
      <c r="A96" s="14" t="s">
        <v>262</v>
      </c>
      <c r="B96" s="17" t="s">
        <v>263</v>
      </c>
      <c r="C96" s="16" t="s">
        <v>264</v>
      </c>
    </row>
    <row r="97" spans="1:3" x14ac:dyDescent="0.25">
      <c r="A97" s="14" t="s">
        <v>265</v>
      </c>
      <c r="B97" s="17" t="s">
        <v>266</v>
      </c>
      <c r="C97" s="16" t="s">
        <v>267</v>
      </c>
    </row>
    <row r="98" spans="1:3" x14ac:dyDescent="0.25">
      <c r="A98" s="14" t="s">
        <v>268</v>
      </c>
      <c r="B98" s="17" t="s">
        <v>269</v>
      </c>
      <c r="C98" s="16" t="s">
        <v>270</v>
      </c>
    </row>
    <row r="99" spans="1:3" x14ac:dyDescent="0.25">
      <c r="A99" s="14" t="s">
        <v>271</v>
      </c>
      <c r="B99" s="17" t="s">
        <v>272</v>
      </c>
      <c r="C99" s="16" t="s">
        <v>273</v>
      </c>
    </row>
    <row r="100" spans="1:3" x14ac:dyDescent="0.25">
      <c r="A100" s="14" t="s">
        <v>274</v>
      </c>
      <c r="B100" s="17" t="s">
        <v>275</v>
      </c>
      <c r="C100" s="16" t="s">
        <v>276</v>
      </c>
    </row>
    <row r="101" spans="1:3" x14ac:dyDescent="0.25">
      <c r="A101" s="14" t="s">
        <v>277</v>
      </c>
      <c r="B101" s="17" t="s">
        <v>278</v>
      </c>
      <c r="C101" s="16" t="s">
        <v>279</v>
      </c>
    </row>
    <row r="102" spans="1:3" x14ac:dyDescent="0.25">
      <c r="A102" s="14" t="s">
        <v>280</v>
      </c>
      <c r="B102" s="17" t="s">
        <v>281</v>
      </c>
      <c r="C102" s="16" t="s">
        <v>282</v>
      </c>
    </row>
    <row r="103" spans="1:3" x14ac:dyDescent="0.25">
      <c r="A103" s="14" t="s">
        <v>283</v>
      </c>
      <c r="B103" s="17" t="s">
        <v>284</v>
      </c>
      <c r="C103" s="16" t="s">
        <v>285</v>
      </c>
    </row>
    <row r="104" spans="1:3" x14ac:dyDescent="0.25">
      <c r="A104" s="14" t="s">
        <v>286</v>
      </c>
      <c r="B104" s="17" t="s">
        <v>287</v>
      </c>
      <c r="C104" s="16" t="s">
        <v>288</v>
      </c>
    </row>
    <row r="105" spans="1:3" x14ac:dyDescent="0.25">
      <c r="A105" s="14" t="s">
        <v>289</v>
      </c>
      <c r="B105" s="17" t="s">
        <v>290</v>
      </c>
      <c r="C105" s="16" t="s">
        <v>291</v>
      </c>
    </row>
    <row r="106" spans="1:3" x14ac:dyDescent="0.25">
      <c r="A106" s="14" t="s">
        <v>292</v>
      </c>
      <c r="B106" s="17" t="s">
        <v>293</v>
      </c>
      <c r="C106" s="16" t="s">
        <v>291</v>
      </c>
    </row>
    <row r="107" spans="1:3" x14ac:dyDescent="0.25">
      <c r="A107" s="14" t="s">
        <v>294</v>
      </c>
      <c r="B107" s="17" t="s">
        <v>295</v>
      </c>
      <c r="C107" s="16" t="s">
        <v>296</v>
      </c>
    </row>
    <row r="108" spans="1:3" x14ac:dyDescent="0.25">
      <c r="A108" s="14" t="s">
        <v>297</v>
      </c>
      <c r="B108" s="17" t="s">
        <v>298</v>
      </c>
      <c r="C108" s="16" t="s">
        <v>299</v>
      </c>
    </row>
    <row r="109" spans="1:3" x14ac:dyDescent="0.25">
      <c r="A109" s="14" t="s">
        <v>300</v>
      </c>
      <c r="B109" s="17" t="s">
        <v>301</v>
      </c>
      <c r="C109" s="16" t="s">
        <v>302</v>
      </c>
    </row>
    <row r="110" spans="1:3" x14ac:dyDescent="0.25">
      <c r="A110" s="14" t="s">
        <v>303</v>
      </c>
      <c r="B110" s="17" t="s">
        <v>304</v>
      </c>
      <c r="C110" s="16" t="s">
        <v>299</v>
      </c>
    </row>
    <row r="111" spans="1:3" x14ac:dyDescent="0.25">
      <c r="A111" s="14" t="s">
        <v>305</v>
      </c>
      <c r="B111" s="17" t="s">
        <v>306</v>
      </c>
      <c r="C111" s="16" t="s">
        <v>299</v>
      </c>
    </row>
    <row r="112" spans="1:3" x14ac:dyDescent="0.25">
      <c r="A112" s="14" t="s">
        <v>307</v>
      </c>
      <c r="B112" s="17" t="s">
        <v>308</v>
      </c>
      <c r="C112" s="16" t="s">
        <v>299</v>
      </c>
    </row>
    <row r="113" spans="1:3" x14ac:dyDescent="0.25">
      <c r="A113" s="14" t="s">
        <v>309</v>
      </c>
      <c r="B113" s="17" t="s">
        <v>310</v>
      </c>
      <c r="C113" s="16" t="s">
        <v>299</v>
      </c>
    </row>
    <row r="114" spans="1:3" x14ac:dyDescent="0.25">
      <c r="A114" s="14" t="s">
        <v>303</v>
      </c>
      <c r="B114" s="17" t="s">
        <v>311</v>
      </c>
      <c r="C114" s="16" t="s">
        <v>312</v>
      </c>
    </row>
    <row r="115" spans="1:3" x14ac:dyDescent="0.25">
      <c r="A115" s="14" t="s">
        <v>313</v>
      </c>
      <c r="B115" s="17" t="s">
        <v>314</v>
      </c>
      <c r="C115" s="16" t="s">
        <v>315</v>
      </c>
    </row>
    <row r="116" spans="1:3" x14ac:dyDescent="0.25">
      <c r="A116" s="14" t="s">
        <v>316</v>
      </c>
      <c r="B116" s="17" t="s">
        <v>317</v>
      </c>
      <c r="C116" s="16" t="s">
        <v>318</v>
      </c>
    </row>
    <row r="117" spans="1:3" x14ac:dyDescent="0.25">
      <c r="A117" s="14" t="s">
        <v>286</v>
      </c>
      <c r="B117" s="17" t="s">
        <v>319</v>
      </c>
      <c r="C117" s="16" t="s">
        <v>320</v>
      </c>
    </row>
    <row r="118" spans="1:3" x14ac:dyDescent="0.25">
      <c r="A118" s="14" t="s">
        <v>321</v>
      </c>
      <c r="B118" s="17" t="s">
        <v>322</v>
      </c>
      <c r="C118" s="16" t="s">
        <v>323</v>
      </c>
    </row>
    <row r="119" spans="1:3" x14ac:dyDescent="0.25">
      <c r="A119" s="14" t="s">
        <v>324</v>
      </c>
      <c r="B119" s="17" t="s">
        <v>325</v>
      </c>
      <c r="C119" s="16" t="s">
        <v>326</v>
      </c>
    </row>
    <row r="120" spans="1:3" x14ac:dyDescent="0.25">
      <c r="A120" s="14" t="s">
        <v>327</v>
      </c>
      <c r="B120" s="17" t="s">
        <v>328</v>
      </c>
      <c r="C120" s="16" t="s">
        <v>329</v>
      </c>
    </row>
    <row r="121" spans="1:3" x14ac:dyDescent="0.25">
      <c r="A121" s="14" t="s">
        <v>330</v>
      </c>
      <c r="B121" s="17" t="s">
        <v>331</v>
      </c>
      <c r="C121" s="16" t="s">
        <v>332</v>
      </c>
    </row>
    <row r="122" spans="1:3" x14ac:dyDescent="0.25">
      <c r="A122" s="14" t="s">
        <v>333</v>
      </c>
      <c r="B122" s="17" t="s">
        <v>334</v>
      </c>
      <c r="C122" s="16" t="s">
        <v>335</v>
      </c>
    </row>
    <row r="123" spans="1:3" x14ac:dyDescent="0.25">
      <c r="A123" s="14" t="s">
        <v>336</v>
      </c>
      <c r="B123" s="17" t="s">
        <v>337</v>
      </c>
      <c r="C123" s="16" t="s">
        <v>338</v>
      </c>
    </row>
    <row r="124" spans="1:3" x14ac:dyDescent="0.25">
      <c r="A124" s="14" t="s">
        <v>339</v>
      </c>
      <c r="B124" s="17" t="s">
        <v>340</v>
      </c>
      <c r="C124" s="16" t="s">
        <v>341</v>
      </c>
    </row>
    <row r="125" spans="1:3" x14ac:dyDescent="0.25">
      <c r="A125" s="14" t="s">
        <v>342</v>
      </c>
      <c r="B125" s="17" t="s">
        <v>343</v>
      </c>
      <c r="C125" s="16" t="s">
        <v>344</v>
      </c>
    </row>
    <row r="126" spans="1:3" x14ac:dyDescent="0.25">
      <c r="A126" s="14" t="s">
        <v>345</v>
      </c>
      <c r="B126" s="17" t="s">
        <v>346</v>
      </c>
      <c r="C126" s="16" t="s">
        <v>347</v>
      </c>
    </row>
    <row r="127" spans="1:3" x14ac:dyDescent="0.25">
      <c r="A127" s="14" t="s">
        <v>348</v>
      </c>
      <c r="B127" s="17" t="s">
        <v>349</v>
      </c>
      <c r="C127" s="16" t="s">
        <v>350</v>
      </c>
    </row>
    <row r="128" spans="1:3" x14ac:dyDescent="0.25">
      <c r="A128" s="14" t="s">
        <v>351</v>
      </c>
      <c r="B128" s="17" t="s">
        <v>352</v>
      </c>
      <c r="C128" s="16" t="s">
        <v>353</v>
      </c>
    </row>
    <row r="129" spans="1:3" x14ac:dyDescent="0.25">
      <c r="A129" s="14" t="s">
        <v>354</v>
      </c>
      <c r="B129" s="17" t="s">
        <v>355</v>
      </c>
      <c r="C129" s="16" t="s">
        <v>356</v>
      </c>
    </row>
    <row r="130" spans="1:3" x14ac:dyDescent="0.25">
      <c r="A130" s="14" t="s">
        <v>357</v>
      </c>
      <c r="B130" s="17" t="s">
        <v>358</v>
      </c>
      <c r="C130" s="16" t="s">
        <v>359</v>
      </c>
    </row>
    <row r="131" spans="1:3" x14ac:dyDescent="0.25">
      <c r="A131" s="14" t="s">
        <v>360</v>
      </c>
      <c r="B131" s="17" t="s">
        <v>361</v>
      </c>
      <c r="C131" s="16" t="s">
        <v>362</v>
      </c>
    </row>
    <row r="132" spans="1:3" x14ac:dyDescent="0.25">
      <c r="A132" s="14" t="s">
        <v>363</v>
      </c>
      <c r="B132" s="17" t="s">
        <v>364</v>
      </c>
      <c r="C132" s="16" t="s">
        <v>365</v>
      </c>
    </row>
    <row r="133" spans="1:3" x14ac:dyDescent="0.25">
      <c r="A133" s="14" t="s">
        <v>366</v>
      </c>
      <c r="B133" s="17" t="s">
        <v>367</v>
      </c>
      <c r="C133" s="16" t="s">
        <v>368</v>
      </c>
    </row>
    <row r="134" spans="1:3" x14ac:dyDescent="0.25">
      <c r="A134" s="14" t="s">
        <v>369</v>
      </c>
      <c r="B134" s="17" t="s">
        <v>370</v>
      </c>
      <c r="C134" s="16" t="s">
        <v>371</v>
      </c>
    </row>
    <row r="135" spans="1:3" x14ac:dyDescent="0.25">
      <c r="A135" s="14" t="s">
        <v>369</v>
      </c>
      <c r="B135" s="17" t="s">
        <v>370</v>
      </c>
      <c r="C135" s="16" t="s">
        <v>371</v>
      </c>
    </row>
    <row r="136" spans="1:3" x14ac:dyDescent="0.25">
      <c r="A136" s="14" t="s">
        <v>372</v>
      </c>
      <c r="B136" s="17" t="s">
        <v>373</v>
      </c>
      <c r="C136" s="16" t="s">
        <v>374</v>
      </c>
    </row>
    <row r="137" spans="1:3" x14ac:dyDescent="0.25">
      <c r="A137" s="14" t="s">
        <v>375</v>
      </c>
      <c r="B137" s="17" t="s">
        <v>376</v>
      </c>
      <c r="C137" s="16" t="s">
        <v>377</v>
      </c>
    </row>
    <row r="138" spans="1:3" x14ac:dyDescent="0.25">
      <c r="A138" s="14" t="s">
        <v>378</v>
      </c>
      <c r="B138" s="17" t="s">
        <v>379</v>
      </c>
      <c r="C138" s="16" t="s">
        <v>380</v>
      </c>
    </row>
    <row r="139" spans="1:3" x14ac:dyDescent="0.25">
      <c r="A139" s="14" t="s">
        <v>381</v>
      </c>
      <c r="B139" s="17" t="s">
        <v>379</v>
      </c>
      <c r="C139" s="16" t="s">
        <v>382</v>
      </c>
    </row>
    <row r="140" spans="1:3" x14ac:dyDescent="0.25">
      <c r="A140" s="14" t="s">
        <v>383</v>
      </c>
      <c r="B140" s="17" t="s">
        <v>384</v>
      </c>
      <c r="C140" s="16" t="s">
        <v>385</v>
      </c>
    </row>
    <row r="141" spans="1:3" x14ac:dyDescent="0.25">
      <c r="A141" s="14" t="s">
        <v>386</v>
      </c>
      <c r="B141" s="17" t="s">
        <v>387</v>
      </c>
      <c r="C141" s="16" t="s">
        <v>388</v>
      </c>
    </row>
    <row r="142" spans="1:3" x14ac:dyDescent="0.25">
      <c r="A142" s="14" t="s">
        <v>389</v>
      </c>
      <c r="B142" s="17" t="s">
        <v>390</v>
      </c>
      <c r="C142" s="16" t="s">
        <v>391</v>
      </c>
    </row>
    <row r="143" spans="1:3" x14ac:dyDescent="0.25">
      <c r="A143" s="14" t="s">
        <v>392</v>
      </c>
      <c r="B143" s="17" t="s">
        <v>393</v>
      </c>
      <c r="C143" s="16" t="s">
        <v>394</v>
      </c>
    </row>
    <row r="144" spans="1:3" x14ac:dyDescent="0.25">
      <c r="A144" s="14" t="s">
        <v>395</v>
      </c>
      <c r="B144" s="17" t="s">
        <v>396</v>
      </c>
      <c r="C144" s="16" t="s">
        <v>394</v>
      </c>
    </row>
    <row r="145" spans="1:3" x14ac:dyDescent="0.25">
      <c r="A145" s="14" t="s">
        <v>397</v>
      </c>
      <c r="B145" s="17" t="s">
        <v>398</v>
      </c>
      <c r="C145" s="16" t="s">
        <v>399</v>
      </c>
    </row>
    <row r="146" spans="1:3" x14ac:dyDescent="0.25">
      <c r="A146" s="14" t="s">
        <v>400</v>
      </c>
      <c r="B146" s="17" t="s">
        <v>401</v>
      </c>
      <c r="C146" s="16" t="s">
        <v>402</v>
      </c>
    </row>
    <row r="147" spans="1:3" x14ac:dyDescent="0.25">
      <c r="A147" s="14" t="s">
        <v>403</v>
      </c>
      <c r="B147" s="17" t="s">
        <v>404</v>
      </c>
      <c r="C147" s="16" t="s">
        <v>405</v>
      </c>
    </row>
    <row r="148" spans="1:3" x14ac:dyDescent="0.25">
      <c r="A148" s="14" t="s">
        <v>406</v>
      </c>
      <c r="B148" s="17" t="s">
        <v>407</v>
      </c>
      <c r="C148" s="16" t="s">
        <v>408</v>
      </c>
    </row>
    <row r="149" spans="1:3" x14ac:dyDescent="0.25">
      <c r="A149" s="14" t="s">
        <v>409</v>
      </c>
      <c r="B149" s="17" t="s">
        <v>410</v>
      </c>
      <c r="C149" s="16" t="s">
        <v>411</v>
      </c>
    </row>
    <row r="150" spans="1:3" ht="25.5" x14ac:dyDescent="0.25">
      <c r="A150" s="14" t="s">
        <v>412</v>
      </c>
      <c r="B150" s="19" t="s">
        <v>413</v>
      </c>
      <c r="C150" s="16" t="s">
        <v>411</v>
      </c>
    </row>
    <row r="151" spans="1:3" x14ac:dyDescent="0.25">
      <c r="A151" s="14" t="s">
        <v>414</v>
      </c>
      <c r="B151" s="17" t="s">
        <v>415</v>
      </c>
      <c r="C151" s="16" t="s">
        <v>411</v>
      </c>
    </row>
    <row r="152" spans="1:3" x14ac:dyDescent="0.25">
      <c r="A152" s="14" t="s">
        <v>416</v>
      </c>
      <c r="B152" s="17" t="s">
        <v>417</v>
      </c>
      <c r="C152" s="16" t="s">
        <v>411</v>
      </c>
    </row>
    <row r="153" spans="1:3" x14ac:dyDescent="0.25">
      <c r="A153" s="14" t="s">
        <v>418</v>
      </c>
      <c r="B153" s="17" t="s">
        <v>419</v>
      </c>
      <c r="C153" s="16" t="s">
        <v>411</v>
      </c>
    </row>
    <row r="154" spans="1:3" x14ac:dyDescent="0.25">
      <c r="A154" s="14" t="s">
        <v>420</v>
      </c>
      <c r="B154" s="17" t="s">
        <v>421</v>
      </c>
      <c r="C154" s="16" t="s">
        <v>411</v>
      </c>
    </row>
    <row r="155" spans="1:3" x14ac:dyDescent="0.25">
      <c r="A155" s="14" t="s">
        <v>422</v>
      </c>
      <c r="B155" s="17" t="s">
        <v>423</v>
      </c>
      <c r="C155" s="16" t="s">
        <v>424</v>
      </c>
    </row>
    <row r="156" spans="1:3" ht="25.5" x14ac:dyDescent="0.25">
      <c r="A156" s="14" t="s">
        <v>425</v>
      </c>
      <c r="B156" s="19" t="s">
        <v>413</v>
      </c>
      <c r="C156" s="16" t="s">
        <v>424</v>
      </c>
    </row>
    <row r="157" spans="1:3" x14ac:dyDescent="0.25">
      <c r="A157" s="14" t="s">
        <v>426</v>
      </c>
      <c r="B157" s="17" t="s">
        <v>415</v>
      </c>
      <c r="C157" s="16" t="s">
        <v>424</v>
      </c>
    </row>
    <row r="158" spans="1:3" x14ac:dyDescent="0.25">
      <c r="A158" s="14" t="s">
        <v>427</v>
      </c>
      <c r="B158" s="17" t="s">
        <v>417</v>
      </c>
      <c r="C158" s="16" t="s">
        <v>424</v>
      </c>
    </row>
    <row r="159" spans="1:3" x14ac:dyDescent="0.25">
      <c r="A159" s="14" t="s">
        <v>428</v>
      </c>
      <c r="B159" s="17" t="s">
        <v>419</v>
      </c>
      <c r="C159" s="16" t="s">
        <v>424</v>
      </c>
    </row>
    <row r="160" spans="1:3" x14ac:dyDescent="0.25">
      <c r="A160" s="14" t="s">
        <v>429</v>
      </c>
      <c r="B160" s="17" t="s">
        <v>421</v>
      </c>
      <c r="C160" s="16" t="s">
        <v>424</v>
      </c>
    </row>
    <row r="161" spans="1:3" ht="25.5" x14ac:dyDescent="0.25">
      <c r="A161" s="14" t="s">
        <v>430</v>
      </c>
      <c r="B161" s="19" t="s">
        <v>431</v>
      </c>
      <c r="C161" s="16" t="s">
        <v>432</v>
      </c>
    </row>
    <row r="162" spans="1:3" ht="25.5" x14ac:dyDescent="0.25">
      <c r="A162" s="14" t="s">
        <v>433</v>
      </c>
      <c r="B162" s="19" t="s">
        <v>434</v>
      </c>
      <c r="C162" s="16" t="s">
        <v>432</v>
      </c>
    </row>
    <row r="163" spans="1:3" x14ac:dyDescent="0.25">
      <c r="A163" s="14" t="s">
        <v>435</v>
      </c>
      <c r="B163" s="17" t="s">
        <v>436</v>
      </c>
      <c r="C163" s="16" t="s">
        <v>437</v>
      </c>
    </row>
    <row r="164" spans="1:3" x14ac:dyDescent="0.25">
      <c r="A164" s="14" t="s">
        <v>438</v>
      </c>
      <c r="B164" s="17" t="s">
        <v>439</v>
      </c>
      <c r="C164" s="16" t="s">
        <v>440</v>
      </c>
    </row>
    <row r="165" spans="1:3" x14ac:dyDescent="0.25">
      <c r="A165" s="14" t="s">
        <v>441</v>
      </c>
      <c r="B165" s="17" t="s">
        <v>442</v>
      </c>
      <c r="C165" s="16" t="s">
        <v>443</v>
      </c>
    </row>
    <row r="166" spans="1:3" x14ac:dyDescent="0.25">
      <c r="A166" s="14" t="s">
        <v>444</v>
      </c>
      <c r="B166" s="17" t="s">
        <v>445</v>
      </c>
      <c r="C166" s="16" t="s">
        <v>446</v>
      </c>
    </row>
    <row r="167" spans="1:3" x14ac:dyDescent="0.25">
      <c r="A167" s="14" t="s">
        <v>447</v>
      </c>
      <c r="B167" s="17" t="s">
        <v>448</v>
      </c>
      <c r="C167" s="16" t="s">
        <v>449</v>
      </c>
    </row>
    <row r="168" spans="1:3" x14ac:dyDescent="0.25">
      <c r="A168" s="14" t="s">
        <v>450</v>
      </c>
      <c r="B168" s="17" t="s">
        <v>451</v>
      </c>
      <c r="C168" s="16" t="s">
        <v>452</v>
      </c>
    </row>
    <row r="169" spans="1:3" x14ac:dyDescent="0.25">
      <c r="A169" s="14" t="s">
        <v>453</v>
      </c>
      <c r="B169" s="17" t="s">
        <v>454</v>
      </c>
      <c r="C169" s="16" t="s">
        <v>455</v>
      </c>
    </row>
    <row r="170" spans="1:3" x14ac:dyDescent="0.25">
      <c r="A170" s="14" t="s">
        <v>456</v>
      </c>
      <c r="B170" s="17" t="s">
        <v>457</v>
      </c>
      <c r="C170" s="16" t="s">
        <v>458</v>
      </c>
    </row>
    <row r="171" spans="1:3" x14ac:dyDescent="0.25">
      <c r="A171" s="14" t="s">
        <v>459</v>
      </c>
      <c r="B171" s="17" t="s">
        <v>460</v>
      </c>
      <c r="C171" s="16" t="s">
        <v>461</v>
      </c>
    </row>
    <row r="172" spans="1:3" x14ac:dyDescent="0.25">
      <c r="A172" s="14" t="s">
        <v>462</v>
      </c>
      <c r="B172" s="17" t="s">
        <v>463</v>
      </c>
      <c r="C172" s="16" t="s">
        <v>282</v>
      </c>
    </row>
    <row r="173" spans="1:3" x14ac:dyDescent="0.25">
      <c r="A173" s="14" t="s">
        <v>464</v>
      </c>
      <c r="B173" s="17" t="s">
        <v>465</v>
      </c>
      <c r="C173" s="16" t="s">
        <v>466</v>
      </c>
    </row>
    <row r="174" spans="1:3" x14ac:dyDescent="0.25">
      <c r="A174" s="14" t="s">
        <v>467</v>
      </c>
      <c r="B174" s="17" t="s">
        <v>468</v>
      </c>
      <c r="C174" s="16" t="s">
        <v>469</v>
      </c>
    </row>
    <row r="175" spans="1:3" x14ac:dyDescent="0.25">
      <c r="A175" s="14" t="s">
        <v>470</v>
      </c>
      <c r="B175" s="17" t="s">
        <v>471</v>
      </c>
      <c r="C175" s="16" t="s">
        <v>472</v>
      </c>
    </row>
    <row r="176" spans="1:3" x14ac:dyDescent="0.25">
      <c r="A176" s="14" t="s">
        <v>473</v>
      </c>
      <c r="B176" s="17" t="s">
        <v>474</v>
      </c>
      <c r="C176" s="16" t="s">
        <v>475</v>
      </c>
    </row>
    <row r="177" spans="1:3" x14ac:dyDescent="0.25">
      <c r="A177" s="14" t="s">
        <v>476</v>
      </c>
      <c r="B177" s="17" t="s">
        <v>477</v>
      </c>
      <c r="C177" s="16" t="s">
        <v>478</v>
      </c>
    </row>
    <row r="178" spans="1:3" x14ac:dyDescent="0.25">
      <c r="A178" s="14" t="s">
        <v>479</v>
      </c>
      <c r="B178" s="17" t="s">
        <v>480</v>
      </c>
      <c r="C178" s="16" t="s">
        <v>481</v>
      </c>
    </row>
    <row r="179" spans="1:3" x14ac:dyDescent="0.25">
      <c r="A179" s="14" t="s">
        <v>482</v>
      </c>
      <c r="B179" s="17" t="s">
        <v>483</v>
      </c>
      <c r="C179" s="16" t="s">
        <v>484</v>
      </c>
    </row>
    <row r="180" spans="1:3" x14ac:dyDescent="0.25">
      <c r="A180" s="14" t="s">
        <v>485</v>
      </c>
      <c r="B180" s="17" t="s">
        <v>486</v>
      </c>
      <c r="C180" s="16" t="s">
        <v>487</v>
      </c>
    </row>
    <row r="181" spans="1:3" x14ac:dyDescent="0.25">
      <c r="A181" s="14" t="s">
        <v>488</v>
      </c>
      <c r="B181" s="17" t="s">
        <v>489</v>
      </c>
      <c r="C181" s="16" t="s">
        <v>490</v>
      </c>
    </row>
    <row r="182" spans="1:3" x14ac:dyDescent="0.25">
      <c r="A182" s="14" t="s">
        <v>491</v>
      </c>
      <c r="B182" s="17" t="s">
        <v>492</v>
      </c>
      <c r="C182" s="16" t="s">
        <v>493</v>
      </c>
    </row>
    <row r="183" spans="1:3" x14ac:dyDescent="0.25">
      <c r="A183" s="20" t="s">
        <v>494</v>
      </c>
      <c r="B183" s="17" t="s">
        <v>495</v>
      </c>
      <c r="C183" s="16" t="s">
        <v>496</v>
      </c>
    </row>
    <row r="184" spans="1:3" x14ac:dyDescent="0.25">
      <c r="A184" s="22" t="s">
        <v>497</v>
      </c>
      <c r="B184" s="23" t="s">
        <v>498</v>
      </c>
      <c r="C184" s="24" t="s">
        <v>499</v>
      </c>
    </row>
    <row r="185" spans="1:3" x14ac:dyDescent="0.25">
      <c r="A185" s="21" t="s">
        <v>500</v>
      </c>
      <c r="B185" s="21" t="s">
        <v>501</v>
      </c>
      <c r="C185" s="21"/>
    </row>
    <row r="186" spans="1:3" x14ac:dyDescent="0.25">
      <c r="A186" s="21" t="s">
        <v>502</v>
      </c>
      <c r="B186" s="21" t="s">
        <v>503</v>
      </c>
      <c r="C186" s="21"/>
    </row>
    <row r="187" spans="1:3" x14ac:dyDescent="0.25">
      <c r="A187" s="21" t="s">
        <v>504</v>
      </c>
      <c r="B187" s="21" t="s">
        <v>505</v>
      </c>
      <c r="C187" s="21"/>
    </row>
    <row r="188" spans="1:3" x14ac:dyDescent="0.25">
      <c r="A188" s="21" t="s">
        <v>506</v>
      </c>
      <c r="B188" s="21" t="s">
        <v>507</v>
      </c>
      <c r="C188" s="21"/>
    </row>
    <row r="189" spans="1:3" x14ac:dyDescent="0.25">
      <c r="A189" s="21" t="s">
        <v>508</v>
      </c>
      <c r="B189" s="21" t="s">
        <v>509</v>
      </c>
      <c r="C189" s="21"/>
    </row>
    <row r="190" spans="1:3" x14ac:dyDescent="0.25">
      <c r="A190" s="21" t="s">
        <v>510</v>
      </c>
      <c r="B190" s="21" t="s">
        <v>511</v>
      </c>
      <c r="C190" s="21"/>
    </row>
    <row r="191" spans="1:3" x14ac:dyDescent="0.25">
      <c r="A191" s="21" t="s">
        <v>512</v>
      </c>
      <c r="B191" s="21" t="s">
        <v>511</v>
      </c>
      <c r="C191" s="21"/>
    </row>
    <row r="192" spans="1:3" x14ac:dyDescent="0.25">
      <c r="A192" s="21" t="s">
        <v>513</v>
      </c>
      <c r="B192" s="21" t="s">
        <v>511</v>
      </c>
      <c r="C192" s="21"/>
    </row>
    <row r="193" spans="1:3" x14ac:dyDescent="0.25">
      <c r="A193" s="21" t="s">
        <v>514</v>
      </c>
      <c r="B193" s="21" t="s">
        <v>515</v>
      </c>
      <c r="C193" s="21"/>
    </row>
    <row r="194" spans="1:3" x14ac:dyDescent="0.25">
      <c r="A194" s="21" t="s">
        <v>516</v>
      </c>
      <c r="B194" s="21" t="s">
        <v>515</v>
      </c>
      <c r="C194" s="21"/>
    </row>
    <row r="195" spans="1:3" x14ac:dyDescent="0.25">
      <c r="A195" s="21" t="s">
        <v>517</v>
      </c>
      <c r="B195" s="21" t="s">
        <v>518</v>
      </c>
      <c r="C195" s="21"/>
    </row>
    <row r="196" spans="1:3" x14ac:dyDescent="0.25">
      <c r="A196" s="21" t="s">
        <v>519</v>
      </c>
      <c r="B196" s="21" t="s">
        <v>520</v>
      </c>
      <c r="C196" s="21"/>
    </row>
    <row r="197" spans="1:3" x14ac:dyDescent="0.25">
      <c r="A197" s="21" t="s">
        <v>521</v>
      </c>
      <c r="B197" s="21" t="s">
        <v>522</v>
      </c>
      <c r="C197" s="21"/>
    </row>
    <row r="198" spans="1:3" x14ac:dyDescent="0.25">
      <c r="A198" s="21" t="s">
        <v>523</v>
      </c>
      <c r="B198" s="21" t="s">
        <v>524</v>
      </c>
      <c r="C198" s="21"/>
    </row>
    <row r="199" spans="1:3" x14ac:dyDescent="0.25">
      <c r="A199" s="21" t="s">
        <v>525</v>
      </c>
      <c r="B199" s="21" t="s">
        <v>526</v>
      </c>
      <c r="C199" s="21"/>
    </row>
    <row r="200" spans="1:3" x14ac:dyDescent="0.25">
      <c r="A200" s="21" t="s">
        <v>527</v>
      </c>
      <c r="B200" s="21" t="s">
        <v>526</v>
      </c>
      <c r="C200" s="21"/>
    </row>
  </sheetData>
  <autoFilter ref="A5:C200" xr:uid="{00000000-0009-0000-0000-000010000000}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3">
    <pageSetUpPr fitToPage="1"/>
  </sheetPr>
  <dimension ref="B3:G24"/>
  <sheetViews>
    <sheetView topLeftCell="A3" workbookViewId="0">
      <selection activeCell="C24" sqref="C24"/>
    </sheetView>
  </sheetViews>
  <sheetFormatPr baseColWidth="10" defaultColWidth="10.7109375" defaultRowHeight="15" x14ac:dyDescent="0.25"/>
  <cols>
    <col min="3" max="3" width="15.28515625" customWidth="1"/>
    <col min="4" max="4" width="22.7109375" bestFit="1" customWidth="1"/>
    <col min="5" max="5" width="15.42578125" bestFit="1" customWidth="1"/>
  </cols>
  <sheetData>
    <row r="3" spans="2:7" x14ac:dyDescent="0.25">
      <c r="B3" s="103" t="s">
        <v>594</v>
      </c>
      <c r="C3" s="103"/>
    </row>
    <row r="4" spans="2:7" x14ac:dyDescent="0.25">
      <c r="B4" s="109" t="s">
        <v>587</v>
      </c>
      <c r="C4" s="110"/>
    </row>
    <row r="5" spans="2:7" x14ac:dyDescent="0.25">
      <c r="B5" s="21" t="s">
        <v>579</v>
      </c>
      <c r="C5" s="38">
        <v>1500</v>
      </c>
      <c r="D5" s="143" t="s">
        <v>632</v>
      </c>
      <c r="E5" s="144"/>
    </row>
    <row r="6" spans="2:7" x14ac:dyDescent="0.25">
      <c r="B6" s="21" t="s">
        <v>580</v>
      </c>
      <c r="C6" s="38">
        <v>1800</v>
      </c>
      <c r="D6" s="143"/>
      <c r="E6" s="144"/>
    </row>
    <row r="8" spans="2:7" x14ac:dyDescent="0.25">
      <c r="B8" s="21"/>
      <c r="C8" s="21" t="s">
        <v>582</v>
      </c>
      <c r="D8" s="21" t="s">
        <v>583</v>
      </c>
      <c r="E8" s="21" t="s">
        <v>584</v>
      </c>
      <c r="F8" s="21" t="s">
        <v>585</v>
      </c>
      <c r="G8" s="21" t="s">
        <v>586</v>
      </c>
    </row>
    <row r="9" spans="2:7" x14ac:dyDescent="0.25">
      <c r="B9" s="21" t="s">
        <v>579</v>
      </c>
      <c r="C9" s="27" t="s">
        <v>591</v>
      </c>
      <c r="D9" s="21" t="s">
        <v>0</v>
      </c>
      <c r="E9" s="21">
        <f>C5+6</f>
        <v>1506</v>
      </c>
      <c r="F9" s="21" t="s">
        <v>581</v>
      </c>
      <c r="G9" s="21">
        <v>45</v>
      </c>
    </row>
    <row r="10" spans="2:7" x14ac:dyDescent="0.25">
      <c r="B10" s="21" t="s">
        <v>580</v>
      </c>
      <c r="C10" s="27" t="s">
        <v>591</v>
      </c>
      <c r="D10" s="21" t="s">
        <v>0</v>
      </c>
      <c r="E10" s="21">
        <f>C6+6</f>
        <v>1806</v>
      </c>
      <c r="F10" s="21" t="s">
        <v>581</v>
      </c>
      <c r="G10" s="21">
        <v>45</v>
      </c>
    </row>
    <row r="11" spans="2:7" x14ac:dyDescent="0.25">
      <c r="B11" s="21" t="s">
        <v>579</v>
      </c>
      <c r="C11" s="32" t="s">
        <v>597</v>
      </c>
      <c r="D11" s="21" t="s">
        <v>1</v>
      </c>
      <c r="E11" s="21">
        <f>C5-70</f>
        <v>1430</v>
      </c>
      <c r="F11" s="21" t="s">
        <v>581</v>
      </c>
      <c r="G11" s="21">
        <v>90</v>
      </c>
    </row>
    <row r="12" spans="2:7" x14ac:dyDescent="0.25">
      <c r="B12" s="21" t="s">
        <v>580</v>
      </c>
      <c r="C12" s="32" t="s">
        <v>597</v>
      </c>
      <c r="D12" s="21" t="s">
        <v>1</v>
      </c>
      <c r="E12" s="21">
        <f>C6-70</f>
        <v>1730</v>
      </c>
      <c r="F12" s="21" t="s">
        <v>581</v>
      </c>
      <c r="G12" s="21">
        <v>90</v>
      </c>
    </row>
    <row r="13" spans="2:7" x14ac:dyDescent="0.25">
      <c r="B13" s="21" t="s">
        <v>579</v>
      </c>
      <c r="C13" s="29" t="s">
        <v>595</v>
      </c>
      <c r="D13" s="21" t="s">
        <v>592</v>
      </c>
      <c r="E13" s="21">
        <f>(C5/2)+5.5</f>
        <v>755.5</v>
      </c>
      <c r="F13" s="21" t="s">
        <v>599</v>
      </c>
      <c r="G13" s="21">
        <v>45</v>
      </c>
    </row>
    <row r="14" spans="2:7" x14ac:dyDescent="0.25">
      <c r="B14" s="21" t="s">
        <v>580</v>
      </c>
      <c r="C14" s="29" t="s">
        <v>595</v>
      </c>
      <c r="D14" s="21" t="s">
        <v>592</v>
      </c>
      <c r="E14" s="21">
        <f>C6-88</f>
        <v>1712</v>
      </c>
      <c r="F14" s="21" t="s">
        <v>599</v>
      </c>
      <c r="G14" s="21">
        <v>45</v>
      </c>
    </row>
    <row r="15" spans="2:7" x14ac:dyDescent="0.25">
      <c r="B15" s="21" t="s">
        <v>579</v>
      </c>
      <c r="C15" s="32" t="s">
        <v>598</v>
      </c>
      <c r="D15" s="21" t="s">
        <v>1</v>
      </c>
      <c r="E15" s="21">
        <f>E13-6-160</f>
        <v>589.5</v>
      </c>
      <c r="F15" s="21" t="s">
        <v>599</v>
      </c>
      <c r="G15" s="21">
        <v>90</v>
      </c>
    </row>
    <row r="16" spans="2:7" x14ac:dyDescent="0.25">
      <c r="B16" s="21" t="s">
        <v>580</v>
      </c>
      <c r="C16" s="32" t="s">
        <v>598</v>
      </c>
      <c r="D16" s="21" t="s">
        <v>1</v>
      </c>
      <c r="E16" s="21">
        <f>E14-6-160</f>
        <v>1546</v>
      </c>
      <c r="F16" s="21" t="s">
        <v>599</v>
      </c>
      <c r="G16" s="21">
        <v>90</v>
      </c>
    </row>
    <row r="17" spans="2:7" x14ac:dyDescent="0.25">
      <c r="B17" s="21" t="s">
        <v>579</v>
      </c>
      <c r="C17" s="28" t="s">
        <v>529</v>
      </c>
      <c r="D17" s="21" t="s">
        <v>2</v>
      </c>
      <c r="E17" s="21">
        <f>(C5/2)-146.5</f>
        <v>603.5</v>
      </c>
      <c r="F17" s="21" t="s">
        <v>599</v>
      </c>
      <c r="G17" s="21">
        <v>45</v>
      </c>
    </row>
    <row r="18" spans="2:7" x14ac:dyDescent="0.25">
      <c r="B18" s="21" t="s">
        <v>580</v>
      </c>
      <c r="C18" s="28" t="s">
        <v>529</v>
      </c>
      <c r="D18" s="21" t="s">
        <v>2</v>
      </c>
      <c r="E18" s="21">
        <f>C6-240</f>
        <v>1560</v>
      </c>
      <c r="F18" s="21" t="s">
        <v>599</v>
      </c>
      <c r="G18" s="21">
        <v>45</v>
      </c>
    </row>
    <row r="19" spans="2:7" x14ac:dyDescent="0.25">
      <c r="B19" s="21"/>
      <c r="C19" s="28" t="s">
        <v>616</v>
      </c>
      <c r="D19" s="21" t="s">
        <v>618</v>
      </c>
      <c r="E19" s="21">
        <f>E14-6</f>
        <v>1706</v>
      </c>
      <c r="F19" s="21" t="s">
        <v>581</v>
      </c>
      <c r="G19" s="21">
        <v>90</v>
      </c>
    </row>
    <row r="20" spans="2:7" x14ac:dyDescent="0.25">
      <c r="B20" s="21"/>
      <c r="C20" s="28" t="s">
        <v>617</v>
      </c>
      <c r="D20" s="21" t="s">
        <v>619</v>
      </c>
      <c r="E20" s="21">
        <f>C5-114</f>
        <v>1386</v>
      </c>
      <c r="F20" s="21" t="s">
        <v>581</v>
      </c>
      <c r="G20" s="21">
        <v>90</v>
      </c>
    </row>
    <row r="22" spans="2:7" x14ac:dyDescent="0.25">
      <c r="B22" s="104" t="s">
        <v>543</v>
      </c>
      <c r="C22" s="104"/>
      <c r="D22" s="21" t="s">
        <v>538</v>
      </c>
    </row>
    <row r="23" spans="2:7" x14ac:dyDescent="0.25">
      <c r="B23" s="21" t="s">
        <v>9</v>
      </c>
      <c r="C23" s="21">
        <f>E13-162</f>
        <v>593.5</v>
      </c>
      <c r="D23" s="142" t="s">
        <v>581</v>
      </c>
    </row>
    <row r="24" spans="2:7" x14ac:dyDescent="0.25">
      <c r="B24" s="21" t="s">
        <v>544</v>
      </c>
      <c r="C24" s="21">
        <f>E14-162</f>
        <v>1550</v>
      </c>
      <c r="D24" s="142"/>
    </row>
  </sheetData>
  <mergeCells count="5">
    <mergeCell ref="D23:D24"/>
    <mergeCell ref="B3:C3"/>
    <mergeCell ref="B4:C4"/>
    <mergeCell ref="B22:C22"/>
    <mergeCell ref="D5:E6"/>
  </mergeCells>
  <pageMargins left="0.7" right="0.7" top="0.75" bottom="0.75" header="0.3" footer="0.3"/>
  <pageSetup scale="91" orientation="portrait" horizontalDpi="4294967292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2:I23"/>
  <sheetViews>
    <sheetView topLeftCell="A2" workbookViewId="0">
      <selection activeCell="M14" sqref="M14"/>
    </sheetView>
  </sheetViews>
  <sheetFormatPr baseColWidth="10" defaultColWidth="10.7109375" defaultRowHeight="15" x14ac:dyDescent="0.25"/>
  <cols>
    <col min="3" max="3" width="24.5703125" customWidth="1"/>
    <col min="4" max="4" width="22.7109375" customWidth="1"/>
    <col min="5" max="5" width="15.42578125" customWidth="1"/>
  </cols>
  <sheetData>
    <row r="2" spans="2:9" ht="15.75" thickBot="1" x14ac:dyDescent="0.3"/>
    <row r="3" spans="2:9" x14ac:dyDescent="0.25">
      <c r="B3" s="103" t="s">
        <v>675</v>
      </c>
      <c r="C3" s="103"/>
      <c r="F3" s="65"/>
      <c r="G3" s="76"/>
      <c r="H3" s="76"/>
      <c r="I3" s="67"/>
    </row>
    <row r="4" spans="2:9" x14ac:dyDescent="0.25">
      <c r="B4" s="109" t="s">
        <v>587</v>
      </c>
      <c r="C4" s="110"/>
      <c r="F4" s="68"/>
      <c r="G4" s="77"/>
      <c r="H4" s="77"/>
      <c r="I4" s="69"/>
    </row>
    <row r="5" spans="2:9" ht="23.25" x14ac:dyDescent="0.25">
      <c r="B5" s="21" t="s">
        <v>579</v>
      </c>
      <c r="C5" s="38">
        <v>4460</v>
      </c>
      <c r="D5" s="143" t="s">
        <v>632</v>
      </c>
      <c r="E5" s="144"/>
      <c r="F5" s="78" t="s">
        <v>667</v>
      </c>
      <c r="G5" s="79"/>
      <c r="H5" s="79"/>
      <c r="I5" s="80" t="s">
        <v>667</v>
      </c>
    </row>
    <row r="6" spans="2:9" x14ac:dyDescent="0.25">
      <c r="B6" s="21" t="s">
        <v>580</v>
      </c>
      <c r="C6" s="38">
        <v>2000</v>
      </c>
      <c r="D6" s="143"/>
      <c r="E6" s="144"/>
      <c r="F6" s="68"/>
      <c r="G6" s="77"/>
      <c r="H6" s="77"/>
      <c r="I6" s="69"/>
    </row>
    <row r="7" spans="2:9" ht="15.75" thickBot="1" x14ac:dyDescent="0.3">
      <c r="F7" s="70"/>
      <c r="G7" s="41"/>
      <c r="H7" s="41"/>
      <c r="I7" s="72"/>
    </row>
    <row r="8" spans="2:9" x14ac:dyDescent="0.25">
      <c r="B8" s="21"/>
      <c r="C8" s="21" t="s">
        <v>582</v>
      </c>
      <c r="D8" s="21" t="s">
        <v>583</v>
      </c>
      <c r="E8" s="21" t="s">
        <v>584</v>
      </c>
      <c r="F8" s="21" t="s">
        <v>585</v>
      </c>
      <c r="G8" s="21" t="s">
        <v>586</v>
      </c>
    </row>
    <row r="9" spans="2:9" x14ac:dyDescent="0.25">
      <c r="B9" s="21" t="s">
        <v>579</v>
      </c>
      <c r="C9" s="27" t="s">
        <v>591</v>
      </c>
      <c r="D9" s="21" t="s">
        <v>0</v>
      </c>
      <c r="E9" s="21">
        <f>C5+6</f>
        <v>4466</v>
      </c>
      <c r="F9" s="21" t="s">
        <v>581</v>
      </c>
      <c r="G9" s="21">
        <v>45</v>
      </c>
    </row>
    <row r="10" spans="2:9" x14ac:dyDescent="0.25">
      <c r="B10" s="21" t="s">
        <v>580</v>
      </c>
      <c r="C10" s="27" t="s">
        <v>591</v>
      </c>
      <c r="D10" s="21" t="s">
        <v>0</v>
      </c>
      <c r="E10" s="21">
        <f>C6+6</f>
        <v>2006</v>
      </c>
      <c r="F10" s="21" t="s">
        <v>581</v>
      </c>
      <c r="G10" s="21">
        <v>45</v>
      </c>
    </row>
    <row r="11" spans="2:9" x14ac:dyDescent="0.25">
      <c r="B11" s="21" t="s">
        <v>579</v>
      </c>
      <c r="C11" s="32" t="s">
        <v>597</v>
      </c>
      <c r="D11" s="21" t="s">
        <v>1</v>
      </c>
      <c r="E11" s="21">
        <f>C5-70</f>
        <v>4390</v>
      </c>
      <c r="F11" s="21" t="s">
        <v>581</v>
      </c>
      <c r="G11" s="21">
        <v>90</v>
      </c>
    </row>
    <row r="12" spans="2:9" x14ac:dyDescent="0.25">
      <c r="B12" s="21" t="s">
        <v>580</v>
      </c>
      <c r="C12" s="32" t="s">
        <v>597</v>
      </c>
      <c r="D12" s="21" t="s">
        <v>1</v>
      </c>
      <c r="E12" s="21">
        <f>C6-70</f>
        <v>1930</v>
      </c>
      <c r="F12" s="21" t="s">
        <v>581</v>
      </c>
      <c r="G12" s="21">
        <v>90</v>
      </c>
    </row>
    <row r="13" spans="2:9" x14ac:dyDescent="0.25">
      <c r="B13" s="21" t="s">
        <v>579</v>
      </c>
      <c r="C13" s="29" t="s">
        <v>595</v>
      </c>
      <c r="D13" s="21" t="s">
        <v>592</v>
      </c>
      <c r="E13" s="21">
        <f>(C5/4)+27.3</f>
        <v>1142.3</v>
      </c>
      <c r="F13" s="21" t="s">
        <v>664</v>
      </c>
      <c r="G13" s="21">
        <v>45</v>
      </c>
    </row>
    <row r="14" spans="2:9" x14ac:dyDescent="0.25">
      <c r="B14" s="21" t="s">
        <v>580</v>
      </c>
      <c r="C14" s="29" t="s">
        <v>595</v>
      </c>
      <c r="D14" s="21" t="s">
        <v>592</v>
      </c>
      <c r="E14" s="21">
        <f>C6-88</f>
        <v>1912</v>
      </c>
      <c r="F14" s="21" t="s">
        <v>664</v>
      </c>
      <c r="G14" s="21">
        <v>45</v>
      </c>
    </row>
    <row r="15" spans="2:9" x14ac:dyDescent="0.25">
      <c r="B15" s="21" t="s">
        <v>579</v>
      </c>
      <c r="C15" s="32" t="s">
        <v>598</v>
      </c>
      <c r="D15" s="21" t="s">
        <v>1</v>
      </c>
      <c r="E15" s="21">
        <f>E13-6-160</f>
        <v>976.3</v>
      </c>
      <c r="F15" s="21" t="s">
        <v>664</v>
      </c>
      <c r="G15" s="21">
        <v>90</v>
      </c>
    </row>
    <row r="16" spans="2:9" x14ac:dyDescent="0.25">
      <c r="B16" s="21" t="s">
        <v>580</v>
      </c>
      <c r="C16" s="32" t="s">
        <v>598</v>
      </c>
      <c r="D16" s="21" t="s">
        <v>1</v>
      </c>
      <c r="E16" s="21">
        <f>E14-6-160</f>
        <v>1746</v>
      </c>
      <c r="F16" s="21" t="s">
        <v>664</v>
      </c>
      <c r="G16" s="21">
        <v>90</v>
      </c>
    </row>
    <row r="17" spans="2:7" x14ac:dyDescent="0.25">
      <c r="B17" s="21" t="s">
        <v>579</v>
      </c>
      <c r="C17" s="28" t="s">
        <v>529</v>
      </c>
      <c r="D17" s="21" t="s">
        <v>2</v>
      </c>
      <c r="E17" s="21">
        <f>E13-152</f>
        <v>990.3</v>
      </c>
      <c r="F17" s="21" t="s">
        <v>664</v>
      </c>
      <c r="G17" s="21">
        <v>45</v>
      </c>
    </row>
    <row r="18" spans="2:7" x14ac:dyDescent="0.25">
      <c r="B18" s="21" t="s">
        <v>580</v>
      </c>
      <c r="C18" s="28" t="s">
        <v>529</v>
      </c>
      <c r="D18" s="21" t="s">
        <v>2</v>
      </c>
      <c r="E18" s="21">
        <f>E14-152</f>
        <v>1760</v>
      </c>
      <c r="F18" s="21" t="s">
        <v>664</v>
      </c>
      <c r="G18" s="21">
        <v>45</v>
      </c>
    </row>
    <row r="19" spans="2:7" x14ac:dyDescent="0.25">
      <c r="B19" s="21"/>
      <c r="C19" s="28" t="s">
        <v>616</v>
      </c>
      <c r="D19" s="21" t="s">
        <v>618</v>
      </c>
      <c r="E19" s="21">
        <f>E14-6</f>
        <v>1906</v>
      </c>
      <c r="F19" s="21" t="s">
        <v>599</v>
      </c>
      <c r="G19" s="21">
        <v>90</v>
      </c>
    </row>
    <row r="20" spans="2:7" x14ac:dyDescent="0.25">
      <c r="B20" s="21"/>
      <c r="C20" s="28" t="s">
        <v>617</v>
      </c>
      <c r="D20" s="21" t="s">
        <v>619</v>
      </c>
      <c r="E20" s="21">
        <f>C5-114</f>
        <v>4346</v>
      </c>
      <c r="F20" s="21" t="s">
        <v>581</v>
      </c>
      <c r="G20" s="21">
        <v>90</v>
      </c>
    </row>
    <row r="21" spans="2:7" x14ac:dyDescent="0.25">
      <c r="B21" s="104" t="s">
        <v>543</v>
      </c>
      <c r="C21" s="104"/>
      <c r="D21" s="21" t="s">
        <v>538</v>
      </c>
    </row>
    <row r="22" spans="2:7" x14ac:dyDescent="0.25">
      <c r="B22" s="21" t="s">
        <v>9</v>
      </c>
      <c r="C22" s="21">
        <f>E13-162</f>
        <v>980.3</v>
      </c>
      <c r="D22" s="142" t="s">
        <v>599</v>
      </c>
    </row>
    <row r="23" spans="2:7" x14ac:dyDescent="0.25">
      <c r="B23" s="21" t="s">
        <v>544</v>
      </c>
      <c r="C23" s="21">
        <f>E14-162</f>
        <v>1750</v>
      </c>
      <c r="D23" s="142"/>
    </row>
  </sheetData>
  <mergeCells count="5">
    <mergeCell ref="B3:C3"/>
    <mergeCell ref="B4:C4"/>
    <mergeCell ref="D5:E6"/>
    <mergeCell ref="B21:C21"/>
    <mergeCell ref="D22:D23"/>
  </mergeCells>
  <pageMargins left="0.7" right="0.7" top="0.75" bottom="0.75" header="0.3" footer="0.3"/>
  <pageSetup orientation="landscape" horizontalDpi="4294967293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4"/>
  <dimension ref="A1"/>
  <sheetViews>
    <sheetView workbookViewId="0"/>
  </sheetViews>
  <sheetFormatPr baseColWidth="10" defaultColWidth="10.7109375" defaultRowHeight="15" x14ac:dyDescent="0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5"/>
  <dimension ref="B1:G22"/>
  <sheetViews>
    <sheetView tabSelected="1" zoomScale="90" zoomScaleNormal="90" workbookViewId="0">
      <selection activeCell="C5" sqref="C5"/>
    </sheetView>
  </sheetViews>
  <sheetFormatPr baseColWidth="10" defaultColWidth="10.7109375" defaultRowHeight="15" x14ac:dyDescent="0.25"/>
  <cols>
    <col min="3" max="3" width="19.7109375" customWidth="1"/>
    <col min="4" max="4" width="14.5703125" customWidth="1"/>
    <col min="5" max="5" width="15.5703125" customWidth="1"/>
    <col min="6" max="6" width="10.140625" customWidth="1"/>
    <col min="7" max="7" width="11.42578125" customWidth="1"/>
  </cols>
  <sheetData>
    <row r="1" spans="2:7" x14ac:dyDescent="0.25">
      <c r="B1" s="103" t="s">
        <v>673</v>
      </c>
      <c r="C1" s="103"/>
    </row>
    <row r="2" spans="2:7" x14ac:dyDescent="0.25">
      <c r="B2" s="109" t="s">
        <v>587</v>
      </c>
      <c r="C2" s="110"/>
    </row>
    <row r="3" spans="2:7" x14ac:dyDescent="0.25">
      <c r="B3" s="21" t="s">
        <v>579</v>
      </c>
      <c r="C3" s="38">
        <v>1100</v>
      </c>
      <c r="D3" s="143" t="s">
        <v>632</v>
      </c>
      <c r="E3" s="144"/>
    </row>
    <row r="4" spans="2:7" x14ac:dyDescent="0.25">
      <c r="B4" s="21" t="s">
        <v>580</v>
      </c>
      <c r="C4" s="38">
        <v>1100</v>
      </c>
      <c r="D4" s="143"/>
      <c r="E4" s="144"/>
    </row>
    <row r="6" spans="2:7" x14ac:dyDescent="0.25">
      <c r="B6" s="21"/>
      <c r="C6" s="21" t="s">
        <v>582</v>
      </c>
      <c r="D6" s="21" t="s">
        <v>583</v>
      </c>
      <c r="E6" s="21" t="s">
        <v>584</v>
      </c>
      <c r="F6" s="21" t="s">
        <v>585</v>
      </c>
      <c r="G6" s="21" t="s">
        <v>586</v>
      </c>
    </row>
    <row r="7" spans="2:7" x14ac:dyDescent="0.25">
      <c r="B7" s="21" t="s">
        <v>579</v>
      </c>
      <c r="C7" s="33" t="s">
        <v>591</v>
      </c>
      <c r="D7" s="21" t="s">
        <v>0</v>
      </c>
      <c r="E7" s="21">
        <f>C3+6</f>
        <v>1106</v>
      </c>
      <c r="F7" s="21" t="s">
        <v>581</v>
      </c>
      <c r="G7" s="21">
        <v>45</v>
      </c>
    </row>
    <row r="8" spans="2:7" x14ac:dyDescent="0.25">
      <c r="B8" s="21" t="s">
        <v>580</v>
      </c>
      <c r="C8" s="33" t="s">
        <v>591</v>
      </c>
      <c r="D8" s="21" t="s">
        <v>0</v>
      </c>
      <c r="E8" s="21">
        <f>C4+6</f>
        <v>1106</v>
      </c>
      <c r="F8" s="21" t="s">
        <v>581</v>
      </c>
      <c r="G8" s="21">
        <v>45</v>
      </c>
    </row>
    <row r="9" spans="2:7" x14ac:dyDescent="0.25">
      <c r="B9" s="21" t="s">
        <v>579</v>
      </c>
      <c r="C9" s="34" t="s">
        <v>597</v>
      </c>
      <c r="D9" s="21" t="s">
        <v>1</v>
      </c>
      <c r="E9" s="21">
        <f>C3-70</f>
        <v>1030</v>
      </c>
      <c r="F9" s="21" t="s">
        <v>581</v>
      </c>
      <c r="G9" s="21">
        <v>90</v>
      </c>
    </row>
    <row r="10" spans="2:7" x14ac:dyDescent="0.25">
      <c r="B10" s="21" t="s">
        <v>580</v>
      </c>
      <c r="C10" s="34" t="s">
        <v>597</v>
      </c>
      <c r="D10" s="21" t="s">
        <v>1</v>
      </c>
      <c r="E10" s="21">
        <f>C4-70</f>
        <v>1030</v>
      </c>
      <c r="F10" s="21" t="s">
        <v>581</v>
      </c>
      <c r="G10" s="21">
        <v>90</v>
      </c>
    </row>
    <row r="11" spans="2:7" x14ac:dyDescent="0.25">
      <c r="B11" s="21" t="s">
        <v>579</v>
      </c>
      <c r="C11" s="35" t="s">
        <v>593</v>
      </c>
      <c r="D11" s="21" t="s">
        <v>596</v>
      </c>
      <c r="E11" s="21">
        <f>(C3/2)-3.5</f>
        <v>546.5</v>
      </c>
      <c r="F11" s="21" t="s">
        <v>599</v>
      </c>
      <c r="G11" s="21">
        <v>45</v>
      </c>
    </row>
    <row r="12" spans="2:7" x14ac:dyDescent="0.25">
      <c r="B12" s="21" t="s">
        <v>580</v>
      </c>
      <c r="C12" s="35" t="s">
        <v>593</v>
      </c>
      <c r="D12" s="21" t="s">
        <v>596</v>
      </c>
      <c r="E12" s="21">
        <f>C4-88</f>
        <v>1012</v>
      </c>
      <c r="F12" s="21" t="s">
        <v>599</v>
      </c>
      <c r="G12" s="21">
        <v>45</v>
      </c>
    </row>
    <row r="13" spans="2:7" x14ac:dyDescent="0.25">
      <c r="B13" s="21" t="s">
        <v>579</v>
      </c>
      <c r="C13" s="34" t="s">
        <v>672</v>
      </c>
      <c r="D13" s="21" t="s">
        <v>1</v>
      </c>
      <c r="E13" s="21">
        <f>E11-6-120</f>
        <v>420.5</v>
      </c>
      <c r="F13" s="21" t="s">
        <v>599</v>
      </c>
      <c r="G13" s="21">
        <v>90</v>
      </c>
    </row>
    <row r="14" spans="2:7" x14ac:dyDescent="0.25">
      <c r="B14" s="21" t="s">
        <v>580</v>
      </c>
      <c r="C14" s="34" t="s">
        <v>672</v>
      </c>
      <c r="D14" s="21" t="s">
        <v>1</v>
      </c>
      <c r="E14" s="21">
        <f>E12-6-120</f>
        <v>886</v>
      </c>
      <c r="F14" s="21" t="s">
        <v>599</v>
      </c>
      <c r="G14" s="21">
        <v>90</v>
      </c>
    </row>
    <row r="15" spans="2:7" x14ac:dyDescent="0.25">
      <c r="B15" s="21" t="s">
        <v>579</v>
      </c>
      <c r="C15" s="21" t="s">
        <v>529</v>
      </c>
      <c r="D15" s="21" t="s">
        <v>2</v>
      </c>
      <c r="E15" s="21">
        <f>C3-119.5</f>
        <v>980.5</v>
      </c>
      <c r="F15" s="21" t="s">
        <v>599</v>
      </c>
      <c r="G15" s="21">
        <v>45</v>
      </c>
    </row>
    <row r="16" spans="2:7" x14ac:dyDescent="0.25">
      <c r="B16" s="21" t="s">
        <v>580</v>
      </c>
      <c r="C16" s="21" t="s">
        <v>529</v>
      </c>
      <c r="D16" s="21" t="s">
        <v>2</v>
      </c>
      <c r="E16" s="21">
        <f>C4-204</f>
        <v>896</v>
      </c>
      <c r="F16" s="21" t="s">
        <v>599</v>
      </c>
      <c r="G16" s="21">
        <v>45</v>
      </c>
    </row>
    <row r="17" spans="2:7" x14ac:dyDescent="0.25">
      <c r="B17" s="21"/>
      <c r="C17" s="28" t="s">
        <v>620</v>
      </c>
      <c r="D17" s="21" t="s">
        <v>618</v>
      </c>
      <c r="E17" s="21">
        <f>E12-6</f>
        <v>1006</v>
      </c>
      <c r="F17" s="21" t="s">
        <v>581</v>
      </c>
      <c r="G17" s="21">
        <v>90</v>
      </c>
    </row>
    <row r="18" spans="2:7" x14ac:dyDescent="0.25">
      <c r="B18" s="21"/>
      <c r="C18" s="28" t="s">
        <v>617</v>
      </c>
      <c r="D18" s="21" t="s">
        <v>619</v>
      </c>
      <c r="E18" s="21">
        <f>C3-114</f>
        <v>986</v>
      </c>
      <c r="F18" s="21" t="s">
        <v>581</v>
      </c>
      <c r="G18" s="21">
        <v>90</v>
      </c>
    </row>
    <row r="20" spans="2:7" x14ac:dyDescent="0.25">
      <c r="B20" s="104" t="s">
        <v>543</v>
      </c>
      <c r="C20" s="104"/>
      <c r="D20" s="21" t="s">
        <v>538</v>
      </c>
    </row>
    <row r="21" spans="2:7" x14ac:dyDescent="0.25">
      <c r="B21" s="21" t="s">
        <v>9</v>
      </c>
      <c r="C21" s="21">
        <f>E11-126</f>
        <v>420.5</v>
      </c>
      <c r="D21" s="142" t="s">
        <v>581</v>
      </c>
    </row>
    <row r="22" spans="2:7" x14ac:dyDescent="0.25">
      <c r="B22" s="21" t="s">
        <v>544</v>
      </c>
      <c r="C22" s="21">
        <f>E12-126</f>
        <v>886</v>
      </c>
      <c r="D22" s="142"/>
    </row>
  </sheetData>
  <mergeCells count="5">
    <mergeCell ref="B20:C20"/>
    <mergeCell ref="D21:D22"/>
    <mergeCell ref="B1:C1"/>
    <mergeCell ref="B2:C2"/>
    <mergeCell ref="D3:E4"/>
  </mergeCells>
  <pageMargins left="0.7" right="0.7" top="0.75" bottom="0.75" header="0.3" footer="0.3"/>
  <pageSetup orientation="landscape" horizontalDpi="4294967293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598E7-C252-49ED-B4FE-6A9EAAE27DF3}">
  <dimension ref="B1:G22"/>
  <sheetViews>
    <sheetView workbookViewId="0">
      <selection activeCell="C21" sqref="C21"/>
    </sheetView>
  </sheetViews>
  <sheetFormatPr baseColWidth="10" defaultColWidth="10.7109375" defaultRowHeight="15" x14ac:dyDescent="0.25"/>
  <cols>
    <col min="3" max="4" width="22.7109375" customWidth="1"/>
    <col min="5" max="5" width="15.42578125" customWidth="1"/>
  </cols>
  <sheetData>
    <row r="1" spans="2:7" x14ac:dyDescent="0.25">
      <c r="B1" s="103" t="s">
        <v>674</v>
      </c>
      <c r="C1" s="103"/>
    </row>
    <row r="2" spans="2:7" x14ac:dyDescent="0.25">
      <c r="B2" s="109" t="s">
        <v>587</v>
      </c>
      <c r="C2" s="110"/>
    </row>
    <row r="3" spans="2:7" x14ac:dyDescent="0.25">
      <c r="B3" s="21" t="s">
        <v>579</v>
      </c>
      <c r="C3" s="38">
        <v>3445</v>
      </c>
      <c r="D3" s="143" t="s">
        <v>632</v>
      </c>
      <c r="E3" s="144"/>
    </row>
    <row r="4" spans="2:7" x14ac:dyDescent="0.25">
      <c r="B4" s="21" t="s">
        <v>580</v>
      </c>
      <c r="C4" s="38">
        <v>2100</v>
      </c>
      <c r="D4" s="143"/>
      <c r="E4" s="144"/>
    </row>
    <row r="6" spans="2:7" x14ac:dyDescent="0.25">
      <c r="B6" s="21"/>
      <c r="C6" s="21" t="s">
        <v>582</v>
      </c>
      <c r="D6" s="21" t="s">
        <v>583</v>
      </c>
      <c r="E6" s="21" t="s">
        <v>584</v>
      </c>
      <c r="F6" s="21" t="s">
        <v>585</v>
      </c>
      <c r="G6" s="21" t="s">
        <v>586</v>
      </c>
    </row>
    <row r="7" spans="2:7" x14ac:dyDescent="0.25">
      <c r="B7" s="21" t="s">
        <v>579</v>
      </c>
      <c r="C7" s="27" t="s">
        <v>591</v>
      </c>
      <c r="D7" s="21" t="s">
        <v>0</v>
      </c>
      <c r="E7" s="21">
        <f>C3+6</f>
        <v>3451</v>
      </c>
      <c r="F7" s="21" t="s">
        <v>581</v>
      </c>
      <c r="G7" s="21">
        <v>45</v>
      </c>
    </row>
    <row r="8" spans="2:7" x14ac:dyDescent="0.25">
      <c r="B8" s="21" t="s">
        <v>580</v>
      </c>
      <c r="C8" s="27" t="s">
        <v>591</v>
      </c>
      <c r="D8" s="21" t="s">
        <v>0</v>
      </c>
      <c r="E8" s="21">
        <f>C4+6</f>
        <v>2106</v>
      </c>
      <c r="F8" s="21" t="s">
        <v>581</v>
      </c>
      <c r="G8" s="21">
        <v>45</v>
      </c>
    </row>
    <row r="9" spans="2:7" x14ac:dyDescent="0.25">
      <c r="B9" s="21" t="s">
        <v>579</v>
      </c>
      <c r="C9" s="32" t="s">
        <v>597</v>
      </c>
      <c r="D9" s="21" t="s">
        <v>1</v>
      </c>
      <c r="E9" s="21">
        <f>C3-70</f>
        <v>3375</v>
      </c>
      <c r="F9" s="21" t="s">
        <v>581</v>
      </c>
      <c r="G9" s="21">
        <v>90</v>
      </c>
    </row>
    <row r="10" spans="2:7" x14ac:dyDescent="0.25">
      <c r="B10" s="21" t="s">
        <v>580</v>
      </c>
      <c r="C10" s="32" t="s">
        <v>597</v>
      </c>
      <c r="D10" s="21" t="s">
        <v>1</v>
      </c>
      <c r="E10" s="21">
        <f>C4-70</f>
        <v>2030</v>
      </c>
      <c r="F10" s="21" t="s">
        <v>581</v>
      </c>
      <c r="G10" s="21">
        <v>90</v>
      </c>
    </row>
    <row r="11" spans="2:7" x14ac:dyDescent="0.25">
      <c r="B11" s="21" t="s">
        <v>579</v>
      </c>
      <c r="C11" s="29" t="s">
        <v>595</v>
      </c>
      <c r="D11" s="21" t="s">
        <v>676</v>
      </c>
      <c r="E11" s="21">
        <f>(C3/4)+18.3</f>
        <v>879.55</v>
      </c>
      <c r="F11" s="21" t="s">
        <v>664</v>
      </c>
      <c r="G11" s="21">
        <v>45</v>
      </c>
    </row>
    <row r="12" spans="2:7" x14ac:dyDescent="0.25">
      <c r="B12" s="21" t="s">
        <v>580</v>
      </c>
      <c r="C12" s="29" t="s">
        <v>595</v>
      </c>
      <c r="D12" s="21" t="s">
        <v>676</v>
      </c>
      <c r="E12" s="21">
        <f>C4-88</f>
        <v>2012</v>
      </c>
      <c r="F12" s="21" t="s">
        <v>664</v>
      </c>
      <c r="G12" s="21">
        <v>45</v>
      </c>
    </row>
    <row r="13" spans="2:7" x14ac:dyDescent="0.25">
      <c r="B13" s="21" t="s">
        <v>579</v>
      </c>
      <c r="C13" s="32" t="s">
        <v>672</v>
      </c>
      <c r="D13" s="21" t="s">
        <v>1</v>
      </c>
      <c r="E13" s="21">
        <f>E11-6-140</f>
        <v>733.55</v>
      </c>
      <c r="F13" s="21" t="s">
        <v>664</v>
      </c>
      <c r="G13" s="21">
        <v>90</v>
      </c>
    </row>
    <row r="14" spans="2:7" x14ac:dyDescent="0.25">
      <c r="B14" s="21" t="s">
        <v>580</v>
      </c>
      <c r="C14" s="32" t="s">
        <v>672</v>
      </c>
      <c r="D14" s="21" t="s">
        <v>1</v>
      </c>
      <c r="E14" s="21">
        <f>E12-6-140</f>
        <v>1866</v>
      </c>
      <c r="F14" s="21" t="s">
        <v>664</v>
      </c>
      <c r="G14" s="21">
        <v>90</v>
      </c>
    </row>
    <row r="15" spans="2:7" x14ac:dyDescent="0.25">
      <c r="B15" s="21" t="s">
        <v>579</v>
      </c>
      <c r="C15" s="28" t="s">
        <v>529</v>
      </c>
      <c r="D15" s="21" t="s">
        <v>2</v>
      </c>
      <c r="E15" s="21">
        <f>E11-116</f>
        <v>763.55</v>
      </c>
      <c r="F15" s="21" t="s">
        <v>664</v>
      </c>
      <c r="G15" s="21">
        <v>45</v>
      </c>
    </row>
    <row r="16" spans="2:7" x14ac:dyDescent="0.25">
      <c r="B16" s="21" t="s">
        <v>580</v>
      </c>
      <c r="C16" s="28" t="s">
        <v>529</v>
      </c>
      <c r="D16" s="21" t="s">
        <v>2</v>
      </c>
      <c r="E16" s="21">
        <f>E12-116</f>
        <v>1896</v>
      </c>
      <c r="F16" s="21" t="s">
        <v>664</v>
      </c>
      <c r="G16" s="21">
        <v>45</v>
      </c>
    </row>
    <row r="17" spans="2:7" x14ac:dyDescent="0.25">
      <c r="B17" s="21"/>
      <c r="C17" s="28" t="s">
        <v>620</v>
      </c>
      <c r="D17" s="21" t="s">
        <v>618</v>
      </c>
      <c r="E17" s="21">
        <f>E12-6</f>
        <v>2006</v>
      </c>
      <c r="F17" s="21" t="s">
        <v>599</v>
      </c>
      <c r="G17" s="21">
        <v>90</v>
      </c>
    </row>
    <row r="18" spans="2:7" x14ac:dyDescent="0.25">
      <c r="B18" s="21"/>
      <c r="C18" s="28" t="s">
        <v>617</v>
      </c>
      <c r="D18" s="21" t="s">
        <v>619</v>
      </c>
      <c r="E18" s="21">
        <f>C3-114</f>
        <v>3331</v>
      </c>
      <c r="F18" s="21" t="s">
        <v>581</v>
      </c>
      <c r="G18" s="21">
        <v>90</v>
      </c>
    </row>
    <row r="20" spans="2:7" x14ac:dyDescent="0.25">
      <c r="B20" s="104" t="s">
        <v>543</v>
      </c>
      <c r="C20" s="104"/>
      <c r="D20" s="21" t="s">
        <v>538</v>
      </c>
    </row>
    <row r="21" spans="2:7" x14ac:dyDescent="0.25">
      <c r="B21" s="21" t="s">
        <v>9</v>
      </c>
      <c r="C21" s="21">
        <f>E11-126</f>
        <v>753.55</v>
      </c>
      <c r="D21" s="142" t="s">
        <v>599</v>
      </c>
    </row>
    <row r="22" spans="2:7" x14ac:dyDescent="0.25">
      <c r="B22" s="21" t="s">
        <v>544</v>
      </c>
      <c r="C22" s="21">
        <f>E12-126</f>
        <v>1886</v>
      </c>
      <c r="D22" s="142"/>
    </row>
  </sheetData>
  <mergeCells count="5">
    <mergeCell ref="B1:C1"/>
    <mergeCell ref="B2:C2"/>
    <mergeCell ref="D3:E4"/>
    <mergeCell ref="B20:C20"/>
    <mergeCell ref="D21:D22"/>
  </mergeCells>
  <pageMargins left="0.7" right="0.7" top="0.75" bottom="0.75" header="0.3" footer="0.3"/>
  <pageSetup orientation="landscape" horizontalDpi="4294967293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6"/>
  <dimension ref="B3:G34"/>
  <sheetViews>
    <sheetView topLeftCell="A8" workbookViewId="0">
      <selection activeCell="E21" sqref="E21"/>
    </sheetView>
  </sheetViews>
  <sheetFormatPr baseColWidth="10" defaultColWidth="10.7109375" defaultRowHeight="15" x14ac:dyDescent="0.25"/>
  <cols>
    <col min="3" max="3" width="19.5703125" customWidth="1"/>
    <col min="4" max="4" width="22.7109375" bestFit="1" customWidth="1"/>
    <col min="5" max="5" width="15.42578125" bestFit="1" customWidth="1"/>
  </cols>
  <sheetData>
    <row r="3" spans="2:7" x14ac:dyDescent="0.25">
      <c r="B3" s="103" t="s">
        <v>681</v>
      </c>
      <c r="C3" s="103"/>
    </row>
    <row r="4" spans="2:7" x14ac:dyDescent="0.25">
      <c r="B4" s="109" t="s">
        <v>587</v>
      </c>
      <c r="C4" s="110"/>
    </row>
    <row r="5" spans="2:7" x14ac:dyDescent="0.25">
      <c r="B5" s="21" t="s">
        <v>579</v>
      </c>
      <c r="C5" s="38">
        <v>1000</v>
      </c>
      <c r="D5" s="143" t="s">
        <v>632</v>
      </c>
      <c r="E5" s="144"/>
    </row>
    <row r="6" spans="2:7" x14ac:dyDescent="0.25">
      <c r="B6" s="21" t="s">
        <v>580</v>
      </c>
      <c r="C6" s="38">
        <v>1000</v>
      </c>
      <c r="D6" s="143"/>
      <c r="E6" s="144"/>
    </row>
    <row r="8" spans="2:7" x14ac:dyDescent="0.25">
      <c r="B8" s="21"/>
      <c r="C8" s="21" t="s">
        <v>582</v>
      </c>
      <c r="D8" s="21" t="s">
        <v>583</v>
      </c>
      <c r="E8" s="21" t="s">
        <v>584</v>
      </c>
      <c r="F8" s="21" t="s">
        <v>585</v>
      </c>
      <c r="G8" s="21" t="s">
        <v>586</v>
      </c>
    </row>
    <row r="9" spans="2:7" x14ac:dyDescent="0.25">
      <c r="B9" s="21" t="s">
        <v>579</v>
      </c>
      <c r="C9" s="33" t="s">
        <v>602</v>
      </c>
      <c r="D9" s="21" t="s">
        <v>0</v>
      </c>
      <c r="E9" s="21">
        <f>C5+6</f>
        <v>1006</v>
      </c>
      <c r="F9" s="21" t="s">
        <v>581</v>
      </c>
      <c r="G9" s="21">
        <v>45</v>
      </c>
    </row>
    <row r="10" spans="2:7" x14ac:dyDescent="0.25">
      <c r="B10" s="21" t="s">
        <v>580</v>
      </c>
      <c r="C10" s="33" t="s">
        <v>602</v>
      </c>
      <c r="D10" s="21" t="s">
        <v>0</v>
      </c>
      <c r="E10" s="21">
        <f>C6+6</f>
        <v>1006</v>
      </c>
      <c r="F10" s="21" t="s">
        <v>581</v>
      </c>
      <c r="G10" s="21">
        <v>45</v>
      </c>
    </row>
    <row r="11" spans="2:7" x14ac:dyDescent="0.25">
      <c r="B11" s="21" t="s">
        <v>579</v>
      </c>
      <c r="C11" s="31" t="s">
        <v>603</v>
      </c>
      <c r="D11" s="21" t="s">
        <v>1</v>
      </c>
      <c r="E11" s="21">
        <f>C5-130</f>
        <v>870</v>
      </c>
      <c r="F11" s="21" t="s">
        <v>581</v>
      </c>
      <c r="G11" s="21">
        <v>90</v>
      </c>
    </row>
    <row r="12" spans="2:7" x14ac:dyDescent="0.25">
      <c r="B12" s="21" t="s">
        <v>580</v>
      </c>
      <c r="C12" s="31" t="s">
        <v>603</v>
      </c>
      <c r="D12" s="21" t="s">
        <v>1</v>
      </c>
      <c r="E12" s="21">
        <f>C6-130</f>
        <v>870</v>
      </c>
      <c r="F12" s="21" t="s">
        <v>581</v>
      </c>
      <c r="G12" s="21">
        <v>90</v>
      </c>
    </row>
    <row r="13" spans="2:7" x14ac:dyDescent="0.25">
      <c r="B13" s="21" t="s">
        <v>579</v>
      </c>
      <c r="C13" s="31" t="s">
        <v>604</v>
      </c>
      <c r="D13" s="21" t="s">
        <v>1</v>
      </c>
      <c r="E13" s="21">
        <f>C5-90</f>
        <v>910</v>
      </c>
      <c r="F13" s="21" t="s">
        <v>581</v>
      </c>
      <c r="G13" s="21">
        <v>90</v>
      </c>
    </row>
    <row r="14" spans="2:7" x14ac:dyDescent="0.25">
      <c r="B14" s="21" t="s">
        <v>580</v>
      </c>
      <c r="C14" s="31" t="s">
        <v>604</v>
      </c>
      <c r="D14" s="21" t="s">
        <v>1</v>
      </c>
      <c r="E14" s="21">
        <f>C6-90</f>
        <v>910</v>
      </c>
      <c r="F14" s="21" t="s">
        <v>581</v>
      </c>
      <c r="G14" s="21">
        <v>90</v>
      </c>
    </row>
    <row r="15" spans="2:7" x14ac:dyDescent="0.25">
      <c r="B15" s="21" t="s">
        <v>579</v>
      </c>
      <c r="C15" s="35" t="s">
        <v>595</v>
      </c>
      <c r="D15" s="21" t="s">
        <v>592</v>
      </c>
      <c r="E15" s="21">
        <f>(C5/2)+5.5</f>
        <v>505.5</v>
      </c>
      <c r="F15" s="21" t="s">
        <v>581</v>
      </c>
      <c r="G15" s="21">
        <v>45</v>
      </c>
    </row>
    <row r="16" spans="2:7" x14ac:dyDescent="0.25">
      <c r="B16" s="21" t="s">
        <v>580</v>
      </c>
      <c r="C16" s="35" t="s">
        <v>595</v>
      </c>
      <c r="D16" s="21" t="s">
        <v>592</v>
      </c>
      <c r="E16" s="21">
        <f>C6-88</f>
        <v>912</v>
      </c>
      <c r="F16" s="21" t="s">
        <v>581</v>
      </c>
      <c r="G16" s="21">
        <v>45</v>
      </c>
    </row>
    <row r="17" spans="2:7" x14ac:dyDescent="0.25">
      <c r="B17" s="21" t="s">
        <v>579</v>
      </c>
      <c r="C17" s="32" t="s">
        <v>598</v>
      </c>
      <c r="D17" s="21" t="s">
        <v>1</v>
      </c>
      <c r="E17" s="21">
        <f>E15-6-176</f>
        <v>323.5</v>
      </c>
      <c r="F17" s="21" t="s">
        <v>581</v>
      </c>
      <c r="G17" s="21">
        <v>90</v>
      </c>
    </row>
    <row r="18" spans="2:7" x14ac:dyDescent="0.25">
      <c r="B18" s="21" t="s">
        <v>580</v>
      </c>
      <c r="C18" s="32" t="s">
        <v>598</v>
      </c>
      <c r="D18" s="21" t="s">
        <v>1</v>
      </c>
      <c r="E18" s="21">
        <f>E16-6-176</f>
        <v>730</v>
      </c>
      <c r="F18" s="21" t="s">
        <v>581</v>
      </c>
      <c r="G18" s="21">
        <v>90</v>
      </c>
    </row>
    <row r="19" spans="2:7" x14ac:dyDescent="0.25">
      <c r="B19" s="21" t="s">
        <v>579</v>
      </c>
      <c r="C19" s="21" t="s">
        <v>529</v>
      </c>
      <c r="D19" s="21" t="s">
        <v>607</v>
      </c>
      <c r="E19" s="21">
        <f>E15-152</f>
        <v>353.5</v>
      </c>
      <c r="F19" s="21" t="s">
        <v>581</v>
      </c>
      <c r="G19" s="21">
        <v>45</v>
      </c>
    </row>
    <row r="20" spans="2:7" x14ac:dyDescent="0.25">
      <c r="B20" s="21" t="s">
        <v>580</v>
      </c>
      <c r="C20" s="21" t="s">
        <v>529</v>
      </c>
      <c r="D20" s="21" t="s">
        <v>607</v>
      </c>
      <c r="E20" s="21">
        <f>E16-152</f>
        <v>760</v>
      </c>
      <c r="F20" s="21" t="s">
        <v>581</v>
      </c>
      <c r="G20" s="21">
        <v>45</v>
      </c>
    </row>
    <row r="21" spans="2:7" x14ac:dyDescent="0.25">
      <c r="B21" s="21" t="s">
        <v>580</v>
      </c>
      <c r="C21" s="35" t="s">
        <v>595</v>
      </c>
      <c r="D21" s="21" t="s">
        <v>605</v>
      </c>
      <c r="E21" s="21">
        <f>C6-96</f>
        <v>904</v>
      </c>
      <c r="F21" s="21" t="s">
        <v>606</v>
      </c>
      <c r="G21" s="21">
        <v>90</v>
      </c>
    </row>
    <row r="22" spans="2:7" x14ac:dyDescent="0.25">
      <c r="B22" s="21" t="s">
        <v>579</v>
      </c>
      <c r="C22" s="21" t="s">
        <v>529</v>
      </c>
      <c r="D22" s="21" t="s">
        <v>608</v>
      </c>
      <c r="E22" s="21">
        <f>(C5/2)-77.5</f>
        <v>422.5</v>
      </c>
      <c r="F22" s="21" t="s">
        <v>581</v>
      </c>
      <c r="G22" s="21">
        <v>45</v>
      </c>
    </row>
    <row r="23" spans="2:7" x14ac:dyDescent="0.25">
      <c r="B23" s="21" t="s">
        <v>580</v>
      </c>
      <c r="C23" s="21" t="s">
        <v>529</v>
      </c>
      <c r="D23" s="21" t="s">
        <v>608</v>
      </c>
      <c r="E23" s="21">
        <f>C6-102</f>
        <v>898</v>
      </c>
      <c r="F23" s="21" t="s">
        <v>581</v>
      </c>
      <c r="G23" s="21">
        <v>45</v>
      </c>
    </row>
    <row r="24" spans="2:7" x14ac:dyDescent="0.25">
      <c r="B24" s="23" t="s">
        <v>579</v>
      </c>
      <c r="C24" s="21" t="s">
        <v>609</v>
      </c>
      <c r="D24" s="23" t="s">
        <v>610</v>
      </c>
      <c r="E24" s="21">
        <f>(C5/2)-100.7</f>
        <v>399.3</v>
      </c>
      <c r="F24" s="23" t="s">
        <v>581</v>
      </c>
      <c r="G24" s="23">
        <v>45</v>
      </c>
    </row>
    <row r="25" spans="2:7" x14ac:dyDescent="0.25">
      <c r="B25" s="21" t="s">
        <v>580</v>
      </c>
      <c r="C25" s="21" t="s">
        <v>609</v>
      </c>
      <c r="D25" s="21" t="s">
        <v>610</v>
      </c>
      <c r="E25" s="21">
        <f>C6-102</f>
        <v>898</v>
      </c>
      <c r="F25" s="21" t="s">
        <v>606</v>
      </c>
      <c r="G25" s="64" t="s">
        <v>648</v>
      </c>
    </row>
    <row r="26" spans="2:7" x14ac:dyDescent="0.25">
      <c r="B26" s="21"/>
      <c r="C26" s="28" t="s">
        <v>617</v>
      </c>
      <c r="D26" s="21" t="s">
        <v>619</v>
      </c>
      <c r="E26" s="21">
        <f>C5-114</f>
        <v>886</v>
      </c>
      <c r="F26" s="21" t="s">
        <v>606</v>
      </c>
      <c r="G26" s="21">
        <v>90</v>
      </c>
    </row>
    <row r="28" spans="2:7" x14ac:dyDescent="0.25">
      <c r="B28" s="28" t="s">
        <v>543</v>
      </c>
      <c r="C28" s="28" t="s">
        <v>611</v>
      </c>
      <c r="D28" s="21" t="s">
        <v>538</v>
      </c>
    </row>
    <row r="29" spans="2:7" x14ac:dyDescent="0.25">
      <c r="B29" s="21" t="s">
        <v>9</v>
      </c>
      <c r="C29" s="21">
        <f>(C5/2)-156.5</f>
        <v>343.5</v>
      </c>
      <c r="D29" s="107" t="s">
        <v>606</v>
      </c>
    </row>
    <row r="30" spans="2:7" x14ac:dyDescent="0.25">
      <c r="B30" s="21" t="s">
        <v>544</v>
      </c>
      <c r="C30" s="21">
        <f>C6-250</f>
        <v>750</v>
      </c>
      <c r="D30" s="107"/>
    </row>
    <row r="32" spans="2:7" x14ac:dyDescent="0.25">
      <c r="B32" s="28" t="s">
        <v>543</v>
      </c>
      <c r="C32" s="28" t="s">
        <v>612</v>
      </c>
      <c r="D32" s="21" t="s">
        <v>538</v>
      </c>
    </row>
    <row r="33" spans="2:4" x14ac:dyDescent="0.25">
      <c r="B33" s="21" t="s">
        <v>9</v>
      </c>
      <c r="C33" s="21">
        <f>(C5/2)-95.5</f>
        <v>404.5</v>
      </c>
      <c r="D33" s="142" t="s">
        <v>606</v>
      </c>
    </row>
    <row r="34" spans="2:4" x14ac:dyDescent="0.25">
      <c r="B34" s="21" t="s">
        <v>544</v>
      </c>
      <c r="C34" s="21">
        <f>C6-120</f>
        <v>880</v>
      </c>
      <c r="D34" s="142"/>
    </row>
  </sheetData>
  <mergeCells count="5">
    <mergeCell ref="B3:C3"/>
    <mergeCell ref="B4:C4"/>
    <mergeCell ref="D5:E6"/>
    <mergeCell ref="D29:D30"/>
    <mergeCell ref="D33:D3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7A811-E9DB-4BD8-959D-AC3ECA867AFB}">
  <dimension ref="B3:G35"/>
  <sheetViews>
    <sheetView workbookViewId="0">
      <selection activeCell="J15" sqref="J15"/>
    </sheetView>
  </sheetViews>
  <sheetFormatPr baseColWidth="10" defaultColWidth="10.7109375" defaultRowHeight="15" x14ac:dyDescent="0.25"/>
  <cols>
    <col min="2" max="2" width="13.28515625" bestFit="1" customWidth="1"/>
    <col min="3" max="3" width="23.28515625" customWidth="1"/>
    <col min="4" max="4" width="22.7109375" bestFit="1" customWidth="1"/>
    <col min="5" max="5" width="15.42578125" style="84" bestFit="1" customWidth="1"/>
    <col min="6" max="7" width="11.42578125" style="84"/>
  </cols>
  <sheetData>
    <row r="3" spans="2:7" x14ac:dyDescent="0.25">
      <c r="B3" s="103" t="s">
        <v>693</v>
      </c>
      <c r="C3" s="103"/>
    </row>
    <row r="4" spans="2:7" x14ac:dyDescent="0.25">
      <c r="B4" s="109" t="s">
        <v>587</v>
      </c>
      <c r="C4" s="110"/>
    </row>
    <row r="5" spans="2:7" x14ac:dyDescent="0.25">
      <c r="B5" s="21" t="s">
        <v>579</v>
      </c>
      <c r="C5" s="38">
        <v>3445</v>
      </c>
      <c r="D5" s="143" t="s">
        <v>632</v>
      </c>
      <c r="E5" s="144"/>
    </row>
    <row r="6" spans="2:7" x14ac:dyDescent="0.25">
      <c r="B6" s="21" t="s">
        <v>580</v>
      </c>
      <c r="C6" s="38">
        <v>2145</v>
      </c>
      <c r="D6" s="143"/>
      <c r="E6" s="144"/>
    </row>
    <row r="7" spans="2:7" x14ac:dyDescent="0.25">
      <c r="B7" s="21" t="s">
        <v>692</v>
      </c>
      <c r="C7" s="86">
        <v>1120</v>
      </c>
    </row>
    <row r="9" spans="2:7" x14ac:dyDescent="0.25">
      <c r="B9" s="21"/>
      <c r="C9" s="21" t="s">
        <v>582</v>
      </c>
      <c r="D9" s="21" t="s">
        <v>583</v>
      </c>
      <c r="E9" s="85" t="s">
        <v>584</v>
      </c>
      <c r="F9" s="85" t="s">
        <v>585</v>
      </c>
      <c r="G9" s="85" t="s">
        <v>586</v>
      </c>
    </row>
    <row r="10" spans="2:7" x14ac:dyDescent="0.25">
      <c r="B10" s="21" t="s">
        <v>579</v>
      </c>
      <c r="C10" s="27" t="s">
        <v>602</v>
      </c>
      <c r="D10" s="21" t="s">
        <v>0</v>
      </c>
      <c r="E10" s="85">
        <f>C5+6</f>
        <v>3451</v>
      </c>
      <c r="F10" s="85" t="s">
        <v>581</v>
      </c>
      <c r="G10" s="85">
        <v>45</v>
      </c>
    </row>
    <row r="11" spans="2:7" x14ac:dyDescent="0.25">
      <c r="B11" s="21" t="s">
        <v>580</v>
      </c>
      <c r="C11" s="27" t="s">
        <v>602</v>
      </c>
      <c r="D11" s="21" t="s">
        <v>0</v>
      </c>
      <c r="E11" s="85">
        <f>C6+6</f>
        <v>2151</v>
      </c>
      <c r="F11" s="85" t="s">
        <v>581</v>
      </c>
      <c r="G11" s="85">
        <v>45</v>
      </c>
    </row>
    <row r="12" spans="2:7" x14ac:dyDescent="0.25">
      <c r="B12" s="21" t="s">
        <v>579</v>
      </c>
      <c r="C12" s="32" t="s">
        <v>603</v>
      </c>
      <c r="D12" s="21" t="s">
        <v>1</v>
      </c>
      <c r="E12" s="85">
        <f>C5-130</f>
        <v>3315</v>
      </c>
      <c r="F12" s="85" t="s">
        <v>581</v>
      </c>
      <c r="G12" s="85">
        <v>90</v>
      </c>
    </row>
    <row r="13" spans="2:7" x14ac:dyDescent="0.25">
      <c r="B13" s="21" t="s">
        <v>580</v>
      </c>
      <c r="C13" s="32" t="s">
        <v>603</v>
      </c>
      <c r="D13" s="21" t="s">
        <v>1</v>
      </c>
      <c r="E13" s="85">
        <f>C6-130</f>
        <v>2015</v>
      </c>
      <c r="F13" s="85" t="s">
        <v>581</v>
      </c>
      <c r="G13" s="85">
        <v>90</v>
      </c>
    </row>
    <row r="14" spans="2:7" x14ac:dyDescent="0.25">
      <c r="B14" s="21" t="s">
        <v>579</v>
      </c>
      <c r="C14" s="32" t="s">
        <v>604</v>
      </c>
      <c r="D14" s="21" t="s">
        <v>1</v>
      </c>
      <c r="E14" s="85">
        <f>C5-90</f>
        <v>3355</v>
      </c>
      <c r="F14" s="85" t="s">
        <v>581</v>
      </c>
      <c r="G14" s="85">
        <v>90</v>
      </c>
    </row>
    <row r="15" spans="2:7" x14ac:dyDescent="0.25">
      <c r="B15" s="21" t="s">
        <v>580</v>
      </c>
      <c r="C15" s="32" t="s">
        <v>604</v>
      </c>
      <c r="D15" s="21" t="s">
        <v>1</v>
      </c>
      <c r="E15" s="85">
        <f>C6-90</f>
        <v>2055</v>
      </c>
      <c r="F15" s="85" t="s">
        <v>581</v>
      </c>
      <c r="G15" s="85">
        <v>90</v>
      </c>
    </row>
    <row r="16" spans="2:7" x14ac:dyDescent="0.25">
      <c r="B16" s="21" t="s">
        <v>579</v>
      </c>
      <c r="C16" s="29" t="s">
        <v>595</v>
      </c>
      <c r="D16" s="21" t="s">
        <v>592</v>
      </c>
      <c r="E16" s="85">
        <f>C7+6</f>
        <v>1126</v>
      </c>
      <c r="F16" s="85" t="s">
        <v>581</v>
      </c>
      <c r="G16" s="85">
        <v>45</v>
      </c>
    </row>
    <row r="17" spans="2:7" x14ac:dyDescent="0.25">
      <c r="B17" s="21" t="s">
        <v>580</v>
      </c>
      <c r="C17" s="29" t="s">
        <v>595</v>
      </c>
      <c r="D17" s="21" t="s">
        <v>592</v>
      </c>
      <c r="E17" s="85">
        <f>C6-88</f>
        <v>2057</v>
      </c>
      <c r="F17" s="85" t="s">
        <v>581</v>
      </c>
      <c r="G17" s="85">
        <v>45</v>
      </c>
    </row>
    <row r="18" spans="2:7" x14ac:dyDescent="0.25">
      <c r="B18" s="21" t="s">
        <v>579</v>
      </c>
      <c r="C18" s="32" t="s">
        <v>598</v>
      </c>
      <c r="D18" s="21" t="s">
        <v>1</v>
      </c>
      <c r="E18" s="85">
        <f>E16-6-176</f>
        <v>944</v>
      </c>
      <c r="F18" s="85" t="s">
        <v>581</v>
      </c>
      <c r="G18" s="85">
        <v>90</v>
      </c>
    </row>
    <row r="19" spans="2:7" x14ac:dyDescent="0.25">
      <c r="B19" s="21" t="s">
        <v>580</v>
      </c>
      <c r="C19" s="32" t="s">
        <v>598</v>
      </c>
      <c r="D19" s="21" t="s">
        <v>1</v>
      </c>
      <c r="E19" s="85">
        <f>E17-6-176</f>
        <v>1875</v>
      </c>
      <c r="F19" s="85" t="s">
        <v>581</v>
      </c>
      <c r="G19" s="85">
        <v>90</v>
      </c>
    </row>
    <row r="20" spans="2:7" x14ac:dyDescent="0.25">
      <c r="B20" s="21" t="s">
        <v>579</v>
      </c>
      <c r="C20" s="28" t="s">
        <v>529</v>
      </c>
      <c r="D20" s="21" t="s">
        <v>607</v>
      </c>
      <c r="E20" s="85"/>
      <c r="F20" s="85" t="s">
        <v>581</v>
      </c>
      <c r="G20" s="85">
        <v>45</v>
      </c>
    </row>
    <row r="21" spans="2:7" x14ac:dyDescent="0.25">
      <c r="B21" s="21" t="s">
        <v>580</v>
      </c>
      <c r="C21" s="28" t="s">
        <v>529</v>
      </c>
      <c r="D21" s="21" t="s">
        <v>607</v>
      </c>
      <c r="E21" s="85"/>
      <c r="F21" s="85" t="s">
        <v>581</v>
      </c>
      <c r="G21" s="85">
        <v>45</v>
      </c>
    </row>
    <row r="22" spans="2:7" x14ac:dyDescent="0.25">
      <c r="B22" s="21" t="s">
        <v>580</v>
      </c>
      <c r="C22" s="29" t="s">
        <v>595</v>
      </c>
      <c r="D22" s="21" t="s">
        <v>605</v>
      </c>
      <c r="E22" s="85">
        <f>C6-96</f>
        <v>2049</v>
      </c>
      <c r="F22" s="85" t="s">
        <v>606</v>
      </c>
      <c r="G22" s="85">
        <v>90</v>
      </c>
    </row>
    <row r="23" spans="2:7" x14ac:dyDescent="0.25">
      <c r="B23" s="21" t="s">
        <v>579</v>
      </c>
      <c r="C23" s="28" t="s">
        <v>529</v>
      </c>
      <c r="D23" s="21" t="s">
        <v>608</v>
      </c>
      <c r="E23" s="85"/>
      <c r="F23" s="85" t="s">
        <v>581</v>
      </c>
      <c r="G23" s="85">
        <v>45</v>
      </c>
    </row>
    <row r="24" spans="2:7" x14ac:dyDescent="0.25">
      <c r="B24" s="21" t="s">
        <v>580</v>
      </c>
      <c r="C24" s="28" t="s">
        <v>529</v>
      </c>
      <c r="D24" s="21" t="s">
        <v>608</v>
      </c>
      <c r="E24" s="85"/>
      <c r="F24" s="85" t="s">
        <v>581</v>
      </c>
      <c r="G24" s="85">
        <v>45</v>
      </c>
    </row>
    <row r="25" spans="2:7" x14ac:dyDescent="0.25">
      <c r="B25" s="23" t="s">
        <v>579</v>
      </c>
      <c r="C25" s="28" t="s">
        <v>609</v>
      </c>
      <c r="D25" s="23" t="s">
        <v>610</v>
      </c>
      <c r="E25" s="85"/>
      <c r="F25" s="87" t="s">
        <v>581</v>
      </c>
      <c r="G25" s="87">
        <v>45</v>
      </c>
    </row>
    <row r="26" spans="2:7" x14ac:dyDescent="0.25">
      <c r="B26" s="21" t="s">
        <v>580</v>
      </c>
      <c r="C26" s="28" t="s">
        <v>609</v>
      </c>
      <c r="D26" s="21" t="s">
        <v>610</v>
      </c>
      <c r="E26" s="85"/>
      <c r="F26" s="85" t="s">
        <v>606</v>
      </c>
      <c r="G26" s="85" t="s">
        <v>648</v>
      </c>
    </row>
    <row r="27" spans="2:7" x14ac:dyDescent="0.25">
      <c r="B27" s="21"/>
      <c r="C27" s="28" t="s">
        <v>617</v>
      </c>
      <c r="D27" s="21" t="s">
        <v>619</v>
      </c>
      <c r="E27" s="85"/>
      <c r="F27" s="85" t="s">
        <v>606</v>
      </c>
      <c r="G27" s="85">
        <v>90</v>
      </c>
    </row>
    <row r="29" spans="2:7" x14ac:dyDescent="0.25">
      <c r="B29" s="28" t="s">
        <v>543</v>
      </c>
      <c r="C29" s="28" t="s">
        <v>611</v>
      </c>
      <c r="D29" s="21" t="s">
        <v>538</v>
      </c>
    </row>
    <row r="30" spans="2:7" x14ac:dyDescent="0.25">
      <c r="B30" s="21" t="s">
        <v>9</v>
      </c>
      <c r="C30" s="21">
        <f>E16-6-156</f>
        <v>964</v>
      </c>
      <c r="D30" s="107" t="s">
        <v>606</v>
      </c>
    </row>
    <row r="31" spans="2:7" x14ac:dyDescent="0.25">
      <c r="B31" s="21" t="s">
        <v>544</v>
      </c>
      <c r="C31" s="21">
        <f>E17-6-156</f>
        <v>1895</v>
      </c>
      <c r="D31" s="107"/>
    </row>
    <row r="33" spans="2:4" x14ac:dyDescent="0.25">
      <c r="B33" s="28" t="s">
        <v>543</v>
      </c>
      <c r="C33" s="28" t="s">
        <v>612</v>
      </c>
      <c r="D33" s="21" t="s">
        <v>538</v>
      </c>
    </row>
    <row r="34" spans="2:4" x14ac:dyDescent="0.25">
      <c r="B34" s="21" t="s">
        <v>9</v>
      </c>
      <c r="C34" s="21">
        <f>C5-C7-88</f>
        <v>2237</v>
      </c>
      <c r="D34" s="142" t="s">
        <v>606</v>
      </c>
    </row>
    <row r="35" spans="2:4" x14ac:dyDescent="0.25">
      <c r="B35" s="21" t="s">
        <v>544</v>
      </c>
      <c r="C35" s="21">
        <f>C6-112</f>
        <v>2033</v>
      </c>
      <c r="D35" s="142"/>
    </row>
  </sheetData>
  <mergeCells count="5">
    <mergeCell ref="B3:C3"/>
    <mergeCell ref="B4:C4"/>
    <mergeCell ref="D5:E6"/>
    <mergeCell ref="D30:D31"/>
    <mergeCell ref="D34:D35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07130-69E9-445D-85DE-64074AA397B9}">
  <dimension ref="B1:G32"/>
  <sheetViews>
    <sheetView workbookViewId="0">
      <selection activeCell="G28" sqref="G28"/>
    </sheetView>
  </sheetViews>
  <sheetFormatPr baseColWidth="10" defaultColWidth="10.7109375" defaultRowHeight="15" x14ac:dyDescent="0.25"/>
  <cols>
    <col min="3" max="3" width="16.85546875" customWidth="1"/>
    <col min="4" max="4" width="22.7109375" bestFit="1" customWidth="1"/>
    <col min="5" max="5" width="15.42578125" bestFit="1" customWidth="1"/>
  </cols>
  <sheetData>
    <row r="1" spans="2:7" x14ac:dyDescent="0.25">
      <c r="B1" s="103" t="s">
        <v>680</v>
      </c>
      <c r="C1" s="103"/>
    </row>
    <row r="2" spans="2:7" x14ac:dyDescent="0.25">
      <c r="B2" s="109" t="s">
        <v>587</v>
      </c>
      <c r="C2" s="110"/>
    </row>
    <row r="3" spans="2:7" x14ac:dyDescent="0.25">
      <c r="B3" s="21" t="s">
        <v>579</v>
      </c>
      <c r="C3" s="38">
        <v>2030</v>
      </c>
      <c r="D3" s="143" t="s">
        <v>632</v>
      </c>
      <c r="E3" s="144"/>
    </row>
    <row r="4" spans="2:7" x14ac:dyDescent="0.25">
      <c r="B4" s="21" t="s">
        <v>580</v>
      </c>
      <c r="C4" s="38">
        <v>700</v>
      </c>
      <c r="D4" s="143"/>
      <c r="E4" s="144"/>
    </row>
    <row r="6" spans="2:7" x14ac:dyDescent="0.25">
      <c r="B6" s="21"/>
      <c r="C6" s="21" t="s">
        <v>582</v>
      </c>
      <c r="D6" s="21" t="s">
        <v>583</v>
      </c>
      <c r="E6" s="21" t="s">
        <v>584</v>
      </c>
      <c r="F6" s="21" t="s">
        <v>585</v>
      </c>
      <c r="G6" s="21" t="s">
        <v>586</v>
      </c>
    </row>
    <row r="7" spans="2:7" x14ac:dyDescent="0.25">
      <c r="B7" s="21" t="s">
        <v>579</v>
      </c>
      <c r="C7" s="33" t="s">
        <v>602</v>
      </c>
      <c r="D7" s="21" t="s">
        <v>0</v>
      </c>
      <c r="E7" s="21">
        <f>C3+6</f>
        <v>2036</v>
      </c>
      <c r="F7" s="21" t="s">
        <v>581</v>
      </c>
      <c r="G7" s="21">
        <v>45</v>
      </c>
    </row>
    <row r="8" spans="2:7" x14ac:dyDescent="0.25">
      <c r="B8" s="21" t="s">
        <v>580</v>
      </c>
      <c r="C8" s="33" t="s">
        <v>602</v>
      </c>
      <c r="D8" s="21" t="s">
        <v>0</v>
      </c>
      <c r="E8" s="21">
        <f>C4+6</f>
        <v>706</v>
      </c>
      <c r="F8" s="21" t="s">
        <v>581</v>
      </c>
      <c r="G8" s="21">
        <v>45</v>
      </c>
    </row>
    <row r="9" spans="2:7" x14ac:dyDescent="0.25">
      <c r="B9" s="21" t="s">
        <v>579</v>
      </c>
      <c r="C9" s="31" t="s">
        <v>603</v>
      </c>
      <c r="D9" s="21" t="s">
        <v>1</v>
      </c>
      <c r="E9" s="21">
        <f>C3-130</f>
        <v>1900</v>
      </c>
      <c r="F9" s="21" t="s">
        <v>581</v>
      </c>
      <c r="G9" s="21">
        <v>90</v>
      </c>
    </row>
    <row r="10" spans="2:7" x14ac:dyDescent="0.25">
      <c r="B10" s="21" t="s">
        <v>580</v>
      </c>
      <c r="C10" s="31" t="s">
        <v>603</v>
      </c>
      <c r="D10" s="21" t="s">
        <v>1</v>
      </c>
      <c r="E10" s="21">
        <f>C4-130</f>
        <v>570</v>
      </c>
      <c r="F10" s="21" t="s">
        <v>581</v>
      </c>
      <c r="G10" s="21">
        <v>90</v>
      </c>
    </row>
    <row r="11" spans="2:7" x14ac:dyDescent="0.25">
      <c r="B11" s="21" t="s">
        <v>579</v>
      </c>
      <c r="C11" s="31" t="s">
        <v>604</v>
      </c>
      <c r="D11" s="21" t="s">
        <v>1</v>
      </c>
      <c r="E11" s="21">
        <f>C3-90</f>
        <v>1940</v>
      </c>
      <c r="F11" s="21" t="s">
        <v>581</v>
      </c>
      <c r="G11" s="21">
        <v>90</v>
      </c>
    </row>
    <row r="12" spans="2:7" x14ac:dyDescent="0.25">
      <c r="B12" s="21" t="s">
        <v>580</v>
      </c>
      <c r="C12" s="31" t="s">
        <v>604</v>
      </c>
      <c r="D12" s="21" t="s">
        <v>1</v>
      </c>
      <c r="E12" s="21">
        <f>C4-90</f>
        <v>610</v>
      </c>
      <c r="F12" s="21" t="s">
        <v>581</v>
      </c>
      <c r="G12" s="21">
        <v>90</v>
      </c>
    </row>
    <row r="13" spans="2:7" x14ac:dyDescent="0.25">
      <c r="B13" s="21" t="s">
        <v>579</v>
      </c>
      <c r="C13" s="35" t="s">
        <v>593</v>
      </c>
      <c r="D13" s="21" t="s">
        <v>678</v>
      </c>
      <c r="E13" s="21">
        <f>(C3/2)-3.5</f>
        <v>1011.5</v>
      </c>
      <c r="F13" s="21" t="s">
        <v>581</v>
      </c>
      <c r="G13" s="21">
        <v>45</v>
      </c>
    </row>
    <row r="14" spans="2:7" x14ac:dyDescent="0.25">
      <c r="B14" s="21" t="s">
        <v>580</v>
      </c>
      <c r="C14" s="35" t="s">
        <v>593</v>
      </c>
      <c r="D14" s="21" t="s">
        <v>678</v>
      </c>
      <c r="E14" s="21">
        <f>C4-88</f>
        <v>612</v>
      </c>
      <c r="F14" s="21" t="s">
        <v>581</v>
      </c>
      <c r="G14" s="21">
        <v>45</v>
      </c>
    </row>
    <row r="15" spans="2:7" x14ac:dyDescent="0.25">
      <c r="B15" s="21" t="s">
        <v>579</v>
      </c>
      <c r="C15" s="32" t="s">
        <v>672</v>
      </c>
      <c r="D15" s="21" t="s">
        <v>1</v>
      </c>
      <c r="E15" s="21">
        <f>E13-6-140</f>
        <v>865.5</v>
      </c>
      <c r="F15" s="21" t="s">
        <v>581</v>
      </c>
      <c r="G15" s="21">
        <v>90</v>
      </c>
    </row>
    <row r="16" spans="2:7" x14ac:dyDescent="0.25">
      <c r="B16" s="21" t="s">
        <v>580</v>
      </c>
      <c r="C16" s="32" t="s">
        <v>672</v>
      </c>
      <c r="D16" s="21" t="s">
        <v>1</v>
      </c>
      <c r="E16" s="21">
        <f>E14-6-140</f>
        <v>466</v>
      </c>
      <c r="F16" s="21" t="s">
        <v>581</v>
      </c>
      <c r="G16" s="21">
        <v>90</v>
      </c>
    </row>
    <row r="17" spans="2:7" x14ac:dyDescent="0.25">
      <c r="B17" s="21" t="s">
        <v>579</v>
      </c>
      <c r="C17" s="21" t="s">
        <v>529</v>
      </c>
      <c r="D17" s="21" t="s">
        <v>607</v>
      </c>
      <c r="E17" s="21">
        <f>E13-116</f>
        <v>895.5</v>
      </c>
      <c r="F17" s="21" t="s">
        <v>581</v>
      </c>
      <c r="G17" s="21">
        <v>45</v>
      </c>
    </row>
    <row r="18" spans="2:7" x14ac:dyDescent="0.25">
      <c r="B18" s="21" t="s">
        <v>580</v>
      </c>
      <c r="C18" s="21" t="s">
        <v>529</v>
      </c>
      <c r="D18" s="21" t="s">
        <v>607</v>
      </c>
      <c r="E18" s="21">
        <f>E14-116</f>
        <v>496</v>
      </c>
      <c r="F18" s="21" t="s">
        <v>581</v>
      </c>
      <c r="G18" s="21">
        <v>45</v>
      </c>
    </row>
    <row r="19" spans="2:7" x14ac:dyDescent="0.25">
      <c r="B19" s="21" t="s">
        <v>580</v>
      </c>
      <c r="C19" s="35" t="s">
        <v>593</v>
      </c>
      <c r="D19" s="21" t="s">
        <v>679</v>
      </c>
      <c r="E19" s="21">
        <f>C4-96</f>
        <v>604</v>
      </c>
      <c r="F19" s="21" t="s">
        <v>606</v>
      </c>
      <c r="G19" s="21">
        <v>90</v>
      </c>
    </row>
    <row r="20" spans="2:7" x14ac:dyDescent="0.25">
      <c r="B20" s="21" t="s">
        <v>579</v>
      </c>
      <c r="C20" s="21" t="s">
        <v>529</v>
      </c>
      <c r="D20" s="21" t="s">
        <v>608</v>
      </c>
      <c r="E20" s="21">
        <f>(C3/2)-68.5</f>
        <v>946.5</v>
      </c>
      <c r="F20" s="21" t="s">
        <v>581</v>
      </c>
      <c r="G20" s="21">
        <v>45</v>
      </c>
    </row>
    <row r="21" spans="2:7" x14ac:dyDescent="0.25">
      <c r="B21" s="21" t="s">
        <v>580</v>
      </c>
      <c r="C21" s="21" t="s">
        <v>529</v>
      </c>
      <c r="D21" s="21" t="s">
        <v>608</v>
      </c>
      <c r="E21" s="21">
        <f>C4-102</f>
        <v>598</v>
      </c>
      <c r="F21" s="21" t="s">
        <v>581</v>
      </c>
      <c r="G21" s="21">
        <v>45</v>
      </c>
    </row>
    <row r="22" spans="2:7" x14ac:dyDescent="0.25">
      <c r="B22" s="23" t="s">
        <v>579</v>
      </c>
      <c r="C22" s="21" t="s">
        <v>609</v>
      </c>
      <c r="D22" s="23" t="s">
        <v>610</v>
      </c>
      <c r="E22" s="21">
        <f>(C3/2)-91.7</f>
        <v>923.3</v>
      </c>
      <c r="F22" s="23" t="s">
        <v>581</v>
      </c>
      <c r="G22" s="23">
        <v>45</v>
      </c>
    </row>
    <row r="23" spans="2:7" x14ac:dyDescent="0.25">
      <c r="B23" s="21" t="s">
        <v>580</v>
      </c>
      <c r="C23" s="21" t="s">
        <v>609</v>
      </c>
      <c r="D23" s="21" t="s">
        <v>610</v>
      </c>
      <c r="E23" s="21">
        <f>C4-102</f>
        <v>598</v>
      </c>
      <c r="F23" s="21" t="s">
        <v>606</v>
      </c>
      <c r="G23" s="64" t="s">
        <v>648</v>
      </c>
    </row>
    <row r="24" spans="2:7" x14ac:dyDescent="0.25">
      <c r="B24" s="21"/>
      <c r="C24" s="28" t="s">
        <v>617</v>
      </c>
      <c r="D24" s="21" t="s">
        <v>619</v>
      </c>
      <c r="E24" s="21">
        <f>C3-114</f>
        <v>1916</v>
      </c>
      <c r="F24" s="21" t="s">
        <v>606</v>
      </c>
      <c r="G24" s="21">
        <v>90</v>
      </c>
    </row>
    <row r="26" spans="2:7" x14ac:dyDescent="0.25">
      <c r="B26" s="28" t="s">
        <v>543</v>
      </c>
      <c r="C26" s="28" t="s">
        <v>611</v>
      </c>
      <c r="D26" s="21" t="s">
        <v>538</v>
      </c>
    </row>
    <row r="27" spans="2:7" x14ac:dyDescent="0.25">
      <c r="B27" s="21" t="s">
        <v>9</v>
      </c>
      <c r="C27" s="21">
        <f>E13-126</f>
        <v>885.5</v>
      </c>
      <c r="D27" s="107" t="s">
        <v>606</v>
      </c>
    </row>
    <row r="28" spans="2:7" x14ac:dyDescent="0.25">
      <c r="B28" s="21" t="s">
        <v>544</v>
      </c>
      <c r="C28" s="21">
        <f>E14-126</f>
        <v>486</v>
      </c>
      <c r="D28" s="107"/>
    </row>
    <row r="30" spans="2:7" x14ac:dyDescent="0.25">
      <c r="B30" s="28" t="s">
        <v>543</v>
      </c>
      <c r="C30" s="28" t="s">
        <v>612</v>
      </c>
      <c r="D30" s="21" t="s">
        <v>538</v>
      </c>
    </row>
    <row r="31" spans="2:7" x14ac:dyDescent="0.25">
      <c r="B31" s="21" t="s">
        <v>9</v>
      </c>
      <c r="C31" s="21">
        <f>(C3/2)-86.5</f>
        <v>928.5</v>
      </c>
      <c r="D31" s="142" t="s">
        <v>606</v>
      </c>
    </row>
    <row r="32" spans="2:7" x14ac:dyDescent="0.25">
      <c r="B32" s="21" t="s">
        <v>544</v>
      </c>
      <c r="C32" s="21">
        <f>C4-120</f>
        <v>580</v>
      </c>
      <c r="D32" s="142"/>
    </row>
  </sheetData>
  <mergeCells count="5">
    <mergeCell ref="B1:C1"/>
    <mergeCell ref="B2:C2"/>
    <mergeCell ref="D3:E4"/>
    <mergeCell ref="D27:D28"/>
    <mergeCell ref="D31:D3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32"/>
  <sheetViews>
    <sheetView topLeftCell="A14" workbookViewId="0">
      <selection activeCell="B35" sqref="B35"/>
    </sheetView>
  </sheetViews>
  <sheetFormatPr baseColWidth="10" defaultColWidth="10.7109375" defaultRowHeight="15" x14ac:dyDescent="0.25"/>
  <cols>
    <col min="2" max="2" width="27.42578125" customWidth="1"/>
    <col min="3" max="3" width="22.7109375" bestFit="1" customWidth="1"/>
    <col min="4" max="4" width="15.42578125" bestFit="1" customWidth="1"/>
  </cols>
  <sheetData>
    <row r="1" spans="1:8" ht="15.75" thickBot="1" x14ac:dyDescent="0.3"/>
    <row r="2" spans="1:8" x14ac:dyDescent="0.25">
      <c r="E2" s="65"/>
      <c r="F2" s="76"/>
      <c r="G2" s="76"/>
      <c r="H2" s="67"/>
    </row>
    <row r="3" spans="1:8" x14ac:dyDescent="0.25">
      <c r="A3" s="103" t="s">
        <v>682</v>
      </c>
      <c r="B3" s="103"/>
      <c r="E3" s="68"/>
      <c r="F3" s="77"/>
      <c r="G3" s="77"/>
      <c r="H3" s="69"/>
    </row>
    <row r="4" spans="1:8" ht="23.25" x14ac:dyDescent="0.25">
      <c r="A4" s="109" t="s">
        <v>587</v>
      </c>
      <c r="B4" s="110"/>
      <c r="E4" s="78" t="s">
        <v>667</v>
      </c>
      <c r="F4" s="79"/>
      <c r="G4" s="79"/>
      <c r="H4" s="80" t="s">
        <v>667</v>
      </c>
    </row>
    <row r="5" spans="1:8" x14ac:dyDescent="0.25">
      <c r="A5" s="21" t="s">
        <v>579</v>
      </c>
      <c r="B5" s="38">
        <v>4000</v>
      </c>
      <c r="C5" s="143" t="s">
        <v>632</v>
      </c>
      <c r="D5" s="144"/>
      <c r="E5" s="68"/>
      <c r="F5" s="77"/>
      <c r="G5" s="77"/>
      <c r="H5" s="69"/>
    </row>
    <row r="6" spans="1:8" ht="15.75" thickBot="1" x14ac:dyDescent="0.3">
      <c r="A6" s="21" t="s">
        <v>580</v>
      </c>
      <c r="B6" s="38">
        <v>2000</v>
      </c>
      <c r="C6" s="143"/>
      <c r="D6" s="144"/>
      <c r="E6" s="70"/>
      <c r="F6" s="41"/>
      <c r="G6" s="41"/>
      <c r="H6" s="72"/>
    </row>
    <row r="7" spans="1:8" x14ac:dyDescent="0.25">
      <c r="A7" s="21"/>
      <c r="B7" s="21" t="s">
        <v>582</v>
      </c>
      <c r="C7" s="21" t="s">
        <v>583</v>
      </c>
      <c r="D7" s="21" t="s">
        <v>584</v>
      </c>
      <c r="E7" s="21" t="s">
        <v>585</v>
      </c>
      <c r="F7" s="21" t="s">
        <v>586</v>
      </c>
    </row>
    <row r="8" spans="1:8" x14ac:dyDescent="0.25">
      <c r="A8" s="21" t="s">
        <v>579</v>
      </c>
      <c r="B8" s="33" t="s">
        <v>602</v>
      </c>
      <c r="C8" s="21" t="s">
        <v>0</v>
      </c>
      <c r="D8" s="21">
        <f>B5+6</f>
        <v>4006</v>
      </c>
      <c r="E8" s="21" t="s">
        <v>581</v>
      </c>
      <c r="F8" s="21">
        <v>45</v>
      </c>
    </row>
    <row r="9" spans="1:8" x14ac:dyDescent="0.25">
      <c r="A9" s="21" t="s">
        <v>580</v>
      </c>
      <c r="B9" s="33" t="s">
        <v>602</v>
      </c>
      <c r="C9" s="21" t="s">
        <v>0</v>
      </c>
      <c r="D9" s="21">
        <f>B6+6</f>
        <v>2006</v>
      </c>
      <c r="E9" s="21" t="s">
        <v>581</v>
      </c>
      <c r="F9" s="21">
        <v>45</v>
      </c>
    </row>
    <row r="10" spans="1:8" x14ac:dyDescent="0.25">
      <c r="A10" s="21" t="s">
        <v>579</v>
      </c>
      <c r="B10" s="31" t="s">
        <v>603</v>
      </c>
      <c r="C10" s="21" t="s">
        <v>1</v>
      </c>
      <c r="D10" s="21">
        <v>0</v>
      </c>
      <c r="E10" s="21" t="s">
        <v>581</v>
      </c>
      <c r="F10" s="21">
        <v>90</v>
      </c>
    </row>
    <row r="11" spans="1:8" x14ac:dyDescent="0.25">
      <c r="A11" s="21" t="s">
        <v>580</v>
      </c>
      <c r="B11" s="31" t="s">
        <v>603</v>
      </c>
      <c r="C11" s="21" t="s">
        <v>1</v>
      </c>
      <c r="D11" s="21">
        <v>0</v>
      </c>
      <c r="E11" s="21" t="s">
        <v>581</v>
      </c>
      <c r="F11" s="21">
        <v>90</v>
      </c>
    </row>
    <row r="12" spans="1:8" x14ac:dyDescent="0.25">
      <c r="A12" s="21" t="s">
        <v>579</v>
      </c>
      <c r="B12" s="31" t="s">
        <v>604</v>
      </c>
      <c r="C12" s="21" t="s">
        <v>1</v>
      </c>
      <c r="D12" s="21">
        <v>0</v>
      </c>
      <c r="E12" s="21" t="s">
        <v>581</v>
      </c>
      <c r="F12" s="21">
        <v>90</v>
      </c>
    </row>
    <row r="13" spans="1:8" x14ac:dyDescent="0.25">
      <c r="A13" s="21" t="s">
        <v>580</v>
      </c>
      <c r="B13" s="31" t="s">
        <v>604</v>
      </c>
      <c r="C13" s="21" t="s">
        <v>1</v>
      </c>
      <c r="D13" s="21">
        <v>0</v>
      </c>
      <c r="E13" s="21" t="s">
        <v>581</v>
      </c>
      <c r="F13" s="21">
        <v>90</v>
      </c>
    </row>
    <row r="14" spans="1:8" x14ac:dyDescent="0.25">
      <c r="A14" s="21" t="s">
        <v>579</v>
      </c>
      <c r="B14" s="35" t="s">
        <v>595</v>
      </c>
      <c r="C14" s="21" t="s">
        <v>592</v>
      </c>
      <c r="D14" s="21">
        <f>(B5/4)+49</f>
        <v>1049</v>
      </c>
      <c r="E14" s="21" t="s">
        <v>599</v>
      </c>
      <c r="F14" s="21">
        <v>45</v>
      </c>
    </row>
    <row r="15" spans="1:8" x14ac:dyDescent="0.25">
      <c r="A15" s="21" t="s">
        <v>580</v>
      </c>
      <c r="B15" s="35" t="s">
        <v>595</v>
      </c>
      <c r="C15" s="21" t="s">
        <v>592</v>
      </c>
      <c r="D15" s="21">
        <f>B6-88</f>
        <v>1912</v>
      </c>
      <c r="E15" s="21" t="s">
        <v>599</v>
      </c>
      <c r="F15" s="21">
        <v>45</v>
      </c>
    </row>
    <row r="16" spans="1:8" x14ac:dyDescent="0.25">
      <c r="A16" s="21" t="s">
        <v>579</v>
      </c>
      <c r="B16" s="32" t="s">
        <v>598</v>
      </c>
      <c r="C16" s="21" t="s">
        <v>1</v>
      </c>
      <c r="D16" s="21">
        <v>0</v>
      </c>
      <c r="E16" s="21" t="s">
        <v>581</v>
      </c>
      <c r="F16" s="21">
        <v>90</v>
      </c>
    </row>
    <row r="17" spans="1:6" x14ac:dyDescent="0.25">
      <c r="A17" s="21" t="s">
        <v>580</v>
      </c>
      <c r="B17" s="32" t="s">
        <v>598</v>
      </c>
      <c r="C17" s="21" t="s">
        <v>1</v>
      </c>
      <c r="D17" s="21">
        <v>0</v>
      </c>
      <c r="E17" s="21" t="s">
        <v>581</v>
      </c>
      <c r="F17" s="21">
        <v>90</v>
      </c>
    </row>
    <row r="18" spans="1:6" x14ac:dyDescent="0.25">
      <c r="A18" s="21" t="s">
        <v>579</v>
      </c>
      <c r="B18" s="21" t="s">
        <v>529</v>
      </c>
      <c r="C18" s="21" t="s">
        <v>607</v>
      </c>
      <c r="D18" s="21">
        <f>D14-152</f>
        <v>897</v>
      </c>
      <c r="E18" s="21" t="s">
        <v>581</v>
      </c>
      <c r="F18" s="21">
        <v>45</v>
      </c>
    </row>
    <row r="19" spans="1:6" x14ac:dyDescent="0.25">
      <c r="A19" s="21" t="s">
        <v>580</v>
      </c>
      <c r="B19" s="21" t="s">
        <v>529</v>
      </c>
      <c r="C19" s="21" t="s">
        <v>607</v>
      </c>
      <c r="D19" s="21">
        <f>D15-152</f>
        <v>1760</v>
      </c>
      <c r="E19" s="21" t="s">
        <v>581</v>
      </c>
      <c r="F19" s="21">
        <v>45</v>
      </c>
    </row>
    <row r="20" spans="1:6" x14ac:dyDescent="0.25">
      <c r="A20" s="21" t="s">
        <v>580</v>
      </c>
      <c r="B20" s="35" t="s">
        <v>595</v>
      </c>
      <c r="C20" s="21" t="s">
        <v>605</v>
      </c>
      <c r="D20" s="21">
        <f>B6-96</f>
        <v>1904</v>
      </c>
      <c r="E20" s="21" t="s">
        <v>581</v>
      </c>
      <c r="F20" s="21">
        <v>90</v>
      </c>
    </row>
    <row r="21" spans="1:6" x14ac:dyDescent="0.25">
      <c r="A21" s="21" t="s">
        <v>579</v>
      </c>
      <c r="B21" s="21" t="s">
        <v>529</v>
      </c>
      <c r="C21" s="21" t="s">
        <v>608</v>
      </c>
      <c r="D21" s="21">
        <f>B5/4-77.5</f>
        <v>922.5</v>
      </c>
      <c r="E21" s="21" t="s">
        <v>581</v>
      </c>
      <c r="F21" s="21">
        <v>45</v>
      </c>
    </row>
    <row r="22" spans="1:6" x14ac:dyDescent="0.25">
      <c r="A22" s="21" t="s">
        <v>580</v>
      </c>
      <c r="B22" s="21" t="s">
        <v>529</v>
      </c>
      <c r="C22" s="21" t="s">
        <v>608</v>
      </c>
      <c r="D22" s="21">
        <f>B6-102</f>
        <v>1898</v>
      </c>
      <c r="E22" s="21" t="s">
        <v>581</v>
      </c>
      <c r="F22" s="21">
        <v>45</v>
      </c>
    </row>
    <row r="23" spans="1:6" x14ac:dyDescent="0.25">
      <c r="A23" s="23" t="s">
        <v>579</v>
      </c>
      <c r="B23" s="21" t="s">
        <v>609</v>
      </c>
      <c r="C23" s="23" t="s">
        <v>610</v>
      </c>
      <c r="D23" s="21">
        <f>(B5/2)-100.7</f>
        <v>1899.3</v>
      </c>
      <c r="E23" s="23" t="s">
        <v>581</v>
      </c>
      <c r="F23" s="23">
        <v>90</v>
      </c>
    </row>
    <row r="24" spans="1:6" x14ac:dyDescent="0.25">
      <c r="A24" s="21"/>
      <c r="B24" s="28" t="s">
        <v>617</v>
      </c>
      <c r="C24" s="21" t="s">
        <v>619</v>
      </c>
      <c r="D24" s="21">
        <f>B5-114</f>
        <v>3886</v>
      </c>
      <c r="E24" s="21" t="s">
        <v>606</v>
      </c>
      <c r="F24" s="21">
        <v>90</v>
      </c>
    </row>
    <row r="26" spans="1:6" x14ac:dyDescent="0.25">
      <c r="A26" s="28" t="s">
        <v>543</v>
      </c>
      <c r="B26" s="28" t="s">
        <v>611</v>
      </c>
      <c r="C26" s="21" t="s">
        <v>538</v>
      </c>
    </row>
    <row r="27" spans="1:6" x14ac:dyDescent="0.25">
      <c r="A27" s="21" t="s">
        <v>9</v>
      </c>
      <c r="B27" s="21">
        <f>D14-162</f>
        <v>887</v>
      </c>
      <c r="C27" s="107" t="s">
        <v>581</v>
      </c>
    </row>
    <row r="28" spans="1:6" x14ac:dyDescent="0.25">
      <c r="A28" s="21" t="s">
        <v>544</v>
      </c>
      <c r="B28" s="21">
        <f>D15-162</f>
        <v>1750</v>
      </c>
      <c r="C28" s="107"/>
    </row>
    <row r="30" spans="1:6" x14ac:dyDescent="0.25">
      <c r="A30" s="28" t="s">
        <v>543</v>
      </c>
      <c r="B30" s="28" t="s">
        <v>612</v>
      </c>
      <c r="C30" s="21" t="s">
        <v>538</v>
      </c>
    </row>
    <row r="31" spans="1:6" x14ac:dyDescent="0.25">
      <c r="A31" s="21" t="s">
        <v>9</v>
      </c>
      <c r="B31" s="21">
        <f>(B5/4)-91.5</f>
        <v>908.5</v>
      </c>
      <c r="C31" s="142" t="s">
        <v>581</v>
      </c>
    </row>
    <row r="32" spans="1:6" x14ac:dyDescent="0.25">
      <c r="A32" s="21" t="s">
        <v>544</v>
      </c>
      <c r="B32" s="21">
        <f>B6-116</f>
        <v>1884</v>
      </c>
      <c r="C32" s="142"/>
    </row>
  </sheetData>
  <mergeCells count="5">
    <mergeCell ref="A3:B3"/>
    <mergeCell ref="A4:B4"/>
    <mergeCell ref="C5:D6"/>
    <mergeCell ref="C27:C28"/>
    <mergeCell ref="C31:C32"/>
  </mergeCells>
  <pageMargins left="0.7" right="0.7" top="0.75" bottom="0.75" header="0.3" footer="0.3"/>
  <pageSetup paperSize="9" orientation="landscape" horizontalDpi="4294967293" verticalDpi="30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17"/>
  <dimension ref="B2:G24"/>
  <sheetViews>
    <sheetView topLeftCell="A2" zoomScale="90" zoomScaleNormal="90" workbookViewId="0">
      <selection activeCell="I7" sqref="I7"/>
    </sheetView>
  </sheetViews>
  <sheetFormatPr baseColWidth="10" defaultColWidth="10.7109375" defaultRowHeight="15" x14ac:dyDescent="0.25"/>
  <cols>
    <col min="3" max="3" width="15.28515625" customWidth="1"/>
    <col min="4" max="4" width="22.7109375" bestFit="1" customWidth="1"/>
    <col min="5" max="5" width="15.42578125" bestFit="1" customWidth="1"/>
  </cols>
  <sheetData>
    <row r="2" spans="2:7" ht="15.75" thickBot="1" x14ac:dyDescent="0.3"/>
    <row r="3" spans="2:7" ht="15.75" thickBot="1" x14ac:dyDescent="0.3">
      <c r="B3" s="123" t="s">
        <v>670</v>
      </c>
      <c r="C3" s="145"/>
      <c r="D3" s="124"/>
    </row>
    <row r="4" spans="2:7" x14ac:dyDescent="0.25">
      <c r="B4" s="146" t="s">
        <v>587</v>
      </c>
      <c r="C4" s="147"/>
    </row>
    <row r="5" spans="2:7" x14ac:dyDescent="0.25">
      <c r="B5" s="21" t="s">
        <v>579</v>
      </c>
      <c r="C5" s="38">
        <v>3930</v>
      </c>
      <c r="D5" s="143" t="s">
        <v>632</v>
      </c>
      <c r="E5" s="144"/>
    </row>
    <row r="6" spans="2:7" x14ac:dyDescent="0.25">
      <c r="B6" s="21" t="s">
        <v>580</v>
      </c>
      <c r="C6" s="38">
        <v>2480</v>
      </c>
      <c r="D6" s="143"/>
      <c r="E6" s="144"/>
    </row>
    <row r="8" spans="2:7" x14ac:dyDescent="0.25">
      <c r="B8" s="21"/>
      <c r="C8" s="21" t="s">
        <v>582</v>
      </c>
      <c r="D8" s="21" t="s">
        <v>583</v>
      </c>
      <c r="E8" s="21" t="s">
        <v>584</v>
      </c>
      <c r="F8" s="21" t="s">
        <v>585</v>
      </c>
      <c r="G8" s="21" t="s">
        <v>586</v>
      </c>
    </row>
    <row r="9" spans="2:7" x14ac:dyDescent="0.25">
      <c r="B9" s="21" t="s">
        <v>579</v>
      </c>
      <c r="C9" s="27" t="s">
        <v>699</v>
      </c>
      <c r="D9" s="21" t="s">
        <v>0</v>
      </c>
      <c r="E9" s="21">
        <f>C5+6</f>
        <v>3936</v>
      </c>
      <c r="F9" s="21" t="s">
        <v>581</v>
      </c>
      <c r="G9" s="21">
        <v>45</v>
      </c>
    </row>
    <row r="10" spans="2:7" x14ac:dyDescent="0.25">
      <c r="B10" s="21" t="s">
        <v>580</v>
      </c>
      <c r="C10" s="27" t="s">
        <v>699</v>
      </c>
      <c r="D10" s="21" t="s">
        <v>0</v>
      </c>
      <c r="E10" s="21">
        <f>C6+6</f>
        <v>2486</v>
      </c>
      <c r="F10" s="21" t="s">
        <v>581</v>
      </c>
      <c r="G10" s="21">
        <v>45</v>
      </c>
    </row>
    <row r="11" spans="2:7" x14ac:dyDescent="0.25">
      <c r="B11" s="21" t="s">
        <v>579</v>
      </c>
      <c r="C11" s="32" t="s">
        <v>597</v>
      </c>
      <c r="D11" s="21" t="s">
        <v>1</v>
      </c>
      <c r="E11" s="21">
        <f>C5-70</f>
        <v>3860</v>
      </c>
      <c r="F11" s="21" t="s">
        <v>581</v>
      </c>
      <c r="G11" s="21">
        <v>90</v>
      </c>
    </row>
    <row r="12" spans="2:7" x14ac:dyDescent="0.25">
      <c r="B12" s="21" t="s">
        <v>580</v>
      </c>
      <c r="C12" s="32" t="s">
        <v>597</v>
      </c>
      <c r="D12" s="21" t="s">
        <v>1</v>
      </c>
      <c r="E12" s="21">
        <f>C6-70</f>
        <v>2410</v>
      </c>
      <c r="F12" s="21" t="s">
        <v>581</v>
      </c>
      <c r="G12" s="21">
        <v>90</v>
      </c>
    </row>
    <row r="13" spans="2:7" x14ac:dyDescent="0.25">
      <c r="B13" s="21" t="s">
        <v>579</v>
      </c>
      <c r="C13" s="29" t="s">
        <v>595</v>
      </c>
      <c r="D13" s="21" t="s">
        <v>592</v>
      </c>
      <c r="E13" s="21">
        <f>(C5/3)+36.7</f>
        <v>1346.7</v>
      </c>
      <c r="F13" s="21" t="s">
        <v>651</v>
      </c>
      <c r="G13" s="21">
        <v>45</v>
      </c>
    </row>
    <row r="14" spans="2:7" x14ac:dyDescent="0.25">
      <c r="B14" s="21" t="s">
        <v>580</v>
      </c>
      <c r="C14" s="29" t="s">
        <v>595</v>
      </c>
      <c r="D14" s="21" t="s">
        <v>592</v>
      </c>
      <c r="E14" s="21">
        <f>C6-88</f>
        <v>2392</v>
      </c>
      <c r="F14" s="21" t="s">
        <v>651</v>
      </c>
      <c r="G14" s="21">
        <v>45</v>
      </c>
    </row>
    <row r="15" spans="2:7" x14ac:dyDescent="0.25">
      <c r="B15" s="21" t="s">
        <v>579</v>
      </c>
      <c r="C15" s="32" t="s">
        <v>598</v>
      </c>
      <c r="D15" s="21" t="s">
        <v>1</v>
      </c>
      <c r="E15" s="21">
        <f>E13-6-160</f>
        <v>1180.7</v>
      </c>
      <c r="F15" s="21" t="s">
        <v>651</v>
      </c>
      <c r="G15" s="21">
        <v>90</v>
      </c>
    </row>
    <row r="16" spans="2:7" x14ac:dyDescent="0.25">
      <c r="B16" s="21" t="s">
        <v>580</v>
      </c>
      <c r="C16" s="32" t="s">
        <v>598</v>
      </c>
      <c r="D16" s="21" t="s">
        <v>1</v>
      </c>
      <c r="E16" s="21">
        <f>E14-6-160</f>
        <v>2226</v>
      </c>
      <c r="F16" s="21" t="s">
        <v>651</v>
      </c>
      <c r="G16" s="21">
        <v>90</v>
      </c>
    </row>
    <row r="17" spans="2:7" x14ac:dyDescent="0.25">
      <c r="B17" s="21" t="s">
        <v>579</v>
      </c>
      <c r="C17" s="28" t="s">
        <v>529</v>
      </c>
      <c r="D17" s="21" t="s">
        <v>2</v>
      </c>
      <c r="E17" s="21"/>
      <c r="F17" s="21"/>
      <c r="G17" s="21">
        <v>45</v>
      </c>
    </row>
    <row r="18" spans="2:7" x14ac:dyDescent="0.25">
      <c r="B18" s="21" t="s">
        <v>580</v>
      </c>
      <c r="C18" s="28" t="s">
        <v>529</v>
      </c>
      <c r="D18" s="21" t="s">
        <v>2</v>
      </c>
      <c r="E18" s="21"/>
      <c r="F18" s="21"/>
      <c r="G18" s="21">
        <v>45</v>
      </c>
    </row>
    <row r="19" spans="2:7" x14ac:dyDescent="0.25">
      <c r="B19" s="21"/>
      <c r="C19" s="28" t="s">
        <v>616</v>
      </c>
      <c r="D19" s="21" t="s">
        <v>618</v>
      </c>
      <c r="E19" s="21">
        <f>E14-6</f>
        <v>2386</v>
      </c>
      <c r="F19" s="21" t="s">
        <v>599</v>
      </c>
      <c r="G19" s="21">
        <v>90</v>
      </c>
    </row>
    <row r="20" spans="2:7" x14ac:dyDescent="0.25">
      <c r="B20" s="21"/>
      <c r="C20" s="28" t="s">
        <v>617</v>
      </c>
      <c r="D20" s="21" t="s">
        <v>619</v>
      </c>
      <c r="E20" s="21">
        <f>C5-114</f>
        <v>3816</v>
      </c>
      <c r="F20" s="21" t="s">
        <v>710</v>
      </c>
      <c r="G20" s="21">
        <v>90</v>
      </c>
    </row>
    <row r="22" spans="2:7" x14ac:dyDescent="0.25">
      <c r="B22" s="104" t="s">
        <v>543</v>
      </c>
      <c r="C22" s="104"/>
      <c r="D22" s="21" t="s">
        <v>538</v>
      </c>
    </row>
    <row r="23" spans="2:7" x14ac:dyDescent="0.25">
      <c r="B23" s="21" t="s">
        <v>9</v>
      </c>
      <c r="C23" s="21">
        <f>E13-162</f>
        <v>1184.7</v>
      </c>
      <c r="D23" s="148" t="s">
        <v>652</v>
      </c>
    </row>
    <row r="24" spans="2:7" x14ac:dyDescent="0.25">
      <c r="B24" s="21" t="s">
        <v>544</v>
      </c>
      <c r="C24" s="21">
        <f>E14-162</f>
        <v>2230</v>
      </c>
      <c r="D24" s="148"/>
    </row>
  </sheetData>
  <mergeCells count="5">
    <mergeCell ref="B3:D3"/>
    <mergeCell ref="B4:C4"/>
    <mergeCell ref="D5:E6"/>
    <mergeCell ref="B22:C22"/>
    <mergeCell ref="D23:D24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521D4-BAFF-4925-B927-667F63E3BE68}">
  <dimension ref="B2:G24"/>
  <sheetViews>
    <sheetView workbookViewId="0">
      <selection activeCell="B3" sqref="B3:D3"/>
    </sheetView>
  </sheetViews>
  <sheetFormatPr baseColWidth="10" defaultColWidth="10.7109375" defaultRowHeight="15" x14ac:dyDescent="0.25"/>
  <cols>
    <col min="3" max="3" width="15.28515625" customWidth="1"/>
    <col min="4" max="4" width="24.42578125" customWidth="1"/>
    <col min="5" max="5" width="15.42578125" bestFit="1" customWidth="1"/>
  </cols>
  <sheetData>
    <row r="2" spans="2:7" ht="15.75" thickBot="1" x14ac:dyDescent="0.3"/>
    <row r="3" spans="2:7" ht="15.75" thickBot="1" x14ac:dyDescent="0.3">
      <c r="B3" s="123" t="s">
        <v>694</v>
      </c>
      <c r="C3" s="145"/>
      <c r="D3" s="124"/>
    </row>
    <row r="4" spans="2:7" x14ac:dyDescent="0.25">
      <c r="B4" s="146" t="s">
        <v>587</v>
      </c>
      <c r="C4" s="147"/>
    </row>
    <row r="5" spans="2:7" x14ac:dyDescent="0.25">
      <c r="B5" s="21" t="s">
        <v>579</v>
      </c>
      <c r="C5" s="38">
        <v>3050</v>
      </c>
      <c r="D5" s="143" t="s">
        <v>632</v>
      </c>
      <c r="E5" s="144"/>
    </row>
    <row r="6" spans="2:7" x14ac:dyDescent="0.25">
      <c r="B6" s="21" t="s">
        <v>580</v>
      </c>
      <c r="C6" s="38">
        <v>2370</v>
      </c>
      <c r="D6" s="143"/>
      <c r="E6" s="144"/>
    </row>
    <row r="8" spans="2:7" x14ac:dyDescent="0.25">
      <c r="B8" s="21"/>
      <c r="C8" s="21" t="s">
        <v>582</v>
      </c>
      <c r="D8" s="21" t="s">
        <v>583</v>
      </c>
      <c r="E8" s="21" t="s">
        <v>584</v>
      </c>
      <c r="F8" s="21" t="s">
        <v>585</v>
      </c>
      <c r="G8" s="21" t="s">
        <v>586</v>
      </c>
    </row>
    <row r="9" spans="2:7" x14ac:dyDescent="0.25">
      <c r="B9" s="21" t="s">
        <v>579</v>
      </c>
      <c r="C9" s="27" t="s">
        <v>591</v>
      </c>
      <c r="D9" s="21" t="s">
        <v>0</v>
      </c>
      <c r="E9" s="21">
        <f>C5+6</f>
        <v>3056</v>
      </c>
      <c r="F9" s="21" t="s">
        <v>581</v>
      </c>
      <c r="G9" s="21">
        <v>45</v>
      </c>
    </row>
    <row r="10" spans="2:7" x14ac:dyDescent="0.25">
      <c r="B10" s="21" t="s">
        <v>580</v>
      </c>
      <c r="C10" s="27" t="s">
        <v>591</v>
      </c>
      <c r="D10" s="21" t="s">
        <v>0</v>
      </c>
      <c r="E10" s="21">
        <f>C6+6</f>
        <v>2376</v>
      </c>
      <c r="F10" s="21" t="s">
        <v>581</v>
      </c>
      <c r="G10" s="21">
        <v>45</v>
      </c>
    </row>
    <row r="11" spans="2:7" x14ac:dyDescent="0.25">
      <c r="B11" s="21" t="s">
        <v>579</v>
      </c>
      <c r="C11" s="32" t="s">
        <v>597</v>
      </c>
      <c r="D11" s="21" t="s">
        <v>1</v>
      </c>
      <c r="E11" s="21">
        <f>C5-70</f>
        <v>2980</v>
      </c>
      <c r="F11" s="21" t="s">
        <v>581</v>
      </c>
      <c r="G11" s="21">
        <v>90</v>
      </c>
    </row>
    <row r="12" spans="2:7" x14ac:dyDescent="0.25">
      <c r="B12" s="21" t="s">
        <v>580</v>
      </c>
      <c r="C12" s="32" t="s">
        <v>597</v>
      </c>
      <c r="D12" s="21" t="s">
        <v>1</v>
      </c>
      <c r="E12" s="21">
        <f>C6-70</f>
        <v>2300</v>
      </c>
      <c r="F12" s="21" t="s">
        <v>581</v>
      </c>
      <c r="G12" s="21">
        <v>90</v>
      </c>
    </row>
    <row r="13" spans="2:7" x14ac:dyDescent="0.25">
      <c r="B13" s="21" t="s">
        <v>579</v>
      </c>
      <c r="C13" s="29" t="s">
        <v>595</v>
      </c>
      <c r="D13" s="21" t="s">
        <v>592</v>
      </c>
      <c r="E13" s="21">
        <f>(C5/3)+3.3</f>
        <v>1019.9666666666666</v>
      </c>
      <c r="F13" s="21" t="s">
        <v>651</v>
      </c>
      <c r="G13" s="21">
        <v>45</v>
      </c>
    </row>
    <row r="14" spans="2:7" x14ac:dyDescent="0.25">
      <c r="B14" s="21" t="s">
        <v>580</v>
      </c>
      <c r="C14" s="29" t="s">
        <v>595</v>
      </c>
      <c r="D14" s="21" t="s">
        <v>592</v>
      </c>
      <c r="E14" s="21">
        <f>C6-88</f>
        <v>2282</v>
      </c>
      <c r="F14" s="21" t="s">
        <v>651</v>
      </c>
      <c r="G14" s="21">
        <v>45</v>
      </c>
    </row>
    <row r="15" spans="2:7" x14ac:dyDescent="0.25">
      <c r="B15" s="21" t="s">
        <v>579</v>
      </c>
      <c r="C15" s="32" t="s">
        <v>598</v>
      </c>
      <c r="D15" s="21" t="s">
        <v>1</v>
      </c>
      <c r="E15" s="21">
        <f>E13-6-160</f>
        <v>853.96666666666658</v>
      </c>
      <c r="F15" s="21" t="s">
        <v>651</v>
      </c>
      <c r="G15" s="21">
        <v>90</v>
      </c>
    </row>
    <row r="16" spans="2:7" x14ac:dyDescent="0.25">
      <c r="B16" s="21" t="s">
        <v>580</v>
      </c>
      <c r="C16" s="32" t="s">
        <v>598</v>
      </c>
      <c r="D16" s="21" t="s">
        <v>1</v>
      </c>
      <c r="E16" s="21">
        <f>E14-6-160</f>
        <v>2116</v>
      </c>
      <c r="F16" s="21" t="s">
        <v>651</v>
      </c>
      <c r="G16" s="21">
        <v>90</v>
      </c>
    </row>
    <row r="17" spans="2:7" x14ac:dyDescent="0.25">
      <c r="B17" s="21" t="s">
        <v>579</v>
      </c>
      <c r="C17" s="28" t="s">
        <v>529</v>
      </c>
      <c r="D17" s="21" t="s">
        <v>2</v>
      </c>
      <c r="E17" s="21"/>
      <c r="F17" s="21"/>
      <c r="G17" s="21">
        <v>45</v>
      </c>
    </row>
    <row r="18" spans="2:7" x14ac:dyDescent="0.25">
      <c r="B18" s="21" t="s">
        <v>580</v>
      </c>
      <c r="C18" s="28" t="s">
        <v>529</v>
      </c>
      <c r="D18" s="21" t="s">
        <v>2</v>
      </c>
      <c r="E18" s="21"/>
      <c r="F18" s="21"/>
      <c r="G18" s="21">
        <v>45</v>
      </c>
    </row>
    <row r="19" spans="2:7" x14ac:dyDescent="0.25">
      <c r="B19" s="21"/>
      <c r="C19" s="28" t="s">
        <v>616</v>
      </c>
      <c r="D19" s="21" t="s">
        <v>618</v>
      </c>
      <c r="E19" s="21">
        <f>E14-6</f>
        <v>2276</v>
      </c>
      <c r="F19" s="21" t="s">
        <v>581</v>
      </c>
      <c r="G19" s="21">
        <v>90</v>
      </c>
    </row>
    <row r="20" spans="2:7" x14ac:dyDescent="0.25">
      <c r="B20" s="21"/>
      <c r="C20" s="28" t="s">
        <v>617</v>
      </c>
      <c r="D20" s="21" t="s">
        <v>619</v>
      </c>
      <c r="E20" s="21">
        <f>C5-114</f>
        <v>2936</v>
      </c>
      <c r="F20" s="21" t="s">
        <v>581</v>
      </c>
      <c r="G20" s="21">
        <v>90</v>
      </c>
    </row>
    <row r="22" spans="2:7" x14ac:dyDescent="0.25">
      <c r="B22" s="104" t="s">
        <v>543</v>
      </c>
      <c r="C22" s="104"/>
      <c r="D22" s="21" t="s">
        <v>538</v>
      </c>
    </row>
    <row r="23" spans="2:7" x14ac:dyDescent="0.25">
      <c r="B23" s="21" t="s">
        <v>9</v>
      </c>
      <c r="C23" s="21">
        <f>E13-162</f>
        <v>857.96666666666658</v>
      </c>
      <c r="D23" s="148" t="s">
        <v>652</v>
      </c>
    </row>
    <row r="24" spans="2:7" x14ac:dyDescent="0.25">
      <c r="B24" s="21" t="s">
        <v>544</v>
      </c>
      <c r="C24" s="21">
        <f>E14-162</f>
        <v>2120</v>
      </c>
      <c r="D24" s="148"/>
    </row>
  </sheetData>
  <mergeCells count="5">
    <mergeCell ref="B3:D3"/>
    <mergeCell ref="B4:C4"/>
    <mergeCell ref="D5:E6"/>
    <mergeCell ref="B22:C22"/>
    <mergeCell ref="D23:D24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2:G24"/>
  <sheetViews>
    <sheetView topLeftCell="A8" workbookViewId="0">
      <selection activeCell="J20" sqref="J20"/>
    </sheetView>
  </sheetViews>
  <sheetFormatPr baseColWidth="10" defaultColWidth="10.7109375" defaultRowHeight="15" x14ac:dyDescent="0.25"/>
  <cols>
    <col min="3" max="3" width="15.28515625" customWidth="1"/>
    <col min="4" max="4" width="22.7109375" bestFit="1" customWidth="1"/>
    <col min="5" max="5" width="15.42578125" bestFit="1" customWidth="1"/>
  </cols>
  <sheetData>
    <row r="2" spans="2:7" ht="15.75" thickBot="1" x14ac:dyDescent="0.3"/>
    <row r="3" spans="2:7" ht="15.75" thickBot="1" x14ac:dyDescent="0.3">
      <c r="B3" s="123" t="s">
        <v>671</v>
      </c>
      <c r="C3" s="145"/>
      <c r="D3" s="124"/>
    </row>
    <row r="4" spans="2:7" x14ac:dyDescent="0.25">
      <c r="B4" s="146" t="s">
        <v>587</v>
      </c>
      <c r="C4" s="147"/>
    </row>
    <row r="5" spans="2:7" x14ac:dyDescent="0.25">
      <c r="B5" s="21" t="s">
        <v>579</v>
      </c>
      <c r="C5" s="38">
        <v>2360</v>
      </c>
      <c r="D5" s="143" t="s">
        <v>632</v>
      </c>
      <c r="E5" s="144"/>
    </row>
    <row r="6" spans="2:7" x14ac:dyDescent="0.25">
      <c r="B6" s="21" t="s">
        <v>580</v>
      </c>
      <c r="C6" s="38">
        <v>1145</v>
      </c>
      <c r="D6" s="143"/>
      <c r="E6" s="144"/>
    </row>
    <row r="8" spans="2:7" x14ac:dyDescent="0.25">
      <c r="B8" s="21"/>
      <c r="C8" s="21" t="s">
        <v>582</v>
      </c>
      <c r="D8" s="21" t="s">
        <v>583</v>
      </c>
      <c r="E8" s="21" t="s">
        <v>584</v>
      </c>
      <c r="F8" s="21" t="s">
        <v>585</v>
      </c>
      <c r="G8" s="21" t="s">
        <v>586</v>
      </c>
    </row>
    <row r="9" spans="2:7" x14ac:dyDescent="0.25">
      <c r="B9" s="21" t="s">
        <v>579</v>
      </c>
      <c r="C9" s="27" t="s">
        <v>699</v>
      </c>
      <c r="D9" s="21" t="s">
        <v>0</v>
      </c>
      <c r="E9" s="21">
        <f>C5+6</f>
        <v>2366</v>
      </c>
      <c r="F9" s="21" t="s">
        <v>581</v>
      </c>
      <c r="G9" s="21">
        <v>45</v>
      </c>
    </row>
    <row r="10" spans="2:7" x14ac:dyDescent="0.25">
      <c r="B10" s="21" t="s">
        <v>580</v>
      </c>
      <c r="C10" s="27" t="s">
        <v>699</v>
      </c>
      <c r="D10" s="21" t="s">
        <v>0</v>
      </c>
      <c r="E10" s="21">
        <f>C6+6</f>
        <v>1151</v>
      </c>
      <c r="F10" s="21" t="s">
        <v>581</v>
      </c>
      <c r="G10" s="21">
        <v>45</v>
      </c>
    </row>
    <row r="11" spans="2:7" x14ac:dyDescent="0.25">
      <c r="B11" s="21" t="s">
        <v>579</v>
      </c>
      <c r="C11" s="32" t="s">
        <v>597</v>
      </c>
      <c r="D11" s="21" t="s">
        <v>1</v>
      </c>
      <c r="E11" s="21">
        <f>C5-70</f>
        <v>2290</v>
      </c>
      <c r="F11" s="21" t="s">
        <v>581</v>
      </c>
      <c r="G11" s="21">
        <v>90</v>
      </c>
    </row>
    <row r="12" spans="2:7" x14ac:dyDescent="0.25">
      <c r="B12" s="21" t="s">
        <v>580</v>
      </c>
      <c r="C12" s="32" t="s">
        <v>597</v>
      </c>
      <c r="D12" s="21" t="s">
        <v>1</v>
      </c>
      <c r="E12" s="21">
        <f>C6-70</f>
        <v>1075</v>
      </c>
      <c r="F12" s="21" t="s">
        <v>581</v>
      </c>
      <c r="G12" s="21">
        <v>90</v>
      </c>
    </row>
    <row r="13" spans="2:7" x14ac:dyDescent="0.25">
      <c r="B13" s="21" t="s">
        <v>579</v>
      </c>
      <c r="C13" s="29" t="s">
        <v>593</v>
      </c>
      <c r="D13" s="21" t="s">
        <v>596</v>
      </c>
      <c r="E13" s="21">
        <f>(C5/3)+24.7</f>
        <v>811.36666666666667</v>
      </c>
      <c r="F13" s="21" t="s">
        <v>651</v>
      </c>
      <c r="G13" s="21">
        <v>45</v>
      </c>
    </row>
    <row r="14" spans="2:7" x14ac:dyDescent="0.25">
      <c r="B14" s="21" t="s">
        <v>580</v>
      </c>
      <c r="C14" s="29" t="s">
        <v>593</v>
      </c>
      <c r="D14" s="21" t="s">
        <v>596</v>
      </c>
      <c r="E14" s="21">
        <f>C6-88</f>
        <v>1057</v>
      </c>
      <c r="F14" s="21" t="s">
        <v>651</v>
      </c>
      <c r="G14" s="21">
        <v>45</v>
      </c>
    </row>
    <row r="15" spans="2:7" x14ac:dyDescent="0.25">
      <c r="B15" s="21" t="s">
        <v>579</v>
      </c>
      <c r="C15" s="32" t="s">
        <v>672</v>
      </c>
      <c r="D15" s="21" t="s">
        <v>1</v>
      </c>
      <c r="E15" s="21"/>
      <c r="F15" s="21" t="s">
        <v>651</v>
      </c>
      <c r="G15" s="21">
        <v>90</v>
      </c>
    </row>
    <row r="16" spans="2:7" x14ac:dyDescent="0.25">
      <c r="B16" s="21" t="s">
        <v>580</v>
      </c>
      <c r="C16" s="32" t="s">
        <v>672</v>
      </c>
      <c r="D16" s="21" t="s">
        <v>1</v>
      </c>
      <c r="E16" s="21"/>
      <c r="F16" s="21" t="s">
        <v>651</v>
      </c>
      <c r="G16" s="21">
        <v>90</v>
      </c>
    </row>
    <row r="17" spans="2:7" x14ac:dyDescent="0.25">
      <c r="B17" s="21" t="s">
        <v>579</v>
      </c>
      <c r="C17" s="28" t="s">
        <v>529</v>
      </c>
      <c r="D17" s="21" t="s">
        <v>2</v>
      </c>
      <c r="E17" s="21"/>
      <c r="F17" s="21"/>
      <c r="G17" s="21">
        <v>45</v>
      </c>
    </row>
    <row r="18" spans="2:7" x14ac:dyDescent="0.25">
      <c r="B18" s="21" t="s">
        <v>580</v>
      </c>
      <c r="C18" s="28" t="s">
        <v>529</v>
      </c>
      <c r="D18" s="21" t="s">
        <v>2</v>
      </c>
      <c r="E18" s="21"/>
      <c r="F18" s="21"/>
      <c r="G18" s="21">
        <v>45</v>
      </c>
    </row>
    <row r="19" spans="2:7" x14ac:dyDescent="0.25">
      <c r="B19" s="21"/>
      <c r="C19" s="28" t="s">
        <v>616</v>
      </c>
      <c r="D19" s="21" t="s">
        <v>618</v>
      </c>
      <c r="E19" s="21">
        <f>E14-6</f>
        <v>1051</v>
      </c>
      <c r="F19" s="21" t="s">
        <v>599</v>
      </c>
      <c r="G19" s="21">
        <v>90</v>
      </c>
    </row>
    <row r="20" spans="2:7" x14ac:dyDescent="0.25">
      <c r="B20" s="21"/>
      <c r="C20" s="28" t="s">
        <v>617</v>
      </c>
      <c r="D20" s="21" t="s">
        <v>619</v>
      </c>
      <c r="E20" s="21">
        <f>C5-114</f>
        <v>2246</v>
      </c>
      <c r="F20" s="21" t="s">
        <v>652</v>
      </c>
      <c r="G20" s="21">
        <v>90</v>
      </c>
    </row>
    <row r="22" spans="2:7" x14ac:dyDescent="0.25">
      <c r="B22" s="104" t="s">
        <v>543</v>
      </c>
      <c r="C22" s="104"/>
      <c r="D22" s="21" t="s">
        <v>538</v>
      </c>
    </row>
    <row r="23" spans="2:7" x14ac:dyDescent="0.25">
      <c r="B23" s="21" t="s">
        <v>9</v>
      </c>
      <c r="C23" s="21">
        <f>E13-126</f>
        <v>685.36666666666667</v>
      </c>
      <c r="D23" s="148" t="s">
        <v>581</v>
      </c>
    </row>
    <row r="24" spans="2:7" x14ac:dyDescent="0.25">
      <c r="B24" s="21" t="s">
        <v>544</v>
      </c>
      <c r="C24" s="21">
        <f>E14-126</f>
        <v>931</v>
      </c>
      <c r="D24" s="148"/>
    </row>
  </sheetData>
  <mergeCells count="5">
    <mergeCell ref="B3:D3"/>
    <mergeCell ref="B4:C4"/>
    <mergeCell ref="D5:E6"/>
    <mergeCell ref="B22:C22"/>
    <mergeCell ref="D23:D24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5D98F-35FB-49FB-9DD2-541E86319B21}">
  <dimension ref="B2:G24"/>
  <sheetViews>
    <sheetView workbookViewId="0">
      <selection activeCell="J19" sqref="J19"/>
    </sheetView>
  </sheetViews>
  <sheetFormatPr baseColWidth="10" defaultColWidth="10.7109375" defaultRowHeight="15" x14ac:dyDescent="0.25"/>
  <cols>
    <col min="3" max="3" width="15.28515625" customWidth="1"/>
    <col min="4" max="4" width="24.42578125" customWidth="1"/>
    <col min="5" max="5" width="15.42578125" bestFit="1" customWidth="1"/>
  </cols>
  <sheetData>
    <row r="2" spans="2:7" ht="15.75" thickBot="1" x14ac:dyDescent="0.3"/>
    <row r="3" spans="2:7" ht="15.75" thickBot="1" x14ac:dyDescent="0.3">
      <c r="B3" s="123" t="s">
        <v>695</v>
      </c>
      <c r="C3" s="145"/>
      <c r="D3" s="124"/>
    </row>
    <row r="4" spans="2:7" x14ac:dyDescent="0.25">
      <c r="B4" s="146" t="s">
        <v>587</v>
      </c>
      <c r="C4" s="147"/>
    </row>
    <row r="5" spans="2:7" x14ac:dyDescent="0.25">
      <c r="B5" s="21" t="s">
        <v>579</v>
      </c>
      <c r="C5" s="38">
        <v>3000</v>
      </c>
      <c r="D5" s="143" t="s">
        <v>632</v>
      </c>
      <c r="E5" s="144"/>
    </row>
    <row r="6" spans="2:7" x14ac:dyDescent="0.25">
      <c r="B6" s="21" t="s">
        <v>580</v>
      </c>
      <c r="C6" s="38">
        <v>2000</v>
      </c>
      <c r="D6" s="143"/>
      <c r="E6" s="144"/>
    </row>
    <row r="8" spans="2:7" x14ac:dyDescent="0.25">
      <c r="B8" s="21"/>
      <c r="C8" s="21" t="s">
        <v>582</v>
      </c>
      <c r="D8" s="21" t="s">
        <v>583</v>
      </c>
      <c r="E8" s="21" t="s">
        <v>584</v>
      </c>
      <c r="F8" s="21" t="s">
        <v>585</v>
      </c>
      <c r="G8" s="21" t="s">
        <v>586</v>
      </c>
    </row>
    <row r="9" spans="2:7" x14ac:dyDescent="0.25">
      <c r="B9" s="21" t="s">
        <v>579</v>
      </c>
      <c r="C9" s="27" t="s">
        <v>591</v>
      </c>
      <c r="D9" s="21" t="s">
        <v>0</v>
      </c>
      <c r="E9" s="21">
        <f>C5+6</f>
        <v>3006</v>
      </c>
      <c r="F9" s="21" t="s">
        <v>581</v>
      </c>
      <c r="G9" s="21">
        <v>45</v>
      </c>
    </row>
    <row r="10" spans="2:7" x14ac:dyDescent="0.25">
      <c r="B10" s="21" t="s">
        <v>580</v>
      </c>
      <c r="C10" s="27" t="s">
        <v>591</v>
      </c>
      <c r="D10" s="21" t="s">
        <v>0</v>
      </c>
      <c r="E10" s="21">
        <f>C6+6</f>
        <v>2006</v>
      </c>
      <c r="F10" s="21" t="s">
        <v>581</v>
      </c>
      <c r="G10" s="21">
        <v>45</v>
      </c>
    </row>
    <row r="11" spans="2:7" x14ac:dyDescent="0.25">
      <c r="B11" s="21" t="s">
        <v>579</v>
      </c>
      <c r="C11" s="32" t="s">
        <v>597</v>
      </c>
      <c r="D11" s="21" t="s">
        <v>1</v>
      </c>
      <c r="E11" s="21">
        <f>C5-70</f>
        <v>2930</v>
      </c>
      <c r="F11" s="21" t="s">
        <v>581</v>
      </c>
      <c r="G11" s="21">
        <v>90</v>
      </c>
    </row>
    <row r="12" spans="2:7" x14ac:dyDescent="0.25">
      <c r="B12" s="21" t="s">
        <v>580</v>
      </c>
      <c r="C12" s="32" t="s">
        <v>597</v>
      </c>
      <c r="D12" s="21" t="s">
        <v>1</v>
      </c>
      <c r="E12" s="21">
        <f>C6-70</f>
        <v>1930</v>
      </c>
      <c r="F12" s="21" t="s">
        <v>581</v>
      </c>
      <c r="G12" s="21">
        <v>90</v>
      </c>
    </row>
    <row r="13" spans="2:7" x14ac:dyDescent="0.25">
      <c r="B13" s="21" t="s">
        <v>579</v>
      </c>
      <c r="C13" s="29" t="s">
        <v>593</v>
      </c>
      <c r="D13" s="21" t="s">
        <v>596</v>
      </c>
      <c r="E13" s="21">
        <f>(C5/3)-2.7</f>
        <v>997.3</v>
      </c>
      <c r="F13" s="21" t="s">
        <v>651</v>
      </c>
      <c r="G13" s="21">
        <v>45</v>
      </c>
    </row>
    <row r="14" spans="2:7" x14ac:dyDescent="0.25">
      <c r="B14" s="21" t="s">
        <v>580</v>
      </c>
      <c r="C14" s="29" t="s">
        <v>593</v>
      </c>
      <c r="D14" s="21" t="s">
        <v>596</v>
      </c>
      <c r="E14" s="21">
        <f>C6-88</f>
        <v>1912</v>
      </c>
      <c r="F14" s="21" t="s">
        <v>651</v>
      </c>
      <c r="G14" s="21">
        <v>45</v>
      </c>
    </row>
    <row r="15" spans="2:7" x14ac:dyDescent="0.25">
      <c r="B15" s="21" t="s">
        <v>579</v>
      </c>
      <c r="C15" s="32" t="s">
        <v>672</v>
      </c>
      <c r="D15" s="21" t="s">
        <v>1</v>
      </c>
      <c r="E15" s="21">
        <f>E13-6-160</f>
        <v>831.3</v>
      </c>
      <c r="F15" s="21" t="s">
        <v>651</v>
      </c>
      <c r="G15" s="21">
        <v>90</v>
      </c>
    </row>
    <row r="16" spans="2:7" x14ac:dyDescent="0.25">
      <c r="B16" s="21" t="s">
        <v>580</v>
      </c>
      <c r="C16" s="32" t="s">
        <v>672</v>
      </c>
      <c r="D16" s="21" t="s">
        <v>1</v>
      </c>
      <c r="E16" s="21">
        <f>E14-6-160</f>
        <v>1746</v>
      </c>
      <c r="F16" s="21" t="s">
        <v>651</v>
      </c>
      <c r="G16" s="21">
        <v>90</v>
      </c>
    </row>
    <row r="17" spans="2:7" x14ac:dyDescent="0.25">
      <c r="B17" s="21" t="s">
        <v>579</v>
      </c>
      <c r="C17" s="28" t="s">
        <v>529</v>
      </c>
      <c r="D17" s="21" t="s">
        <v>2</v>
      </c>
      <c r="E17" s="21"/>
      <c r="F17" s="21"/>
      <c r="G17" s="21">
        <v>45</v>
      </c>
    </row>
    <row r="18" spans="2:7" x14ac:dyDescent="0.25">
      <c r="B18" s="21" t="s">
        <v>580</v>
      </c>
      <c r="C18" s="28" t="s">
        <v>529</v>
      </c>
      <c r="D18" s="21" t="s">
        <v>2</v>
      </c>
      <c r="E18" s="21"/>
      <c r="F18" s="21"/>
      <c r="G18" s="21">
        <v>45</v>
      </c>
    </row>
    <row r="19" spans="2:7" x14ac:dyDescent="0.25">
      <c r="B19" s="21"/>
      <c r="C19" s="28" t="s">
        <v>616</v>
      </c>
      <c r="D19" s="21" t="s">
        <v>618</v>
      </c>
      <c r="E19" s="21">
        <f>E14-6</f>
        <v>1906</v>
      </c>
      <c r="F19" s="21" t="s">
        <v>581</v>
      </c>
      <c r="G19" s="21">
        <v>90</v>
      </c>
    </row>
    <row r="20" spans="2:7" x14ac:dyDescent="0.25">
      <c r="B20" s="21"/>
      <c r="C20" s="28" t="s">
        <v>617</v>
      </c>
      <c r="D20" s="21" t="s">
        <v>619</v>
      </c>
      <c r="E20" s="21">
        <f>C5-114</f>
        <v>2886</v>
      </c>
      <c r="F20" s="21" t="s">
        <v>581</v>
      </c>
      <c r="G20" s="21">
        <v>90</v>
      </c>
    </row>
    <row r="22" spans="2:7" x14ac:dyDescent="0.25">
      <c r="B22" s="104" t="s">
        <v>543</v>
      </c>
      <c r="C22" s="104"/>
      <c r="D22" s="21" t="s">
        <v>538</v>
      </c>
    </row>
    <row r="23" spans="2:7" x14ac:dyDescent="0.25">
      <c r="B23" s="21" t="s">
        <v>9</v>
      </c>
      <c r="C23" s="21">
        <f>E13-126</f>
        <v>871.3</v>
      </c>
      <c r="D23" s="148" t="s">
        <v>652</v>
      </c>
    </row>
    <row r="24" spans="2:7" x14ac:dyDescent="0.25">
      <c r="B24" s="21" t="s">
        <v>544</v>
      </c>
      <c r="C24" s="21">
        <f>E14-126</f>
        <v>1786</v>
      </c>
      <c r="D24" s="148"/>
    </row>
  </sheetData>
  <mergeCells count="5">
    <mergeCell ref="B3:D3"/>
    <mergeCell ref="B4:C4"/>
    <mergeCell ref="D5:E6"/>
    <mergeCell ref="B22:C22"/>
    <mergeCell ref="D23:D24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2:G24"/>
  <sheetViews>
    <sheetView topLeftCell="A4" workbookViewId="0">
      <selection activeCell="C6" sqref="C6"/>
    </sheetView>
  </sheetViews>
  <sheetFormatPr baseColWidth="10" defaultColWidth="10.7109375" defaultRowHeight="15" x14ac:dyDescent="0.25"/>
  <cols>
    <col min="3" max="3" width="15.28515625" customWidth="1"/>
    <col min="4" max="4" width="22.7109375" bestFit="1" customWidth="1"/>
    <col min="5" max="5" width="15.42578125" bestFit="1" customWidth="1"/>
  </cols>
  <sheetData>
    <row r="2" spans="2:7" ht="15.75" thickBot="1" x14ac:dyDescent="0.3"/>
    <row r="3" spans="2:7" ht="15.75" thickBot="1" x14ac:dyDescent="0.3">
      <c r="B3" s="123" t="s">
        <v>662</v>
      </c>
      <c r="C3" s="145"/>
      <c r="D3" s="124"/>
    </row>
    <row r="4" spans="2:7" x14ac:dyDescent="0.25">
      <c r="B4" s="146" t="s">
        <v>587</v>
      </c>
      <c r="C4" s="147"/>
    </row>
    <row r="5" spans="2:7" x14ac:dyDescent="0.25">
      <c r="B5" s="21" t="s">
        <v>579</v>
      </c>
      <c r="C5" s="38">
        <v>5200</v>
      </c>
      <c r="D5" s="143" t="s">
        <v>632</v>
      </c>
      <c r="E5" s="144"/>
    </row>
    <row r="6" spans="2:7" x14ac:dyDescent="0.25">
      <c r="B6" s="21" t="s">
        <v>580</v>
      </c>
      <c r="C6" s="38">
        <v>2440</v>
      </c>
      <c r="D6" s="143"/>
      <c r="E6" s="144"/>
    </row>
    <row r="8" spans="2:7" x14ac:dyDescent="0.25">
      <c r="B8" s="21"/>
      <c r="C8" s="21" t="s">
        <v>582</v>
      </c>
      <c r="D8" s="21" t="s">
        <v>583</v>
      </c>
      <c r="E8" s="21" t="s">
        <v>584</v>
      </c>
      <c r="F8" s="21" t="s">
        <v>585</v>
      </c>
      <c r="G8" s="21" t="s">
        <v>586</v>
      </c>
    </row>
    <row r="9" spans="2:7" x14ac:dyDescent="0.25">
      <c r="B9" s="21" t="s">
        <v>579</v>
      </c>
      <c r="C9" s="27" t="s">
        <v>591</v>
      </c>
      <c r="D9" s="21" t="s">
        <v>0</v>
      </c>
      <c r="E9" s="21">
        <f>C5/2+3</f>
        <v>2603</v>
      </c>
      <c r="F9" s="21" t="s">
        <v>599</v>
      </c>
      <c r="G9" s="21">
        <v>45</v>
      </c>
    </row>
    <row r="10" spans="2:7" x14ac:dyDescent="0.25">
      <c r="B10" s="21" t="s">
        <v>580</v>
      </c>
      <c r="C10" s="27" t="s">
        <v>591</v>
      </c>
      <c r="D10" s="21" t="s">
        <v>0</v>
      </c>
      <c r="E10" s="21">
        <f>C6+6</f>
        <v>2446</v>
      </c>
      <c r="F10" s="21" t="s">
        <v>581</v>
      </c>
      <c r="G10" s="21">
        <v>45</v>
      </c>
    </row>
    <row r="11" spans="2:7" x14ac:dyDescent="0.25">
      <c r="B11" s="21" t="s">
        <v>579</v>
      </c>
      <c r="C11" s="32" t="s">
        <v>597</v>
      </c>
      <c r="D11" s="21" t="s">
        <v>1</v>
      </c>
      <c r="E11" s="21"/>
      <c r="F11" s="21"/>
      <c r="G11" s="21">
        <v>90</v>
      </c>
    </row>
    <row r="12" spans="2:7" x14ac:dyDescent="0.25">
      <c r="B12" s="21" t="s">
        <v>580</v>
      </c>
      <c r="C12" s="32" t="s">
        <v>597</v>
      </c>
      <c r="D12" s="21" t="s">
        <v>1</v>
      </c>
      <c r="E12" s="21"/>
      <c r="F12" s="21"/>
      <c r="G12" s="21">
        <v>90</v>
      </c>
    </row>
    <row r="13" spans="2:7" x14ac:dyDescent="0.25">
      <c r="B13" s="21" t="s">
        <v>579</v>
      </c>
      <c r="C13" s="29" t="s">
        <v>595</v>
      </c>
      <c r="D13" s="21" t="s">
        <v>592</v>
      </c>
      <c r="E13" s="21">
        <f>(C5/6)+51.2</f>
        <v>917.86666666666667</v>
      </c>
      <c r="F13" s="21" t="s">
        <v>663</v>
      </c>
      <c r="G13" s="21">
        <v>45</v>
      </c>
    </row>
    <row r="14" spans="2:7" x14ac:dyDescent="0.25">
      <c r="B14" s="21" t="s">
        <v>580</v>
      </c>
      <c r="C14" s="29" t="s">
        <v>595</v>
      </c>
      <c r="D14" s="21" t="s">
        <v>592</v>
      </c>
      <c r="E14" s="21">
        <f>C6-88</f>
        <v>2352</v>
      </c>
      <c r="F14" s="21" t="s">
        <v>663</v>
      </c>
      <c r="G14" s="21">
        <v>45</v>
      </c>
    </row>
    <row r="15" spans="2:7" x14ac:dyDescent="0.25">
      <c r="B15" s="21" t="s">
        <v>579</v>
      </c>
      <c r="C15" s="32" t="s">
        <v>598</v>
      </c>
      <c r="D15" s="21" t="s">
        <v>1</v>
      </c>
      <c r="E15" s="21">
        <f>E13-6-160</f>
        <v>751.86666666666667</v>
      </c>
      <c r="F15" s="21" t="s">
        <v>663</v>
      </c>
      <c r="G15" s="21">
        <v>90</v>
      </c>
    </row>
    <row r="16" spans="2:7" x14ac:dyDescent="0.25">
      <c r="B16" s="21" t="s">
        <v>580</v>
      </c>
      <c r="C16" s="32" t="s">
        <v>598</v>
      </c>
      <c r="D16" s="21" t="s">
        <v>1</v>
      </c>
      <c r="E16" s="21">
        <f>E14-6-160</f>
        <v>2186</v>
      </c>
      <c r="F16" s="21" t="s">
        <v>663</v>
      </c>
      <c r="G16" s="21">
        <v>90</v>
      </c>
    </row>
    <row r="17" spans="2:7" x14ac:dyDescent="0.25">
      <c r="B17" s="21" t="s">
        <v>579</v>
      </c>
      <c r="C17" s="28" t="s">
        <v>529</v>
      </c>
      <c r="D17" s="21" t="s">
        <v>2</v>
      </c>
      <c r="E17" s="21"/>
      <c r="F17" s="21"/>
      <c r="G17" s="21">
        <v>45</v>
      </c>
    </row>
    <row r="18" spans="2:7" x14ac:dyDescent="0.25">
      <c r="B18" s="21" t="s">
        <v>580</v>
      </c>
      <c r="C18" s="28" t="s">
        <v>529</v>
      </c>
      <c r="D18" s="21" t="s">
        <v>2</v>
      </c>
      <c r="E18" s="21"/>
      <c r="F18" s="21"/>
      <c r="G18" s="21">
        <v>45</v>
      </c>
    </row>
    <row r="19" spans="2:7" x14ac:dyDescent="0.25">
      <c r="B19" s="21"/>
      <c r="C19" s="28" t="s">
        <v>616</v>
      </c>
      <c r="D19" s="21" t="s">
        <v>618</v>
      </c>
      <c r="E19" s="21">
        <f>E14-6</f>
        <v>2346</v>
      </c>
      <c r="F19" s="21" t="s">
        <v>664</v>
      </c>
      <c r="G19" s="21">
        <v>90</v>
      </c>
    </row>
    <row r="20" spans="2:7" x14ac:dyDescent="0.25">
      <c r="B20" s="21"/>
      <c r="C20" s="28" t="s">
        <v>617</v>
      </c>
      <c r="D20" s="21" t="s">
        <v>619</v>
      </c>
      <c r="E20" s="21">
        <f>C5-114</f>
        <v>5086</v>
      </c>
      <c r="F20" s="21" t="s">
        <v>652</v>
      </c>
      <c r="G20" s="21">
        <v>90</v>
      </c>
    </row>
    <row r="22" spans="2:7" x14ac:dyDescent="0.25">
      <c r="B22" s="104" t="s">
        <v>543</v>
      </c>
      <c r="C22" s="104"/>
      <c r="D22" s="21" t="s">
        <v>538</v>
      </c>
    </row>
    <row r="23" spans="2:7" x14ac:dyDescent="0.25">
      <c r="B23" s="21" t="s">
        <v>9</v>
      </c>
      <c r="C23" s="21">
        <f>E13-162</f>
        <v>755.86666666666667</v>
      </c>
      <c r="D23" s="148" t="s">
        <v>651</v>
      </c>
    </row>
    <row r="24" spans="2:7" x14ac:dyDescent="0.25">
      <c r="B24" s="21" t="s">
        <v>544</v>
      </c>
      <c r="C24" s="21">
        <f>E14-162</f>
        <v>2190</v>
      </c>
      <c r="D24" s="148"/>
    </row>
  </sheetData>
  <mergeCells count="5">
    <mergeCell ref="B3:D3"/>
    <mergeCell ref="B4:C4"/>
    <mergeCell ref="D5:E6"/>
    <mergeCell ref="B22:C22"/>
    <mergeCell ref="D23:D24"/>
  </mergeCells>
  <pageMargins left="0.7" right="0.7" top="0.75" bottom="0.75" header="0.3" footer="0.3"/>
  <pageSetup orientation="landscape" horizontalDpi="0" verticalDpi="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Hoja18"/>
  <dimension ref="B1:K24"/>
  <sheetViews>
    <sheetView topLeftCell="A7" workbookViewId="0">
      <selection activeCell="L18" sqref="L18"/>
    </sheetView>
  </sheetViews>
  <sheetFormatPr baseColWidth="10" defaultColWidth="10.7109375" defaultRowHeight="15" x14ac:dyDescent="0.25"/>
  <cols>
    <col min="3" max="3" width="12.42578125" bestFit="1" customWidth="1"/>
    <col min="4" max="4" width="22.7109375" bestFit="1" customWidth="1"/>
    <col min="5" max="5" width="15.42578125" bestFit="1" customWidth="1"/>
  </cols>
  <sheetData>
    <row r="1" spans="2:11" ht="15" customHeight="1" x14ac:dyDescent="0.25"/>
    <row r="3" spans="2:11" x14ac:dyDescent="0.25">
      <c r="B3" s="103" t="s">
        <v>601</v>
      </c>
      <c r="C3" s="103"/>
    </row>
    <row r="4" spans="2:11" x14ac:dyDescent="0.25">
      <c r="B4" s="109" t="s">
        <v>587</v>
      </c>
      <c r="C4" s="110"/>
    </row>
    <row r="5" spans="2:11" x14ac:dyDescent="0.25">
      <c r="B5" s="21" t="s">
        <v>579</v>
      </c>
      <c r="C5" s="38">
        <v>2360</v>
      </c>
      <c r="D5" s="143" t="s">
        <v>632</v>
      </c>
      <c r="E5" s="144"/>
    </row>
    <row r="6" spans="2:11" x14ac:dyDescent="0.25">
      <c r="B6" s="21" t="s">
        <v>580</v>
      </c>
      <c r="C6" s="38">
        <v>1145</v>
      </c>
      <c r="D6" s="143"/>
      <c r="E6" s="144"/>
    </row>
    <row r="8" spans="2:11" x14ac:dyDescent="0.25">
      <c r="B8" s="21"/>
      <c r="C8" s="21" t="s">
        <v>582</v>
      </c>
      <c r="D8" s="21" t="s">
        <v>583</v>
      </c>
      <c r="E8" s="21" t="s">
        <v>584</v>
      </c>
      <c r="F8" s="21" t="s">
        <v>585</v>
      </c>
      <c r="G8" s="21" t="s">
        <v>586</v>
      </c>
    </row>
    <row r="9" spans="2:11" x14ac:dyDescent="0.25">
      <c r="B9" s="21" t="s">
        <v>579</v>
      </c>
      <c r="C9" s="33" t="s">
        <v>613</v>
      </c>
      <c r="D9" s="21" t="s">
        <v>0</v>
      </c>
      <c r="E9" s="21">
        <f>C5+6</f>
        <v>2366</v>
      </c>
      <c r="F9" s="21" t="s">
        <v>581</v>
      </c>
      <c r="G9" s="21">
        <v>45</v>
      </c>
    </row>
    <row r="10" spans="2:11" x14ac:dyDescent="0.25">
      <c r="B10" s="21" t="s">
        <v>580</v>
      </c>
      <c r="C10" s="33" t="s">
        <v>613</v>
      </c>
      <c r="D10" s="21" t="s">
        <v>0</v>
      </c>
      <c r="E10" s="21">
        <f>C6+6</f>
        <v>1151</v>
      </c>
      <c r="F10" s="21" t="s">
        <v>581</v>
      </c>
      <c r="G10" s="21">
        <v>45</v>
      </c>
      <c r="K10" t="s">
        <v>683</v>
      </c>
    </row>
    <row r="11" spans="2:11" x14ac:dyDescent="0.25">
      <c r="B11" s="21" t="s">
        <v>579</v>
      </c>
      <c r="C11" s="34" t="s">
        <v>603</v>
      </c>
      <c r="D11" s="21" t="s">
        <v>1</v>
      </c>
      <c r="E11" s="21">
        <f>C5-70</f>
        <v>2290</v>
      </c>
      <c r="F11" s="21" t="s">
        <v>581</v>
      </c>
      <c r="G11" s="21">
        <v>90</v>
      </c>
    </row>
    <row r="12" spans="2:11" x14ac:dyDescent="0.25">
      <c r="B12" s="21" t="s">
        <v>580</v>
      </c>
      <c r="C12" s="34" t="s">
        <v>603</v>
      </c>
      <c r="D12" s="21" t="s">
        <v>1</v>
      </c>
      <c r="E12" s="21">
        <f>C6-70</f>
        <v>1075</v>
      </c>
      <c r="F12" s="21" t="s">
        <v>581</v>
      </c>
      <c r="G12" s="21">
        <v>90</v>
      </c>
    </row>
    <row r="13" spans="2:11" x14ac:dyDescent="0.25">
      <c r="B13" s="21" t="s">
        <v>579</v>
      </c>
      <c r="C13" s="35" t="s">
        <v>614</v>
      </c>
      <c r="D13" s="21" t="s">
        <v>615</v>
      </c>
      <c r="E13" s="21">
        <f>(C5/2)-2</f>
        <v>1178</v>
      </c>
      <c r="F13" s="21" t="s">
        <v>599</v>
      </c>
      <c r="G13" s="21">
        <v>45</v>
      </c>
    </row>
    <row r="14" spans="2:11" x14ac:dyDescent="0.25">
      <c r="B14" s="21" t="s">
        <v>580</v>
      </c>
      <c r="C14" s="35" t="s">
        <v>614</v>
      </c>
      <c r="D14" s="21" t="s">
        <v>615</v>
      </c>
      <c r="E14" s="21">
        <f>C6-80</f>
        <v>1065</v>
      </c>
      <c r="F14" s="21" t="s">
        <v>599</v>
      </c>
      <c r="G14" s="21">
        <v>45</v>
      </c>
    </row>
    <row r="15" spans="2:11" x14ac:dyDescent="0.25">
      <c r="B15" s="21" t="s">
        <v>579</v>
      </c>
      <c r="C15" s="34" t="s">
        <v>600</v>
      </c>
      <c r="D15" s="21" t="s">
        <v>1</v>
      </c>
      <c r="E15" s="21">
        <f>E13-6-110</f>
        <v>1062</v>
      </c>
      <c r="F15" s="21" t="s">
        <v>599</v>
      </c>
      <c r="G15" s="21">
        <v>90</v>
      </c>
      <c r="I15" s="36"/>
    </row>
    <row r="16" spans="2:11" x14ac:dyDescent="0.25">
      <c r="B16" s="21" t="s">
        <v>580</v>
      </c>
      <c r="C16" s="34" t="s">
        <v>600</v>
      </c>
      <c r="D16" s="21" t="s">
        <v>1</v>
      </c>
      <c r="E16" s="21">
        <f>E14-6-110</f>
        <v>949</v>
      </c>
      <c r="F16" s="21" t="s">
        <v>599</v>
      </c>
      <c r="G16" s="21">
        <v>90</v>
      </c>
      <c r="I16" s="36"/>
    </row>
    <row r="17" spans="2:7" x14ac:dyDescent="0.25">
      <c r="B17" s="21" t="s">
        <v>579</v>
      </c>
      <c r="C17" s="21" t="s">
        <v>529</v>
      </c>
      <c r="D17" s="21" t="s">
        <v>2</v>
      </c>
      <c r="E17" s="21">
        <f>E13-106</f>
        <v>1072</v>
      </c>
      <c r="F17" s="21" t="s">
        <v>599</v>
      </c>
      <c r="G17" s="21">
        <v>45</v>
      </c>
    </row>
    <row r="18" spans="2:7" x14ac:dyDescent="0.25">
      <c r="B18" s="21" t="s">
        <v>580</v>
      </c>
      <c r="C18" s="21" t="s">
        <v>529</v>
      </c>
      <c r="D18" s="21" t="s">
        <v>2</v>
      </c>
      <c r="E18" s="21">
        <f>E14-106</f>
        <v>959</v>
      </c>
      <c r="F18" s="21" t="s">
        <v>599</v>
      </c>
      <c r="G18" s="21">
        <v>45</v>
      </c>
    </row>
    <row r="19" spans="2:7" x14ac:dyDescent="0.25">
      <c r="B19" s="21"/>
      <c r="C19" s="28" t="s">
        <v>621</v>
      </c>
      <c r="D19" s="21" t="s">
        <v>618</v>
      </c>
      <c r="E19" s="21">
        <f>E14-6</f>
        <v>1059</v>
      </c>
      <c r="F19" s="21" t="s">
        <v>581</v>
      </c>
      <c r="G19" s="21">
        <v>90</v>
      </c>
    </row>
    <row r="20" spans="2:7" x14ac:dyDescent="0.25">
      <c r="B20" s="21"/>
      <c r="C20" s="28" t="s">
        <v>622</v>
      </c>
      <c r="D20" s="21" t="s">
        <v>619</v>
      </c>
      <c r="E20" s="21">
        <f>C5-106</f>
        <v>2254</v>
      </c>
      <c r="F20" s="21" t="s">
        <v>581</v>
      </c>
      <c r="G20" s="21">
        <v>90</v>
      </c>
    </row>
    <row r="22" spans="2:7" x14ac:dyDescent="0.25">
      <c r="B22" s="104" t="s">
        <v>543</v>
      </c>
      <c r="C22" s="104"/>
      <c r="D22" s="21" t="s">
        <v>538</v>
      </c>
    </row>
    <row r="23" spans="2:7" x14ac:dyDescent="0.25">
      <c r="B23" s="21" t="s">
        <v>9</v>
      </c>
      <c r="C23" s="21">
        <f>(C5/2)-118</f>
        <v>1062</v>
      </c>
      <c r="D23" s="142" t="s">
        <v>581</v>
      </c>
    </row>
    <row r="24" spans="2:7" x14ac:dyDescent="0.25">
      <c r="B24" s="21" t="s">
        <v>544</v>
      </c>
      <c r="C24" s="21">
        <f>C6-196</f>
        <v>949</v>
      </c>
      <c r="D24" s="142"/>
    </row>
  </sheetData>
  <mergeCells count="5">
    <mergeCell ref="B3:C3"/>
    <mergeCell ref="B4:C4"/>
    <mergeCell ref="B22:C22"/>
    <mergeCell ref="D23:D24"/>
    <mergeCell ref="D5:E6"/>
  </mergeCells>
  <pageMargins left="0.7" right="0.7" top="0.75" bottom="0.75" header="0.3" footer="0.3"/>
  <pageSetup paperSize="9" orientation="landscape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EE5F9-93FA-48F1-A0B8-4ABD408F3944}">
  <dimension ref="B1:I24"/>
  <sheetViews>
    <sheetView topLeftCell="A3" workbookViewId="0">
      <selection activeCell="E18" sqref="E18"/>
    </sheetView>
  </sheetViews>
  <sheetFormatPr baseColWidth="10" defaultColWidth="10.7109375" defaultRowHeight="15" x14ac:dyDescent="0.25"/>
  <cols>
    <col min="3" max="3" width="13.42578125" customWidth="1"/>
    <col min="4" max="4" width="22.7109375" bestFit="1" customWidth="1"/>
    <col min="5" max="5" width="15.42578125" bestFit="1" customWidth="1"/>
  </cols>
  <sheetData>
    <row r="1" spans="2:9" ht="15" customHeight="1" x14ac:dyDescent="0.25"/>
    <row r="3" spans="2:9" x14ac:dyDescent="0.25">
      <c r="B3" s="149" t="s">
        <v>697</v>
      </c>
      <c r="C3" s="150"/>
    </row>
    <row r="4" spans="2:9" x14ac:dyDescent="0.25">
      <c r="B4" s="109" t="s">
        <v>587</v>
      </c>
      <c r="C4" s="110"/>
    </row>
    <row r="5" spans="2:9" x14ac:dyDescent="0.25">
      <c r="B5" s="21" t="s">
        <v>579</v>
      </c>
      <c r="C5" s="38">
        <v>3000</v>
      </c>
      <c r="D5" s="143" t="s">
        <v>632</v>
      </c>
      <c r="E5" s="144"/>
    </row>
    <row r="6" spans="2:9" x14ac:dyDescent="0.25">
      <c r="B6" s="21" t="s">
        <v>580</v>
      </c>
      <c r="C6" s="38">
        <v>1500</v>
      </c>
      <c r="D6" s="143"/>
      <c r="E6" s="144"/>
    </row>
    <row r="8" spans="2:9" x14ac:dyDescent="0.25">
      <c r="B8" s="21"/>
      <c r="C8" s="21" t="s">
        <v>582</v>
      </c>
      <c r="D8" s="21" t="s">
        <v>583</v>
      </c>
      <c r="E8" s="21" t="s">
        <v>584</v>
      </c>
      <c r="F8" s="21" t="s">
        <v>585</v>
      </c>
      <c r="G8" s="21" t="s">
        <v>586</v>
      </c>
    </row>
    <row r="9" spans="2:9" x14ac:dyDescent="0.25">
      <c r="B9" s="21" t="s">
        <v>579</v>
      </c>
      <c r="C9" s="33" t="s">
        <v>613</v>
      </c>
      <c r="D9" s="21" t="s">
        <v>0</v>
      </c>
      <c r="E9" s="21">
        <f>C5+6</f>
        <v>3006</v>
      </c>
      <c r="F9" s="21" t="s">
        <v>581</v>
      </c>
      <c r="G9" s="21">
        <v>45</v>
      </c>
    </row>
    <row r="10" spans="2:9" x14ac:dyDescent="0.25">
      <c r="B10" s="21" t="s">
        <v>580</v>
      </c>
      <c r="C10" s="33" t="s">
        <v>613</v>
      </c>
      <c r="D10" s="21" t="s">
        <v>0</v>
      </c>
      <c r="E10" s="21">
        <f>C6+6</f>
        <v>1506</v>
      </c>
      <c r="F10" s="21" t="s">
        <v>581</v>
      </c>
      <c r="G10" s="21">
        <v>45</v>
      </c>
    </row>
    <row r="11" spans="2:9" x14ac:dyDescent="0.25">
      <c r="B11" s="21" t="s">
        <v>579</v>
      </c>
      <c r="C11" s="34" t="s">
        <v>603</v>
      </c>
      <c r="D11" s="21" t="s">
        <v>1</v>
      </c>
      <c r="E11" s="21">
        <f>C5-70</f>
        <v>2930</v>
      </c>
      <c r="F11" s="21" t="s">
        <v>581</v>
      </c>
      <c r="G11" s="21">
        <v>90</v>
      </c>
    </row>
    <row r="12" spans="2:9" x14ac:dyDescent="0.25">
      <c r="B12" s="21" t="s">
        <v>580</v>
      </c>
      <c r="C12" s="34" t="s">
        <v>603</v>
      </c>
      <c r="D12" s="21" t="s">
        <v>1</v>
      </c>
      <c r="E12" s="21">
        <f>C6-70</f>
        <v>1430</v>
      </c>
      <c r="F12" s="21" t="s">
        <v>581</v>
      </c>
      <c r="G12" s="21">
        <v>90</v>
      </c>
    </row>
    <row r="13" spans="2:9" x14ac:dyDescent="0.25">
      <c r="B13" s="21" t="s">
        <v>579</v>
      </c>
      <c r="C13" s="35" t="s">
        <v>614</v>
      </c>
      <c r="D13" s="21" t="s">
        <v>615</v>
      </c>
      <c r="E13" s="21">
        <f>(C5/3)+24</f>
        <v>1024</v>
      </c>
      <c r="F13" s="21" t="s">
        <v>651</v>
      </c>
      <c r="G13" s="21">
        <v>45</v>
      </c>
    </row>
    <row r="14" spans="2:9" x14ac:dyDescent="0.25">
      <c r="B14" s="21" t="s">
        <v>580</v>
      </c>
      <c r="C14" s="35" t="s">
        <v>614</v>
      </c>
      <c r="D14" s="21" t="s">
        <v>615</v>
      </c>
      <c r="E14" s="21">
        <f>C6-80</f>
        <v>1420</v>
      </c>
      <c r="F14" s="21" t="s">
        <v>651</v>
      </c>
      <c r="G14" s="21">
        <v>45</v>
      </c>
    </row>
    <row r="15" spans="2:9" x14ac:dyDescent="0.25">
      <c r="B15" s="21" t="s">
        <v>579</v>
      </c>
      <c r="C15" s="34" t="s">
        <v>600</v>
      </c>
      <c r="D15" s="21" t="s">
        <v>1</v>
      </c>
      <c r="E15" s="21">
        <f>E13-6-110</f>
        <v>908</v>
      </c>
      <c r="F15" s="21" t="s">
        <v>651</v>
      </c>
      <c r="G15" s="21">
        <v>90</v>
      </c>
      <c r="I15" s="36"/>
    </row>
    <row r="16" spans="2:9" x14ac:dyDescent="0.25">
      <c r="B16" s="21" t="s">
        <v>580</v>
      </c>
      <c r="C16" s="34" t="s">
        <v>600</v>
      </c>
      <c r="D16" s="21" t="s">
        <v>1</v>
      </c>
      <c r="E16" s="21">
        <f>E14-6-110</f>
        <v>1304</v>
      </c>
      <c r="F16" s="21" t="s">
        <v>651</v>
      </c>
      <c r="G16" s="21">
        <v>90</v>
      </c>
      <c r="I16" s="36"/>
    </row>
    <row r="17" spans="2:7" x14ac:dyDescent="0.25">
      <c r="B17" s="21" t="s">
        <v>579</v>
      </c>
      <c r="C17" s="21" t="s">
        <v>529</v>
      </c>
      <c r="D17" s="21" t="s">
        <v>2</v>
      </c>
      <c r="E17" s="21">
        <f>E13-106</f>
        <v>918</v>
      </c>
      <c r="F17" s="21" t="s">
        <v>651</v>
      </c>
      <c r="G17" s="21">
        <v>45</v>
      </c>
    </row>
    <row r="18" spans="2:7" x14ac:dyDescent="0.25">
      <c r="B18" s="21" t="s">
        <v>580</v>
      </c>
      <c r="C18" s="21" t="s">
        <v>529</v>
      </c>
      <c r="D18" s="21" t="s">
        <v>2</v>
      </c>
      <c r="E18" s="21">
        <f>E14-106</f>
        <v>1314</v>
      </c>
      <c r="F18" s="21" t="s">
        <v>651</v>
      </c>
      <c r="G18" s="21">
        <v>45</v>
      </c>
    </row>
    <row r="19" spans="2:7" x14ac:dyDescent="0.25">
      <c r="B19" s="21"/>
      <c r="C19" s="28" t="s">
        <v>621</v>
      </c>
      <c r="D19" s="21" t="s">
        <v>618</v>
      </c>
      <c r="E19" s="21">
        <f>E14-6</f>
        <v>1414</v>
      </c>
      <c r="F19" s="21" t="s">
        <v>599</v>
      </c>
      <c r="G19" s="21">
        <v>90</v>
      </c>
    </row>
    <row r="20" spans="2:7" x14ac:dyDescent="0.25">
      <c r="B20" s="21"/>
      <c r="C20" s="28" t="s">
        <v>622</v>
      </c>
      <c r="D20" s="21" t="s">
        <v>619</v>
      </c>
      <c r="E20" s="21">
        <f>C5-106</f>
        <v>2894</v>
      </c>
      <c r="F20" s="21" t="s">
        <v>581</v>
      </c>
      <c r="G20" s="21">
        <v>90</v>
      </c>
    </row>
    <row r="22" spans="2:7" x14ac:dyDescent="0.25">
      <c r="B22" s="113" t="s">
        <v>543</v>
      </c>
      <c r="C22" s="114"/>
      <c r="D22" s="21" t="s">
        <v>538</v>
      </c>
    </row>
    <row r="23" spans="2:7" x14ac:dyDescent="0.25">
      <c r="B23" s="21" t="s">
        <v>9</v>
      </c>
      <c r="C23" s="21">
        <f>E13-116</f>
        <v>908</v>
      </c>
      <c r="D23" s="111" t="s">
        <v>652</v>
      </c>
    </row>
    <row r="24" spans="2:7" x14ac:dyDescent="0.25">
      <c r="B24" s="21" t="s">
        <v>544</v>
      </c>
      <c r="C24" s="21">
        <f>E14-116</f>
        <v>1304</v>
      </c>
      <c r="D24" s="112"/>
    </row>
  </sheetData>
  <mergeCells count="5">
    <mergeCell ref="B3:C3"/>
    <mergeCell ref="B4:C4"/>
    <mergeCell ref="D5:E6"/>
    <mergeCell ref="B22:C22"/>
    <mergeCell ref="D23:D24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9F176-D678-423F-9A49-B2225940A15A}">
  <dimension ref="B2:I24"/>
  <sheetViews>
    <sheetView workbookViewId="0">
      <selection activeCell="O19" sqref="O19"/>
    </sheetView>
  </sheetViews>
  <sheetFormatPr baseColWidth="10" defaultColWidth="10.7109375" defaultRowHeight="15" x14ac:dyDescent="0.25"/>
  <cols>
    <col min="3" max="3" width="18.28515625" customWidth="1"/>
    <col min="4" max="4" width="22.7109375" customWidth="1"/>
    <col min="5" max="5" width="15.42578125" customWidth="1"/>
  </cols>
  <sheetData>
    <row r="2" spans="2:9" ht="15.75" thickBot="1" x14ac:dyDescent="0.3"/>
    <row r="3" spans="2:9" x14ac:dyDescent="0.25">
      <c r="B3" s="149" t="s">
        <v>698</v>
      </c>
      <c r="C3" s="150"/>
      <c r="F3" s="65"/>
      <c r="G3" s="76"/>
      <c r="H3" s="76"/>
      <c r="I3" s="67"/>
    </row>
    <row r="4" spans="2:9" x14ac:dyDescent="0.25">
      <c r="B4" s="109" t="s">
        <v>587</v>
      </c>
      <c r="C4" s="110"/>
      <c r="F4" s="68"/>
      <c r="G4" s="77"/>
      <c r="H4" s="77"/>
      <c r="I4" s="69"/>
    </row>
    <row r="5" spans="2:9" ht="23.25" x14ac:dyDescent="0.25">
      <c r="B5" s="21" t="s">
        <v>579</v>
      </c>
      <c r="C5" s="38">
        <v>3485</v>
      </c>
      <c r="D5" s="143" t="s">
        <v>632</v>
      </c>
      <c r="E5" s="144"/>
      <c r="F5" s="78" t="s">
        <v>667</v>
      </c>
      <c r="G5" s="79"/>
      <c r="H5" s="79"/>
      <c r="I5" s="80" t="s">
        <v>667</v>
      </c>
    </row>
    <row r="6" spans="2:9" x14ac:dyDescent="0.25">
      <c r="B6" s="21" t="s">
        <v>580</v>
      </c>
      <c r="C6" s="38">
        <v>1335</v>
      </c>
      <c r="D6" s="143"/>
      <c r="E6" s="144"/>
      <c r="F6" s="68"/>
      <c r="G6" s="77"/>
      <c r="H6" s="77"/>
      <c r="I6" s="69"/>
    </row>
    <row r="7" spans="2:9" ht="15.75" thickBot="1" x14ac:dyDescent="0.3">
      <c r="F7" s="70"/>
      <c r="G7" s="41"/>
      <c r="H7" s="41"/>
      <c r="I7" s="72"/>
    </row>
    <row r="8" spans="2:9" x14ac:dyDescent="0.25">
      <c r="B8" s="21"/>
      <c r="C8" s="21" t="s">
        <v>582</v>
      </c>
      <c r="D8" s="21" t="s">
        <v>583</v>
      </c>
      <c r="E8" s="21" t="s">
        <v>584</v>
      </c>
      <c r="F8" s="21" t="s">
        <v>585</v>
      </c>
      <c r="G8" s="21" t="s">
        <v>586</v>
      </c>
    </row>
    <row r="9" spans="2:9" x14ac:dyDescent="0.25">
      <c r="B9" s="21" t="s">
        <v>579</v>
      </c>
      <c r="C9" s="33" t="s">
        <v>613</v>
      </c>
      <c r="D9" s="21" t="s">
        <v>0</v>
      </c>
      <c r="E9" s="21">
        <f>C5+6</f>
        <v>3491</v>
      </c>
      <c r="F9" s="21" t="s">
        <v>581</v>
      </c>
      <c r="G9" s="21">
        <v>45</v>
      </c>
    </row>
    <row r="10" spans="2:9" x14ac:dyDescent="0.25">
      <c r="B10" s="21" t="s">
        <v>580</v>
      </c>
      <c r="C10" s="33" t="s">
        <v>613</v>
      </c>
      <c r="D10" s="21" t="s">
        <v>0</v>
      </c>
      <c r="E10" s="21">
        <f>C6+6</f>
        <v>1341</v>
      </c>
      <c r="F10" s="21" t="s">
        <v>581</v>
      </c>
      <c r="G10" s="21">
        <v>45</v>
      </c>
    </row>
    <row r="11" spans="2:9" x14ac:dyDescent="0.25">
      <c r="B11" s="21" t="s">
        <v>579</v>
      </c>
      <c r="C11" s="34" t="s">
        <v>603</v>
      </c>
      <c r="D11" s="21" t="s">
        <v>1</v>
      </c>
      <c r="E11" s="21">
        <f>C5-70</f>
        <v>3415</v>
      </c>
      <c r="F11" s="21" t="s">
        <v>581</v>
      </c>
      <c r="G11" s="21">
        <v>90</v>
      </c>
    </row>
    <row r="12" spans="2:9" x14ac:dyDescent="0.25">
      <c r="B12" s="21" t="s">
        <v>580</v>
      </c>
      <c r="C12" s="34" t="s">
        <v>603</v>
      </c>
      <c r="D12" s="21" t="s">
        <v>1</v>
      </c>
      <c r="E12" s="21">
        <f>C6-70</f>
        <v>1265</v>
      </c>
      <c r="F12" s="21" t="s">
        <v>581</v>
      </c>
      <c r="G12" s="21">
        <v>90</v>
      </c>
    </row>
    <row r="13" spans="2:9" x14ac:dyDescent="0.25">
      <c r="B13" s="21" t="s">
        <v>579</v>
      </c>
      <c r="C13" s="35" t="s">
        <v>614</v>
      </c>
      <c r="D13" s="21" t="s">
        <v>615</v>
      </c>
      <c r="E13" s="21">
        <f>(C5/4)+17.8</f>
        <v>889.05</v>
      </c>
      <c r="F13" s="21" t="s">
        <v>664</v>
      </c>
      <c r="G13" s="21">
        <v>45</v>
      </c>
    </row>
    <row r="14" spans="2:9" x14ac:dyDescent="0.25">
      <c r="B14" s="21" t="s">
        <v>580</v>
      </c>
      <c r="C14" s="35" t="s">
        <v>614</v>
      </c>
      <c r="D14" s="21" t="s">
        <v>615</v>
      </c>
      <c r="E14" s="21">
        <f>C6-80</f>
        <v>1255</v>
      </c>
      <c r="F14" s="21" t="s">
        <v>664</v>
      </c>
      <c r="G14" s="21">
        <v>45</v>
      </c>
    </row>
    <row r="15" spans="2:9" x14ac:dyDescent="0.25">
      <c r="B15" s="21" t="s">
        <v>579</v>
      </c>
      <c r="C15" s="34" t="s">
        <v>600</v>
      </c>
      <c r="D15" s="21" t="s">
        <v>1</v>
      </c>
      <c r="E15" s="21">
        <f>E13-6-110</f>
        <v>773.05</v>
      </c>
      <c r="F15" s="21" t="s">
        <v>664</v>
      </c>
      <c r="G15" s="21">
        <v>90</v>
      </c>
    </row>
    <row r="16" spans="2:9" x14ac:dyDescent="0.25">
      <c r="B16" s="21" t="s">
        <v>580</v>
      </c>
      <c r="C16" s="34" t="s">
        <v>600</v>
      </c>
      <c r="D16" s="21" t="s">
        <v>1</v>
      </c>
      <c r="E16" s="21">
        <f>E14-6-110</f>
        <v>1139</v>
      </c>
      <c r="F16" s="21" t="s">
        <v>664</v>
      </c>
      <c r="G16" s="21">
        <v>90</v>
      </c>
    </row>
    <row r="17" spans="2:7" x14ac:dyDescent="0.25">
      <c r="B17" s="21" t="s">
        <v>579</v>
      </c>
      <c r="C17" s="21" t="s">
        <v>529</v>
      </c>
      <c r="D17" s="21" t="s">
        <v>2</v>
      </c>
      <c r="E17" s="21">
        <f>E13-106</f>
        <v>783.05</v>
      </c>
      <c r="F17" s="21" t="s">
        <v>664</v>
      </c>
      <c r="G17" s="21">
        <v>45</v>
      </c>
    </row>
    <row r="18" spans="2:7" x14ac:dyDescent="0.25">
      <c r="B18" s="21" t="s">
        <v>580</v>
      </c>
      <c r="C18" s="21" t="s">
        <v>529</v>
      </c>
      <c r="D18" s="21" t="s">
        <v>2</v>
      </c>
      <c r="E18" s="21">
        <f>E14-106</f>
        <v>1149</v>
      </c>
      <c r="F18" s="21" t="s">
        <v>664</v>
      </c>
      <c r="G18" s="21">
        <v>45</v>
      </c>
    </row>
    <row r="19" spans="2:7" x14ac:dyDescent="0.25">
      <c r="B19" s="21"/>
      <c r="C19" s="28" t="s">
        <v>621</v>
      </c>
      <c r="D19" s="21" t="s">
        <v>618</v>
      </c>
      <c r="E19" s="21">
        <f>E14-6</f>
        <v>1249</v>
      </c>
      <c r="F19" s="21" t="s">
        <v>599</v>
      </c>
      <c r="G19" s="21">
        <v>90</v>
      </c>
    </row>
    <row r="20" spans="2:7" x14ac:dyDescent="0.25">
      <c r="B20" s="21"/>
      <c r="C20" s="28" t="s">
        <v>622</v>
      </c>
      <c r="D20" s="21" t="s">
        <v>619</v>
      </c>
      <c r="E20" s="21">
        <f>C5-106</f>
        <v>3379</v>
      </c>
      <c r="F20" s="21" t="s">
        <v>581</v>
      </c>
      <c r="G20" s="21">
        <v>90</v>
      </c>
    </row>
    <row r="22" spans="2:7" x14ac:dyDescent="0.25">
      <c r="B22" s="104" t="s">
        <v>543</v>
      </c>
      <c r="C22" s="104"/>
      <c r="D22" s="21" t="s">
        <v>538</v>
      </c>
    </row>
    <row r="23" spans="2:7" x14ac:dyDescent="0.25">
      <c r="B23" s="21" t="s">
        <v>9</v>
      </c>
      <c r="C23" s="21">
        <f>E13-116</f>
        <v>773.05</v>
      </c>
      <c r="D23" s="142" t="s">
        <v>599</v>
      </c>
    </row>
    <row r="24" spans="2:7" x14ac:dyDescent="0.25">
      <c r="B24" s="21" t="s">
        <v>544</v>
      </c>
      <c r="C24" s="21">
        <f>E14-116</f>
        <v>1139</v>
      </c>
      <c r="D24" s="142"/>
    </row>
  </sheetData>
  <mergeCells count="5">
    <mergeCell ref="B3:C3"/>
    <mergeCell ref="B4:C4"/>
    <mergeCell ref="D5:E6"/>
    <mergeCell ref="B22:C22"/>
    <mergeCell ref="D23:D24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FCDF4-B8E1-4E9C-A4FA-D5C72DEA8EFA}">
  <dimension ref="A1:E20"/>
  <sheetViews>
    <sheetView workbookViewId="0">
      <selection activeCell="D7" sqref="D7"/>
    </sheetView>
  </sheetViews>
  <sheetFormatPr baseColWidth="10" defaultColWidth="10.7109375" defaultRowHeight="15" x14ac:dyDescent="0.25"/>
  <cols>
    <col min="2" max="2" width="16.85546875" bestFit="1" customWidth="1"/>
    <col min="4" max="4" width="13.42578125" customWidth="1"/>
    <col min="5" max="5" width="16.140625" customWidth="1"/>
  </cols>
  <sheetData>
    <row r="1" spans="1:5" ht="24" thickBot="1" x14ac:dyDescent="0.3">
      <c r="A1" s="151" t="s">
        <v>684</v>
      </c>
      <c r="B1" s="151"/>
      <c r="C1" s="151"/>
      <c r="D1" s="151"/>
      <c r="E1" s="151"/>
    </row>
    <row r="2" spans="1:5" ht="15.75" thickBot="1" x14ac:dyDescent="0.3">
      <c r="B2" s="152" t="s">
        <v>685</v>
      </c>
      <c r="C2" s="153"/>
      <c r="D2" s="81" t="s">
        <v>579</v>
      </c>
      <c r="E2" s="82" t="s">
        <v>580</v>
      </c>
    </row>
    <row r="3" spans="1:5" ht="15.75" thickBot="1" x14ac:dyDescent="0.3">
      <c r="B3" s="152"/>
      <c r="C3" s="153"/>
      <c r="D3" s="70">
        <v>2885</v>
      </c>
      <c r="E3" s="41">
        <v>2225</v>
      </c>
    </row>
    <row r="4" spans="1:5" ht="15.75" thickBot="1" x14ac:dyDescent="0.3"/>
    <row r="5" spans="1:5" ht="15.75" thickBot="1" x14ac:dyDescent="0.3">
      <c r="A5" s="83" t="s">
        <v>686</v>
      </c>
      <c r="B5" s="53" t="s">
        <v>687</v>
      </c>
      <c r="C5" s="53" t="s">
        <v>585</v>
      </c>
      <c r="D5" s="53" t="s">
        <v>688</v>
      </c>
      <c r="E5" s="54" t="s">
        <v>586</v>
      </c>
    </row>
    <row r="6" spans="1:5" x14ac:dyDescent="0.25">
      <c r="A6" s="50" t="s">
        <v>579</v>
      </c>
      <c r="B6" s="39" t="s">
        <v>689</v>
      </c>
      <c r="C6" s="39">
        <v>2</v>
      </c>
      <c r="D6" s="39">
        <f>$D$3+6</f>
        <v>2891</v>
      </c>
      <c r="E6" s="52" t="s">
        <v>7</v>
      </c>
    </row>
    <row r="7" spans="1:5" x14ac:dyDescent="0.25">
      <c r="A7" s="45" t="s">
        <v>580</v>
      </c>
      <c r="B7" s="21" t="s">
        <v>689</v>
      </c>
      <c r="C7" s="21">
        <v>2</v>
      </c>
      <c r="D7" s="21">
        <f>$E$3-75+6</f>
        <v>2156</v>
      </c>
      <c r="E7" s="46" t="s">
        <v>7</v>
      </c>
    </row>
    <row r="8" spans="1:5" x14ac:dyDescent="0.25">
      <c r="A8" s="45" t="s">
        <v>579</v>
      </c>
      <c r="B8" s="21" t="s">
        <v>690</v>
      </c>
      <c r="C8" s="21">
        <v>6</v>
      </c>
      <c r="D8" s="21">
        <f>($D$3-64-12-90)/4+6</f>
        <v>685.75</v>
      </c>
      <c r="E8" s="46" t="s">
        <v>7</v>
      </c>
    </row>
    <row r="9" spans="1:5" x14ac:dyDescent="0.25">
      <c r="A9" s="45" t="s">
        <v>580</v>
      </c>
      <c r="B9" s="21" t="s">
        <v>690</v>
      </c>
      <c r="C9" s="21">
        <v>8</v>
      </c>
      <c r="D9" s="21">
        <f>$E$3-75-64+6</f>
        <v>2092</v>
      </c>
      <c r="E9" s="46" t="s">
        <v>7</v>
      </c>
    </row>
    <row r="10" spans="1:5" x14ac:dyDescent="0.25">
      <c r="A10" s="45" t="s">
        <v>579</v>
      </c>
      <c r="B10" s="21" t="s">
        <v>691</v>
      </c>
      <c r="C10" s="21">
        <v>2</v>
      </c>
      <c r="D10" s="21">
        <f>(($D$3-64-12-90)/4+6)+90</f>
        <v>775.75</v>
      </c>
      <c r="E10" s="46" t="s">
        <v>7</v>
      </c>
    </row>
    <row r="13" spans="1:5" ht="15.75" thickBot="1" x14ac:dyDescent="0.3"/>
    <row r="14" spans="1:5" ht="15.75" thickBot="1" x14ac:dyDescent="0.3">
      <c r="A14" s="125" t="s">
        <v>543</v>
      </c>
      <c r="B14" s="126"/>
    </row>
    <row r="15" spans="1:5" x14ac:dyDescent="0.25">
      <c r="A15" s="50" t="s">
        <v>9</v>
      </c>
      <c r="B15" s="62">
        <f>D8-214</f>
        <v>471.75</v>
      </c>
      <c r="C15" s="111">
        <v>3</v>
      </c>
    </row>
    <row r="16" spans="1:5" ht="15.75" thickBot="1" x14ac:dyDescent="0.3">
      <c r="A16" s="40" t="s">
        <v>544</v>
      </c>
      <c r="B16" s="63">
        <f>D9-214</f>
        <v>1878</v>
      </c>
      <c r="C16" s="112"/>
    </row>
    <row r="17" spans="1:3" ht="15.75" thickBot="1" x14ac:dyDescent="0.3"/>
    <row r="18" spans="1:3" ht="15.75" thickBot="1" x14ac:dyDescent="0.3">
      <c r="A18" s="125" t="s">
        <v>543</v>
      </c>
      <c r="B18" s="126"/>
    </row>
    <row r="19" spans="1:3" x14ac:dyDescent="0.25">
      <c r="A19" s="50" t="s">
        <v>9</v>
      </c>
      <c r="B19" s="62">
        <f>D10-214</f>
        <v>561.75</v>
      </c>
      <c r="C19" s="111">
        <v>1</v>
      </c>
    </row>
    <row r="20" spans="1:3" ht="15.75" thickBot="1" x14ac:dyDescent="0.3">
      <c r="A20" s="40" t="s">
        <v>544</v>
      </c>
      <c r="B20" s="63">
        <f>D9-214</f>
        <v>1878</v>
      </c>
      <c r="C20" s="112"/>
    </row>
  </sheetData>
  <mergeCells count="6">
    <mergeCell ref="C19:C20"/>
    <mergeCell ref="A1:E1"/>
    <mergeCell ref="B2:C3"/>
    <mergeCell ref="A14:B14"/>
    <mergeCell ref="C15:C16"/>
    <mergeCell ref="A18:B18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D6010-46A0-4313-BDD5-B37A2467A23C}">
  <dimension ref="A1:E18"/>
  <sheetViews>
    <sheetView workbookViewId="0">
      <selection activeCell="E3" sqref="E3"/>
    </sheetView>
  </sheetViews>
  <sheetFormatPr baseColWidth="10" defaultColWidth="10.7109375" defaultRowHeight="15" x14ac:dyDescent="0.25"/>
  <cols>
    <col min="2" max="2" width="16.85546875" bestFit="1" customWidth="1"/>
    <col min="4" max="4" width="13.42578125" customWidth="1"/>
    <col min="5" max="5" width="16.140625" customWidth="1"/>
  </cols>
  <sheetData>
    <row r="1" spans="1:5" ht="24" thickBot="1" x14ac:dyDescent="0.3">
      <c r="A1" s="151" t="s">
        <v>696</v>
      </c>
      <c r="B1" s="151"/>
      <c r="C1" s="151"/>
      <c r="D1" s="151"/>
      <c r="E1" s="151"/>
    </row>
    <row r="2" spans="1:5" ht="15.75" customHeight="1" thickBot="1" x14ac:dyDescent="0.3">
      <c r="B2" s="152" t="s">
        <v>685</v>
      </c>
      <c r="C2" s="153"/>
      <c r="D2" s="81" t="s">
        <v>579</v>
      </c>
      <c r="E2" s="82" t="s">
        <v>580</v>
      </c>
    </row>
    <row r="3" spans="1:5" ht="15.75" customHeight="1" thickBot="1" x14ac:dyDescent="0.3">
      <c r="B3" s="152"/>
      <c r="C3" s="153"/>
      <c r="D3" s="70">
        <v>2600</v>
      </c>
      <c r="E3" s="41">
        <v>2015</v>
      </c>
    </row>
    <row r="4" spans="1:5" ht="15.75" thickBot="1" x14ac:dyDescent="0.3"/>
    <row r="5" spans="1:5" ht="15.75" thickBot="1" x14ac:dyDescent="0.3">
      <c r="A5" s="83" t="s">
        <v>686</v>
      </c>
      <c r="B5" s="53" t="s">
        <v>687</v>
      </c>
      <c r="C5" s="53" t="s">
        <v>585</v>
      </c>
      <c r="D5" s="53" t="s">
        <v>688</v>
      </c>
      <c r="E5" s="54" t="s">
        <v>586</v>
      </c>
    </row>
    <row r="6" spans="1:5" x14ac:dyDescent="0.25">
      <c r="A6" s="50" t="s">
        <v>579</v>
      </c>
      <c r="B6" s="39" t="s">
        <v>689</v>
      </c>
      <c r="C6" s="39">
        <v>2</v>
      </c>
      <c r="D6" s="39">
        <f>$D$3+6</f>
        <v>2606</v>
      </c>
      <c r="E6" s="52" t="s">
        <v>7</v>
      </c>
    </row>
    <row r="7" spans="1:5" x14ac:dyDescent="0.25">
      <c r="A7" s="45" t="s">
        <v>580</v>
      </c>
      <c r="B7" s="21" t="s">
        <v>689</v>
      </c>
      <c r="C7" s="21">
        <v>2</v>
      </c>
      <c r="D7" s="21">
        <f>$E$3-75+6</f>
        <v>1946</v>
      </c>
      <c r="E7" s="46" t="s">
        <v>7</v>
      </c>
    </row>
    <row r="8" spans="1:5" x14ac:dyDescent="0.25">
      <c r="A8" s="45" t="s">
        <v>579</v>
      </c>
      <c r="B8" s="21" t="s">
        <v>690</v>
      </c>
      <c r="C8" s="21">
        <v>4</v>
      </c>
      <c r="D8" s="21">
        <f>(($D$3-64-8-90)/3)+6</f>
        <v>818.66666666666663</v>
      </c>
      <c r="E8" s="46" t="s">
        <v>7</v>
      </c>
    </row>
    <row r="9" spans="1:5" x14ac:dyDescent="0.25">
      <c r="A9" s="45" t="s">
        <v>580</v>
      </c>
      <c r="B9" s="21" t="s">
        <v>690</v>
      </c>
      <c r="C9" s="21">
        <v>6</v>
      </c>
      <c r="D9" s="21">
        <f>$E$3-75-64+6</f>
        <v>1882</v>
      </c>
      <c r="E9" s="46" t="s">
        <v>7</v>
      </c>
    </row>
    <row r="10" spans="1:5" x14ac:dyDescent="0.25">
      <c r="A10" s="45" t="s">
        <v>579</v>
      </c>
      <c r="B10" s="21" t="s">
        <v>691</v>
      </c>
      <c r="C10" s="21">
        <v>2</v>
      </c>
      <c r="D10" s="21">
        <f>(($D$3-64-8-90)/3+6)+90</f>
        <v>908.66666666666663</v>
      </c>
      <c r="E10" s="46" t="s">
        <v>7</v>
      </c>
    </row>
    <row r="11" spans="1:5" ht="15.75" thickBot="1" x14ac:dyDescent="0.3"/>
    <row r="12" spans="1:5" ht="15.75" thickBot="1" x14ac:dyDescent="0.3">
      <c r="A12" s="125" t="s">
        <v>543</v>
      </c>
      <c r="B12" s="126"/>
    </row>
    <row r="13" spans="1:5" x14ac:dyDescent="0.25">
      <c r="A13" s="50" t="s">
        <v>9</v>
      </c>
      <c r="B13" s="62">
        <f>D8-214</f>
        <v>604.66666666666663</v>
      </c>
      <c r="C13" s="111">
        <v>2</v>
      </c>
    </row>
    <row r="14" spans="1:5" ht="15.75" thickBot="1" x14ac:dyDescent="0.3">
      <c r="A14" s="40" t="s">
        <v>544</v>
      </c>
      <c r="B14" s="63">
        <f>D9-214</f>
        <v>1668</v>
      </c>
      <c r="C14" s="112"/>
    </row>
    <row r="15" spans="1:5" ht="15.75" thickBot="1" x14ac:dyDescent="0.3"/>
    <row r="16" spans="1:5" ht="15.75" thickBot="1" x14ac:dyDescent="0.3">
      <c r="A16" s="125" t="s">
        <v>543</v>
      </c>
      <c r="B16" s="126"/>
    </row>
    <row r="17" spans="1:3" x14ac:dyDescent="0.25">
      <c r="A17" s="50" t="s">
        <v>9</v>
      </c>
      <c r="B17" s="62">
        <f>D10-214</f>
        <v>694.66666666666663</v>
      </c>
      <c r="C17" s="111">
        <v>1</v>
      </c>
    </row>
    <row r="18" spans="1:3" ht="15.75" thickBot="1" x14ac:dyDescent="0.3">
      <c r="A18" s="40" t="s">
        <v>544</v>
      </c>
      <c r="B18" s="63">
        <f>D9-214</f>
        <v>1668</v>
      </c>
      <c r="C18" s="112"/>
    </row>
  </sheetData>
  <mergeCells count="6">
    <mergeCell ref="C17:C18"/>
    <mergeCell ref="A1:E1"/>
    <mergeCell ref="B2:C3"/>
    <mergeCell ref="A12:B12"/>
    <mergeCell ref="C13:C14"/>
    <mergeCell ref="A16:B16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97EE0-37EB-4EC1-B2C7-D5F1AC1937F7}">
  <dimension ref="A1:E21"/>
  <sheetViews>
    <sheetView workbookViewId="0">
      <selection activeCell="F17" sqref="F17"/>
    </sheetView>
  </sheetViews>
  <sheetFormatPr baseColWidth="10" defaultColWidth="10.7109375" defaultRowHeight="15" x14ac:dyDescent="0.25"/>
  <cols>
    <col min="2" max="2" width="16.85546875" bestFit="1" customWidth="1"/>
    <col min="4" max="4" width="13.42578125" customWidth="1"/>
    <col min="5" max="5" width="16.140625" customWidth="1"/>
  </cols>
  <sheetData>
    <row r="1" spans="1:5" ht="24" thickBot="1" x14ac:dyDescent="0.3">
      <c r="A1" s="151" t="s">
        <v>705</v>
      </c>
      <c r="B1" s="151"/>
      <c r="C1" s="151"/>
      <c r="D1" s="151"/>
      <c r="E1" s="151"/>
    </row>
    <row r="2" spans="1:5" ht="15.75" thickBot="1" x14ac:dyDescent="0.3">
      <c r="B2" s="152" t="s">
        <v>685</v>
      </c>
      <c r="C2" s="153"/>
      <c r="D2" s="81" t="s">
        <v>579</v>
      </c>
      <c r="E2" s="82" t="s">
        <v>580</v>
      </c>
    </row>
    <row r="3" spans="1:5" ht="15.75" thickBot="1" x14ac:dyDescent="0.3">
      <c r="B3" s="152"/>
      <c r="C3" s="153"/>
      <c r="D3" s="70">
        <v>4955</v>
      </c>
      <c r="E3" s="41">
        <v>2210</v>
      </c>
    </row>
    <row r="4" spans="1:5" ht="15.75" thickBot="1" x14ac:dyDescent="0.3">
      <c r="A4" s="83" t="s">
        <v>686</v>
      </c>
      <c r="B4" s="53" t="s">
        <v>687</v>
      </c>
      <c r="C4" s="53" t="s">
        <v>585</v>
      </c>
      <c r="D4" s="53" t="s">
        <v>688</v>
      </c>
      <c r="E4" s="54" t="s">
        <v>586</v>
      </c>
    </row>
    <row r="5" spans="1:5" x14ac:dyDescent="0.25">
      <c r="A5" s="50" t="s">
        <v>579</v>
      </c>
      <c r="B5" s="39" t="s">
        <v>689</v>
      </c>
      <c r="C5" s="39">
        <v>2</v>
      </c>
      <c r="D5" s="39">
        <f>$D$3+6</f>
        <v>4961</v>
      </c>
      <c r="E5" s="52" t="s">
        <v>7</v>
      </c>
    </row>
    <row r="6" spans="1:5" x14ac:dyDescent="0.25">
      <c r="A6" s="45" t="s">
        <v>580</v>
      </c>
      <c r="B6" s="21" t="s">
        <v>689</v>
      </c>
      <c r="C6" s="21">
        <v>2</v>
      </c>
      <c r="D6" s="21">
        <f>$E$3-75+6</f>
        <v>2141</v>
      </c>
      <c r="E6" s="46" t="s">
        <v>7</v>
      </c>
    </row>
    <row r="7" spans="1:5" x14ac:dyDescent="0.25">
      <c r="A7" s="45" t="s">
        <v>579</v>
      </c>
      <c r="B7" s="21" t="s">
        <v>690</v>
      </c>
      <c r="C7" s="21">
        <v>8</v>
      </c>
      <c r="D7" s="21">
        <f>($D$3-64-20-140)/6+6</f>
        <v>794.5</v>
      </c>
      <c r="E7" s="46" t="s">
        <v>7</v>
      </c>
    </row>
    <row r="8" spans="1:5" x14ac:dyDescent="0.25">
      <c r="A8" s="45" t="s">
        <v>580</v>
      </c>
      <c r="B8" s="21" t="s">
        <v>690</v>
      </c>
      <c r="C8" s="21">
        <v>12</v>
      </c>
      <c r="D8" s="21">
        <f>$E$3-75-64+6</f>
        <v>2077</v>
      </c>
      <c r="E8" s="46" t="s">
        <v>7</v>
      </c>
    </row>
    <row r="9" spans="1:5" x14ac:dyDescent="0.25">
      <c r="A9" s="45" t="s">
        <v>579</v>
      </c>
      <c r="B9" s="21" t="s">
        <v>691</v>
      </c>
      <c r="C9" s="21">
        <v>2</v>
      </c>
      <c r="D9" s="21">
        <f>(($D$3-64-20-140)/6+6)+90</f>
        <v>884.5</v>
      </c>
      <c r="E9" s="46" t="s">
        <v>7</v>
      </c>
    </row>
    <row r="10" spans="1:5" ht="15.75" thickBot="1" x14ac:dyDescent="0.3">
      <c r="A10" s="45" t="s">
        <v>579</v>
      </c>
      <c r="B10" s="21" t="s">
        <v>706</v>
      </c>
      <c r="C10" s="21">
        <v>2</v>
      </c>
      <c r="D10" s="21">
        <f>(($D$3-64-20-140)/6+6)+50</f>
        <v>844.5</v>
      </c>
      <c r="E10" s="46" t="s">
        <v>7</v>
      </c>
    </row>
    <row r="11" spans="1:5" ht="15.75" thickBot="1" x14ac:dyDescent="0.3">
      <c r="A11" s="90" t="s">
        <v>707</v>
      </c>
      <c r="B11" s="91"/>
    </row>
    <row r="12" spans="1:5" x14ac:dyDescent="0.25">
      <c r="A12" s="93" t="s">
        <v>9</v>
      </c>
      <c r="B12" s="94">
        <f>D7-214</f>
        <v>580.5</v>
      </c>
      <c r="C12" s="92">
        <v>4</v>
      </c>
    </row>
    <row r="13" spans="1:5" ht="15.75" thickBot="1" x14ac:dyDescent="0.3">
      <c r="A13" s="40" t="s">
        <v>544</v>
      </c>
      <c r="B13" s="49">
        <f>D8-214</f>
        <v>1863</v>
      </c>
      <c r="C13" s="95"/>
    </row>
    <row r="14" spans="1:5" ht="15.75" thickBot="1" x14ac:dyDescent="0.3">
      <c r="C14" s="154"/>
    </row>
    <row r="15" spans="1:5" ht="15.75" thickBot="1" x14ac:dyDescent="0.3">
      <c r="A15" s="90" t="s">
        <v>708</v>
      </c>
      <c r="B15" s="91"/>
      <c r="C15" s="154"/>
    </row>
    <row r="16" spans="1:5" x14ac:dyDescent="0.25">
      <c r="A16" s="93" t="s">
        <v>9</v>
      </c>
      <c r="B16" s="94">
        <f>D9-214</f>
        <v>670.5</v>
      </c>
      <c r="C16" s="92">
        <v>1</v>
      </c>
    </row>
    <row r="17" spans="1:3" ht="15.75" thickBot="1" x14ac:dyDescent="0.3">
      <c r="A17" s="40" t="s">
        <v>544</v>
      </c>
      <c r="B17" s="49">
        <f>D8-214</f>
        <v>1863</v>
      </c>
      <c r="C17" s="89"/>
    </row>
    <row r="18" spans="1:3" ht="15.75" thickBot="1" x14ac:dyDescent="0.3">
      <c r="C18" s="154"/>
    </row>
    <row r="19" spans="1:3" ht="15.75" thickBot="1" x14ac:dyDescent="0.3">
      <c r="A19" s="90" t="s">
        <v>709</v>
      </c>
      <c r="B19" s="91"/>
      <c r="C19" s="154"/>
    </row>
    <row r="20" spans="1:3" x14ac:dyDescent="0.25">
      <c r="A20" s="93" t="s">
        <v>9</v>
      </c>
      <c r="B20" s="94">
        <f>D10-214</f>
        <v>630.5</v>
      </c>
      <c r="C20" s="92">
        <v>1</v>
      </c>
    </row>
    <row r="21" spans="1:3" ht="15.75" thickBot="1" x14ac:dyDescent="0.3">
      <c r="A21" s="40" t="s">
        <v>544</v>
      </c>
      <c r="B21" s="49">
        <f>D8-214</f>
        <v>1863</v>
      </c>
      <c r="C21" s="89"/>
    </row>
  </sheetData>
  <mergeCells count="4">
    <mergeCell ref="C18:C19"/>
    <mergeCell ref="A1:E1"/>
    <mergeCell ref="B2:C3"/>
    <mergeCell ref="C14:C15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7CE2D-A240-4E45-B380-E222ED987867}">
  <dimension ref="A1:G21"/>
  <sheetViews>
    <sheetView topLeftCell="A2" workbookViewId="0">
      <selection activeCell="E21" sqref="E21"/>
    </sheetView>
  </sheetViews>
  <sheetFormatPr baseColWidth="10" defaultColWidth="10.7109375" defaultRowHeight="15" x14ac:dyDescent="0.25"/>
  <cols>
    <col min="2" max="2" width="18.28515625" customWidth="1"/>
    <col min="4" max="4" width="13.42578125" customWidth="1"/>
    <col min="5" max="5" width="16.140625" customWidth="1"/>
  </cols>
  <sheetData>
    <row r="1" spans="1:7" ht="24" thickBot="1" x14ac:dyDescent="0.3">
      <c r="A1" s="151" t="s">
        <v>711</v>
      </c>
      <c r="B1" s="151"/>
      <c r="C1" s="151"/>
      <c r="D1" s="151"/>
      <c r="E1" s="151"/>
    </row>
    <row r="2" spans="1:7" ht="15.75" thickBot="1" x14ac:dyDescent="0.3">
      <c r="B2" s="152" t="s">
        <v>685</v>
      </c>
      <c r="C2" s="153"/>
      <c r="D2" s="81" t="s">
        <v>579</v>
      </c>
      <c r="E2" s="82" t="s">
        <v>580</v>
      </c>
    </row>
    <row r="3" spans="1:7" ht="15.75" thickBot="1" x14ac:dyDescent="0.3">
      <c r="B3" s="152"/>
      <c r="C3" s="153"/>
      <c r="D3" s="70">
        <v>5410</v>
      </c>
      <c r="E3" s="41">
        <v>2277</v>
      </c>
    </row>
    <row r="4" spans="1:7" ht="15.75" thickBot="1" x14ac:dyDescent="0.3">
      <c r="A4" s="83" t="s">
        <v>686</v>
      </c>
      <c r="B4" s="53" t="s">
        <v>687</v>
      </c>
      <c r="C4" s="53" t="s">
        <v>585</v>
      </c>
      <c r="D4" s="53" t="s">
        <v>688</v>
      </c>
      <c r="E4" s="54" t="s">
        <v>586</v>
      </c>
    </row>
    <row r="5" spans="1:7" x14ac:dyDescent="0.25">
      <c r="A5" s="50" t="s">
        <v>579</v>
      </c>
      <c r="B5" s="39" t="s">
        <v>689</v>
      </c>
      <c r="C5" s="39">
        <v>2</v>
      </c>
      <c r="D5" s="39">
        <f>$D$3+6</f>
        <v>5416</v>
      </c>
      <c r="E5" s="52" t="s">
        <v>7</v>
      </c>
      <c r="G5" t="s">
        <v>713</v>
      </c>
    </row>
    <row r="6" spans="1:7" x14ac:dyDescent="0.25">
      <c r="A6" s="45" t="s">
        <v>580</v>
      </c>
      <c r="B6" s="21" t="s">
        <v>689</v>
      </c>
      <c r="C6" s="21">
        <v>2</v>
      </c>
      <c r="D6" s="21">
        <f>$E$3-75+6</f>
        <v>2208</v>
      </c>
      <c r="E6" s="46" t="s">
        <v>7</v>
      </c>
    </row>
    <row r="7" spans="1:7" x14ac:dyDescent="0.25">
      <c r="A7" s="45" t="s">
        <v>579</v>
      </c>
      <c r="B7" s="21" t="s">
        <v>690</v>
      </c>
      <c r="C7" s="21">
        <v>8</v>
      </c>
      <c r="D7" s="21">
        <f>($D$3-64-24-230)/7+6</f>
        <v>733.42857142857144</v>
      </c>
      <c r="E7" s="46" t="s">
        <v>7</v>
      </c>
      <c r="G7" t="s">
        <v>714</v>
      </c>
    </row>
    <row r="8" spans="1:7" x14ac:dyDescent="0.25">
      <c r="A8" s="45" t="s">
        <v>580</v>
      </c>
      <c r="B8" s="21" t="s">
        <v>690</v>
      </c>
      <c r="C8" s="21">
        <v>14</v>
      </c>
      <c r="D8" s="21">
        <f>$E$3-75-64+6</f>
        <v>2144</v>
      </c>
      <c r="E8" s="46" t="s">
        <v>7</v>
      </c>
    </row>
    <row r="9" spans="1:7" x14ac:dyDescent="0.25">
      <c r="A9" s="45" t="s">
        <v>579</v>
      </c>
      <c r="B9" s="21" t="s">
        <v>712</v>
      </c>
      <c r="C9" s="21">
        <v>4</v>
      </c>
      <c r="D9" s="21">
        <f>(($D$3-64-24-230)/7+6)+90</f>
        <v>823.42857142857144</v>
      </c>
      <c r="E9" s="46" t="s">
        <v>7</v>
      </c>
    </row>
    <row r="10" spans="1:7" ht="15.75" thickBot="1" x14ac:dyDescent="0.3">
      <c r="A10" s="45" t="s">
        <v>579</v>
      </c>
      <c r="B10" s="21" t="s">
        <v>706</v>
      </c>
      <c r="C10" s="21">
        <v>2</v>
      </c>
      <c r="D10" s="21">
        <f>(($D$3-64-24-230)/7+6)+50</f>
        <v>783.42857142857144</v>
      </c>
      <c r="E10" s="46" t="s">
        <v>7</v>
      </c>
    </row>
    <row r="11" spans="1:7" ht="15.75" thickBot="1" x14ac:dyDescent="0.3">
      <c r="A11" s="90" t="s">
        <v>707</v>
      </c>
      <c r="B11" s="91"/>
    </row>
    <row r="12" spans="1:7" x14ac:dyDescent="0.25">
      <c r="A12" s="93" t="s">
        <v>9</v>
      </c>
      <c r="B12" s="94">
        <f>D7-214</f>
        <v>519.42857142857144</v>
      </c>
      <c r="C12" s="92">
        <v>4</v>
      </c>
    </row>
    <row r="13" spans="1:7" ht="15.75" thickBot="1" x14ac:dyDescent="0.3">
      <c r="A13" s="40" t="s">
        <v>544</v>
      </c>
      <c r="B13" s="49">
        <f>D8-214</f>
        <v>1930</v>
      </c>
      <c r="C13" s="95"/>
    </row>
    <row r="14" spans="1:7" ht="15.75" thickBot="1" x14ac:dyDescent="0.3">
      <c r="C14" s="154"/>
    </row>
    <row r="15" spans="1:7" ht="15.75" thickBot="1" x14ac:dyDescent="0.3">
      <c r="A15" s="90" t="s">
        <v>708</v>
      </c>
      <c r="B15" s="91"/>
      <c r="C15" s="154"/>
    </row>
    <row r="16" spans="1:7" x14ac:dyDescent="0.25">
      <c r="A16" s="93" t="s">
        <v>9</v>
      </c>
      <c r="B16" s="94">
        <f>D9-214</f>
        <v>609.42857142857144</v>
      </c>
      <c r="C16" s="92">
        <v>2</v>
      </c>
    </row>
    <row r="17" spans="1:3" ht="15.75" thickBot="1" x14ac:dyDescent="0.3">
      <c r="A17" s="40" t="s">
        <v>544</v>
      </c>
      <c r="B17" s="49">
        <f>D8-214</f>
        <v>1930</v>
      </c>
      <c r="C17" s="89"/>
    </row>
    <row r="18" spans="1:3" ht="15.75" thickBot="1" x14ac:dyDescent="0.3">
      <c r="C18" s="154"/>
    </row>
    <row r="19" spans="1:3" ht="15.75" thickBot="1" x14ac:dyDescent="0.3">
      <c r="A19" s="90" t="s">
        <v>709</v>
      </c>
      <c r="B19" s="91"/>
      <c r="C19" s="154"/>
    </row>
    <row r="20" spans="1:3" x14ac:dyDescent="0.25">
      <c r="A20" s="93" t="s">
        <v>9</v>
      </c>
      <c r="B20" s="94">
        <f>D10-214</f>
        <v>569.42857142857144</v>
      </c>
      <c r="C20" s="92">
        <v>1</v>
      </c>
    </row>
    <row r="21" spans="1:3" ht="15.75" thickBot="1" x14ac:dyDescent="0.3">
      <c r="A21" s="40" t="s">
        <v>544</v>
      </c>
      <c r="B21" s="49">
        <f>D8-214</f>
        <v>1930</v>
      </c>
      <c r="C21" s="89"/>
    </row>
  </sheetData>
  <mergeCells count="4">
    <mergeCell ref="A1:E1"/>
    <mergeCell ref="B2:C3"/>
    <mergeCell ref="C14:C15"/>
    <mergeCell ref="C18:C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FIJO</vt:lpstr>
      <vt:lpstr>fijo con marco rebajado</vt:lpstr>
      <vt:lpstr>fijo con barra T horizontal</vt:lpstr>
      <vt:lpstr>fijo con barra T vertical</vt:lpstr>
      <vt:lpstr>pta ext paso libre </vt:lpstr>
      <vt:lpstr>Pta ext con zapata</vt:lpstr>
      <vt:lpstr>pta ext paso libre marco rebaja</vt:lpstr>
      <vt:lpstr>pta ext marco perimetral 1 hoja</vt:lpstr>
      <vt:lpstr>pta int paso libre</vt:lpstr>
      <vt:lpstr>pta interior con zapata</vt:lpstr>
      <vt:lpstr>pta int paso libre marco rebaja</vt:lpstr>
      <vt:lpstr>pta int marco perimetral</vt:lpstr>
      <vt:lpstr>pta ext 2 hojas paso libre</vt:lpstr>
      <vt:lpstr>pta exterior 2 hojas marco peri</vt:lpstr>
      <vt:lpstr>pta ext 2 hojas paso libre comp</vt:lpstr>
      <vt:lpstr>pta int 2 hojas paso libre</vt:lpstr>
      <vt:lpstr>pta int 2 hojas marco perimetra</vt:lpstr>
      <vt:lpstr>ABATIR INT Y OB</vt:lpstr>
      <vt:lpstr>abatir int 2 hojas</vt:lpstr>
      <vt:lpstr> ABATIR EXT Y PROY</vt:lpstr>
      <vt:lpstr>Abatir ext y proye marco rebaja</vt:lpstr>
      <vt:lpstr>abatir ext 2 hojas</vt:lpstr>
      <vt:lpstr>abatir ext compuesta</vt:lpstr>
      <vt:lpstr>BASE</vt:lpstr>
      <vt:lpstr>SLIDING HOJA GRANDE</vt:lpstr>
      <vt:lpstr>Sliding 4 hojas grandes</vt:lpstr>
      <vt:lpstr>Hoja1</vt:lpstr>
      <vt:lpstr>SLIDING HOJA CHICA</vt:lpstr>
      <vt:lpstr>Sliding 4 hojas chicas</vt:lpstr>
      <vt:lpstr>sliding mono riel hoja grande</vt:lpstr>
      <vt:lpstr>Monoriel hoja grande desplazada</vt:lpstr>
      <vt:lpstr>sliding mono riel hoja chica</vt:lpstr>
      <vt:lpstr>Sliding monoriel 4 hojas grande</vt:lpstr>
      <vt:lpstr>corre 2y3 rieles 3 hojas grande</vt:lpstr>
      <vt:lpstr>corred2riel3hojas2mismoriel</vt:lpstr>
      <vt:lpstr>corred 2y3 riel 3 hojas chicas</vt:lpstr>
      <vt:lpstr>corred2rieles3hojas2mismoriel </vt:lpstr>
      <vt:lpstr>corredera grande 3 riele 6 hoja</vt:lpstr>
      <vt:lpstr>compact sliding 2 hojas </vt:lpstr>
      <vt:lpstr>compact sliding 3 hojas</vt:lpstr>
      <vt:lpstr>compact sliding 4 hojas</vt:lpstr>
      <vt:lpstr>Plegable 4-3-1</vt:lpstr>
      <vt:lpstr>Plegable 3-3-0</vt:lpstr>
      <vt:lpstr>Plegable 6-5-1</vt:lpstr>
      <vt:lpstr>Plegable 7-4-3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Coloma</dc:creator>
  <cp:lastModifiedBy>Cristian Arenas</cp:lastModifiedBy>
  <cp:lastPrinted>2022-12-27T18:35:28Z</cp:lastPrinted>
  <dcterms:created xsi:type="dcterms:W3CDTF">2017-09-25T11:52:09Z</dcterms:created>
  <dcterms:modified xsi:type="dcterms:W3CDTF">2024-08-14T22:31:31Z</dcterms:modified>
</cp:coreProperties>
</file>